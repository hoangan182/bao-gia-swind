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130"/>
  <workbookPr defaultThemeVersion="166925"/>
  <mc:AlternateContent xmlns:mc="http://schemas.openxmlformats.org/markup-compatibility/2006">
    <mc:Choice Requires="x15">
      <x15ac:absPath xmlns:x15ac="http://schemas.microsoft.com/office/spreadsheetml/2010/11/ac" url="D:\MPQ\MPQ\Bao Gia\chị Nhài\2026\Minh triết\"/>
    </mc:Choice>
  </mc:AlternateContent>
  <xr:revisionPtr revIDLastSave="0" documentId="8_{4ABF9D76-9270-4238-8437-8B5EAABCC1E5}" xr6:coauthVersionLast="45" xr6:coauthVersionMax="45" xr10:uidLastSave="{00000000-0000-0000-0000-000000000000}"/>
  <bookViews>
    <workbookView xWindow="-108" yWindow="-108" windowWidth="23256" windowHeight="12456" xr2:uid="{00000000-000D-0000-FFFF-FFFF00000000}"/>
  </bookViews>
  <sheets>
    <sheet name="TH" sheetId="7" r:id="rId1"/>
    <sheet name="A22" sheetId="3" r:id="rId2"/>
    <sheet name="A05" sheetId="4" r:id="rId3"/>
    <sheet name="A06" sheetId="5" r:id="rId4"/>
    <sheet name="A07" sheetId="6"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 hidden="1">{"'Sheet1'!$L$16"}</definedName>
    <definedName name="_??">BlankMacro1</definedName>
    <definedName name="_??????1">BlankMacro1</definedName>
    <definedName name="_??????2">BlankMacro1</definedName>
    <definedName name="_??????3">BlankMacro1</definedName>
    <definedName name="_??????4">BlankMacro1</definedName>
    <definedName name="_??????5">BlankMacro1</definedName>
    <definedName name="_??????6">BlankMacro1</definedName>
    <definedName name="__">#REF!</definedName>
    <definedName name="__??">BlankMacro1</definedName>
    <definedName name="__??????1">BlankMacro1</definedName>
    <definedName name="__??????2">BlankMacro1</definedName>
    <definedName name="__??????3">BlankMacro1</definedName>
    <definedName name="__??????4">BlankMacro1</definedName>
    <definedName name="__??????5">BlankMacro1</definedName>
    <definedName name="__??????6">BlankMacro1</definedName>
    <definedName name="___??">BlankMacro1</definedName>
    <definedName name="___??????1">BlankMacro1</definedName>
    <definedName name="___??????2">BlankMacro1</definedName>
    <definedName name="___??????3">BlankMacro1</definedName>
    <definedName name="___??????4">BlankMacro1</definedName>
    <definedName name="___??????5">BlankMacro1</definedName>
    <definedName name="___??????6">BlankMacro1</definedName>
    <definedName name="____??">BlankMacro1</definedName>
    <definedName name="____??????1">BlankMacro1</definedName>
    <definedName name="____??????2">BlankMacro1</definedName>
    <definedName name="____??????3">BlankMacro1</definedName>
    <definedName name="____??????4">BlankMacro1</definedName>
    <definedName name="____??????5">BlankMacro1</definedName>
    <definedName name="____??????6">BlankMacro1</definedName>
    <definedName name="_________________________________________________________________________________________________________tu4" hidden="1">{"'Sheet1'!$L$16"}</definedName>
    <definedName name="_______________________________________________________________________________________________________tu4" hidden="1">{"'Sheet1'!$L$16"}</definedName>
    <definedName name="_____________________________________________________________________________________________________tu4" hidden="1">{"'Sheet1'!$L$16"}</definedName>
    <definedName name="___________________________________________________________________________________________________tu4" hidden="1">{"'Sheet1'!$L$16"}</definedName>
    <definedName name="_________________________________________________________________________________________________tu4" hidden="1">{"'Sheet1'!$L$16"}</definedName>
    <definedName name="_______________________________________________________________________________________________tu4" hidden="1">{"'Sheet1'!$L$16"}</definedName>
    <definedName name="_____________________________________________________________________________________________tu4" hidden="1">{"'Sheet1'!$L$16"}</definedName>
    <definedName name="___________________________________________________________________________________________tu4" hidden="1">{"'Sheet1'!$L$16"}</definedName>
    <definedName name="_________________________________________________________________________________________tu4" hidden="1">{"'Sheet1'!$L$16"}</definedName>
    <definedName name="_______________________________________________________________________________________tu4" hidden="1">{"'Sheet1'!$L$16"}</definedName>
    <definedName name="_____________________________________________________________________________________tu4" hidden="1">{"'Sheet1'!$L$16"}</definedName>
    <definedName name="___________________________________________________________________________________tu4" hidden="1">{"'Sheet1'!$L$16"}</definedName>
    <definedName name="_________________________________________________________________________________tu4" hidden="1">{"'Sheet1'!$L$16"}</definedName>
    <definedName name="_______________________________________________________________________________tu4" hidden="1">{"'Sheet1'!$L$16"}</definedName>
    <definedName name="_____________________________________________________________________________tu4" hidden="1">{"'Sheet1'!$L$16"}</definedName>
    <definedName name="___________________________________________________________________________a1" hidden="1">{"'Sheet1'!$L$16"}</definedName>
    <definedName name="___________________________________________________________________________tu4" hidden="1">{"'Sheet1'!$L$16"}</definedName>
    <definedName name="__________________________________________________________________________a1" hidden="1">{"'Sheet1'!$L$16"}</definedName>
    <definedName name="_________________________________________________________________________a1" hidden="1">{"'Sheet1'!$L$16"}</definedName>
    <definedName name="_________________________________________________________________________tu4" hidden="1">{"'Sheet1'!$L$16"}</definedName>
    <definedName name="________________________________________________________________________a1" hidden="1">{"'Sheet1'!$L$16"}</definedName>
    <definedName name="_______________________________________________________________________a1" hidden="1">{"'Sheet1'!$L$16"}</definedName>
    <definedName name="_______________________________________________________________________tu4" hidden="1">{"'Sheet1'!$L$16"}</definedName>
    <definedName name="______________________________________________________________________a1" hidden="1">{"'Sheet1'!$L$16"}</definedName>
    <definedName name="_____________________________________________________________________a1" hidden="1">{"'Sheet1'!$L$16"}</definedName>
    <definedName name="_____________________________________________________________________tu4" hidden="1">{"'Sheet1'!$L$16"}</definedName>
    <definedName name="____________________________________________________________________a1" hidden="1">{"'Sheet1'!$L$16"}</definedName>
    <definedName name="___________________________________________________________________a1" hidden="1">{"'Sheet1'!$L$16"}</definedName>
    <definedName name="___________________________________________________________________tu4" hidden="1">{"'Sheet1'!$L$16"}</definedName>
    <definedName name="__________________________________________________________________a1" hidden="1">{"'Sheet1'!$L$16"}</definedName>
    <definedName name="_________________________________________________________________a1" hidden="1">{"'Sheet1'!$L$16"}</definedName>
    <definedName name="_________________________________________________________________tu4" hidden="1">{"'Sheet1'!$L$16"}</definedName>
    <definedName name="________________________________________________________________a1" hidden="1">{"'Sheet1'!$L$16"}</definedName>
    <definedName name="_______________________________________________________________a1" hidden="1">{"'Sheet1'!$L$16"}</definedName>
    <definedName name="_______________________________________________________________tu4" hidden="1">{"'Sheet1'!$L$16"}</definedName>
    <definedName name="______________________________________________________________a1" hidden="1">{"'Sheet1'!$L$16"}</definedName>
    <definedName name="_____________________________________________________________a1" hidden="1">{"'Sheet1'!$L$16"}</definedName>
    <definedName name="_____________________________________________________________tu4" hidden="1">{"'Sheet1'!$L$16"}</definedName>
    <definedName name="____________________________________________________________a1" hidden="1">{"'Sheet1'!$L$16"}</definedName>
    <definedName name="___________________________________________________________a1" hidden="1">{"'Sheet1'!$L$16"}</definedName>
    <definedName name="___________________________________________________________tu4" hidden="1">{"'Sheet1'!$L$16"}</definedName>
    <definedName name="__________________________________________________________a1" hidden="1">{"'Sheet1'!$L$16"}</definedName>
    <definedName name="_________________________________________________________a1" hidden="1">{"'Sheet1'!$L$16"}</definedName>
    <definedName name="_________________________________________________________tu4" hidden="1">{"'Sheet1'!$L$16"}</definedName>
    <definedName name="________________________________________________________a1" hidden="1">{"'Sheet1'!$L$16"}</definedName>
    <definedName name="_______________________________________________________a1" hidden="1">{"'Sheet1'!$L$16"}</definedName>
    <definedName name="_______________________________________________________tu4" hidden="1">{"'Sheet1'!$L$16"}</definedName>
    <definedName name="______________________________________________________a1" hidden="1">{"'Sheet1'!$L$16"}</definedName>
    <definedName name="_____________________________________________________a1" hidden="1">{"'Sheet1'!$L$16"}</definedName>
    <definedName name="_____________________________________________________tu4" hidden="1">{"'Sheet1'!$L$16"}</definedName>
    <definedName name="____________________________________________________a1" hidden="1">{"'Sheet1'!$L$16"}</definedName>
    <definedName name="___________________________________________________a1" hidden="1">{"'Sheet1'!$L$16"}</definedName>
    <definedName name="___________________________________________________tu4" hidden="1">{"'Sheet1'!$L$16"}</definedName>
    <definedName name="__________________________________________________a1" hidden="1">{"'Sheet1'!$L$16"}</definedName>
    <definedName name="_________________________________________________a1" hidden="1">{"'Sheet1'!$L$16"}</definedName>
    <definedName name="_________________________________________________tu4" hidden="1">{"'Sheet1'!$L$16"}</definedName>
    <definedName name="________________________________________________a1" hidden="1">{"'Sheet1'!$L$16"}</definedName>
    <definedName name="_______________________________________________a1" hidden="1">{"'Sheet1'!$L$16"}</definedName>
    <definedName name="_______________________________________________tu4" hidden="1">{"'Sheet1'!$L$16"}</definedName>
    <definedName name="______________________________________________a1" hidden="1">{"'Sheet1'!$L$16"}</definedName>
    <definedName name="_____________________________________________a1" hidden="1">{"'Sheet1'!$L$16"}</definedName>
    <definedName name="_____________________________________________PA3" hidden="1">{"'Sheet1'!$L$16"}</definedName>
    <definedName name="_____________________________________________tu4" hidden="1">{"'Sheet1'!$L$16"}</definedName>
    <definedName name="____________________________________________a1" hidden="1">{"'Sheet1'!$L$16"}</definedName>
    <definedName name="____________________________________________PA3" hidden="1">{"'Sheet1'!$L$16"}</definedName>
    <definedName name="___________________________________________a1" hidden="1">{"'Sheet1'!$L$16"}</definedName>
    <definedName name="___________________________________________tu4" hidden="1">{"'Sheet1'!$L$16"}</definedName>
    <definedName name="__________________________________________a1" hidden="1">{"'Sheet1'!$L$16"}</definedName>
    <definedName name="__________________________________________PA3" hidden="1">{"'Sheet1'!$L$16"}</definedName>
    <definedName name="_________________________________________a1" hidden="1">{"'Sheet1'!$L$16"}</definedName>
    <definedName name="_________________________________________PA3" hidden="1">{"'Sheet1'!$L$16"}</definedName>
    <definedName name="_________________________________________tu4" hidden="1">{"'Sheet1'!$L$16"}</definedName>
    <definedName name="________________________________________a1" hidden="1">{"'Sheet1'!$L$16"}</definedName>
    <definedName name="________________________________________PA3" hidden="1">{"'Sheet1'!$L$16"}</definedName>
    <definedName name="________________________________________PPP3">#REF!</definedName>
    <definedName name="________________________________________PPP33">#REF!</definedName>
    <definedName name="________________________________________ppp34">#REF!</definedName>
    <definedName name="________________________________________ppp3444">#REF!</definedName>
    <definedName name="_______________________________________a1" hidden="1">{"'Sheet1'!$L$16"}</definedName>
    <definedName name="_______________________________________PA3" hidden="1">{"'Sheet1'!$L$16"}</definedName>
    <definedName name="_______________________________________tu4" hidden="1">{"'Sheet1'!$L$16"}</definedName>
    <definedName name="______________________________________a1" hidden="1">{"'Sheet1'!$L$16"}</definedName>
    <definedName name="______________________________________P3">#REF!</definedName>
    <definedName name="______________________________________PA3" hidden="1">{"'Sheet1'!$L$16"}</definedName>
    <definedName name="_____________________________________a1" hidden="1">{"'Sheet1'!$L$16"}</definedName>
    <definedName name="_____________________________________PA3" hidden="1">{"'Sheet1'!$L$16"}</definedName>
    <definedName name="_____________________________________tu4" hidden="1">{"'Sheet1'!$L$16"}</definedName>
    <definedName name="____________________________________a1" hidden="1">{"'Sheet1'!$L$16"}</definedName>
    <definedName name="____________________________________PA3" hidden="1">{"'Sheet1'!$L$16"}</definedName>
    <definedName name="___________________________________a1" hidden="1">{"'Sheet1'!$L$16"}</definedName>
    <definedName name="___________________________________tu4" hidden="1">{"'Sheet1'!$L$16"}</definedName>
    <definedName name="__________________________________a1" hidden="1">{"'Sheet1'!$L$16"}</definedName>
    <definedName name="__________________________________NSO2" hidden="1">{"'Sheet1'!$L$16"}</definedName>
    <definedName name="__________________________________PA3" hidden="1">{"'Sheet1'!$L$16"}</definedName>
    <definedName name="__________________________________tu4" hidden="1">{"'Sheet1'!$L$16"}</definedName>
    <definedName name="__________________________________VT3" hidden="1">{"'Sheet1'!$L$16"}</definedName>
    <definedName name="_________________________________a1" hidden="1">{"'Sheet1'!$L$16"}</definedName>
    <definedName name="_________________________________Goi8" hidden="1">{"'Sheet1'!$L$16"}</definedName>
    <definedName name="_________________________________NSO2" hidden="1">{"'Sheet1'!$L$16"}</definedName>
    <definedName name="_________________________________PA3" hidden="1">{"'Sheet1'!$L$16"}</definedName>
    <definedName name="_________________________________tu4" hidden="1">{"'Sheet1'!$L$16"}</definedName>
    <definedName name="________________________________a1" hidden="1">{"'Sheet1'!$L$16"}</definedName>
    <definedName name="________________________________Goi8" hidden="1">{"'Sheet1'!$L$16"}</definedName>
    <definedName name="________________________________NSO2" hidden="1">{"'Sheet1'!$L$16"}</definedName>
    <definedName name="________________________________VT3" hidden="1">{"'Sheet1'!$L$16"}</definedName>
    <definedName name="_______________________________a1" hidden="1">{"'Sheet1'!$L$16"}</definedName>
    <definedName name="_______________________________Goi8" hidden="1">{"'Sheet1'!$L$16"}</definedName>
    <definedName name="_______________________________NS03" hidden="1">{"'Sheet1'!$L$16"}</definedName>
    <definedName name="_______________________________NSO2" hidden="1">{"'Sheet1'!$L$16"}</definedName>
    <definedName name="_______________________________PA3" hidden="1">{"'Sheet1'!$L$16"}</definedName>
    <definedName name="_______________________________tu4" hidden="1">{"'Sheet1'!$L$16"}</definedName>
    <definedName name="_______________________________VT3" hidden="1">{"'Sheet1'!$L$16"}</definedName>
    <definedName name="______________________________a1" hidden="1">{"'Sheet1'!$L$16"}</definedName>
    <definedName name="______________________________Goi8" hidden="1">{"'Sheet1'!$L$16"}</definedName>
    <definedName name="______________________________NSO2" hidden="1">{"'Sheet1'!$L$16"}</definedName>
    <definedName name="______________________________PA3" hidden="1">{"'Sheet1'!$L$16"}</definedName>
    <definedName name="______________________________SCL4" hidden="1">{"'Sheet1'!$L$16"}</definedName>
    <definedName name="______________________________VT3" hidden="1">{"'Sheet1'!$L$16"}</definedName>
    <definedName name="_____________________________a1" hidden="1">{"'Sheet1'!$L$16"}</definedName>
    <definedName name="_____________________________CN1" hidden="1">{"'Sheet1'!$L$16"}</definedName>
    <definedName name="_____________________________Goi8" hidden="1">{"'Sheet1'!$L$16"}</definedName>
    <definedName name="_____________________________NS03" hidden="1">{"'Sheet1'!$L$16"}</definedName>
    <definedName name="_____________________________NSO2" hidden="1">{"'Sheet1'!$L$16"}</definedName>
    <definedName name="_____________________________PA3" hidden="1">{"'Sheet1'!$L$16"}</definedName>
    <definedName name="_____________________________SCL4" hidden="1">{"'Sheet1'!$L$16"}</definedName>
    <definedName name="_____________________________tu4" hidden="1">{"'Sheet1'!$L$16"}</definedName>
    <definedName name="_____________________________VT3" hidden="1">{"'Sheet1'!$L$16"}</definedName>
    <definedName name="____________________________a1">{"'Sheet1'!$L$16"}</definedName>
    <definedName name="____________________________BG12" hidden="1">{"'Sheet1'!$L$16"}</definedName>
    <definedName name="____________________________CN1" hidden="1">{"'Sheet1'!$L$16"}</definedName>
    <definedName name="____________________________Goi8" hidden="1">{"'Sheet1'!$L$16"}</definedName>
    <definedName name="____________________________NSO2" hidden="1">{"'Sheet1'!$L$16"}</definedName>
    <definedName name="____________________________PA3" hidden="1">{"'Sheet1'!$L$16"}</definedName>
    <definedName name="____________________________PPP3">#REF!</definedName>
    <definedName name="____________________________PPP33">#REF!</definedName>
    <definedName name="____________________________ppp34">#REF!</definedName>
    <definedName name="____________________________ppp3444">#REF!</definedName>
    <definedName name="____________________________SCL4" hidden="1">{"'Sheet1'!$L$16"}</definedName>
    <definedName name="____________________________VT3" hidden="1">{"'Sheet1'!$L$16"}</definedName>
    <definedName name="___________________________a1" hidden="1">{"'Sheet1'!$L$16"}</definedName>
    <definedName name="___________________________BG12" hidden="1">{"'Sheet1'!$L$16"}</definedName>
    <definedName name="___________________________CN1" hidden="1">{"'Sheet1'!$L$16"}</definedName>
    <definedName name="___________________________Goi8" hidden="1">{"'Sheet1'!$L$16"}</definedName>
    <definedName name="___________________________NS03" hidden="1">{"'Sheet1'!$L$16"}</definedName>
    <definedName name="___________________________NSO2" hidden="1">{"'Sheet1'!$L$16"}</definedName>
    <definedName name="___________________________PA3" hidden="1">{"'Sheet1'!$L$16"}</definedName>
    <definedName name="___________________________SCL4" hidden="1">{"'Sheet1'!$L$16"}</definedName>
    <definedName name="___________________________tu4" hidden="1">{"'Sheet1'!$L$16"}</definedName>
    <definedName name="___________________________VT3" hidden="1">{"'Sheet1'!$L$16"}</definedName>
    <definedName name="__________________________a1">{"'Sheet1'!$L$16"}</definedName>
    <definedName name="__________________________BG12" hidden="1">{"'Sheet1'!$L$16"}</definedName>
    <definedName name="__________________________CN1" hidden="1">{"'Sheet1'!$L$16"}</definedName>
    <definedName name="__________________________Goi8" hidden="1">{"'Sheet1'!$L$16"}</definedName>
    <definedName name="__________________________NS03" hidden="1">{"'Sheet1'!$L$16"}</definedName>
    <definedName name="__________________________NSO2" hidden="1">{"'Sheet1'!$L$16"}</definedName>
    <definedName name="__________________________P3">#REF!</definedName>
    <definedName name="__________________________PA3" hidden="1">{"'Sheet1'!$L$16"}</definedName>
    <definedName name="__________________________PPP3">#REF!</definedName>
    <definedName name="__________________________PPP33">#REF!</definedName>
    <definedName name="__________________________ppp34">#REF!</definedName>
    <definedName name="__________________________ppp3444">#REF!</definedName>
    <definedName name="__________________________SCL4" hidden="1">{"'Sheet1'!$L$16"}</definedName>
    <definedName name="__________________________tt3" hidden="1">{"'Sheet1'!$L$16"}</definedName>
    <definedName name="__________________________VT3" hidden="1">{"'Sheet1'!$L$16"}</definedName>
    <definedName name="_________________________a1">{"'Sheet1'!$L$16"}</definedName>
    <definedName name="_________________________BG12" hidden="1">{"'Sheet1'!$L$16"}</definedName>
    <definedName name="_________________________CN1" hidden="1">{"'Sheet1'!$L$16"}</definedName>
    <definedName name="_________________________Goi8" hidden="1">{"'Sheet1'!$L$16"}</definedName>
    <definedName name="_________________________NSO2" hidden="1">{"'Sheet1'!$L$16"}</definedName>
    <definedName name="_________________________PA3" hidden="1">{"'Sheet1'!$L$16"}</definedName>
    <definedName name="_________________________PPP3">#REF!</definedName>
    <definedName name="_________________________PPP33">#REF!</definedName>
    <definedName name="_________________________ppp34">#REF!</definedName>
    <definedName name="_________________________ppp3444">#REF!</definedName>
    <definedName name="_________________________SCL4" hidden="1">{"'Sheet1'!$L$16"}</definedName>
    <definedName name="_________________________tu4" hidden="1">{"'Sheet1'!$L$16"}</definedName>
    <definedName name="_________________________VT3" hidden="1">{"'Sheet1'!$L$16"}</definedName>
    <definedName name="________________________a1">{"'Sheet1'!$L$16"}</definedName>
    <definedName name="________________________BG12" hidden="1">{"'Sheet1'!$L$16"}</definedName>
    <definedName name="________________________CN1" hidden="1">{"'Sheet1'!$L$16"}</definedName>
    <definedName name="________________________Goi8">{"'Sheet1'!$L$16"}</definedName>
    <definedName name="________________________NS03" hidden="1">{"'Sheet1'!$L$16"}</definedName>
    <definedName name="________________________NSO2" hidden="1">{"'Sheet1'!$L$16"}</definedName>
    <definedName name="________________________P3">#REF!</definedName>
    <definedName name="________________________PA3" hidden="1">{"'Sheet1'!$L$16"}</definedName>
    <definedName name="________________________SCL4">{"'Sheet1'!$L$16"}</definedName>
    <definedName name="________________________tt3" hidden="1">{"'Sheet1'!$L$16"}</definedName>
    <definedName name="________________________tu" hidden="1">{"'Sheet1'!$L$16"}</definedName>
    <definedName name="________________________VT3" hidden="1">{"'Sheet1'!$L$16"}</definedName>
    <definedName name="_______________________a1">{"'Sheet1'!$L$16"}</definedName>
    <definedName name="_______________________BG12" hidden="1">{"'Sheet1'!$L$16"}</definedName>
    <definedName name="_______________________CN1" hidden="1">{"'Sheet1'!$L$16"}</definedName>
    <definedName name="_______________________Goi8">{"'Sheet1'!$L$16"}</definedName>
    <definedName name="_______________________NS03" hidden="1">{"'Sheet1'!$L$16"}</definedName>
    <definedName name="_______________________NSO2" hidden="1">{"'Sheet1'!$L$16"}</definedName>
    <definedName name="_______________________P3">#REF!</definedName>
    <definedName name="_______________________PA3" hidden="1">{"'Sheet1'!$L$16"}</definedName>
    <definedName name="_______________________SCL4">{"'Sheet1'!$L$16"}</definedName>
    <definedName name="_______________________tt3" hidden="1">{"'Sheet1'!$L$16"}</definedName>
    <definedName name="_______________________tu4" hidden="1">{"'Sheet1'!$L$16"}</definedName>
    <definedName name="_______________________VT3" hidden="1">{"'Sheet1'!$L$16"}</definedName>
    <definedName name="______________________a1">{"'Sheet1'!$L$16"}</definedName>
    <definedName name="______________________BG12" hidden="1">{"'Sheet1'!$L$16"}</definedName>
    <definedName name="______________________CN1" hidden="1">{"'Sheet1'!$L$16"}</definedName>
    <definedName name="______________________Goi8">{"'Sheet1'!$L$16"}</definedName>
    <definedName name="______________________NS03" hidden="1">{"'Sheet1'!$L$16"}</definedName>
    <definedName name="______________________NSO2" hidden="1">{"'Sheet1'!$L$16"}</definedName>
    <definedName name="______________________PA3" hidden="1">{"'Sheet1'!$L$16"}</definedName>
    <definedName name="______________________SCL4">{"'Sheet1'!$L$16"}</definedName>
    <definedName name="______________________tt3" hidden="1">{"'Sheet1'!$L$16"}</definedName>
    <definedName name="______________________VT3" hidden="1">{"'Sheet1'!$L$16"}</definedName>
    <definedName name="_____________________a1">{"'Sheet1'!$L$16"}</definedName>
    <definedName name="_____________________BG12" hidden="1">{"'Sheet1'!$L$16"}</definedName>
    <definedName name="_____________________CN1">{"'Sheet1'!$L$16"}</definedName>
    <definedName name="_____________________Goi8">{"'Sheet1'!$L$16"}</definedName>
    <definedName name="_____________________NS03" hidden="1">{"'Sheet1'!$L$16"}</definedName>
    <definedName name="_____________________NSO2" hidden="1">{"'Sheet1'!$L$16"}</definedName>
    <definedName name="_____________________PA3" hidden="1">{"'Sheet1'!$L$16"}</definedName>
    <definedName name="_____________________SCL4">{"'Sheet1'!$L$16"}</definedName>
    <definedName name="_____________________tt3" hidden="1">{"'Sheet1'!$L$16"}</definedName>
    <definedName name="_____________________tu4" hidden="1">{"'Sheet1'!$L$16"}</definedName>
    <definedName name="_____________________VT3" hidden="1">{"'Sheet1'!$L$16"}</definedName>
    <definedName name="____________________a1">{"'Sheet1'!$L$16"}</definedName>
    <definedName name="____________________BG12">{"'Sheet1'!$L$16"}</definedName>
    <definedName name="____________________CN1">{"'Sheet1'!$L$16"}</definedName>
    <definedName name="____________________Goi8">{"'Sheet1'!$L$16"}</definedName>
    <definedName name="____________________m4" hidden="1">{"'Sheet1'!$L$16"}</definedName>
    <definedName name="____________________NS03" hidden="1">{"'Sheet1'!$L$16"}</definedName>
    <definedName name="____________________NSO2" hidden="1">{"'Sheet1'!$L$16"}</definedName>
    <definedName name="____________________PA3" hidden="1">{"'Sheet1'!$L$16"}</definedName>
    <definedName name="____________________SCL4">{"'Sheet1'!$L$16"}</definedName>
    <definedName name="____________________tt3" hidden="1">{"'Sheet1'!$L$16"}</definedName>
    <definedName name="____________________VT3" hidden="1">{"'Sheet1'!$L$16"}</definedName>
    <definedName name="___________________a1">{"'Sheet1'!$L$16"}</definedName>
    <definedName name="___________________a1_1">{"'Sheet1'!$L$16"}</definedName>
    <definedName name="___________________BG12">{"'Sheet1'!$L$16"}</definedName>
    <definedName name="___________________CN1">{"'Sheet1'!$L$16"}</definedName>
    <definedName name="___________________Goi8">{"'Sheet1'!$L$16"}</definedName>
    <definedName name="___________________Goi8_1">{"'Sheet1'!$L$16"}</definedName>
    <definedName name="___________________m4" hidden="1">{"'Sheet1'!$L$16"}</definedName>
    <definedName name="___________________NS03" hidden="1">{"'Sheet1'!$L$16"}</definedName>
    <definedName name="___________________NSO2" hidden="1">{"'Sheet1'!$L$16"}</definedName>
    <definedName name="___________________PA3" hidden="1">{"'Sheet1'!$L$16"}</definedName>
    <definedName name="___________________SCL4">{"'Sheet1'!$L$16"}</definedName>
    <definedName name="___________________SCL4_1">{"'Sheet1'!$L$16"}</definedName>
    <definedName name="___________________tu4" hidden="1">{"'Sheet1'!$L$16"}</definedName>
    <definedName name="___________________VT3" hidden="1">{"'Sheet1'!$L$16"}</definedName>
    <definedName name="__________________a1">{"'Sheet1'!$L$16"}</definedName>
    <definedName name="__________________BG12">{"'Sheet1'!$L$16"}</definedName>
    <definedName name="__________________CN1" hidden="1">{"'Sheet1'!$L$16"}</definedName>
    <definedName name="__________________DT10" hidden="1">{"'Sheet1'!$L$16"}</definedName>
    <definedName name="__________________Goi8">{"'Sheet1'!$L$16"}</definedName>
    <definedName name="__________________h1" hidden="1">{"'Sheet1'!$L$16"}</definedName>
    <definedName name="__________________hu1" hidden="1">{"'Sheet1'!$L$16"}</definedName>
    <definedName name="__________________hu2" hidden="1">{"'Sheet1'!$L$16"}</definedName>
    <definedName name="__________________hu5" hidden="1">{"'Sheet1'!$L$16"}</definedName>
    <definedName name="__________________hu6" hidden="1">{"'Sheet1'!$L$16"}</definedName>
    <definedName name="__________________hu7" hidden="1">{"'Sheet1'!$L$16"}</definedName>
    <definedName name="__________________LAN3" hidden="1">{"'Sheet1'!$L$16"}</definedName>
    <definedName name="__________________m4" hidden="1">{"'Sheet1'!$L$16"}</definedName>
    <definedName name="__________________NS03" hidden="1">{"'Sheet1'!$L$16"}</definedName>
    <definedName name="__________________NSO2" hidden="1">{"'Sheet1'!$L$16"}</definedName>
    <definedName name="__________________PA3" hidden="1">{"'Sheet1'!$L$16"}</definedName>
    <definedName name="__________________SCL4">{"'Sheet1'!$L$16"}</definedName>
    <definedName name="__________________T10" hidden="1">{"'Sheet1'!$L$16"}</definedName>
    <definedName name="__________________TM2" hidden="1">{"'Sheet1'!$L$16"}</definedName>
    <definedName name="__________________tt3" hidden="1">{"'Sheet1'!$L$16"}</definedName>
    <definedName name="__________________tu4" hidden="1">{"'Sheet1'!$L$16"}</definedName>
    <definedName name="__________________VT3" hidden="1">{"'Sheet1'!$L$16"}</definedName>
    <definedName name="_________________a1">{"'Sheet1'!$L$16"}</definedName>
    <definedName name="_________________a1_1">{"'Sheet1'!$L$16"}</definedName>
    <definedName name="_________________BG12" hidden="1">{"'Sheet1'!$L$16"}</definedName>
    <definedName name="_________________CN1">{"'Sheet1'!$L$16"}</definedName>
    <definedName name="_________________DT10" hidden="1">{"'Sheet1'!$L$16"}</definedName>
    <definedName name="_________________Goi8">{"'Sheet1'!$L$16"}</definedName>
    <definedName name="_________________Goi8_1">{"'Sheet1'!$L$16"}</definedName>
    <definedName name="_________________h1" hidden="1">{"'Sheet1'!$L$16"}</definedName>
    <definedName name="_________________hu1" hidden="1">{"'Sheet1'!$L$16"}</definedName>
    <definedName name="_________________hu2" hidden="1">{"'Sheet1'!$L$16"}</definedName>
    <definedName name="_________________hu5" hidden="1">{"'Sheet1'!$L$16"}</definedName>
    <definedName name="_________________hu6" hidden="1">{"'Sheet1'!$L$16"}</definedName>
    <definedName name="_________________hu7" hidden="1">{"'Sheet1'!$L$16"}</definedName>
    <definedName name="_________________Lan1" hidden="1">{"'Sheet1'!$L$16"}</definedName>
    <definedName name="_________________LAN3" hidden="1">{"'Sheet1'!$L$16"}</definedName>
    <definedName name="_________________m4" hidden="1">{"'Sheet1'!$L$16"}</definedName>
    <definedName name="_________________NS03" hidden="1">{"'Sheet1'!$L$16"}</definedName>
    <definedName name="_________________NSO2" hidden="1">{"'Sheet1'!$L$16"}</definedName>
    <definedName name="_________________PA3" hidden="1">{"'Sheet1'!$L$16"}</definedName>
    <definedName name="_________________SCL4">{"'Sheet1'!$L$16"}</definedName>
    <definedName name="_________________SCL4_1">{"'Sheet1'!$L$16"}</definedName>
    <definedName name="_________________T10" hidden="1">{"'Sheet1'!$L$16"}</definedName>
    <definedName name="_________________TH1" hidden="1">{"'Sheet1'!$L$16"}</definedName>
    <definedName name="_________________TM2" hidden="1">{"'Sheet1'!$L$16"}</definedName>
    <definedName name="_________________tt3" hidden="1">{"'Sheet1'!$L$16"}</definedName>
    <definedName name="_________________VT3" hidden="1">{"'Sheet1'!$L$16"}</definedName>
    <definedName name="________________a1">{"'Sheet1'!$L$16"}</definedName>
    <definedName name="________________BG12">{"'Sheet1'!$L$16"}</definedName>
    <definedName name="________________CN1">{"'Sheet1'!$L$16"}</definedName>
    <definedName name="________________DT10" hidden="1">{"'Sheet1'!$L$16"}</definedName>
    <definedName name="________________Goi8">{"'Sheet1'!$L$16"}</definedName>
    <definedName name="________________h1" hidden="1">{"'Sheet1'!$L$16"}</definedName>
    <definedName name="________________hu1" hidden="1">{"'Sheet1'!$L$16"}</definedName>
    <definedName name="________________hu2" hidden="1">{"'Sheet1'!$L$16"}</definedName>
    <definedName name="________________hu5" hidden="1">{"'Sheet1'!$L$16"}</definedName>
    <definedName name="________________hu6" hidden="1">{"'Sheet1'!$L$16"}</definedName>
    <definedName name="________________hu7" hidden="1">{"'Sheet1'!$L$16"}</definedName>
    <definedName name="________________Lan1" hidden="1">{"'Sheet1'!$L$16"}</definedName>
    <definedName name="________________LAN3" hidden="1">{"'Sheet1'!$L$16"}</definedName>
    <definedName name="________________m4" hidden="1">{"'Sheet1'!$L$16"}</definedName>
    <definedName name="________________NS03" hidden="1">{"'Sheet1'!$L$16"}</definedName>
    <definedName name="________________NSO2" hidden="1">{"'Sheet1'!$L$16"}</definedName>
    <definedName name="________________PA3" hidden="1">{"'Sheet1'!$L$16"}</definedName>
    <definedName name="________________SCL4">{"'Sheet1'!$L$16"}</definedName>
    <definedName name="________________T10" hidden="1">{"'Sheet1'!$L$16"}</definedName>
    <definedName name="________________TH1" hidden="1">{"'Sheet1'!$L$16"}</definedName>
    <definedName name="________________THT11" hidden="1">{"'Sheet1'!$L$16"}</definedName>
    <definedName name="________________TM2" hidden="1">{"'Sheet1'!$L$16"}</definedName>
    <definedName name="________________tt3" hidden="1">{"'Sheet1'!$L$16"}</definedName>
    <definedName name="________________tu4" hidden="1">{"'Sheet1'!$L$16"}</definedName>
    <definedName name="________________VT3" hidden="1">{"'Sheet1'!$L$16"}</definedName>
    <definedName name="_______________a1">{"'Sheet1'!$L$16"}</definedName>
    <definedName name="_______________a2" hidden="1">{"'Sheet1'!$L$16"}</definedName>
    <definedName name="_______________BG12">{"'Sheet1'!$L$16"}</definedName>
    <definedName name="_______________CN1">{"'Sheet1'!$L$16"}</definedName>
    <definedName name="_______________DT10" hidden="1">{"'Sheet1'!$L$16"}</definedName>
    <definedName name="_______________Goi8">{"'Sheet1'!$L$16"}</definedName>
    <definedName name="_______________h1" hidden="1">{"'Sheet1'!$L$16"}</definedName>
    <definedName name="_______________hu1" hidden="1">{"'Sheet1'!$L$16"}</definedName>
    <definedName name="_______________hu2" hidden="1">{"'Sheet1'!$L$16"}</definedName>
    <definedName name="_______________hu5" hidden="1">{"'Sheet1'!$L$16"}</definedName>
    <definedName name="_______________hu6" hidden="1">{"'Sheet1'!$L$16"}</definedName>
    <definedName name="_______________hu7" hidden="1">{"'Sheet1'!$L$16"}</definedName>
    <definedName name="_______________Lan1" hidden="1">{"'Sheet1'!$L$16"}</definedName>
    <definedName name="_______________LAN3" hidden="1">{"'Sheet1'!$L$16"}</definedName>
    <definedName name="_______________M36" hidden="1">{"'Sheet1'!$L$16"}</definedName>
    <definedName name="_______________m4" hidden="1">{"'Sheet1'!$L$16"}</definedName>
    <definedName name="_______________NS03" hidden="1">{"'Sheet1'!$L$16"}</definedName>
    <definedName name="_______________NSO2" hidden="1">{"'Sheet1'!$L$16"}</definedName>
    <definedName name="_______________PA3">{"'Sheet1'!$L$16"}</definedName>
    <definedName name="_______________SCL4">{"'Sheet1'!$L$16"}</definedName>
    <definedName name="_______________T10" hidden="1">{"'Sheet1'!$L$16"}</definedName>
    <definedName name="_______________TH1" hidden="1">{"'Sheet1'!$L$16"}</definedName>
    <definedName name="_______________THT11" hidden="1">{"'Sheet1'!$L$16"}</definedName>
    <definedName name="_______________TM2" hidden="1">{"'Sheet1'!$L$16"}</definedName>
    <definedName name="_______________tt3" hidden="1">{"'Sheet1'!$L$16"}</definedName>
    <definedName name="_______________tu4" hidden="1">{"'Sheet1'!$L$16"}</definedName>
    <definedName name="_______________TV2" hidden="1">{"'Sheet1'!$L$16"}</definedName>
    <definedName name="_______________VT3" hidden="1">{"'Sheet1'!$L$16"}</definedName>
    <definedName name="_______________xlfn.BAHTTEXT" hidden="1">#NAME?</definedName>
    <definedName name="______________a1">{"'Sheet1'!$L$16"}</definedName>
    <definedName name="______________a1_1">{"'Sheet1'!$L$16"}</definedName>
    <definedName name="______________a2" hidden="1">{"'Sheet1'!$L$16"}</definedName>
    <definedName name="______________BG12">{"'Sheet1'!$L$16"}</definedName>
    <definedName name="______________CN1">{"'Sheet1'!$L$16"}</definedName>
    <definedName name="______________DT10" hidden="1">{"'Sheet1'!$L$16"}</definedName>
    <definedName name="______________Goi8">{"'Sheet1'!$L$16"}</definedName>
    <definedName name="______________Goi8_1">{"'Sheet1'!$L$16"}</definedName>
    <definedName name="______________h1" hidden="1">{"'Sheet1'!$L$16"}</definedName>
    <definedName name="______________hu1" hidden="1">{"'Sheet1'!$L$16"}</definedName>
    <definedName name="______________hu2" hidden="1">{"'Sheet1'!$L$16"}</definedName>
    <definedName name="______________hu5" hidden="1">{"'Sheet1'!$L$16"}</definedName>
    <definedName name="______________hu6" hidden="1">{"'Sheet1'!$L$16"}</definedName>
    <definedName name="______________hu7" hidden="1">{"'Sheet1'!$L$16"}</definedName>
    <definedName name="______________Lan1" hidden="1">{"'Sheet1'!$L$16"}</definedName>
    <definedName name="______________LAN3" hidden="1">{"'Sheet1'!$L$16"}</definedName>
    <definedName name="______________NS03" hidden="1">{"'Sheet1'!$L$16"}</definedName>
    <definedName name="______________NSO2" hidden="1">{"'Sheet1'!$L$16"}</definedName>
    <definedName name="______________PA3" hidden="1">{"'Sheet1'!$L$16"}</definedName>
    <definedName name="______________SCL4">{"'Sheet1'!$L$16"}</definedName>
    <definedName name="______________SCL4_1">{"'Sheet1'!$L$16"}</definedName>
    <definedName name="______________T10" hidden="1">{"'Sheet1'!$L$16"}</definedName>
    <definedName name="______________TH1" hidden="1">{"'Sheet1'!$L$16"}</definedName>
    <definedName name="______________THT11" hidden="1">{"'Sheet1'!$L$16"}</definedName>
    <definedName name="______________TM2" hidden="1">{"'Sheet1'!$L$16"}</definedName>
    <definedName name="______________tt3" hidden="1">{"'Sheet1'!$L$16"}</definedName>
    <definedName name="______________tu4" hidden="1">{"'Sheet1'!$L$16"}</definedName>
    <definedName name="______________TV2" hidden="1">{"'Sheet1'!$L$16"}</definedName>
    <definedName name="______________VT3" hidden="1">{"'Sheet1'!$L$16"}</definedName>
    <definedName name="______________xlfn.BAHTTEXT" hidden="1">#NAME?</definedName>
    <definedName name="_____________a1">{"'Sheet1'!$L$16"}</definedName>
    <definedName name="_____________a1_1">{"'Sheet1'!$L$16"}</definedName>
    <definedName name="_____________a2" hidden="1">{"'Sheet1'!$L$16"}</definedName>
    <definedName name="_____________BG12">{"'Sheet1'!$L$16"}</definedName>
    <definedName name="_____________CN1">{"'Sheet1'!$L$16"}</definedName>
    <definedName name="_____________DT10" hidden="1">{"'Sheet1'!$L$16"}</definedName>
    <definedName name="_____________Goi8">{"'Sheet1'!$L$16"}</definedName>
    <definedName name="_____________Goi8_1">{"'Sheet1'!$L$16"}</definedName>
    <definedName name="_____________h1" hidden="1">{"'Sheet1'!$L$16"}</definedName>
    <definedName name="_____________hu1" hidden="1">{"'Sheet1'!$L$16"}</definedName>
    <definedName name="_____________hu2" hidden="1">{"'Sheet1'!$L$16"}</definedName>
    <definedName name="_____________hu5" hidden="1">{"'Sheet1'!$L$16"}</definedName>
    <definedName name="_____________hu6" hidden="1">{"'Sheet1'!$L$16"}</definedName>
    <definedName name="_____________hu7" hidden="1">{"'Sheet1'!$L$16"}</definedName>
    <definedName name="_____________Lan1" hidden="1">{"'Sheet1'!$L$16"}</definedName>
    <definedName name="_____________LAN3" hidden="1">{"'Sheet1'!$L$16"}</definedName>
    <definedName name="_____________m4" hidden="1">{"'Sheet1'!$L$16"}</definedName>
    <definedName name="_____________NSO2" hidden="1">{"'Sheet1'!$L$16"}</definedName>
    <definedName name="_____________PA3">{"'Sheet1'!$L$16"}</definedName>
    <definedName name="_____________PPP3">#REF!</definedName>
    <definedName name="_____________PPP33">#REF!</definedName>
    <definedName name="_____________ppp34">#REF!</definedName>
    <definedName name="_____________ppp3444">#REF!</definedName>
    <definedName name="_____________SCL4">{"'Sheet1'!$L$16"}</definedName>
    <definedName name="_____________SCL4_1">{"'Sheet1'!$L$16"}</definedName>
    <definedName name="_____________T10" hidden="1">{"'Sheet1'!$L$16"}</definedName>
    <definedName name="_____________TH1" hidden="1">{"'Sheet1'!$L$16"}</definedName>
    <definedName name="_____________THT11" hidden="1">{"'Sheet1'!$L$16"}</definedName>
    <definedName name="_____________TM2" hidden="1">{"'Sheet1'!$L$16"}</definedName>
    <definedName name="_____________tt3" hidden="1">{"'Sheet1'!$L$16"}</definedName>
    <definedName name="_____________tu4" hidden="1">{"'Sheet1'!$L$16"}</definedName>
    <definedName name="_____________TV2" hidden="1">{"'Sheet1'!$L$16"}</definedName>
    <definedName name="_____________VT3" hidden="1">{"'Sheet1'!$L$16"}</definedName>
    <definedName name="_____________xlfn.BAHTTEXT" hidden="1">#NAME?</definedName>
    <definedName name="____________a1">{"'Sheet1'!$L$16"}</definedName>
    <definedName name="____________a1_1">{"'Sheet1'!$L$16"}</definedName>
    <definedName name="____________a2" hidden="1">{"'Sheet1'!$L$16"}</definedName>
    <definedName name="____________BG12">{"'Sheet1'!$L$16"}</definedName>
    <definedName name="____________CN1">{"'Sheet1'!$L$16"}</definedName>
    <definedName name="____________DT10" hidden="1">{"'Sheet1'!$L$16"}</definedName>
    <definedName name="____________Goi8">{"'Sheet1'!$L$16"}</definedName>
    <definedName name="____________Goi8_1">{"'Sheet1'!$L$16"}</definedName>
    <definedName name="____________h1" hidden="1">{"'Sheet1'!$L$16"}</definedName>
    <definedName name="____________hh1219" hidden="1">{"'Sheet1'!$L$16"}</definedName>
    <definedName name="____________hu1" hidden="1">{"'Sheet1'!$L$16"}</definedName>
    <definedName name="____________hu2" hidden="1">{"'Sheet1'!$L$16"}</definedName>
    <definedName name="____________hu5" hidden="1">{"'Sheet1'!$L$16"}</definedName>
    <definedName name="____________hu6" hidden="1">{"'Sheet1'!$L$16"}</definedName>
    <definedName name="____________Lan1" hidden="1">{"'Sheet1'!$L$16"}</definedName>
    <definedName name="____________LAN3" hidden="1">{"'Sheet1'!$L$16"}</definedName>
    <definedName name="____________lop111">#REF!</definedName>
    <definedName name="____________m4" hidden="1">{"'Sheet1'!$L$16"}</definedName>
    <definedName name="____________NS03" hidden="1">{"'Sheet1'!$L$16"}</definedName>
    <definedName name="____________NSO2" hidden="1">{"'Sheet1'!$L$16"}</definedName>
    <definedName name="____________PA3" hidden="1">{"'Sheet1'!$L$16"}</definedName>
    <definedName name="____________PPP3">#REF!</definedName>
    <definedName name="____________PPP33">#REF!</definedName>
    <definedName name="____________ppp34">#REF!</definedName>
    <definedName name="____________ppp3444">#REF!</definedName>
    <definedName name="____________SCL4">{"'Sheet1'!$L$16"}</definedName>
    <definedName name="____________SCL4_1">{"'Sheet1'!$L$16"}</definedName>
    <definedName name="____________T3" hidden="1">{"'Sheet1'!$L$16"}</definedName>
    <definedName name="____________TH1" hidden="1">{"'Sheet1'!$L$16"}</definedName>
    <definedName name="____________THT11" hidden="1">{"'Sheet1'!$L$16"}</definedName>
    <definedName name="____________TM2" hidden="1">{"'Sheet1'!$L$16"}</definedName>
    <definedName name="____________tt3" hidden="1">{"'Sheet1'!$L$16"}</definedName>
    <definedName name="____________tu4" hidden="1">{"'Sheet1'!$L$16"}</definedName>
    <definedName name="____________TV2" hidden="1">{"'Sheet1'!$L$16"}</definedName>
    <definedName name="____________VT3" hidden="1">{"'Sheet1'!$L$16"}</definedName>
    <definedName name="____________xlfn.BAHTTEXT" hidden="1">#NAME?</definedName>
    <definedName name="___________a1">{"'Sheet1'!$L$16"}</definedName>
    <definedName name="___________a1_1">{"'Sheet1'!$L$16"}</definedName>
    <definedName name="___________a129">#REF!</definedName>
    <definedName name="___________a130">#REF!</definedName>
    <definedName name="___________a2" hidden="1">{"'Sheet1'!$L$16"}</definedName>
    <definedName name="___________BG12">{"'Sheet1'!$L$16"}</definedName>
    <definedName name="___________CN1">{"'Sheet1'!$L$16"}</definedName>
    <definedName name="___________DT10" hidden="1">{"'Sheet1'!$L$16"}</definedName>
    <definedName name="___________Goi8">{"'Sheet1'!$L$16"}</definedName>
    <definedName name="___________Goi8_1">{"'Sheet1'!$L$16"}</definedName>
    <definedName name="___________h1" hidden="1">{"'Sheet1'!$L$16"}</definedName>
    <definedName name="___________hh1219" hidden="1">{"'Sheet1'!$L$16"}</definedName>
    <definedName name="___________hu1" hidden="1">{"'Sheet1'!$L$16"}</definedName>
    <definedName name="___________hu2" hidden="1">{"'Sheet1'!$L$16"}</definedName>
    <definedName name="___________hu5" hidden="1">{"'Sheet1'!$L$16"}</definedName>
    <definedName name="___________hu6" hidden="1">{"'Sheet1'!$L$16"}</definedName>
    <definedName name="___________hu7" hidden="1">{"'Sheet1'!$L$16"}</definedName>
    <definedName name="___________huy1" hidden="1">{"'Sheet1'!$L$16"}</definedName>
    <definedName name="___________Lan1" hidden="1">{"'Sheet1'!$L$16"}</definedName>
    <definedName name="___________LAN3" hidden="1">{"'Sheet1'!$L$16"}</definedName>
    <definedName name="___________lop111">#REF!</definedName>
    <definedName name="___________M36" hidden="1">{"'Sheet1'!$L$16"}</definedName>
    <definedName name="___________m4" hidden="1">{"'Sheet1'!$L$16"}</definedName>
    <definedName name="___________NS03" hidden="1">{"'Sheet1'!$L$16"}</definedName>
    <definedName name="___________NSO2" hidden="1">{"'Sheet1'!$L$16"}</definedName>
    <definedName name="___________P3">#REF!</definedName>
    <definedName name="___________PA3">{"'Sheet1'!$L$16"}</definedName>
    <definedName name="___________PPP3">#REF!</definedName>
    <definedName name="___________PPP33">#REF!</definedName>
    <definedName name="___________ppp34">#REF!</definedName>
    <definedName name="___________ppp3444">#REF!</definedName>
    <definedName name="___________SCL4">{"'Sheet1'!$L$16"}</definedName>
    <definedName name="___________SCL4_1">{"'Sheet1'!$L$16"}</definedName>
    <definedName name="___________T10" hidden="1">{"'Sheet1'!$L$16"}</definedName>
    <definedName name="___________THT11" hidden="1">{"'Sheet1'!$L$16"}</definedName>
    <definedName name="___________TM2" hidden="1">{"'Sheet1'!$L$16"}</definedName>
    <definedName name="___________tt3" hidden="1">{"'Sheet1'!$L$16"}</definedName>
    <definedName name="___________tu4" hidden="1">{"'Sheet1'!$L$16"}</definedName>
    <definedName name="___________TV2" hidden="1">{"'Sheet1'!$L$16"}</definedName>
    <definedName name="___________VT3" hidden="1">{"'Sheet1'!$L$16"}</definedName>
    <definedName name="___________xlfn.BAHTTEXT" hidden="1">#NAME?</definedName>
    <definedName name="__________a1">{"'Sheet1'!$L$16"}</definedName>
    <definedName name="__________a1_1">{"'Sheet1'!$L$16"}</definedName>
    <definedName name="__________a2" hidden="1">{"'Sheet1'!$L$16"}</definedName>
    <definedName name="__________BG12">{"'Sheet1'!$L$16"}</definedName>
    <definedName name="__________CN1">{"'Sheet1'!$L$16"}</definedName>
    <definedName name="__________d1500" hidden="1">{"'Sheet1'!$L$16"}</definedName>
    <definedName name="__________DT10" hidden="1">{"'Sheet1'!$L$16"}</definedName>
    <definedName name="__________Goi8">{"'Sheet1'!$L$16"}</definedName>
    <definedName name="__________Goi8_1">{"'Sheet1'!$L$16"}</definedName>
    <definedName name="__________h1" hidden="1">{"'Sheet1'!$L$16"}</definedName>
    <definedName name="__________hh1219" hidden="1">{"'Sheet1'!$L$16"}</definedName>
    <definedName name="__________hu1" hidden="1">{"'Sheet1'!$L$16"}</definedName>
    <definedName name="__________hu2" hidden="1">{"'Sheet1'!$L$16"}</definedName>
    <definedName name="__________hu5" hidden="1">{"'Sheet1'!$L$16"}</definedName>
    <definedName name="__________hu6" hidden="1">{"'Sheet1'!$L$16"}</definedName>
    <definedName name="__________hu7" hidden="1">{"'Sheet1'!$L$16"}</definedName>
    <definedName name="__________Lan1" hidden="1">{"'Sheet1'!$L$16"}</definedName>
    <definedName name="__________LAN3" hidden="1">{"'Sheet1'!$L$16"}</definedName>
    <definedName name="__________ld2" hidden="1">{"'Sheet1'!$L$16"}</definedName>
    <definedName name="__________lop111">#REF!</definedName>
    <definedName name="__________M36" hidden="1">{"'Sheet1'!$L$16"}</definedName>
    <definedName name="__________m4" hidden="1">{"'Sheet1'!$L$16"}</definedName>
    <definedName name="__________mau2">{"Book1","monthly update report.xls"}</definedName>
    <definedName name="__________NS03" hidden="1">{"'Sheet1'!$L$16"}</definedName>
    <definedName name="__________NSO2" hidden="1">{"'Sheet1'!$L$16"}</definedName>
    <definedName name="__________P3">#REF!</definedName>
    <definedName name="__________PA3">{"'Sheet1'!$L$16"}</definedName>
    <definedName name="__________PPP3">#REF!</definedName>
    <definedName name="__________PPP33">#REF!</definedName>
    <definedName name="__________ppp34">#REF!</definedName>
    <definedName name="__________ppp3444">#REF!</definedName>
    <definedName name="__________SCL4">{"'Sheet1'!$L$16"}</definedName>
    <definedName name="__________SCL4_1">{"'Sheet1'!$L$16"}</definedName>
    <definedName name="__________T10" hidden="1">{"'Sheet1'!$L$16"}</definedName>
    <definedName name="__________TH1" hidden="1">{"'Sheet1'!$L$16"}</definedName>
    <definedName name="__________TM2" hidden="1">{"'Sheet1'!$L$16"}</definedName>
    <definedName name="__________tt3">{"'Sheet1'!$L$16"}</definedName>
    <definedName name="__________tu4" hidden="1">{"'Sheet1'!$L$16"}</definedName>
    <definedName name="__________VT3" hidden="1">{"'Sheet1'!$L$16"}</definedName>
    <definedName name="__________xlfn.BAHTTEXT" hidden="1">#NAME?</definedName>
    <definedName name="_________a1">{"'Sheet1'!$L$16"}</definedName>
    <definedName name="_________a1_1">{"'Sheet1'!$L$16"}</definedName>
    <definedName name="_________a129">#REF!</definedName>
    <definedName name="_________a130">#REF!</definedName>
    <definedName name="_________a2" hidden="1">{"'Sheet1'!$L$16"}</definedName>
    <definedName name="_________BG12">{"'Sheet1'!$L$16"}</definedName>
    <definedName name="_________bht6">{"'Sheet1'!$L$16"}</definedName>
    <definedName name="_________CN1">{"'Sheet1'!$L$16"}</definedName>
    <definedName name="_________d1500" hidden="1">{"'Sheet1'!$L$16"}</definedName>
    <definedName name="_________DT10" hidden="1">{"'Sheet1'!$L$16"}</definedName>
    <definedName name="_________Goi8">{"'Sheet1'!$L$16"}</definedName>
    <definedName name="_________Goi8_1">{"'Sheet1'!$L$16"}</definedName>
    <definedName name="_________h1" hidden="1">{"'Sheet1'!$L$16"}</definedName>
    <definedName name="_________hh1219" hidden="1">{"'Sheet1'!$L$16"}</definedName>
    <definedName name="_________hu1" hidden="1">{"'Sheet1'!$L$16"}</definedName>
    <definedName name="_________hu2" hidden="1">{"'Sheet1'!$L$16"}</definedName>
    <definedName name="_________hu5" hidden="1">{"'Sheet1'!$L$16"}</definedName>
    <definedName name="_________hu6" hidden="1">{"'Sheet1'!$L$16"}</definedName>
    <definedName name="_________hu7" hidden="1">{"'Sheet1'!$L$16"}</definedName>
    <definedName name="_________huy1" hidden="1">{"'Sheet1'!$L$16"}</definedName>
    <definedName name="_________Lan1">{"'Sheet1'!$L$16"}</definedName>
    <definedName name="_________LAN3">{"'Sheet1'!$L$16"}</definedName>
    <definedName name="_________ld2" hidden="1">{"'Sheet1'!$L$16"}</definedName>
    <definedName name="_________lop111">#REF!</definedName>
    <definedName name="_________M36" hidden="1">{"'Sheet1'!$L$16"}</definedName>
    <definedName name="_________m4" hidden="1">{"'Sheet1'!$L$16"}</definedName>
    <definedName name="_________MCC3">#REF!</definedName>
    <definedName name="_________NS03" hidden="1">{"'Sheet1'!$L$16"}</definedName>
    <definedName name="_________NSO2">{"'Sheet1'!$L$16"}</definedName>
    <definedName name="_________P3">#REF!</definedName>
    <definedName name="_________PA3">{"'Sheet1'!$L$16"}</definedName>
    <definedName name="_________PPP3">#REF!</definedName>
    <definedName name="_________PPP33">#REF!</definedName>
    <definedName name="_________ppp34">#REF!</definedName>
    <definedName name="_________ppp3444">#REF!</definedName>
    <definedName name="_________SCL4">{"'Sheet1'!$L$16"}</definedName>
    <definedName name="_________SCL4_1">{"'Sheet1'!$L$16"}</definedName>
    <definedName name="_________sxt5">{"'Sheet1'!$L$16"}</definedName>
    <definedName name="_________T10" hidden="1">{"'Sheet1'!$L$16"}</definedName>
    <definedName name="_________T3" hidden="1">{"'Sheet1'!$L$16"}</definedName>
    <definedName name="_________TH1" hidden="1">{"'Sheet1'!$L$16"}</definedName>
    <definedName name="_________THT11" hidden="1">{"'Sheet1'!$L$16"}</definedName>
    <definedName name="_________TM2" hidden="1">{"'Sheet1'!$L$16"}</definedName>
    <definedName name="_________tt3">{"'Sheet1'!$L$16"}</definedName>
    <definedName name="_________tu4" hidden="1">{"'Sheet1'!$L$16"}</definedName>
    <definedName name="_________TV2" hidden="1">{"'Sheet1'!$L$16"}</definedName>
    <definedName name="_________vpt5">{"'Sheet1'!$L$16"}</definedName>
    <definedName name="_________vpt6">{"'Sheet1'!$L$16"}</definedName>
    <definedName name="_________VT3" hidden="1">{"'Sheet1'!$L$16"}</definedName>
    <definedName name="_________xlfn.BAHTTEXT" hidden="1">#NAME?</definedName>
    <definedName name="________a1">{"'Sheet1'!$L$16"}</definedName>
    <definedName name="________a1_1">{"'Sheet1'!$L$16"}</definedName>
    <definedName name="________a129">#REF!</definedName>
    <definedName name="________a130">#REF!</definedName>
    <definedName name="________a2" hidden="1">{"'Sheet1'!$L$16"}</definedName>
    <definedName name="________BG12">{"'Sheet1'!$L$16"}</definedName>
    <definedName name="________bht6">{"'Sheet1'!$L$16"}</definedName>
    <definedName name="________CN1">{"'Sheet1'!$L$16"}</definedName>
    <definedName name="________d1500" hidden="1">{"'Sheet1'!$L$16"}</definedName>
    <definedName name="________DT10" hidden="1">{"'Sheet1'!$L$16"}</definedName>
    <definedName name="________Goi8">{"'Sheet1'!$L$16"}</definedName>
    <definedName name="________Goi8_1">{"'Sheet1'!$L$16"}</definedName>
    <definedName name="________h1" hidden="1">{"'Sheet1'!$L$16"}</definedName>
    <definedName name="________hu1" hidden="1">{"'Sheet1'!$L$16"}</definedName>
    <definedName name="________hu2" hidden="1">{"'Sheet1'!$L$16"}</definedName>
    <definedName name="________hu5" hidden="1">{"'Sheet1'!$L$16"}</definedName>
    <definedName name="________hu6" hidden="1">{"'Sheet1'!$L$16"}</definedName>
    <definedName name="________hu7" hidden="1">{"'Sheet1'!$L$16"}</definedName>
    <definedName name="________Lan1">{"'Sheet1'!$L$16"}</definedName>
    <definedName name="________LAN3">{"'Sheet1'!$L$16"}</definedName>
    <definedName name="________ld2">{"'Sheet1'!$L$16"}</definedName>
    <definedName name="________lop111">#REF!</definedName>
    <definedName name="________M2" hidden="1">{"'Sheet1'!$L$16"}</definedName>
    <definedName name="________M36" hidden="1">{"'Sheet1'!$L$16"}</definedName>
    <definedName name="________m4" hidden="1">{"'Sheet1'!$L$16"}</definedName>
    <definedName name="________mau2">{"Book1","monthly update report.xls"}</definedName>
    <definedName name="________MCC3">#REF!</definedName>
    <definedName name="________nam1" hidden="1">{"'Sheet1'!$L$16"}</definedName>
    <definedName name="________NO2">#REF!</definedName>
    <definedName name="________NS03" hidden="1">{"'Sheet1'!$L$16"}</definedName>
    <definedName name="________NSO2">{"'Sheet1'!$L$16"}</definedName>
    <definedName name="________P3">#REF!</definedName>
    <definedName name="________PA3">{"'Sheet1'!$L$16"}</definedName>
    <definedName name="________phu3" hidden="1">{"'Sheet1'!$L$16"}</definedName>
    <definedName name="________PPP3">#REF!</definedName>
    <definedName name="________PPP33">#REF!</definedName>
    <definedName name="________ppp34">#REF!</definedName>
    <definedName name="________ppp3444">#REF!</definedName>
    <definedName name="________SCL4">{"'Sheet1'!$L$16"}</definedName>
    <definedName name="________SCL4_1">{"'Sheet1'!$L$16"}</definedName>
    <definedName name="________SHI1" hidden="1">{"'Sheet1'!$L$16"}</definedName>
    <definedName name="________sxt5">{"'Sheet1'!$L$16"}</definedName>
    <definedName name="________T10" hidden="1">{"'Sheet1'!$L$16"}</definedName>
    <definedName name="________T3" hidden="1">{"'Sheet1'!$L$16"}</definedName>
    <definedName name="________TH1" hidden="1">{"'Sheet1'!$L$16"}</definedName>
    <definedName name="________THT11" hidden="1">{"'Sheet1'!$L$16"}</definedName>
    <definedName name="________TM2" hidden="1">{"'Sheet1'!$L$16"}</definedName>
    <definedName name="________tt3">{"'Sheet1'!$L$16"}</definedName>
    <definedName name="________tu4" hidden="1">{"'Sheet1'!$L$16"}</definedName>
    <definedName name="________TV2" hidden="1">{"'Sheet1'!$L$16"}</definedName>
    <definedName name="________vpt5">{"'Sheet1'!$L$16"}</definedName>
    <definedName name="________vpt6">{"'Sheet1'!$L$16"}</definedName>
    <definedName name="________VT3" hidden="1">{"'Sheet1'!$L$16"}</definedName>
    <definedName name="________xlfn.BAHTTEXT" hidden="1">#NAME?</definedName>
    <definedName name="_______a1">{"'Sheet1'!$L$16"}</definedName>
    <definedName name="_______a1_1">{"'Sheet1'!$L$16"}</definedName>
    <definedName name="_______a129">#REF!</definedName>
    <definedName name="_______a130">#REF!</definedName>
    <definedName name="_______a2" hidden="1">{"'Sheet1'!$L$16"}</definedName>
    <definedName name="_______BG12">{"'Sheet1'!$L$16"}</definedName>
    <definedName name="_______bht6">{"'Sheet1'!$L$16"}</definedName>
    <definedName name="_______CN1">{"'Sheet1'!$L$16"}</definedName>
    <definedName name="_______ct2005" hidden="1">{"'Sheet1'!$L$16"}</definedName>
    <definedName name="_______d1500" hidden="1">{"'Sheet1'!$L$16"}</definedName>
    <definedName name="_______DT10" hidden="1">{"'Sheet1'!$L$16"}</definedName>
    <definedName name="_______Goi8">{"'Sheet1'!$L$16"}</definedName>
    <definedName name="_______Goi8_1">{"'Sheet1'!$L$16"}</definedName>
    <definedName name="_______h1">{"'Sheet1'!$L$16"}</definedName>
    <definedName name="_______hu1" hidden="1">{"'Sheet1'!$L$16"}</definedName>
    <definedName name="_______hu2" hidden="1">{"'Sheet1'!$L$16"}</definedName>
    <definedName name="_______hu5" hidden="1">{"'Sheet1'!$L$16"}</definedName>
    <definedName name="_______hu6" hidden="1">{"'Sheet1'!$L$16"}</definedName>
    <definedName name="_______hu7" hidden="1">{"'Sheet1'!$L$16"}</definedName>
    <definedName name="_______huy1" hidden="1">{"'Sheet1'!$L$16"}</definedName>
    <definedName name="_______key2">#REF!</definedName>
    <definedName name="_______Lan1">{"'Sheet1'!$L$16"}</definedName>
    <definedName name="_______LAN3">{"'Sheet1'!$L$16"}</definedName>
    <definedName name="_______ld2">{"'Sheet1'!$L$16"}</definedName>
    <definedName name="_______lop111">#REF!</definedName>
    <definedName name="_______M36" hidden="1">{"'Sheet1'!$L$16"}</definedName>
    <definedName name="_______m4" hidden="1">{"'Sheet1'!$L$16"}</definedName>
    <definedName name="_______mau2">{"Book1","monthly update report.xls"}</definedName>
    <definedName name="_______MCC3">#REF!</definedName>
    <definedName name="_______nam1" hidden="1">{"'Sheet1'!$L$16"}</definedName>
    <definedName name="_______NO1">#REF!</definedName>
    <definedName name="_______NO2">#REF!</definedName>
    <definedName name="_______NS03" hidden="1">{"'Sheet1'!$L$16"}</definedName>
    <definedName name="_______NSO2">{"'Sheet1'!$L$16"}</definedName>
    <definedName name="_______p06" hidden="1">{"'Sheet1'!$L$16"}</definedName>
    <definedName name="_______P3">#REF!</definedName>
    <definedName name="_______PA3">{"'Sheet1'!$L$16"}</definedName>
    <definedName name="_______phu3" hidden="1">{"'Sheet1'!$L$16"}</definedName>
    <definedName name="_______PPP3">#REF!</definedName>
    <definedName name="_______PPP33">#REF!</definedName>
    <definedName name="_______ppp34">#REF!</definedName>
    <definedName name="_______ppp3444">#REF!</definedName>
    <definedName name="_______SCL4">{"'Sheet1'!$L$16"}</definedName>
    <definedName name="_______SCL4_1">{"'Sheet1'!$L$16"}</definedName>
    <definedName name="_______SHI1" hidden="1">{"'Sheet1'!$L$16"}</definedName>
    <definedName name="_______sxt5">{"'Sheet1'!$L$16"}</definedName>
    <definedName name="_______T10" hidden="1">{"'Sheet1'!$L$16"}</definedName>
    <definedName name="_______t2" hidden="1">{"'Sheet1'!$L$16"}</definedName>
    <definedName name="_______T3" hidden="1">{"'Sheet1'!$L$16"}</definedName>
    <definedName name="_______t5" hidden="1">{"'Sheet1'!$L$16"}</definedName>
    <definedName name="_______td1" hidden="1">{"'Sheet1'!$L$16"}</definedName>
    <definedName name="_______TH1" hidden="1">{"'Sheet1'!$L$16"}</definedName>
    <definedName name="_______THT11" hidden="1">{"'Sheet1'!$L$16"}</definedName>
    <definedName name="_______TM2" hidden="1">{"'Sheet1'!$L$16"}</definedName>
    <definedName name="_______tt3">{"'Sheet1'!$L$16"}</definedName>
    <definedName name="_______tu4" hidden="1">{"'Sheet1'!$L$16"}</definedName>
    <definedName name="_______TV2" hidden="1">{"'Sheet1'!$L$16"}</definedName>
    <definedName name="_______vpt5">{"'Sheet1'!$L$16"}</definedName>
    <definedName name="_______vpt6">{"'Sheet1'!$L$16"}</definedName>
    <definedName name="_______VT3" hidden="1">{"'Sheet1'!$L$16"}</definedName>
    <definedName name="_______xlfn.BAHTTEXT" hidden="1">#NAME?</definedName>
    <definedName name="______4__123Graph_Aｸﾞﾗﾌ_2">#REF!</definedName>
    <definedName name="______a1">{"'Sheet1'!$L$16"}</definedName>
    <definedName name="______a1_1">{"'Sheet1'!$L$16"}</definedName>
    <definedName name="______a129">#REF!</definedName>
    <definedName name="______a130">#REF!</definedName>
    <definedName name="______a2" hidden="1">{"'Sheet1'!$L$16"}</definedName>
    <definedName name="______BG12">{"'Sheet1'!$L$16"}</definedName>
    <definedName name="______bht6">{"'Sheet1'!$L$16"}</definedName>
    <definedName name="______CN1">{"'Sheet1'!$L$16"}</definedName>
    <definedName name="______ct2005" hidden="1">{"'Sheet1'!$L$16"}</definedName>
    <definedName name="______d1500" hidden="1">{"'Sheet1'!$L$16"}</definedName>
    <definedName name="______DT10" hidden="1">{"'Sheet1'!$L$16"}</definedName>
    <definedName name="______FAB4">#REF!</definedName>
    <definedName name="______Goi8">{"'Sheet1'!$L$16"}</definedName>
    <definedName name="______Goi8_1">{"'Sheet1'!$L$16"}</definedName>
    <definedName name="______h1">{"'Sheet1'!$L$16"}</definedName>
    <definedName name="______hh1219" hidden="1">{"'Sheet1'!$L$16"}</definedName>
    <definedName name="______hu1" hidden="1">{"'Sheet1'!$L$16"}</definedName>
    <definedName name="______hu2" hidden="1">{"'Sheet1'!$L$16"}</definedName>
    <definedName name="______hu5" hidden="1">{"'Sheet1'!$L$16"}</definedName>
    <definedName name="______hu6" hidden="1">{"'Sheet1'!$L$16"}</definedName>
    <definedName name="______hu7" hidden="1">{"'Sheet1'!$L$16"}</definedName>
    <definedName name="______Lan1">{"'Sheet1'!$L$16"}</definedName>
    <definedName name="______LAN3">{"'Sheet1'!$L$16"}</definedName>
    <definedName name="______ld2">{"'Sheet1'!$L$16"}</definedName>
    <definedName name="______lop111">#REF!</definedName>
    <definedName name="______M2" hidden="1">{"'Sheet1'!$L$16"}</definedName>
    <definedName name="______M36" hidden="1">{"'Sheet1'!$L$16"}</definedName>
    <definedName name="______m4" hidden="1">{"'Sheet1'!$L$16"}</definedName>
    <definedName name="______mau2">{"Book1","monthly update report.xls"}</definedName>
    <definedName name="______MCC3">#REF!</definedName>
    <definedName name="______nam1" hidden="1">{"'Sheet1'!$L$16"}</definedName>
    <definedName name="______NO1">#REF!</definedName>
    <definedName name="______NO2">#REF!</definedName>
    <definedName name="______NS03" hidden="1">{"'Sheet1'!$L$16"}</definedName>
    <definedName name="______NSO2">{"'Sheet1'!$L$16"}</definedName>
    <definedName name="______p06" hidden="1">{"'Sheet1'!$L$16"}</definedName>
    <definedName name="______P3">#REF!</definedName>
    <definedName name="______PA3">{"'Sheet1'!$L$16"}</definedName>
    <definedName name="______phu3" hidden="1">{"'Sheet1'!$L$16"}</definedName>
    <definedName name="______PPP3">#REF!</definedName>
    <definedName name="______PPP33">#REF!</definedName>
    <definedName name="______ppp34">#REF!</definedName>
    <definedName name="______ppp3444">#REF!</definedName>
    <definedName name="______SCL4">{"'Sheet1'!$L$16"}</definedName>
    <definedName name="______SCL4_1">{"'Sheet1'!$L$16"}</definedName>
    <definedName name="______SHI1" hidden="1">{"'Sheet1'!$L$16"}</definedName>
    <definedName name="______sxt5">{"'Sheet1'!$L$16"}</definedName>
    <definedName name="______T10" hidden="1">{"'Sheet1'!$L$16"}</definedName>
    <definedName name="______t2" hidden="1">{"'Sheet1'!$L$16"}</definedName>
    <definedName name="______t3" hidden="1">{"'Sheet1'!$L$16"}</definedName>
    <definedName name="______t5" hidden="1">{"'Sheet1'!$L$16"}</definedName>
    <definedName name="______TH1" hidden="1">{"'Sheet1'!$L$16"}</definedName>
    <definedName name="______THT11" hidden="1">{"'Sheet1'!$L$16"}</definedName>
    <definedName name="______TM2" hidden="1">{"'Sheet1'!$L$16"}</definedName>
    <definedName name="______tt3">{"'Sheet1'!$L$16"}</definedName>
    <definedName name="______tu4" hidden="1">{"'Sheet1'!$L$16"}</definedName>
    <definedName name="______TV2" hidden="1">{"'Sheet1'!$L$16"}</definedName>
    <definedName name="______vpt5">{"'Sheet1'!$L$16"}</definedName>
    <definedName name="______vpt6">{"'Sheet1'!$L$16"}</definedName>
    <definedName name="______VT3" hidden="1">{"'Sheet1'!$L$16"}</definedName>
    <definedName name="______xlfn.BAHTTEXT" hidden="1">#NAME?</definedName>
    <definedName name="_____11__123Graph_Xｸﾞﾗﾌ_1">#REF!</definedName>
    <definedName name="_____12__123Graph_Xｸﾞﾗﾌ_2">#REF!</definedName>
    <definedName name="_____13__123Graph_Xｸﾞﾗﾌ_3">#REF!</definedName>
    <definedName name="_____14__123Graph_Xｸﾞﾗﾌ_4">#REF!</definedName>
    <definedName name="_____15__123Graph_Xｸﾞﾗﾌ_5">#REF!</definedName>
    <definedName name="_____3__123Graph_Aｸﾞﾗﾌ_1">#REF!</definedName>
    <definedName name="_____4__123Graph_Aｸﾞﾗﾌ_2">#REF!</definedName>
    <definedName name="_____5__123Graph_Aｸﾞﾗﾌ_3">#REF!</definedName>
    <definedName name="_____6__123Graph_Aｸﾞﾗﾌ_4">#REF!</definedName>
    <definedName name="_____7__123Graph_Aｸﾞﾗﾌ_5">#REF!</definedName>
    <definedName name="_____a1">{"'Sheet1'!$L$16"}</definedName>
    <definedName name="_____a1_1">{"'Sheet1'!$L$16"}</definedName>
    <definedName name="_____a129">#REF!</definedName>
    <definedName name="_____a130">#REF!</definedName>
    <definedName name="_____a2">{"'Sheet1'!$L$16"}</definedName>
    <definedName name="_____BG12">{"'Sheet1'!$L$16"}</definedName>
    <definedName name="_____bht6">{"'Sheet1'!$L$16"}</definedName>
    <definedName name="_____boq2" hidden="1">{"'Sheet1'!$L$16"}</definedName>
    <definedName name="_____CN1">{"'Sheet1'!$L$16"}</definedName>
    <definedName name="_____ct2005" hidden="1">{"'Sheet1'!$L$16"}</definedName>
    <definedName name="_____d1500" hidden="1">{"'Sheet1'!$L$16"}</definedName>
    <definedName name="_____DT10" hidden="1">{"'Sheet1'!$L$16"}</definedName>
    <definedName name="_____FD12" hidden="1">{"'Sheet1'!$L$16"}</definedName>
    <definedName name="_____Goi8">{"'Sheet1'!$L$16"}</definedName>
    <definedName name="_____Goi8_1">{"'Sheet1'!$L$16"}</definedName>
    <definedName name="_____h1">{"'Sheet1'!$L$16"}</definedName>
    <definedName name="_____hh1219" hidden="1">{"'Sheet1'!$L$16"}</definedName>
    <definedName name="_____hu1">{"'Sheet1'!$L$16"}</definedName>
    <definedName name="_____hu2">{"'Sheet1'!$L$16"}</definedName>
    <definedName name="_____hu5">{"'Sheet1'!$L$16"}</definedName>
    <definedName name="_____hu6">{"'Sheet1'!$L$16"}</definedName>
    <definedName name="_____hu7" hidden="1">{"'Sheet1'!$L$16"}</definedName>
    <definedName name="_____huy1" hidden="1">{"'Sheet1'!$L$16"}</definedName>
    <definedName name="_____key2">#REF!</definedName>
    <definedName name="_____Lan1">{"'Sheet1'!$L$16"}</definedName>
    <definedName name="_____Lan2">{"'Sheet1'!$L$16"}</definedName>
    <definedName name="_____LAN3">{"'Sheet1'!$L$16"}</definedName>
    <definedName name="_____lao2" hidden="1">{"'Sheet1'!$L$16"}</definedName>
    <definedName name="_____ld2">{"'Sheet1'!$L$16"}</definedName>
    <definedName name="_____lop111">#REF!</definedName>
    <definedName name="_____M2" hidden="1">{"'Sheet1'!$L$16"}</definedName>
    <definedName name="_____M36" hidden="1">{"'Sheet1'!$L$16"}</definedName>
    <definedName name="_____m4" hidden="1">{"'Sheet1'!$L$16"}</definedName>
    <definedName name="_____mau2">{"Book1","monthly update report.xls"}</definedName>
    <definedName name="_____MCC3">#REF!</definedName>
    <definedName name="_____nam1" hidden="1">{"'Sheet1'!$L$16"}</definedName>
    <definedName name="_____NO1">#REF!</definedName>
    <definedName name="_____NO2">#REF!</definedName>
    <definedName name="_____NS03" hidden="1">{"'Sheet1'!$L$16"}</definedName>
    <definedName name="_____NSO2">{"'Sheet1'!$L$16"}</definedName>
    <definedName name="_____p06" hidden="1">{"'Sheet1'!$L$16"}</definedName>
    <definedName name="_____P3">#REF!</definedName>
    <definedName name="_____PA3">{"'Sheet1'!$L$16"}</definedName>
    <definedName name="_____pa4" hidden="1">{"'Sheet1'!$L$16"}</definedName>
    <definedName name="_____phu3" hidden="1">{"'Sheet1'!$L$16"}</definedName>
    <definedName name="_____PPP3">#REF!</definedName>
    <definedName name="_____PPP33">#REF!</definedName>
    <definedName name="_____ppp34">#REF!</definedName>
    <definedName name="_____ppp3444">#REF!</definedName>
    <definedName name="_____SCL4">{"'Sheet1'!$L$16"}</definedName>
    <definedName name="_____SCL4_1">{"'Sheet1'!$L$16"}</definedName>
    <definedName name="_____SHI1" hidden="1">{"'Sheet1'!$L$16"}</definedName>
    <definedName name="_____sxt5">{"'Sheet1'!$L$16"}</definedName>
    <definedName name="_____T10" hidden="1">{"'Sheet1'!$L$16"}</definedName>
    <definedName name="_____t2" hidden="1">{"'Sheet1'!$L$16"}</definedName>
    <definedName name="_____t3" hidden="1">{"'Sheet1'!$L$16"}</definedName>
    <definedName name="_____t4" hidden="1">{"'Sheet1'!$L$16"}</definedName>
    <definedName name="_____t5" hidden="1">{"'Sheet1'!$L$16"}</definedName>
    <definedName name="_____td1" hidden="1">{"'Sheet1'!$L$16"}</definedName>
    <definedName name="_____TH1" hidden="1">{"'Sheet1'!$L$16"}</definedName>
    <definedName name="_____THT11" hidden="1">{"'Sheet1'!$L$16"}</definedName>
    <definedName name="_____TM2" hidden="1">{"'Sheet1'!$L$16"}</definedName>
    <definedName name="_____tt3">{"'Sheet1'!$L$16"}</definedName>
    <definedName name="_____tu4">{"'Sheet1'!$L$16"}</definedName>
    <definedName name="_____TV2" hidden="1">{"'Sheet1'!$L$16"}</definedName>
    <definedName name="_____UI33" hidden="1">{"'Sheet1'!$L$16"}</definedName>
    <definedName name="_____vpt5">{"'Sheet1'!$L$16"}</definedName>
    <definedName name="_____vpt6">{"'Sheet1'!$L$16"}</definedName>
    <definedName name="_____VT3" hidden="1">{"'Sheet1'!$L$16"}</definedName>
    <definedName name="_____xlfn.BAHTTEXT" hidden="1">#NAME?</definedName>
    <definedName name="____11__123Graph_Xｸﾞﾗﾌ_1">#REF!</definedName>
    <definedName name="____12__123Graph_Xｸﾞﾗﾌ_2">#REF!</definedName>
    <definedName name="____13__123Graph_Xｸﾞﾗﾌ_3">#REF!</definedName>
    <definedName name="____14__123Graph_Xｸﾞﾗﾌ_4">#REF!</definedName>
    <definedName name="____15__123Graph_Xｸﾞﾗﾌ_5">#REF!</definedName>
    <definedName name="____3__123Graph_Aｸﾞﾗﾌ_1">#REF!</definedName>
    <definedName name="____4__123Graph_Aｸﾞﾗﾌ_2">#REF!</definedName>
    <definedName name="____5__123Graph_Aｸﾞﾗﾌ_3">#REF!</definedName>
    <definedName name="____6__123Graph_Aｸﾞﾗﾌ_4">#REF!</definedName>
    <definedName name="____7__123Graph_Aｸﾞﾗﾌ_5">#REF!</definedName>
    <definedName name="____a1">{"'Sheet1'!$L$16"}</definedName>
    <definedName name="____a1_1">{"'Sheet1'!$L$16"}</definedName>
    <definedName name="____a129">#REF!</definedName>
    <definedName name="____a130">#REF!</definedName>
    <definedName name="____a2">{"'Sheet1'!$L$16"}</definedName>
    <definedName name="____b2" hidden="1">{"'Sheet1'!$L$16"}</definedName>
    <definedName name="____BG12">{"'Sheet1'!$L$16"}</definedName>
    <definedName name="____bht6">{"'Sheet1'!$L$16"}</definedName>
    <definedName name="____boq2" hidden="1">{"'Sheet1'!$L$16"}</definedName>
    <definedName name="____CN1">{"'Sheet1'!$L$16"}</definedName>
    <definedName name="____ct2005" hidden="1">{"'Sheet1'!$L$16"}</definedName>
    <definedName name="____CT4" hidden="1">{"'Sheet1'!$L$16"}</definedName>
    <definedName name="____d1500" hidden="1">{"'Sheet1'!$L$16"}</definedName>
    <definedName name="____DT10" hidden="1">{"'Sheet1'!$L$16"}</definedName>
    <definedName name="____f5" hidden="1">{"'Sheet1'!$L$16"}</definedName>
    <definedName name="____FAB4">#REF!</definedName>
    <definedName name="____FD12" hidden="1">{"'Sheet1'!$L$16"}</definedName>
    <definedName name="____G4211" hidden="1">{"'Sheet1'!$L$16"}</definedName>
    <definedName name="____Goi8">{"'Sheet1'!$L$16"}</definedName>
    <definedName name="____Goi8_1">{"'Sheet1'!$L$16"}</definedName>
    <definedName name="____h1">{"'Sheet1'!$L$16"}</definedName>
    <definedName name="____h12" hidden="1">{"'Sheet1'!$L$16"}</definedName>
    <definedName name="____hh1219" hidden="1">{"'Sheet1'!$L$16"}</definedName>
    <definedName name="____hsm2">1.1289</definedName>
    <definedName name="____hu1">{"'Sheet1'!$L$16"}</definedName>
    <definedName name="____hu2">{"'Sheet1'!$L$16"}</definedName>
    <definedName name="____hu5">{"'Sheet1'!$L$16"}</definedName>
    <definedName name="____hu6">{"'Sheet1'!$L$16"}</definedName>
    <definedName name="____hu7">{"'Sheet1'!$L$16"}</definedName>
    <definedName name="____huy1" hidden="1">{"'Sheet1'!$L$16"}</definedName>
    <definedName name="____huy2" hidden="1">{"'Sheet1'!$L$16"}</definedName>
    <definedName name="____Lan1">{"'Sheet1'!$L$16"}</definedName>
    <definedName name="____Lan2">{"'Sheet1'!$L$16"}</definedName>
    <definedName name="____LAN3">{"'Sheet1'!$L$16"}</definedName>
    <definedName name="____ld2">{"'Sheet1'!$L$16"}</definedName>
    <definedName name="____lop111">#REF!</definedName>
    <definedName name="____m1233" hidden="1">{"'Sheet1'!$L$16"}</definedName>
    <definedName name="____M2" hidden="1">{"'Sheet1'!$L$16"}</definedName>
    <definedName name="____M36" hidden="1">{"'Sheet1'!$L$16"}</definedName>
    <definedName name="____m4" hidden="1">{"'Sheet1'!$L$16"}</definedName>
    <definedName name="____MCC3">#REF!</definedName>
    <definedName name="____nam1" hidden="1">{"'Sheet1'!$L$16"}</definedName>
    <definedName name="____NO1">#REF!</definedName>
    <definedName name="____NO2">#REF!</definedName>
    <definedName name="____NS03" hidden="1">{"'Sheet1'!$L$16"}</definedName>
    <definedName name="____nso1" hidden="1">{"'Sheet1'!$L$16"}</definedName>
    <definedName name="____NSO2">{"'Sheet1'!$L$16"}</definedName>
    <definedName name="____p06" hidden="1">{"'Sheet1'!$L$16"}</definedName>
    <definedName name="____P3">#REF!</definedName>
    <definedName name="____PA3">{"'Sheet1'!$L$16"}</definedName>
    <definedName name="____pa4" hidden="1">{"'Sheet1'!$L$16"}</definedName>
    <definedName name="____phu3" hidden="1">{"'Sheet1'!$L$16"}</definedName>
    <definedName name="____PPP3">#REF!</definedName>
    <definedName name="____PPP33">#REF!</definedName>
    <definedName name="____ppp34">#REF!</definedName>
    <definedName name="____ppp3444">#REF!</definedName>
    <definedName name="____Rh90" hidden="1">{"'Sheet1'!$L$16"}</definedName>
    <definedName name="____SCL4">{"'Sheet1'!$L$16"}</definedName>
    <definedName name="____SCL4_1">{"'Sheet1'!$L$16"}</definedName>
    <definedName name="____SHI1" hidden="1">{"'Sheet1'!$L$16"}</definedName>
    <definedName name="____sxt5">{"'Sheet1'!$L$16"}</definedName>
    <definedName name="____T10">{"'Sheet1'!$L$16"}</definedName>
    <definedName name="____t2" hidden="1">{"'Sheet1'!$L$16"}</definedName>
    <definedName name="____T3" hidden="1">{"'Sheet1'!$L$16"}</definedName>
    <definedName name="____T4" hidden="1">{"'Sheet1'!$L$16"}</definedName>
    <definedName name="____t5" hidden="1">{"'Sheet1'!$L$16"}</definedName>
    <definedName name="____td1" hidden="1">{"'Sheet1'!$L$16"}</definedName>
    <definedName name="____TH1" hidden="1">{"'Sheet1'!$L$16"}</definedName>
    <definedName name="____THT11" hidden="1">{"'Sheet1'!$L$16"}</definedName>
    <definedName name="____TM2">{"'Sheet1'!$L$16"}</definedName>
    <definedName name="____tt3">{"'Sheet1'!$L$16"}</definedName>
    <definedName name="____ttt1" hidden="1">{"'Sheet1'!$L$16"}</definedName>
    <definedName name="____tu4">{"'Sheet1'!$L$16"}</definedName>
    <definedName name="____TV2" hidden="1">{"'Sheet1'!$L$16"}</definedName>
    <definedName name="____vpt5">{"'Sheet1'!$L$16"}</definedName>
    <definedName name="____vpt6">{"'Sheet1'!$L$16"}</definedName>
    <definedName name="____VT3" hidden="1">{"'Sheet1'!$L$16"}</definedName>
    <definedName name="____xlfn.BAHTTEXT" hidden="1">#NAME?</definedName>
    <definedName name="___1__123Graph_Aｸﾞﾗﾌ_1">#REF!</definedName>
    <definedName name="___10__123Graph_Xｸﾞﾗﾌ_5">#REF!</definedName>
    <definedName name="___11__123Graph_Xｸﾞﾗﾌ_1">#REF!</definedName>
    <definedName name="___12__123Graph_Xｸﾞﾗﾌ_2">#REF!</definedName>
    <definedName name="___13__123Graph_Xｸﾞﾗﾌ_3">#REF!</definedName>
    <definedName name="___14__123Graph_Xｸﾞﾗﾌ_4">#REF!</definedName>
    <definedName name="___15__123Graph_Xｸﾞﾗﾌ_5">#REF!</definedName>
    <definedName name="___2__123Graph_Aｸﾞﾗﾌ_2">#REF!</definedName>
    <definedName name="___3__123Graph_Aｸﾞﾗﾌ_1">#REF!</definedName>
    <definedName name="___3__123Graph_Aｸﾞﾗﾌ_3">#REF!</definedName>
    <definedName name="___4__123Graph_Aｸﾞﾗﾌ_2">#REF!</definedName>
    <definedName name="___4__123Graph_Aｸﾞﾗﾌ_4">#REF!</definedName>
    <definedName name="___5__123Graph_Aｸﾞﾗﾌ_3">#REF!</definedName>
    <definedName name="___5__123Graph_Aｸﾞﾗﾌ_5">#REF!</definedName>
    <definedName name="___6__123Graph_Aｸﾞﾗﾌ_4">#REF!</definedName>
    <definedName name="___6__123Graph_Xｸﾞﾗﾌ_1">#REF!</definedName>
    <definedName name="___7__123Graph_Aｸﾞﾗﾌ_5">#REF!</definedName>
    <definedName name="___7__123Graph_Xｸﾞﾗﾌ_2">#REF!</definedName>
    <definedName name="___8__123Graph_Xｸﾞﾗﾌ_3">#REF!</definedName>
    <definedName name="___9__123Graph_Xｸﾞﾗﾌ_4">#REF!</definedName>
    <definedName name="___a1">{"'Sheet1'!$L$16"}</definedName>
    <definedName name="___a1_1">{"'Sheet1'!$L$16"}</definedName>
    <definedName name="___a129">#REF!</definedName>
    <definedName name="___a130">#REF!</definedName>
    <definedName name="___a2">{"'Sheet1'!$L$16"}</definedName>
    <definedName name="___A4" hidden="1">{"'Sheet1'!$L$16"}</definedName>
    <definedName name="___aa1" hidden="1">{"'Sheet1'!$L$16"}</definedName>
    <definedName name="___b2" hidden="1">{"'Sheet1'!$L$16"}</definedName>
    <definedName name="___bac3">12413</definedName>
    <definedName name="___bac4">13529</definedName>
    <definedName name="___bac5">15483</definedName>
    <definedName name="___BG12">{"'Sheet1'!$L$16"}</definedName>
    <definedName name="___bht6">{"'Sheet1'!$L$16"}</definedName>
    <definedName name="___boq2" hidden="1">{"'Sheet1'!$L$16"}</definedName>
    <definedName name="___Cap120">"3x120+1x70"</definedName>
    <definedName name="___Cap150">"3x150+1x95"</definedName>
    <definedName name="___Cap185">"3x185+1x120"</definedName>
    <definedName name="___Cap95">"3x95+1x50"</definedName>
    <definedName name="___CN1">{"'Sheet1'!$L$16"}</definedName>
    <definedName name="___Coc39" hidden="1">{"'Sheet1'!$L$16"}</definedName>
    <definedName name="___ct2005" hidden="1">{"'Sheet1'!$L$16"}</definedName>
    <definedName name="___CT3" hidden="1">{"'Sheet1'!$L$16"}</definedName>
    <definedName name="___CT4" hidden="1">{"'Sheet1'!$L$16"}</definedName>
    <definedName name="___Cty501">{"'Sheet1'!$L$16"}</definedName>
    <definedName name="___d1500">{"'Sheet1'!$L$16"}</definedName>
    <definedName name="___dt1" hidden="1">{"'Sheet1'!$L$16"}</definedName>
    <definedName name="___DT10" hidden="1">{"'Sheet1'!$L$16"}</definedName>
    <definedName name="___f5" hidden="1">{"'Sheet1'!$L$16"}</definedName>
    <definedName name="___FD12" hidden="1">{"'Sheet1'!$L$16"}</definedName>
    <definedName name="___G4211" hidden="1">{"'Sheet1'!$L$16"}</definedName>
    <definedName name="___Goi8">{"'Sheet1'!$L$16"}</definedName>
    <definedName name="___Goi8_1">{"'Sheet1'!$L$16"}</definedName>
    <definedName name="___Goi9" hidden="1">{"'Sheet1'!$L$16"}</definedName>
    <definedName name="___h1">{"'Sheet1'!$L$16"}</definedName>
    <definedName name="___h12" hidden="1">{"'Sheet1'!$L$16"}</definedName>
    <definedName name="___h14" hidden="1">{"'Sheet1'!$L$16"}</definedName>
    <definedName name="___HEA300">100</definedName>
    <definedName name="___hh1219" hidden="1">{"'Sheet1'!$L$16"}</definedName>
    <definedName name="___hsm2">1.1289</definedName>
    <definedName name="___hu1">{"'Sheet1'!$L$16"}</definedName>
    <definedName name="___hu2">{"'Sheet1'!$L$16"}</definedName>
    <definedName name="___hu3" hidden="1">{"'Sheet1'!$L$16"}</definedName>
    <definedName name="___hu5">{"'Sheet1'!$L$16"}</definedName>
    <definedName name="___hu6">{"'Sheet1'!$L$16"}</definedName>
    <definedName name="___hu7">{"'Sheet1'!$L$16"}</definedName>
    <definedName name="___huy1" hidden="1">{"'Sheet1'!$L$16"}</definedName>
    <definedName name="___huy2" hidden="1">{"'Sheet1'!$L$16"}</definedName>
    <definedName name="___key2">#REF!</definedName>
    <definedName name="___khq3" hidden="1">{"'Sheet1'!$L$16"}</definedName>
    <definedName name="___KM34" hidden="1">{"'Sheet1'!$L$16"}</definedName>
    <definedName name="___km51" hidden="1">{"'Sheet1'!$L$16"}</definedName>
    <definedName name="___KY1">[1]BXLDL!$E$2:$E$54</definedName>
    <definedName name="___Lan1">{"'Sheet1'!$L$16"}</definedName>
    <definedName name="___Lan2">{"'Sheet1'!$L$16"}</definedName>
    <definedName name="___LAN3">{"'Sheet1'!$L$16"}</definedName>
    <definedName name="___lao2" hidden="1">{"'Sheet1'!$L$16"}</definedName>
    <definedName name="___ld2">{"'Sheet1'!$L$16"}</definedName>
    <definedName name="___lk2" hidden="1">{"'Sheet1'!$L$16"}</definedName>
    <definedName name="___lop111">#REF!</definedName>
    <definedName name="___M2">{"'Sheet1'!$L$16"}</definedName>
    <definedName name="___M36" hidden="1">{"'Sheet1'!$L$16"}</definedName>
    <definedName name="___m4" hidden="1">{"'Sheet1'!$L$16"}</definedName>
    <definedName name="___mau2">{"Book1","monthly update report.xls"}</definedName>
    <definedName name="___MCC3">#REF!</definedName>
    <definedName name="___MEP2">#REF!</definedName>
    <definedName name="___nam1" hidden="1">{"'Sheet1'!$L$16"}</definedName>
    <definedName name="___NK5">{"'Sheet1'!$L$16"}</definedName>
    <definedName name="___NO1">#REF!</definedName>
    <definedName name="___NO2">#REF!</definedName>
    <definedName name="___NS03" hidden="1">{"'Sheet1'!$L$16"}</definedName>
    <definedName name="___nso1" hidden="1">{"'Sheet1'!$L$16"}</definedName>
    <definedName name="___NSO2" hidden="1">{"'Sheet1'!$L$16"}</definedName>
    <definedName name="___p06" hidden="1">{"'Sheet1'!$L$16"}</definedName>
    <definedName name="___p1" hidden="1">{"'Sheet1'!$L$16"}</definedName>
    <definedName name="___P2" hidden="1">{"'Sheet1'!$L$16"}</definedName>
    <definedName name="___P3">#REF!</definedName>
    <definedName name="___PA3">{"'Sheet1'!$L$16"}</definedName>
    <definedName name="___pa4" hidden="1">{"'Sheet1'!$L$16"}</definedName>
    <definedName name="___pc30">[2]GiaVL!$F$14</definedName>
    <definedName name="___pc40">[2]GiaVL!$F$13</definedName>
    <definedName name="___phu3" hidden="1">{"'Sheet1'!$L$16"}</definedName>
    <definedName name="___PK2" hidden="1">{"'장비'!$A$3:$M$12"}</definedName>
    <definedName name="___PKG3" hidden="1">{"'장비'!$A$3:$M$12"}</definedName>
    <definedName name="___PPP3">#REF!</definedName>
    <definedName name="___PPP33">#REF!</definedName>
    <definedName name="___ppp34">#REF!</definedName>
    <definedName name="___ppp3444">#REF!</definedName>
    <definedName name="___qqq222" hidden="1">{"'장비'!$A$3:$M$12"}</definedName>
    <definedName name="___quy1" hidden="1">{"'Sheet1'!$L$16"}</definedName>
    <definedName name="___Rh90" hidden="1">{"'Sheet1'!$L$16"}</definedName>
    <definedName name="___SCL4">{"'Sheet1'!$L$16"}</definedName>
    <definedName name="___SCL4_1">{"'Sheet1'!$L$16"}</definedName>
    <definedName name="___SHI1" hidden="1">{"'Sheet1'!$L$16"}</definedName>
    <definedName name="___sxt5">{"'Sheet1'!$L$16"}</definedName>
    <definedName name="___T10">{"'Sheet1'!$L$16"}</definedName>
    <definedName name="___t2" hidden="1">{"'Sheet1'!$L$16"}</definedName>
    <definedName name="___T3">{"'Sheet1'!$L$16"}</definedName>
    <definedName name="___T4" hidden="1">{"'Sheet1'!$L$16"}</definedName>
    <definedName name="___t5" hidden="1">{"'Sheet1'!$L$16"}</definedName>
    <definedName name="___T7" hidden="1">{"'Sheet1'!$L$16"}</definedName>
    <definedName name="___t9" hidden="1">{"'Sheet1'!$L$16"}</definedName>
    <definedName name="___tct3">[3]gVL!$Q$23</definedName>
    <definedName name="___td1" hidden="1">{"'Sheet1'!$L$16"}</definedName>
    <definedName name="___TH1" hidden="1">{"'Sheet1'!$L$16"}</definedName>
    <definedName name="___TH171" hidden="1">{"'Sheet1'!$L$16"}</definedName>
    <definedName name="___th30">1.7875</definedName>
    <definedName name="___th40">1.925</definedName>
    <definedName name="___tha1" hidden="1">{"'Sheet1'!$L$16"}</definedName>
    <definedName name="___THT11" hidden="1">{"'Sheet1'!$L$16"}</definedName>
    <definedName name="___TK211">{"'Sheet1'!$L$16"}</definedName>
    <definedName name="___TM2" hidden="1">{"'Sheet1'!$L$16"}</definedName>
    <definedName name="___tt3">{"'Sheet1'!$L$16"}</definedName>
    <definedName name="___TT31" hidden="1">{"'Sheet1'!$L$16"}</definedName>
    <definedName name="___ttt1" hidden="1">{"'Sheet1'!$L$16"}</definedName>
    <definedName name="___tu4" hidden="1">{"'Sheet1'!$L$16"}</definedName>
    <definedName name="___TV2" hidden="1">{"'Sheet1'!$L$16"}</definedName>
    <definedName name="___VLP2" hidden="1">{"'Sheet1'!$L$16"}</definedName>
    <definedName name="___vpt5">{"'Sheet1'!$L$16"}</definedName>
    <definedName name="___vpt6">{"'Sheet1'!$L$16"}</definedName>
    <definedName name="___VT3" hidden="1">{"'Sheet1'!$L$16"}</definedName>
    <definedName name="___xlfn.BAHTTEXT" hidden="1">#NAME?</definedName>
    <definedName name="__1" hidden="1">{"'Sheet1'!$L$16"}</definedName>
    <definedName name="__1__123Graph_Aｸﾞﾗﾌ_1">#REF!</definedName>
    <definedName name="__10__123Graph_Xｸﾞﾗﾌ_5">#REF!</definedName>
    <definedName name="__11__123Graph_Xｸﾞﾗﾌ_1">#REF!</definedName>
    <definedName name="__12__123Graph_Xｸﾞﾗﾌ_2">#REF!</definedName>
    <definedName name="__123Graph_A">#REF!</definedName>
    <definedName name="__123Graph_A120.CGM">#REF!</definedName>
    <definedName name="__123Graph_A150.CGM">#REF!</definedName>
    <definedName name="__123Graph_A180.CGM">#REF!</definedName>
    <definedName name="__123Graph_A210.CGM">#REF!</definedName>
    <definedName name="__123Graph_A240.CGM">#REF!</definedName>
    <definedName name="__123Graph_A270.CGM">#REF!</definedName>
    <definedName name="__123Graph_A300.CGM">#REF!</definedName>
    <definedName name="__123Graph_A60.CGN">#REF!</definedName>
    <definedName name="__123Graph_A90.CGM">#REF!</definedName>
    <definedName name="__123Graph_ACURRENT">#REF!</definedName>
    <definedName name="__123Graph_B">#REF!</definedName>
    <definedName name="__123Graph_B120.CGM">#REF!</definedName>
    <definedName name="__123Graph_B150.CGM">#REF!</definedName>
    <definedName name="__123Graph_B180.CGM">#REF!</definedName>
    <definedName name="__123Graph_B210.CGM">#REF!</definedName>
    <definedName name="__123Graph_B240.CGM">#REF!</definedName>
    <definedName name="__123Graph_B270.CGM">#REF!</definedName>
    <definedName name="__123Graph_B300.CGM">#REF!</definedName>
    <definedName name="__123Graph_B60.CGN">#REF!</definedName>
    <definedName name="__123Graph_B90.CGM">#REF!</definedName>
    <definedName name="__123Graph_C">#REF!</definedName>
    <definedName name="__123Graph_D">#REF!</definedName>
    <definedName name="__123Graph_E">#REF!</definedName>
    <definedName name="__123Graph_F">#REF!</definedName>
    <definedName name="__123Graph_LBL_A">#REF!</definedName>
    <definedName name="__123Graph_LBL_A120.CGM">#REF!</definedName>
    <definedName name="__123Graph_LBL_A150.CGM">#REF!</definedName>
    <definedName name="__123Graph_LBL_A180.CGM">#REF!</definedName>
    <definedName name="__123Graph_LBL_A210.CGM">#REF!</definedName>
    <definedName name="__123Graph_LBL_A240.CGM">#REF!</definedName>
    <definedName name="__123Graph_LBL_A270.CGM">#REF!</definedName>
    <definedName name="__123Graph_LBL_A300.CGM">#REF!</definedName>
    <definedName name="__123Graph_LBL_A60.CGN">#REF!</definedName>
    <definedName name="__123Graph_LBL_A90.CGM">#REF!</definedName>
    <definedName name="__123Graph_X">#REF!</definedName>
    <definedName name="__123Graph_X120.CGM">#REF!</definedName>
    <definedName name="__123Graph_X150.CGM">#REF!</definedName>
    <definedName name="__123Graph_X180.CGM">#REF!</definedName>
    <definedName name="__123Graph_X210.CGM">#REF!</definedName>
    <definedName name="__123Graph_X240.CGM">#REF!</definedName>
    <definedName name="__123Graph_X270.CGM">#REF!</definedName>
    <definedName name="__123Graph_X300.CGM">#REF!</definedName>
    <definedName name="__123Graph_X60.CGN">#REF!</definedName>
    <definedName name="__123Graph_X90.CGM">#REF!</definedName>
    <definedName name="__123gsdfsdfs" hidden="1">#REF!</definedName>
    <definedName name="__13__123Graph_Xｸﾞﾗﾌ_3">#REF!</definedName>
    <definedName name="__14__123Graph_Xｸﾞﾗﾌ_4">#REF!</definedName>
    <definedName name="__15__123Graph_Xｸﾞﾗﾌ_5">#REF!</definedName>
    <definedName name="__2__123Graph_Aｸﾞﾗﾌ_2">#REF!</definedName>
    <definedName name="__3__123Graph_Aｸﾞﾗﾌ_1">#REF!</definedName>
    <definedName name="__3__123Graph_Aｸﾞﾗﾌ_3">#REF!</definedName>
    <definedName name="__4__123Graph_Aｸﾞﾗﾌ_2">#REF!</definedName>
    <definedName name="__4__123Graph_Aｸﾞﾗﾌ_4">#REF!</definedName>
    <definedName name="__5__123Graph_Aｸﾞﾗﾌ_1">#REF!</definedName>
    <definedName name="__5__123Graph_Aｸﾞﾗﾌ_3">#REF!</definedName>
    <definedName name="__5__123Graph_Aｸﾞﾗﾌ_5">#REF!</definedName>
    <definedName name="__6__123Graph_Aｸﾞﾗﾌ_4">#REF!</definedName>
    <definedName name="__6__123Graph_Xｸﾞﾗﾌ_1">#REF!</definedName>
    <definedName name="__7__123Graph_Aｸﾞﾗﾌ_5">#REF!</definedName>
    <definedName name="__7__123Graph_Xｸﾞﾗﾌ_2">#REF!</definedName>
    <definedName name="__8__123Graph_Xｸﾞﾗﾌ_3">#REF!</definedName>
    <definedName name="__9__123Graph_Xｸﾞﾗﾌ_4">#REF!</definedName>
    <definedName name="__a1" hidden="1">{"'Sheet1'!$L$16"}</definedName>
    <definedName name="__a1_1">{"'Sheet1'!$L$16"}</definedName>
    <definedName name="__a129">#REF!</definedName>
    <definedName name="__a130">#REF!</definedName>
    <definedName name="__a2">{"'Sheet1'!$L$16"}</definedName>
    <definedName name="__A4" hidden="1">{"'Sheet1'!$L$16"}</definedName>
    <definedName name="__a9">{"'Sheet1'!$L$16"}</definedName>
    <definedName name="__aa1" hidden="1">{"'Sheet1'!$L$16"}</definedName>
    <definedName name="__B19" hidden="1">{"'Sheet1'!$L$16"}</definedName>
    <definedName name="__bac3">12413</definedName>
    <definedName name="__bac4">13529</definedName>
    <definedName name="__bac5">15483</definedName>
    <definedName name="__BG12">{"'Sheet1'!$L$16"}</definedName>
    <definedName name="__bht6" hidden="1">{"'Sheet1'!$L$16"}</definedName>
    <definedName name="__boq2" hidden="1">{"'Sheet1'!$L$16"}</definedName>
    <definedName name="__Cap120">"3x120+1x70"</definedName>
    <definedName name="__Cap150">"3x150+1x95"</definedName>
    <definedName name="__Cap185">"3x185+1x120"</definedName>
    <definedName name="__Cap95">"3x95+1x50"</definedName>
    <definedName name="__CN1">{"'Sheet1'!$L$16"}</definedName>
    <definedName name="__CN2">{"'Sheet1'!$L$16"}</definedName>
    <definedName name="__CN3">{"'Sheet1'!$L$16"}</definedName>
    <definedName name="__coc1000">#REF!</definedName>
    <definedName name="__Coc39" hidden="1">{"'Sheet1'!$L$16"}</definedName>
    <definedName name="__Count">9</definedName>
    <definedName name="__CT2" hidden="1">{"'Sheet1'!$L$16"}</definedName>
    <definedName name="__ct2005" hidden="1">{"'Sheet1'!$L$16"}</definedName>
    <definedName name="__CT3" hidden="1">{"'Sheet1'!$L$16"}</definedName>
    <definedName name="__CT4" hidden="1">{"'Sheet1'!$L$16"}</definedName>
    <definedName name="__Cty501">{"'Sheet1'!$L$16"}</definedName>
    <definedName name="__d1500">{"'Sheet1'!$L$16"}</definedName>
    <definedName name="__D41" hidden="1">{"'Sheet1'!$L$16"}</definedName>
    <definedName name="__D42" hidden="1">{"'Sheet1'!$L$16"}</definedName>
    <definedName name="__D6">#REF!</definedName>
    <definedName name="__dsa3">#REF!</definedName>
    <definedName name="__dt1" hidden="1">{"'Sheet1'!$L$16"}</definedName>
    <definedName name="__DT10" hidden="1">{"'Sheet1'!$L$16"}</definedName>
    <definedName name="__E1200" hidden="1">{"'Sheet1'!$L$16"}</definedName>
    <definedName name="__e2" hidden="1">{"'Sheet1'!$L$16"}</definedName>
    <definedName name="__f5" hidden="1">{"'Sheet1'!$L$16"}</definedName>
    <definedName name="__FAB4">#REF!</definedName>
    <definedName name="__FD12" hidden="1">{"'Sheet1'!$L$16"}</definedName>
    <definedName name="__G4211" hidden="1">{"'Sheet1'!$L$16"}</definedName>
    <definedName name="__Goi8">{"'Sheet1'!$L$16"}</definedName>
    <definedName name="__Goi8_1">{"'Sheet1'!$L$16"}</definedName>
    <definedName name="__Goi9" hidden="1">{"'Sheet1'!$L$16"}</definedName>
    <definedName name="__h1" hidden="1">{"'Sheet1'!$L$16"}</definedName>
    <definedName name="__h12" hidden="1">{"'Sheet1'!$L$16"}</definedName>
    <definedName name="__h14" hidden="1">{"'Sheet1'!$L$16"}</definedName>
    <definedName name="__HEA300">100</definedName>
    <definedName name="__hh1219">{"'Sheet1'!$L$16"}</definedName>
    <definedName name="__hh2">{"'Sheet1'!$L$16"}</definedName>
    <definedName name="__hsm2">1.1289</definedName>
    <definedName name="__hu1" hidden="1">{"'Sheet1'!$L$16"}</definedName>
    <definedName name="__hu2" hidden="1">{"'Sheet1'!$L$16"}</definedName>
    <definedName name="__hu3" hidden="1">{"'Sheet1'!$L$16"}</definedName>
    <definedName name="__hu5" hidden="1">{"'Sheet1'!$L$16"}</definedName>
    <definedName name="__hu6" hidden="1">{"'Sheet1'!$L$16"}</definedName>
    <definedName name="__hu7">{"'Sheet1'!$L$16"}</definedName>
    <definedName name="__huy1" hidden="1">{"'Sheet1'!$L$16"}</definedName>
    <definedName name="__huy2" hidden="1">{"'Sheet1'!$L$16"}</definedName>
    <definedName name="__IntlFixup">TRUE</definedName>
    <definedName name="__K146" hidden="1">{"'Sheet1'!$L$16"}</definedName>
    <definedName name="__key2">#REF!</definedName>
    <definedName name="__khq3" hidden="1">{"'Sheet1'!$L$16"}</definedName>
    <definedName name="__kl11" hidden="1">{"'Sheet1'!$L$16"}</definedName>
    <definedName name="__KM34" hidden="1">{"'Sheet1'!$L$16"}</definedName>
    <definedName name="__Km36">#REF!</definedName>
    <definedName name="__km51" hidden="1">{"'Sheet1'!$L$16"}</definedName>
    <definedName name="__Knc36">#REF!</definedName>
    <definedName name="__Knc57">#REF!</definedName>
    <definedName name="__Kvl36">#REF!</definedName>
    <definedName name="__KY1">[1]BXLDL!$E$2:$E$54</definedName>
    <definedName name="__Lan1">{"'Sheet1'!$L$16"}</definedName>
    <definedName name="__Lan2">{"'Sheet1'!$L$16"}</definedName>
    <definedName name="__LAN3">{"'Sheet1'!$L$16"}</definedName>
    <definedName name="__ld2">{"'Sheet1'!$L$16"}</definedName>
    <definedName name="__lk2" hidden="1">{"'Sheet1'!$L$16"}</definedName>
    <definedName name="__lop111">#REF!</definedName>
    <definedName name="__M2">{"'Sheet1'!$L$16"}</definedName>
    <definedName name="__M36" hidden="1">{"'Sheet1'!$L$16"}</definedName>
    <definedName name="__m4">{"'Sheet1'!$L$16"}</definedName>
    <definedName name="__MCC3">#REF!</definedName>
    <definedName name="__MEP2">#REF!</definedName>
    <definedName name="__nam1" hidden="1">{"'Sheet1'!$L$16"}</definedName>
    <definedName name="__NO1">#REF!</definedName>
    <definedName name="__NO2">#REF!</definedName>
    <definedName name="__NS03" hidden="1">{"'Sheet1'!$L$16"}</definedName>
    <definedName name="__nso1" hidden="1">{"'Sheet1'!$L$16"}</definedName>
    <definedName name="__NSO2" hidden="1">{"'Sheet1'!$L$16"}</definedName>
    <definedName name="__p06" hidden="1">{"'Sheet1'!$L$16"}</definedName>
    <definedName name="__p1" hidden="1">{"'Sheet1'!$L$16"}</definedName>
    <definedName name="__P2" hidden="1">{"'Sheet1'!$L$16"}</definedName>
    <definedName name="__P3">#REF!</definedName>
    <definedName name="__PA3" hidden="1">{"'Sheet1'!$L$16"}</definedName>
    <definedName name="__pa4" hidden="1">{"'Sheet1'!$L$16"}</definedName>
    <definedName name="__pc30">[2]GiaVL!$F$14</definedName>
    <definedName name="__pc40">[2]GiaVL!$F$13</definedName>
    <definedName name="__phu3" hidden="1">{"'Sheet1'!$L$16"}</definedName>
    <definedName name="__PK2" hidden="1">{"'장비'!$A$3:$M$12"}</definedName>
    <definedName name="__PKG3" hidden="1">{"'장비'!$A$3:$M$12"}</definedName>
    <definedName name="__PPP3">#REF!</definedName>
    <definedName name="__PPP33">#REF!</definedName>
    <definedName name="__ppp34">#REF!</definedName>
    <definedName name="__ppp3444">#REF!</definedName>
    <definedName name="__qqq222" hidden="1">{"'장비'!$A$3:$M$12"}</definedName>
    <definedName name="__quy1" hidden="1">{"'Sheet1'!$L$16"}</definedName>
    <definedName name="__Rh90" hidden="1">{"'Sheet1'!$L$16"}</definedName>
    <definedName name="__SB22" hidden="1">{"'Sheet1'!$L$16"}</definedName>
    <definedName name="__SCL4">{"'Sheet1'!$L$16"}</definedName>
    <definedName name="__SCL4_1">{"'Sheet1'!$L$16"}</definedName>
    <definedName name="__SHI1" hidden="1">{"'Sheet1'!$L$16"}</definedName>
    <definedName name="__SS2" hidden="1">{"'Sheet1'!$L$16"}</definedName>
    <definedName name="__sxt5" hidden="1">{"'Sheet1'!$L$16"}</definedName>
    <definedName name="__T1">#REF!</definedName>
    <definedName name="__T10">{"'Sheet1'!$L$16"}</definedName>
    <definedName name="__T1112" hidden="1">{"'Sheet1'!$L$16"}</definedName>
    <definedName name="__T12" hidden="1">{"'Sheet1'!$L$16"}</definedName>
    <definedName name="__T3">{"'Sheet1'!$L$16"}</definedName>
    <definedName name="__T4" hidden="1">{"'Sheet1'!$L$16"}</definedName>
    <definedName name="__t5" hidden="1">{"'Sheet1'!$L$16"}</definedName>
    <definedName name="__T7" hidden="1">{"'Sheet1'!$L$16"}</definedName>
    <definedName name="__t9" hidden="1">{"'Sheet1'!$L$16"}</definedName>
    <definedName name="__tct3">[3]gVL!$Q$23</definedName>
    <definedName name="__td1" hidden="1">{"'Sheet1'!$L$16"}</definedName>
    <definedName name="__TH1" hidden="1">{"'Sheet1'!$L$16"}</definedName>
    <definedName name="__TH171" hidden="1">{"'Sheet1'!$L$16"}</definedName>
    <definedName name="__th30">1.7875</definedName>
    <definedName name="__th40">1.925</definedName>
    <definedName name="__tha1" hidden="1">{"'Sheet1'!$L$16"}</definedName>
    <definedName name="__THT11" hidden="1">{"'Sheet1'!$L$16"}</definedName>
    <definedName name="__TK211">{"'Sheet1'!$L$16"}</definedName>
    <definedName name="__TM2">{"'Sheet1'!$L$16"}</definedName>
    <definedName name="__TS2004" hidden="1">{"'Sheet1'!$L$16"}</definedName>
    <definedName name="__tt3">{"'Sheet1'!$L$16"}</definedName>
    <definedName name="__TT31" hidden="1">{"'Sheet1'!$L$16"}</definedName>
    <definedName name="__TT623" hidden="1">{"'Sheet1'!$L$16"}</definedName>
    <definedName name="__ttt1" hidden="1">{"'Sheet1'!$L$16"}</definedName>
    <definedName name="__tu4">{"'Sheet1'!$L$16"}</definedName>
    <definedName name="__TV2" hidden="1">{"'Sheet1'!$L$16"}</definedName>
    <definedName name="__UI33" hidden="1">{"'Sheet1'!$L$16"}</definedName>
    <definedName name="__vl1" hidden="1">{"'Sheet1'!$L$16"}</definedName>
    <definedName name="__VLP2" hidden="1">{"'Sheet1'!$L$16"}</definedName>
    <definedName name="__vpt5" hidden="1">{"'Sheet1'!$L$16"}</definedName>
    <definedName name="__vpt6" hidden="1">{"'Sheet1'!$L$16"}</definedName>
    <definedName name="__VT3" hidden="1">{"'Sheet1'!$L$16"}</definedName>
    <definedName name="__VTQ1" hidden="1">{"'Sheet1'!$L$16"}</definedName>
    <definedName name="__xlfn.BAHTTEXT" hidden="1">#NAME?</definedName>
    <definedName name="_001">#REF!</definedName>
    <definedName name="_1">#REF!</definedName>
    <definedName name="_1____123Graph_Aｸﾞﾗﾌ_1">#REF!</definedName>
    <definedName name="_1__123Graph_A????_1">#REF!</definedName>
    <definedName name="_1__123Graph_Aｸﾞﾗﾌ_1">#REF!</definedName>
    <definedName name="_1_0_F">#REF!</definedName>
    <definedName name="_10_??????1">BlankMacro1</definedName>
    <definedName name="_10_??????4">BlankMacro1</definedName>
    <definedName name="_10____123Graph_Xｸﾞﾗﾌ_5">#REF!</definedName>
    <definedName name="_10__123Graph_Aｸﾞﾗﾌ_1" hidden="1">#REF!</definedName>
    <definedName name="_10__123Graph_Aｸﾞﾗﾌ_2">#REF!</definedName>
    <definedName name="_10__123Graph_Aｸﾞﾗﾌ_5">#REF!</definedName>
    <definedName name="_10__123Graph_Xｸﾞﾗﾌ_1">#REF!</definedName>
    <definedName name="_10__123Graph_Xｸﾞﾗﾌ_5">#REF!</definedName>
    <definedName name="_100__123Graph_Xｸﾞﾗﾌ_3">#REF!</definedName>
    <definedName name="_103__123Graph_X????_4">#REF!</definedName>
    <definedName name="_103__123Graph_Xｸﾞﾗﾌ_5">#REF!</definedName>
    <definedName name="_106__123Graph_Xｸﾞﾗﾌ_4">#REF!</definedName>
    <definedName name="_108__123Graph_X????_5">#REF!</definedName>
    <definedName name="_11__123Graph_Aｸﾞﾗﾌ_2" hidden="1">#REF!</definedName>
    <definedName name="_11__123Graph_Aｸﾞﾗﾌ_3">#REF!</definedName>
    <definedName name="_11__123Graph_Aｸﾞﾗﾌ_4">#REF!</definedName>
    <definedName name="_11__123Graph_BCHART_1" hidden="1">'[4]6MONTHS'!$AI$40:$AO$40</definedName>
    <definedName name="_11__123Graph_X????_1">#REF!</definedName>
    <definedName name="_11__123Graph_Xｸﾞﾗﾌ_1">#REF!</definedName>
    <definedName name="_11__123Graph_Xｸﾞﾗﾌ_2">#REF!</definedName>
    <definedName name="_112__123Graph_Xｸﾞﾗﾌ_5">#REF!</definedName>
    <definedName name="_116__123Graph_Xｸﾞﾗﾌ_1">#REF!</definedName>
    <definedName name="_11P3_">#REF!</definedName>
    <definedName name="_12_??????5">BlankMacro1</definedName>
    <definedName name="_12__123Graph_A????_2">#REF!</definedName>
    <definedName name="_12__123Graph_Aｸﾞﾗﾌ_3" hidden="1">#REF!</definedName>
    <definedName name="_12__123Graph_Aｸﾞﾗﾌ_4">#REF!</definedName>
    <definedName name="_12__123Graph_X????_2">#REF!</definedName>
    <definedName name="_12__123Graph_Xｸﾞﾗﾌ_1">#REF!</definedName>
    <definedName name="_12__123Graph_Xｸﾞﾗﾌ_2">#REF!</definedName>
    <definedName name="_12__123Graph_Xｸﾞﾗﾌ_3">#REF!</definedName>
    <definedName name="_123Graph_A300.CGM">#REF!</definedName>
    <definedName name="_123Graph_F">#REF!</definedName>
    <definedName name="_124__123Graph_Xｸﾞﾗﾌ_2">#REF!</definedName>
    <definedName name="_13__123Graph_Aｸﾞﾗﾌ_2">#REF!</definedName>
    <definedName name="_13__123Graph_Aｸﾞﾗﾌ_4" hidden="1">#REF!</definedName>
    <definedName name="_13__123Graph_Aｸﾞﾗﾌ_5">#REF!</definedName>
    <definedName name="_13__123Graph_X????_3">#REF!</definedName>
    <definedName name="_13__123Graph_Xｸﾞﾗﾌ_2">#REF!</definedName>
    <definedName name="_13__123Graph_Xｸﾞﾗﾌ_3">#REF!</definedName>
    <definedName name="_13__123Graph_Xｸﾞﾗﾌ_4">#REF!</definedName>
    <definedName name="_132__123Graph_Xｸﾞﾗﾌ_3">#REF!</definedName>
    <definedName name="_14_??????6">BlankMacro1</definedName>
    <definedName name="_14__123Graph_Aｸﾞﾗﾌ_4">#REF!</definedName>
    <definedName name="_14__123Graph_Aｸﾞﾗﾌ_5" hidden="1">#REF!</definedName>
    <definedName name="_14__123Graph_X????_1">#REF!</definedName>
    <definedName name="_14__123Graph_X????_4">#REF!</definedName>
    <definedName name="_14__123Graph_Xｸﾞﾗﾌ_2">#REF!</definedName>
    <definedName name="_14__123Graph_Xｸﾞﾗﾌ_3">#REF!</definedName>
    <definedName name="_14__123Graph_Xｸﾞﾗﾌ_4">#REF!</definedName>
    <definedName name="_14__123Graph_Xｸﾞﾗﾌ_5">#REF!</definedName>
    <definedName name="_140__123Graph_Xｸﾞﾗﾌ_4">#REF!</definedName>
    <definedName name="_148__123Graph_Xｸﾞﾗﾌ_5">#REF!</definedName>
    <definedName name="_15_??????2">BlankMacro1</definedName>
    <definedName name="_15__123Graph_X????_1" hidden="1">#REF!</definedName>
    <definedName name="_15__123Graph_X????_2">#REF!</definedName>
    <definedName name="_15__123Graph_X????_5">#REF!</definedName>
    <definedName name="_15__123Graph_Xｸﾞﾗﾌ_4">#REF!</definedName>
    <definedName name="_15__123Graph_Xｸﾞﾗﾌ_5">#REF!</definedName>
    <definedName name="_16__123Graph_X????_2" hidden="1">#REF!</definedName>
    <definedName name="_16__123Graph_X????_3">#REF!</definedName>
    <definedName name="_16__123Graph_Xｸﾞﾗﾌ_1">#REF!</definedName>
    <definedName name="_16__123Graph_Xｸﾞﾗﾌ_3">#REF!</definedName>
    <definedName name="_16__123Graph_Xｸﾞﾗﾌ_5">#REF!</definedName>
    <definedName name="_16P3_">#REF!</definedName>
    <definedName name="_17__123Graph_A????_1">#REF!</definedName>
    <definedName name="_17__123Graph_A????_3">#REF!</definedName>
    <definedName name="_17__123Graph_Aｸﾞﾗﾌ_3">#REF!</definedName>
    <definedName name="_17__123Graph_Aｸﾞﾗﾌ_5">#REF!</definedName>
    <definedName name="_17__123Graph_X????_3" hidden="1">#REF!</definedName>
    <definedName name="_17__123Graph_X????_4">#REF!</definedName>
    <definedName name="_17__123Graph_Xｸﾞﾗﾌ_2">#REF!</definedName>
    <definedName name="_17a1_">{"'Sheet1'!$L$16"}</definedName>
    <definedName name="_17P3_">#REF!</definedName>
    <definedName name="_18__123Graph_X????_4" hidden="1">#REF!</definedName>
    <definedName name="_18__123Graph_X????_5">#REF!</definedName>
    <definedName name="_18__123Graph_Xｸﾞﾗﾌ_1">#REF!</definedName>
    <definedName name="_18__123Graph_Xｸﾞﾗﾌ_3">#REF!</definedName>
    <definedName name="_18__123Graph_Xｸﾞﾗﾌ_4">#REF!</definedName>
    <definedName name="_19__123Graph_X????_5" hidden="1">#REF!</definedName>
    <definedName name="_19__123Graph_Xｸﾞﾗﾌ_1">#REF!</definedName>
    <definedName name="_19__123Graph_Xｸﾞﾗﾌ_4">#REF!</definedName>
    <definedName name="_19P3_">#REF!</definedName>
    <definedName name="_1P3_">#REF!</definedName>
    <definedName name="_2">#REF!</definedName>
    <definedName name="_2_??">BlankMacro1</definedName>
    <definedName name="_2____123Graph_Aｸﾞﾗﾌ_2">#REF!</definedName>
    <definedName name="_2__123Graph_A????_2">#REF!</definedName>
    <definedName name="_2__123Graph_Aｸﾞﾗﾌ_1">#REF!</definedName>
    <definedName name="_2__123Graph_Aｸﾞﾗﾌ_2">#REF!</definedName>
    <definedName name="_2_0_0_F">#REF!</definedName>
    <definedName name="_2_0_F">#REF!</definedName>
    <definedName name="_20_??????3">BlankMacro1</definedName>
    <definedName name="_20__123Graph_Xｸﾞﾗﾌ_1" hidden="1">#REF!</definedName>
    <definedName name="_20__123Graph_Xｸﾞﾗﾌ_2">#REF!</definedName>
    <definedName name="_20__123Graph_Xｸﾞﾗﾌ_5">#REF!</definedName>
    <definedName name="_2078Document_array_1_1">{"Book1"}</definedName>
    <definedName name="_2079Document_array_5_1">{"Book1"}</definedName>
    <definedName name="_2080Document_array_6_1">{"Book1"}</definedName>
    <definedName name="_2081Document_array_6_2">{"Book1"}</definedName>
    <definedName name="_2082Document_array_7_1">{"Book1"}</definedName>
    <definedName name="_2083Document_array_8_1">{"Book1"}</definedName>
    <definedName name="_2084Document_array_8_2">{"Book1"}</definedName>
    <definedName name="_2085Document_array_9_1">{"Book1"}</definedName>
    <definedName name="_2086Document_array_9_2">{"Book1"}</definedName>
    <definedName name="_20h1_" hidden="1">{"'Sheet1'!$L$16"}</definedName>
    <definedName name="_21__123Graph_A????_2">#REF!</definedName>
    <definedName name="_21__123Graph_Aｸﾞﾗﾌ_4">#REF!</definedName>
    <definedName name="_21__123Graph_Xｸﾞﾗﾌ_2" hidden="1">#REF!</definedName>
    <definedName name="_21__123Graph_Xｸﾞﾗﾌ_3">#REF!</definedName>
    <definedName name="_22__123Graph_A????_4">#REF!</definedName>
    <definedName name="_22__123Graph_Xｸﾞﾗﾌ_1">#REF!</definedName>
    <definedName name="_22__123Graph_Xｸﾞﾗﾌ_3">#REF!</definedName>
    <definedName name="_22__123Graph_Xｸﾞﾗﾌ_4">#REF!</definedName>
    <definedName name="_23__123Graph_A????_1">#REF!</definedName>
    <definedName name="_23__123Graph_Xｸﾞﾗﾌ_4" hidden="1">#REF!</definedName>
    <definedName name="_23__123Graph_Xｸﾞﾗﾌ_5">#REF!</definedName>
    <definedName name="_24__123Graph_Xｸﾞﾗﾌ_4">#REF!</definedName>
    <definedName name="_24__123Graph_Xｸﾞﾗﾌ_5" hidden="1">#REF!</definedName>
    <definedName name="_25_??????4">BlankMacro1</definedName>
    <definedName name="_25__123Graph_A????_3">#REF!</definedName>
    <definedName name="_25__123Graph_Aｸﾞﾗﾌ_5">#REF!</definedName>
    <definedName name="_25__123Graph_Xｸﾞﾗﾌ_2">#REF!</definedName>
    <definedName name="_26__123Graph_Xｸﾞﾗﾌ_5">#REF!</definedName>
    <definedName name="_26a1_" hidden="1">{"'Sheet1'!$L$16"}</definedName>
    <definedName name="_27__123Graph_A????_5">#REF!</definedName>
    <definedName name="_28__123Graph_A????_2">#REF!</definedName>
    <definedName name="_28__123Graph_Xｸﾞﾗﾌ_3">#REF!</definedName>
    <definedName name="_29__123Graph_A????_4">#REF!</definedName>
    <definedName name="_29h1_" hidden="1">{"'Sheet1'!$L$16"}</definedName>
    <definedName name="_2a1_" hidden="1">{"'Sheet1'!$L$16"}</definedName>
    <definedName name="_3">#REF!</definedName>
    <definedName name="_3____123Graph_Aｸﾞﾗﾌ_3">#REF!</definedName>
    <definedName name="_3__123Graph_A????_3">#REF!</definedName>
    <definedName name="_3__123Graph_ACHART_1" hidden="1">'[4]6MONTHS'!$AI$39:$AO$39</definedName>
    <definedName name="_3__123Graph_Aｸﾞﾗﾌ_1">#REF!</definedName>
    <definedName name="_3__123Graph_Aｸﾞﾗﾌ_3">#REF!</definedName>
    <definedName name="_3_2_0_Parse">#REF!</definedName>
    <definedName name="_30_??????5">BlankMacro1</definedName>
    <definedName name="_30hu1_" hidden="1">{"'Sheet1'!$L$16"}</definedName>
    <definedName name="_31__123Graph_Xｸﾞﾗﾌ_4">#REF!</definedName>
    <definedName name="_31hu2_" hidden="1">{"'Sheet1'!$L$16"}</definedName>
    <definedName name="_32hu5_" hidden="1">{"'Sheet1'!$L$16"}</definedName>
    <definedName name="_33__123Graph_A????_3">#REF!</definedName>
    <definedName name="_33__123Graph_A????_5">#REF!</definedName>
    <definedName name="_33__123Graph_Aｸﾞﾗﾌ_1">#REF!</definedName>
    <definedName name="_33hu6_" hidden="1">{"'Sheet1'!$L$16"}</definedName>
    <definedName name="_34__123Graph_Xｸﾞﾗﾌ_1">#REF!</definedName>
    <definedName name="_34__123Graph_Xｸﾞﾗﾌ_5">#REF!</definedName>
    <definedName name="_35_??????6">BlankMacro1</definedName>
    <definedName name="_38__123Graph_A????_4">#REF!</definedName>
    <definedName name="_38__123Graph_Aｸﾞﾗﾌ_1">#REF!</definedName>
    <definedName name="_38__123Graph_Xｸﾞﾗﾌ_2">#REF!</definedName>
    <definedName name="_39__123Graph_Aｸﾞﾗﾌ_2">#REF!</definedName>
    <definedName name="_3a1_" hidden="1">{"'Sheet1'!$L$16"}</definedName>
    <definedName name="_4_??????1">BlankMacro1</definedName>
    <definedName name="_4____123Graph_Aｸﾞﾗﾌ_4">#REF!</definedName>
    <definedName name="_4__123Graph_A????_1">#REF!</definedName>
    <definedName name="_4__123Graph_A????_4">#REF!</definedName>
    <definedName name="_4__123Graph_Aｸﾞﾗﾌ_1">#REF!</definedName>
    <definedName name="_4__123Graph_Aｸﾞﾗﾌ_2">#REF!</definedName>
    <definedName name="_4__123Graph_Aｸﾞﾗﾌ_4">#REF!</definedName>
    <definedName name="_4_0_0_F">#REF!</definedName>
    <definedName name="_40x4">5100</definedName>
    <definedName name="_42__123Graph_Xｸﾞﾗﾌ_3">#REF!</definedName>
    <definedName name="_43__123Graph_A????_5">#REF!</definedName>
    <definedName name="_43__123Graph_Aｸﾞﾗﾌ_2">#REF!</definedName>
    <definedName name="_45__123Graph_Aｸﾞﾗﾌ_3">#REF!</definedName>
    <definedName name="_46__123Graph_Xｸﾞﾗﾌ_4">#REF!</definedName>
    <definedName name="_48__123Graph_Aｸﾞﾗﾌ_3">#REF!</definedName>
    <definedName name="_5_??">BlankMacro1</definedName>
    <definedName name="_5____123Graph_Aｸﾞﾗﾌ_5">#REF!</definedName>
    <definedName name="_5__123Graph_A????_1" hidden="1">#REF!</definedName>
    <definedName name="_5__123Graph_A????_2">#REF!</definedName>
    <definedName name="_5__123Graph_A????_5">#REF!</definedName>
    <definedName name="_5__123Graph_Aｸﾞﾗﾌ_1">#REF!</definedName>
    <definedName name="_5__123Graph_Aｸﾞﾗﾌ_2">#REF!</definedName>
    <definedName name="_5__123Graph_Aｸﾞﾗﾌ_3">#REF!</definedName>
    <definedName name="_5__123Graph_Aｸﾞﾗﾌ_5">#REF!</definedName>
    <definedName name="_50__123Graph_Xｸﾞﾗﾌ_5">#REF!</definedName>
    <definedName name="_5077PtichDTL_1_1">rate</definedName>
    <definedName name="_5078PtichDTL_5_1">rate</definedName>
    <definedName name="_5079PtichDTL_6_1">rate</definedName>
    <definedName name="_5080PtichDTL_6_2">rate</definedName>
    <definedName name="_5081PtichDTL_7_1">rate</definedName>
    <definedName name="_5082PtichDTL_8_1">rate</definedName>
    <definedName name="_5083PtichDTL_8_2">rate</definedName>
    <definedName name="_5084PtichDTL_9_1">rate_9</definedName>
    <definedName name="_5085PtichDTL_9_2">rate</definedName>
    <definedName name="_51__123Graph_Aｸﾞﾗﾌ_1">#REF!</definedName>
    <definedName name="_51__123Graph_Aｸﾞﾗﾌ_4">#REF!</definedName>
    <definedName name="_5264PtichDTL_1_1">rate</definedName>
    <definedName name="_5266PtichDTL_5_1">rate</definedName>
    <definedName name="_5268PtichDTL_6_1">rate</definedName>
    <definedName name="_5270PtichDTL_6_2">rate</definedName>
    <definedName name="_5272PtichDTL_7_1">rate</definedName>
    <definedName name="_5274PtichDTL_8_1">rate</definedName>
    <definedName name="_5276PtichDTL_8_2">rate</definedName>
    <definedName name="_5278PtichDTL_9_1">rate_9</definedName>
    <definedName name="_5280PtichDTL_9_2">rate</definedName>
    <definedName name="_53__123Graph_Aｸﾞﾗﾌ_4">#REF!</definedName>
    <definedName name="_57__123Graph_Aｸﾞﾗﾌ_5">#REF!</definedName>
    <definedName name="_58__123Graph_Aｸﾞﾗﾌ_5">#REF!</definedName>
    <definedName name="_59__123Graph_Aｸﾞﾗﾌ_2">#REF!</definedName>
    <definedName name="_6_??????2">BlankMacro1</definedName>
    <definedName name="_6____123Graph_Xｸﾞﾗﾌ_1">#REF!</definedName>
    <definedName name="_6__123Graph_A????_2" hidden="1">#REF!</definedName>
    <definedName name="_6__123Graph_A????_3">#REF!</definedName>
    <definedName name="_6__123Graph_Aｸﾞﾗﾌ_1">#REF!</definedName>
    <definedName name="_6__123Graph_Aｸﾞﾗﾌ_3">#REF!</definedName>
    <definedName name="_6__123Graph_Aｸﾞﾗﾌ_4">#REF!</definedName>
    <definedName name="_6__123Graph_Xｸﾞﾗﾌ_1">#REF!</definedName>
    <definedName name="_6_2_0_Parse">#REF!</definedName>
    <definedName name="_62__123Graph_X????_1">#REF!</definedName>
    <definedName name="_66__123Graph_X????_2">#REF!</definedName>
    <definedName name="_67__123Graph_Aｸﾞﾗﾌ_3">#REF!</definedName>
    <definedName name="_67__123Graph_X????_2">#REF!</definedName>
    <definedName name="_7____123Graph_Xｸﾞﾗﾌ_2">#REF!</definedName>
    <definedName name="_7__123Graph_A????_1">#REF!</definedName>
    <definedName name="_7__123Graph_A????_3" hidden="1">#REF!</definedName>
    <definedName name="_7__123Graph_A????_4">#REF!</definedName>
    <definedName name="_7__123Graph_Aｸﾞﾗﾌ_2">#REF!</definedName>
    <definedName name="_7__123Graph_Aｸﾞﾗﾌ_4">#REF!</definedName>
    <definedName name="_7__123Graph_Aｸﾞﾗﾌ_5">#REF!</definedName>
    <definedName name="_7__123Graph_Xｸﾞﾗﾌ_2">#REF!</definedName>
    <definedName name="_70__123Graph_X????_3">#REF!</definedName>
    <definedName name="_72__123Graph_X????_3">#REF!</definedName>
    <definedName name="_74__123Graph_X????_4">#REF!</definedName>
    <definedName name="_75__123Graph_Aｸﾞﾗﾌ_4">#REF!</definedName>
    <definedName name="_77__123Graph_X????_4">#REF!</definedName>
    <definedName name="_78__123Graph_X????_5">#REF!</definedName>
    <definedName name="_8_??????3">BlankMacro1</definedName>
    <definedName name="_8____123Graph_Xｸﾞﾗﾌ_3">#REF!</definedName>
    <definedName name="_8__123Graph_A????_4" hidden="1">#REF!</definedName>
    <definedName name="_8__123Graph_A????_5">#REF!</definedName>
    <definedName name="_8__123Graph_Aｸﾞﾗﾌ_2">#REF!</definedName>
    <definedName name="_8__123Graph_Aｸﾞﾗﾌ_3">#REF!</definedName>
    <definedName name="_8__123Graph_Aｸﾞﾗﾌ_4">#REF!</definedName>
    <definedName name="_8__123Graph_Aｸﾞﾗﾌ_5">#REF!</definedName>
    <definedName name="_8__123Graph_Xｸﾞﾗﾌ_3">#REF!</definedName>
    <definedName name="_82__123Graph_X????_5">#REF!</definedName>
    <definedName name="_83__123Graph_Aｸﾞﾗﾌ_5">#REF!</definedName>
    <definedName name="_83__123Graph_Xｸﾞﾗﾌ_1">#REF!</definedName>
    <definedName name="_88__123Graph_X????_1">#REF!</definedName>
    <definedName name="_88__123Graph_Xｸﾞﾗﾌ_1">#REF!</definedName>
    <definedName name="_88__123Graph_Xｸﾞﾗﾌ_2">#REF!</definedName>
    <definedName name="_9____123Graph_Xｸﾞﾗﾌ_4">#REF!</definedName>
    <definedName name="_9__123Graph_A????_5" hidden="1">#REF!</definedName>
    <definedName name="_9__123Graph_Aｸﾞﾗﾌ_1">#REF!</definedName>
    <definedName name="_9__123Graph_Aｸﾞﾗﾌ_3">#REF!</definedName>
    <definedName name="_9__123Graph_Aｸﾞﾗﾌ_4">#REF!</definedName>
    <definedName name="_9__123Graph_Xｸﾞﾗﾌ_4">#REF!</definedName>
    <definedName name="_93__123Graph_X????_2">#REF!</definedName>
    <definedName name="_93__123Graph_Xｸﾞﾗﾌ_3">#REF!</definedName>
    <definedName name="_94__123Graph_Xｸﾞﾗﾌ_2">#REF!</definedName>
    <definedName name="_98__123Graph_X????_3">#REF!</definedName>
    <definedName name="_98__123Graph_Xｸﾞﾗﾌ_4">#REF!</definedName>
    <definedName name="_a1" hidden="1">{"'Sheet1'!$L$16"}</definedName>
    <definedName name="_a1_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s">{"'Sheet1'!$L$16"}</definedName>
    <definedName name="_a2">{"'Sheet1'!$L$16"}</definedName>
    <definedName name="_A4">{"'Sheet1'!$L$16"}</definedName>
    <definedName name="_a9">{"'Sheet1'!$L$16"}</definedName>
    <definedName name="_aa1" hidden="1">{"'Sheet1'!$L$16"}</definedName>
    <definedName name="_adv1">#REF!</definedName>
    <definedName name="_adv2">#REF!</definedName>
    <definedName name="_b2">{"'Sheet1'!$L$16"}</definedName>
    <definedName name="_bac10">'[5]Vat tu'!$W$8</definedName>
    <definedName name="_bac3">12413</definedName>
    <definedName name="_bac4">13529</definedName>
    <definedName name="_bac5">15483</definedName>
    <definedName name="_BG12">{"'Sheet1'!$L$16"}</definedName>
    <definedName name="_bht4">#REF!</definedName>
    <definedName name="_bht5">#REF!</definedName>
    <definedName name="_bht6">{"'Sheet1'!$L$16"}</definedName>
    <definedName name="_boq2" hidden="1">{"'Sheet1'!$L$16"}</definedName>
    <definedName name="_Builtin0">#REF!</definedName>
    <definedName name="_Builtin155">#REF!</definedName>
    <definedName name="_Cap120">"3x120+1x70"</definedName>
    <definedName name="_Cap150">"3x150+1x95"</definedName>
    <definedName name="_Cap185">"3x185+1x120"</definedName>
    <definedName name="_Cap95">"3x95+1x50"</definedName>
    <definedName name="_CD2">{"'Sheet1'!$L$16"}</definedName>
    <definedName name="_CN1">{"'Sheet1'!$L$16"}</definedName>
    <definedName name="_CN2">{"'Sheet1'!$L$16"}</definedName>
    <definedName name="_CN3">{"'Sheet1'!$L$16"}</definedName>
    <definedName name="_coc1000">#REF!</definedName>
    <definedName name="_Coc39">{"'Sheet1'!$L$16"}</definedName>
    <definedName name="_Count">4</definedName>
    <definedName name="_CT2" hidden="1">{"'Sheet1'!$L$16"}</definedName>
    <definedName name="_ct2005" hidden="1">{"'Sheet1'!$L$16"}</definedName>
    <definedName name="_CT3" hidden="1">{"'Sheet1'!$L$16"}</definedName>
    <definedName name="_CT4" hidden="1">{"'Sheet1'!$L$16"}</definedName>
    <definedName name="_Cty501">{"'Sheet1'!$L$16"}</definedName>
    <definedName name="_D1" hidden="1">{"'Sheet1'!$L$16"}</definedName>
    <definedName name="_d12" hidden="1">{"'Sheet1'!$L$16"}</definedName>
    <definedName name="_d1500">{"'Sheet1'!$L$16"}</definedName>
    <definedName name="_D2">{"'Sheet1'!$L$16"}</definedName>
    <definedName name="_Dist_Bin">#REF!</definedName>
    <definedName name="_Dist_Values">#REF!</definedName>
    <definedName name="_dt1" hidden="1">{"'Sheet1'!$L$16"}</definedName>
    <definedName name="_DT10" hidden="1">{"'Sheet1'!$L$16"}</definedName>
    <definedName name="_DUC">#REF!</definedName>
    <definedName name="_e2" hidden="1">{"'Sheet1'!$L$16"}</definedName>
    <definedName name="_f5" hidden="1">{"'Sheet1'!$L$16"}</definedName>
    <definedName name="_FAB4">#REF!</definedName>
    <definedName name="_FD12" hidden="1">{"'Sheet1'!$L$16"}</definedName>
    <definedName name="_Fill" hidden="1">#REF!</definedName>
    <definedName name="_Fill1">#REF!</definedName>
    <definedName name="_Fill2">#REF!</definedName>
    <definedName name="_xlnm._FilterDatabase" localSheetId="2" hidden="1">'A05'!$A$14:$R$67</definedName>
    <definedName name="_xlnm._FilterDatabase" localSheetId="3" hidden="1">'A06'!$A$14:$P$84</definedName>
    <definedName name="_xlnm._FilterDatabase" localSheetId="4" hidden="1">'A07'!$A$14:$P$83</definedName>
    <definedName name="_xlnm._FilterDatabase" localSheetId="1" hidden="1">'A22'!$A$14:$P$75</definedName>
    <definedName name="_xlnm._FilterDatabase" hidden="1">#REF!</definedName>
    <definedName name="_G1" hidden="1">[6]SEX!$P$7:$P$7</definedName>
    <definedName name="_G4211" hidden="1">{"'Sheet1'!$L$16"}</definedName>
    <definedName name="_GD2" hidden="1">{"'Sheet1'!$L$16"}</definedName>
    <definedName name="_Goi8">{"'Sheet1'!$L$16"}</definedName>
    <definedName name="_Goi8_1">{"'Sheet1'!$L$16"}</definedName>
    <definedName name="_Goi9" hidden="1">{"'Sheet1'!$L$16"}</definedName>
    <definedName name="_h1" hidden="1">{"'Sheet1'!$L$16"}</definedName>
    <definedName name="_h2">{"'Sheet1'!$L$16"}</definedName>
    <definedName name="_HEA300">100</definedName>
    <definedName name="_hh1219">{"'Sheet1'!$L$16"}</definedName>
    <definedName name="_hsm2">1.1289</definedName>
    <definedName name="_hu1" hidden="1">{"'Sheet1'!$L$16"}</definedName>
    <definedName name="_hu2" hidden="1">{"'Sheet1'!$L$16"}</definedName>
    <definedName name="_hu3" hidden="1">{"'Sheet1'!$L$16"}</definedName>
    <definedName name="_hu5" hidden="1">{"'Sheet1'!$L$16"}</definedName>
    <definedName name="_hu57">{"'Sheet1'!$L$16"}</definedName>
    <definedName name="_hu6" hidden="1">{"'Sheet1'!$L$16"}</definedName>
    <definedName name="_hu7">{"'Sheet1'!$L$16"}</definedName>
    <definedName name="_huy1">{"'Sheet1'!$L$16"}</definedName>
    <definedName name="_huy2">{"'Sheet1'!$L$16"}</definedName>
    <definedName name="_K146">{"'Sheet1'!$L$16"}</definedName>
    <definedName name="_Key1" hidden="1">#REF!</definedName>
    <definedName name="_KEY12">#REF!</definedName>
    <definedName name="_Key2" hidden="1">#REF!</definedName>
    <definedName name="_keydd" hidden="1">#REF!</definedName>
    <definedName name="_KH12">#REF!</definedName>
    <definedName name="_khq3" hidden="1">{"'Sheet1'!$L$16"}</definedName>
    <definedName name="_kl11">{"'Sheet1'!$L$16"}</definedName>
    <definedName name="_kl4">{"'Sheet1'!$L$16"}</definedName>
    <definedName name="_kl6">{"'Sheet1'!$L$16"}</definedName>
    <definedName name="_Km36">#REF!</definedName>
    <definedName name="_Knc1">#REF!</definedName>
    <definedName name="_Knc36">#REF!</definedName>
    <definedName name="_Knc57">#REF!</definedName>
    <definedName name="_KS2" hidden="1">{"'Sheet1'!$L$16"}</definedName>
    <definedName name="_Kvl36">#REF!</definedName>
    <definedName name="_KY1">[1]BXLDL!$E$2:$E$54</definedName>
    <definedName name="_Lan1">{"'Sheet1'!$L$16"}</definedName>
    <definedName name="_Lan2">{"'Sheet1'!$L$16"}</definedName>
    <definedName name="_LAN3">{"'Sheet1'!$L$16"}</definedName>
    <definedName name="_lao2" hidden="1">{"'Sheet1'!$L$16"}</definedName>
    <definedName name="_ld2">{"'Sheet1'!$L$16"}</definedName>
    <definedName name="_ldp7201">#REF!</definedName>
    <definedName name="_LDP7901">#REF!</definedName>
    <definedName name="_list">INDIRECT([7]Ts!$M$16)</definedName>
    <definedName name="_lk2">{"'Sheet1'!$L$16"}</definedName>
    <definedName name="_LN1">#REF!</definedName>
    <definedName name="_lop111">#REF!</definedName>
    <definedName name="_lr2">#REF!</definedName>
    <definedName name="_m1233" hidden="1">{"'Sheet1'!$L$16"}</definedName>
    <definedName name="_M2">{"'Sheet1'!$L$16"}</definedName>
    <definedName name="_M36">{"'Sheet1'!$L$16"}</definedName>
    <definedName name="_m4">{"'Sheet1'!$L$16"}</definedName>
    <definedName name="_MatInverse_In">#REF!</definedName>
    <definedName name="_mau2">{"Book1","monthly update report.xls"}</definedName>
    <definedName name="_MCC3">#REF!</definedName>
    <definedName name="_ml2" hidden="1">{"'Sheet1'!$L$16"}</definedName>
    <definedName name="_mo1" hidden="1">{"'Sheet1'!$L$16"}</definedName>
    <definedName name="_nam1" hidden="1">{"'Sheet1'!$L$16"}</definedName>
    <definedName name="_NK5">{"'Sheet1'!$L$16"}</definedName>
    <definedName name="_NO1">#REF!</definedName>
    <definedName name="_NO2">#REF!</definedName>
    <definedName name="_NS02" hidden="1">{"'Sheet1'!$L$16"}</definedName>
    <definedName name="_NS03" hidden="1">{"'Sheet1'!$L$16"}</definedName>
    <definedName name="_nso1" hidden="1">{"'Sheet1'!$L$16"}</definedName>
    <definedName name="_NSO2" hidden="1">{"'Sheet1'!$L$16"}</definedName>
    <definedName name="_nso22" hidden="1">{"'Sheet1'!$L$16"}</definedName>
    <definedName name="_oke" hidden="1">{"'Sheet1'!$L$16"}</definedName>
    <definedName name="_Order1" hidden="1">255</definedName>
    <definedName name="_Order2" hidden="1">255</definedName>
    <definedName name="_p06" hidden="1">{"'Sheet1'!$L$16"}</definedName>
    <definedName name="_p1" hidden="1">{"'Sheet1'!$L$16"}</definedName>
    <definedName name="_P2" hidden="1">{"'Sheet1'!$L$16"}</definedName>
    <definedName name="_P3">#REF!</definedName>
    <definedName name="_pa2" hidden="1">{"'Sheet1'!$L$16"}</definedName>
    <definedName name="_PA3" hidden="1">{"'Sheet1'!$L$16"}</definedName>
    <definedName name="_pa4">{"'Sheet1'!$L$16"}</definedName>
    <definedName name="_Parse_In">#REF!</definedName>
    <definedName name="_Parse_Out">#REF!</definedName>
    <definedName name="_pc30">[2]GiaVL!$F$14</definedName>
    <definedName name="_pc40">[2]GiaVL!$F$13</definedName>
    <definedName name="_phu3" hidden="1">{"'Sheet1'!$L$16"}</definedName>
    <definedName name="_PK2" hidden="1">{"'장비'!$A$3:$M$12"}</definedName>
    <definedName name="_PKG3" hidden="1">{"'장비'!$A$3:$M$12"}</definedName>
    <definedName name="_pl2" hidden="1">{"'Sheet1'!$L$16"}</definedName>
    <definedName name="_pm1">#REF!</definedName>
    <definedName name="_pm2">#REF!</definedName>
    <definedName name="_pm3">#REF!</definedName>
    <definedName name="_pm4">#REF!</definedName>
    <definedName name="_pm5">#REF!</definedName>
    <definedName name="_PPP3">#REF!</definedName>
    <definedName name="_PPP33">#REF!</definedName>
    <definedName name="_ppp34">#REF!</definedName>
    <definedName name="_ppp3444">#REF!</definedName>
    <definedName name="_PYC7" hidden="1">{"'Sheet1'!$L$16"}</definedName>
    <definedName name="_QLO7">#REF!</definedName>
    <definedName name="_qqq222" hidden="1">{"'장비'!$A$3:$M$12"}</definedName>
    <definedName name="_quy1" hidden="1">{"'Sheet1'!$L$16"}</definedName>
    <definedName name="_r" hidden="1">{"'Sheet1'!$L$16"}</definedName>
    <definedName name="_Regression_Int">1</definedName>
    <definedName name="_Regression_Out">#REF!</definedName>
    <definedName name="_Regression_X">#REF!</definedName>
    <definedName name="_Regression_Y">#REF!</definedName>
    <definedName name="_REV1">#REF!</definedName>
    <definedName name="_Rh90" hidden="1">{"'Sheet1'!$L$16"}</definedName>
    <definedName name="_RightCell" hidden="1">INDIRECT(ADDRESS(ROW(),COLUMN()+1))</definedName>
    <definedName name="_Rmax" hidden="1">MAX(IF(_RngTop&lt;&gt;"",ROW(_RngTop),0))</definedName>
    <definedName name="_RngSub" hidden="1">INDIRECT(ADDRESS(ROW()-1,COLUMN())&amp;":"&amp;ADDRESS(_Rmax,COLUMN()))</definedName>
    <definedName name="_RngTop" hidden="1">INDIRECT(ADDRESS(1,COLUMN())&amp;":"&amp;ADDRESS(ROW()-1,COLUMN()))</definedName>
    <definedName name="_SCL4">{"'Sheet1'!$L$16"}</definedName>
    <definedName name="_SCL4_1">{"'Sheet1'!$L$16"}</definedName>
    <definedName name="_SHI1" hidden="1">{"'Sheet1'!$L$16"}</definedName>
    <definedName name="_Sort" hidden="1">#REF!</definedName>
    <definedName name="_Sortmoi">#REF!</definedName>
    <definedName name="_ss1" hidden="1">{0}</definedName>
    <definedName name="_ss4" hidden="1">{0,0,0,0;0,0,0,0;0,0,0,0;0,0,0,0;0,0,0,0;0,0,0,0;0,0,0,0}</definedName>
    <definedName name="_SubTotalRight" hidden="1">SUBTOTAL(103,_RightCell)</definedName>
    <definedName name="_SXT3">#REF!</definedName>
    <definedName name="_sxt5">{"'Sheet1'!$L$16"}</definedName>
    <definedName name="_sxt6">#REF!</definedName>
    <definedName name="_T1">#REF!</definedName>
    <definedName name="_T10">{"'Sheet1'!$L$16"}</definedName>
    <definedName name="_T11" hidden="1">{"'Sheet1'!$L$16"}</definedName>
    <definedName name="_T1112" hidden="1">{"'Sheet1'!$L$16"}</definedName>
    <definedName name="_t12">#REF!</definedName>
    <definedName name="_T2">{"'Sheet1'!$L$16"}</definedName>
    <definedName name="_T3" hidden="1">{"'Sheet1'!$L$16"}</definedName>
    <definedName name="_t4" hidden="1">{"'Sheet1'!$L$16"}</definedName>
    <definedName name="_t5" hidden="1">{"'Sheet1'!$L$16"}</definedName>
    <definedName name="_T7">{"Thuxm2.xls","Sheet1"}</definedName>
    <definedName name="_t9" hidden="1">{"'Sheet1'!$L$16"}</definedName>
    <definedName name="_Table1_In1">#REF!</definedName>
    <definedName name="_Table1_Out">#REF!</definedName>
    <definedName name="_Table2_In1">#REF!</definedName>
    <definedName name="_Table2_Out">#REF!</definedName>
    <definedName name="_tb2">{"'Sheet1'!$L$16"}</definedName>
    <definedName name="_tct3">[3]gVL!$Q$23</definedName>
    <definedName name="_td1">{"'Sheet1'!$L$16"}</definedName>
    <definedName name="_TH1">{"'Sheet1'!$L$16"}</definedName>
    <definedName name="_TH171" hidden="1">{"'Sheet1'!$L$16"}</definedName>
    <definedName name="_th30">1.7875</definedName>
    <definedName name="_th40">1.925</definedName>
    <definedName name="_tha1" hidden="1">{"'Sheet1'!$L$16"}</definedName>
    <definedName name="_THT11" hidden="1">{"'Sheet1'!$L$16"}</definedName>
    <definedName name="_TM2">{"'Sheet1'!$L$16"}</definedName>
    <definedName name="_TT_B">1.2</definedName>
    <definedName name="_TT11" hidden="1">{"'Sheet1'!$L$16"}</definedName>
    <definedName name="_tt3">{"'Sheet1'!$L$16"}</definedName>
    <definedName name="_TT31" hidden="1">{"'Sheet1'!$L$16"}</definedName>
    <definedName name="_TT623" hidden="1">{"'Sheet1'!$L$16"}</definedName>
    <definedName name="_ttt1" hidden="1">{"'Sheet1'!$L$16"}</definedName>
    <definedName name="_tu4">{"'Sheet1'!$L$16"}</definedName>
    <definedName name="_TV2" hidden="1">{"'Sheet1'!$L$16"}</definedName>
    <definedName name="_ty892" hidden="1">{"'Sheet1'!$L$16"}</definedName>
    <definedName name="_UI33">{"'Sheet1'!$L$16"}</definedName>
    <definedName name="_Unknown_User_Defined_Name_0">#REF!</definedName>
    <definedName name="_Unknown_User_Defined_Name_1">#REF!</definedName>
    <definedName name="_Unknown_User_Defined_Name_2">#REF!</definedName>
    <definedName name="_Unknown_User_Defined_Name_3">#REF!</definedName>
    <definedName name="_up2">#REF!</definedName>
    <definedName name="_vl1">{"'Sheet1'!$L$16"}</definedName>
    <definedName name="_VLP2">{"'Sheet1'!$L$16"}</definedName>
    <definedName name="_VO15" hidden="1">{"'CPA Sum'!$A$1:$X$30","'CPA'!$A$1:$K$187","'Infra Cost'!$A$1:$Q$30","'Dev't Cost'!$A$1:$AH$40","'Cashflow'!$A$1:$DG$82"}</definedName>
    <definedName name="_vpt5">{"'Sheet1'!$L$16"}</definedName>
    <definedName name="_vpt6">{"'Sheet1'!$L$16"}</definedName>
    <definedName name="_VT3" hidden="1">{"'Sheet1'!$L$16"}</definedName>
    <definedName name="_VTQ1" hidden="1">{"'Sheet1'!$L$16"}</definedName>
    <definedName name="_XB2">#REF!</definedName>
    <definedName name="¸d" hidden="1">{"'Sheet1'!$L$16"}</definedName>
    <definedName name="¸df" hidden="1">#REF!</definedName>
    <definedName name="µgg" hidden="1">{"'Sheet1'!$L$16"}</definedName>
    <definedName name="a">{"'Sheet1'!$L$16"}</definedName>
    <definedName name="Á">{"'Sheet1'!$L$16"}</definedName>
    <definedName name="à" hidden="1">{"'Sheet1'!$L$16"}</definedName>
    <definedName name="â">{"'Sheet1'!$L$16"}</definedName>
    <definedName name="ã" hidden="1">{"'Sheet1'!$L$16"}</definedName>
    <definedName name="ầ">{"'Sheet1'!$L$16"}</definedName>
    <definedName name="ằ" hidden="1">{"'Sheet1'!$L$16"}</definedName>
    <definedName name="ả" hidden="1">{"'Sheet1'!$L$16"}</definedName>
    <definedName name="a129_xoa">#REF!</definedName>
    <definedName name="a129_xoaxoa">#REF!</definedName>
    <definedName name="a130_xoa">#REF!</definedName>
    <definedName name="a130_xoaxoa">#REF!</definedName>
    <definedName name="A1CU" hidden="1">{"'Sheet1'!$L$16"}</definedName>
    <definedName name="a1moi">{"'Sheet1'!$L$16"}</definedName>
    <definedName name="a3e32">#REF!</definedName>
    <definedName name="a3rt">{"'Sheet1'!$L$16"}</definedName>
    <definedName name="A6N3">[8]A6!$A$3:$G$13</definedName>
    <definedName name="aa">#REF!</definedName>
    <definedName name="AAA" hidden="1">{"'Sheet1'!$L$16"}</definedName>
    <definedName name="AAA_DOCTOPS" hidden="1">"AAA_SET"</definedName>
    <definedName name="AAA_duser" hidden="1">"OFF"</definedName>
    <definedName name="aaaa">#REF!</definedName>
    <definedName name="AAAAA">{0}</definedName>
    <definedName name="aaaaaa">#REF!</definedName>
    <definedName name="aaaaaaaaaaaaaaaa" hidden="1">{"'Sheet1'!$L$16"}</definedName>
    <definedName name="aaaaaaaaaaaaaaaaa">{"'Sheet1'!$L$16"}</definedName>
    <definedName name="aaag">#REF!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ÀASA">{"'Sheet1'!$L$16"}</definedName>
    <definedName name="aasasas" hidden="1">{"'Sheet1'!$L$16"}</definedName>
    <definedName name="aassa" hidden="1">{"'Sheet1'!$L$16"}</definedName>
    <definedName name="AAX">#REF!</definedName>
    <definedName name="ab">#REF!</definedName>
    <definedName name="ABAB">#REF!</definedName>
    <definedName name="abbsite">#REF!</definedName>
    <definedName name="abbsite_dt">#REF!</definedName>
    <definedName name="abbsite_pt">#REF!</definedName>
    <definedName name="ABC">#REF!</definedName>
    <definedName name="abcd">#REF!</definedName>
    <definedName name="ABCDE" hidden="1">{"'Sheet1'!$L$16"}</definedName>
    <definedName name="abxzsss">#REF!</definedName>
    <definedName name="Access_Button">"업체현황_카드발송_List"</definedName>
    <definedName name="Access_Button1">"업체현황_카드발송_List"</definedName>
    <definedName name="Access_Button2">"업체현황_카드발송_List"</definedName>
    <definedName name="Access_Button3">"카드발송_카드발송_List1"</definedName>
    <definedName name="Access_Button4">"업체현황_카드발송_List"</definedName>
    <definedName name="AccessDatabase" hidden="1">"C:\My Documents\HAU\Danhsach\List Cpn.mdb"</definedName>
    <definedName name="acd" hidden="1">{"'Sheet1'!$L$16"}</definedName>
    <definedName name="ACDA">#REF!</definedName>
    <definedName name="Acell">INDIRECT(ADDRESS(ROW(),COLUMN()))</definedName>
    <definedName name="ACMV">{"'Sheet1'!$L$16"}</definedName>
    <definedName name="ACMV_1">{"'Sheet1'!$L$16"}</definedName>
    <definedName name="AD">#REF!</definedName>
    <definedName name="ÁD" hidden="1">#REF!</definedName>
    <definedName name="AD_1">{"'Sheet1'!$L$16"}</definedName>
    <definedName name="ada">#REF!</definedName>
    <definedName name="adad" hidden="1">{"'Sheet1'!$L$16"}</definedName>
    <definedName name="adadada">{0,0,0,0;0,0,0,0;0,0,0,0;0,0,0,0;0,0,0,0;0,0,0,0;0,0,0,0}</definedName>
    <definedName name="adadadad">#REF!</definedName>
    <definedName name="ADADADD" hidden="1">{"'Sheet1'!$L$16"}</definedName>
    <definedName name="adaf" hidden="1">{"'Sheet1'!$L$16"}</definedName>
    <definedName name="ÁDAF">{"'Sheet1'!$L$16"}</definedName>
    <definedName name="ádas" hidden="1">{"'Sheet1'!$L$16"}</definedName>
    <definedName name="adasasdda">#REF!</definedName>
    <definedName name="ÁDASDFASFA">{"'Sheet1'!$L$16"}</definedName>
    <definedName name="adasfgdsg">{"'Sheet1'!$L$16"}</definedName>
    <definedName name="ADC">#REF!</definedName>
    <definedName name="ADCD">#REF!</definedName>
    <definedName name="add">[0]!PTNC</definedName>
    <definedName name="ade">#REF!</definedName>
    <definedName name="ÁDF">#REF!</definedName>
    <definedName name="adfdda">#REF!</definedName>
    <definedName name="adfdghfgjghkhjkjhljkl" hidden="1">{"'Sheet1'!$L$16"}</definedName>
    <definedName name="adffa">[0]!Bust</definedName>
    <definedName name="ÁDFGHJ" hidden="1">{"'Sheet1'!$L$16"}</definedName>
    <definedName name="adfghkk">#REF!</definedName>
    <definedName name="ấdfsdfasdfsd">{"'Sheet1'!$L$16"}</definedName>
    <definedName name="ADG">#REF!</definedName>
    <definedName name="ADITION" hidden="1">{"'장비'!$A$3:$M$12"}</definedName>
    <definedName name="áds" hidden="1">{"'Sheet1'!$L$16"}</definedName>
    <definedName name="àds" hidden="1">{"'Sheet1'!$L$16"}</definedName>
    <definedName name="ádsấ">#REF!</definedName>
    <definedName name="adsadsa">#REF!</definedName>
    <definedName name="adsdghtyyuiui">#REF!</definedName>
    <definedName name="ádsfsadsdeerg" hidden="1">{"'Sheet1'!$L$16"}</definedName>
    <definedName name="ADV" hidden="1">{"'Sheet1'!$A$2"}</definedName>
    <definedName name="adv1_dt">#REF!</definedName>
    <definedName name="adv1_end">#REF!</definedName>
    <definedName name="adv1_pt">#REF!</definedName>
    <definedName name="adv1_start">#REF!</definedName>
    <definedName name="adv1_start_dt">#REF!</definedName>
    <definedName name="adv1_start_pt">#REF!</definedName>
    <definedName name="adv2_dt">#REF!</definedName>
    <definedName name="adv2_end">#REF!</definedName>
    <definedName name="adv2_pt">#REF!</definedName>
    <definedName name="adv2_start">#REF!</definedName>
    <definedName name="adv2_start_dt">#REF!</definedName>
    <definedName name="adv2_start_pt">#REF!</definedName>
    <definedName name="advass">{"'Sheet1'!$L$16"}</definedName>
    <definedName name="ae">{"'Sheet1'!$L$16"}</definedName>
    <definedName name="aerhs">#REF!</definedName>
    <definedName name="aesde">#REF!</definedName>
    <definedName name="AEWWQAFDASF">{"'Sheet1'!$L$16"}</definedName>
    <definedName name="âfA" hidden="1">{"'Sheet1'!$L$16"}</definedName>
    <definedName name="afaf" hidden="1">{#N/A,#N/A,FALSE,"Chi tiÆt"}</definedName>
    <definedName name="afasd">#REF!</definedName>
    <definedName name="afasfsagfas">#REF!</definedName>
    <definedName name="afd">#REF!</definedName>
    <definedName name="AFDA">#REF!</definedName>
    <definedName name="afdf" hidden="1">{"'Sheet1'!$L$16"}</definedName>
    <definedName name="AFDFD">#REF!</definedName>
    <definedName name="afff" hidden="1">{"'Sheet1'!$L$16"}</definedName>
    <definedName name="ĂFRSGDF">{"'Sheet1'!$L$16"}</definedName>
    <definedName name="AFWRR" hidden="1">{"'Sheet1'!$L$16"}</definedName>
    <definedName name="ăg" hidden="1">{"'Sheet1'!$L$16"}</definedName>
    <definedName name="AGE">{"'Sheet1'!$L$16"}</definedName>
    <definedName name="ầgfabg">#REF!</definedName>
    <definedName name="ẩgg" hidden="1">{"'Sheet1'!$L$16"}</definedName>
    <definedName name="ầgga" hidden="1">{"'Sheet1'!$L$16"}</definedName>
    <definedName name="ah" hidden="1">{"'Sheet1'!$L$16"}</definedName>
    <definedName name="ahah" hidden="1">{"'Sheet1'!$L$16"}</definedName>
    <definedName name="ahajdks" hidden="1">{"'Sheet1'!$L$16"}</definedName>
    <definedName name="âheah" hidden="1">{"'Sheet1'!$L$16"}</definedName>
    <definedName name="AHGA">{"'Sheet1'!$L$16"}</definedName>
    <definedName name="ÁHGFDA" hidden="1">{"'Sheet1'!$L$16"}</definedName>
    <definedName name="ahtjht">{"'Sheet1'!$L$16"}</definedName>
    <definedName name="ak">#REF!</definedName>
    <definedName name="al" hidden="1">{"'Sheet1'!$L$16"}</definedName>
    <definedName name="ALCKDGH">#REF!</definedName>
    <definedName name="algag" hidden="1">{"'Sheet1'!$L$16"}</definedName>
    <definedName name="ALPH">#REF!</definedName>
    <definedName name="An" hidden="1">{"'Sheet1'!$L$16"}</definedName>
    <definedName name="anh">#REF!</definedName>
    <definedName name="anh\" hidden="1">{"'Sheet1'!$L$16"}</definedName>
    <definedName name="anhmo" hidden="1">{"'Sheet1'!$L$16"}</definedName>
    <definedName name="anhyeuem" hidden="1">{"'Sheet1'!$L$16"}</definedName>
    <definedName name="anscount">1</definedName>
    <definedName name="Antoan">{"'Sheet1'!$L$16"}</definedName>
    <definedName name="aqe" hidden="1">{"'Sheet1'!$L$16"}</definedName>
    <definedName name="aqwerq" hidden="1">{"'Sheet1'!$L$16"}</definedName>
    <definedName name="AQWS">#REF!</definedName>
    <definedName name="array">{"demiurg.xls","Thong ke cau kien.xls"}</definedName>
    <definedName name="AS">#REF!</definedName>
    <definedName name="AS2DocOpenMode" hidden="1">"AS2DocumentEdit"</definedName>
    <definedName name="AS2HasNoAutoHeaderFooter">" "</definedName>
    <definedName name="AS2ReportLS">1</definedName>
    <definedName name="AS2StaticLS">#REF!</definedName>
    <definedName name="AS2SyncStepLS">0</definedName>
    <definedName name="AS2TickmarkLS">#REF!</definedName>
    <definedName name="AS2VersionLS">300</definedName>
    <definedName name="asa">{"'Sheet1'!$L$16"}</definedName>
    <definedName name="asad" hidden="1">{"'Sheet1'!$L$16"}</definedName>
    <definedName name="asas">#REF!</definedName>
    <definedName name="asca" hidden="1">{"'Sheet1'!$L$16"}</definedName>
    <definedName name="ASD">#REF!</definedName>
    <definedName name="asdada">#REF!</definedName>
    <definedName name="ASDAS">#REF!</definedName>
    <definedName name="asdasd" hidden="1">{"'Sheet1'!$L$16"}</definedName>
    <definedName name="ASDASDSADAS" hidden="1">{"'Sheet1'!$L$16"}</definedName>
    <definedName name="asdccccc">#REF!</definedName>
    <definedName name="asdf">#REF!</definedName>
    <definedName name="asdfa">#REF!</definedName>
    <definedName name="asdfas" hidden="1">#REF!</definedName>
    <definedName name="asdfasdfs" hidden="1">{"'Sheet1'!$L$16"}</definedName>
    <definedName name="asdffgggh">{"'Sheet1'!$L$16"}</definedName>
    <definedName name="asdfg">{"'Sheet1'!$L$16"}</definedName>
    <definedName name="asdrggrtg">{"'Sheet1'!$L$16"}</definedName>
    <definedName name="aserasdea">{"'Sheet1'!$L$16"}</definedName>
    <definedName name="ASEW" hidden="1">{"'Sheet1'!$L$16"}</definedName>
    <definedName name="asf">{"'Sheet1'!$L$16"}</definedName>
    <definedName name="asfas">#REF!</definedName>
    <definedName name="asfsdfasfasdf" hidden="1">{"'Sheet1'!$L$16"}</definedName>
    <definedName name="asfsf" hidden="1">{"'Sheet1'!$L$16"}</definedName>
    <definedName name="asGDBhsN" hidden="1">{"'Sheet1'!$L$16"}</definedName>
    <definedName name="asghjjjj">#REF!</definedName>
    <definedName name="asq" hidden="1">{"'Sheet1'!$L$16"}</definedName>
    <definedName name="asss">{"'Sheet1'!$L$16"}</definedName>
    <definedName name="assss">#REF!</definedName>
    <definedName name="asssss">{"'Sheet1'!$L$16"}</definedName>
    <definedName name="ÂSSSSS" hidden="1">{"'Sheet1'!$L$16"}</definedName>
    <definedName name="aswd" hidden="1">{"'Sheet1'!$L$16"}</definedName>
    <definedName name="AT">#REF!</definedName>
    <definedName name="atdakdh" hidden="1">#REF!</definedName>
    <definedName name="ATGT">{"'Sheet1'!$L$16"}</definedName>
    <definedName name="atien1" hidden="1">{"'Sheet1'!$L$16"}</definedName>
    <definedName name="ATW">#REF!</definedName>
    <definedName name="ATX">2</definedName>
    <definedName name="AU" hidden="1">{"'Sheet1'!$L$16"}</definedName>
    <definedName name="av">{"'Liquid'!$A$1:$U$57"}</definedName>
    <definedName name="avađsf">#REF!</definedName>
    <definedName name="awegw" hidden="1">{#N/A,#N/A,TRUE,"BT M200 da 10x20"}</definedName>
    <definedName name="aws">#REF!</definedName>
    <definedName name="ax" hidden="1">{"'Sheet1'!$L$16"}</definedName>
    <definedName name="az" hidden="1">{"'Sheet1'!$L$16"}</definedName>
    <definedName name="B">#REF!</definedName>
    <definedName name="B_VND">0.05</definedName>
    <definedName name="B_YEN">0.1</definedName>
    <definedName name="B13T14" hidden="1">{"'Sheet1'!$L$16"}</definedName>
    <definedName name="b14b">{"'Sheet1'!$L$16"}</definedName>
    <definedName name="b14b1">{"'Sheet1'!$L$16"}</definedName>
    <definedName name="B2.Other" hidden="1">{"'Sheet1'!$L$16"}</definedName>
    <definedName name="B6a">{"'Sheet1'!$L$16"}</definedName>
    <definedName name="bac3.5">12971</definedName>
    <definedName name="bac3.7">13180</definedName>
    <definedName name="bac4.5">14925</definedName>
    <definedName name="BacKan">#REF!</definedName>
    <definedName name="bai" hidden="1">{"'Sheet1'!$L$16"}</definedName>
    <definedName name="BAN_D1" hidden="1">{"'Sheet1'!$L$16"}</definedName>
    <definedName name="BANGGIA">#REF!</definedName>
    <definedName name="BANGGIA1">#REF!</definedName>
    <definedName name="bangtuan">{"Thuxm2.xls","Sheet1"}</definedName>
    <definedName name="banQL">{"'Sheet1'!$L$16"}</definedName>
    <definedName name="Baogia" hidden="1">{"'Sheet1'!$L$16"}</definedName>
    <definedName name="basic" hidden="1">{"'Sheet1'!$L$16"}</definedName>
    <definedName name="BAVF" hidden="1">{"'Sheet1'!$L$16"}</definedName>
    <definedName name="BB">#REF!</definedName>
    <definedName name="BB_new" hidden="1">{"'Sheet1'!$L$16"}</definedName>
    <definedName name="bbanbnn">#REF!</definedName>
    <definedName name="BBB">{"'Sheet1'!$L$16"}</definedName>
    <definedName name="ｂｂｂ">{"'Sheet1'!$L$16"}</definedName>
    <definedName name="bbbb">{"'Sheet1'!$L$16"}</definedName>
    <definedName name="ｂｂｂｂ">{"'Sheet1'!$L$16"}</definedName>
    <definedName name="ｂｂｂｂｂ">{"'Sheet1'!$L$16"}</definedName>
    <definedName name="BBBG">{"'Sheet1'!$L$16"}</definedName>
    <definedName name="BBgach" hidden="1">{"'Sheet1'!$L$16"}</definedName>
    <definedName name="bbgg">{"'Sheet1'!$L$16"}</definedName>
    <definedName name="BBKK" hidden="1">{"'Sheet1'!$L$16"}</definedName>
    <definedName name="bbtd" hidden="1">{"'Sheet1'!$L$16"}</definedName>
    <definedName name="bbv">#REF!</definedName>
    <definedName name="bc" hidden="1">{"'Sheet1'!$L$16"}</definedName>
    <definedName name="bcb" hidden="1">{"'Sheet1'!$L$16"}</definedName>
    <definedName name="BCBo" hidden="1">{"'Sheet1'!$L$16"}</definedName>
    <definedName name="BCTQ" hidden="1">{"'Sheet1'!$L$16"}</definedName>
    <definedName name="BCTV">{"'Sheet1'!$L$16"}</definedName>
    <definedName name="bcv" hidden="1">{"'Sheet1'!$L$16"}</definedName>
    <definedName name="bcvb" hidden="1">{"'Sheet1'!$L$16"}</definedName>
    <definedName name="bd">[3]gVL!$Q$15</definedName>
    <definedName name="bdd">1.5</definedName>
    <definedName name="BDFBDFBDF">{"'Sheet1'!$L$16"}</definedName>
    <definedName name="BDGNDNGB">{"'Sheet1'!$L$16"}</definedName>
    <definedName name="bdv">{"'Sheet1'!$L$16"}</definedName>
    <definedName name="bedo">1.2</definedName>
    <definedName name="bemai" hidden="1">{"'Sheet1'!$L$16"}</definedName>
    <definedName name="beta">20</definedName>
    <definedName name="BFD">#REF!</definedName>
    <definedName name="BFDBRBSD" hidden="1">{"NGUYEN QUI THIEP - Personal View",#N/A,FALSE,"XDCB.HT.FUR."}</definedName>
    <definedName name="BFSBFD">{"'Sheet1'!$L$16"}</definedName>
    <definedName name="bg">{"'Sheet1'!$L$16"}</definedName>
    <definedName name="BG_Del">15</definedName>
    <definedName name="BG_Ins">4</definedName>
    <definedName name="BG_Mod">6</definedName>
    <definedName name="BGFNC">{"'Sheet1'!$L$16"}</definedName>
    <definedName name="bghfctx">{"'Sheet1'!$L$16"}</definedName>
    <definedName name="bghui">{"'Sheet1'!$L$16"}</definedName>
    <definedName name="Bgiang">{"'Sheet1'!$L$16"}</definedName>
    <definedName name="BGSFGSD">{"'Sheet1'!$L$16"}</definedName>
    <definedName name="BHDB">{"'Sheet1'!$L$16"}</definedName>
    <definedName name="bhfh">{"'Sheet1'!$L$16"}</definedName>
    <definedName name="Bhthang4">#REF!</definedName>
    <definedName name="bhthang5">#REF!</definedName>
    <definedName name="bhthang6">{"'Sheet1'!$L$16"}</definedName>
    <definedName name="BIA">{"'Sheet1'!$L$16"}</definedName>
    <definedName name="bietthu" hidden="1">{"'Sheet1'!$L$16"}</definedName>
    <definedName name="BIGC">#REF!</definedName>
    <definedName name="Bike">#REF!</definedName>
    <definedName name="bill1a" hidden="1">{"'Sheet1'!$L$16"}</definedName>
    <definedName name="Binh">{"'Sheet1'!$L$16"}</definedName>
    <definedName name="bkd" hidden="1">{"'Sheet1'!$L$16"}</definedName>
    <definedName name="bkinh1">'[9]Định hình'!$C$3</definedName>
    <definedName name="bkinh2">'[9]Định hình'!$C$4</definedName>
    <definedName name="bkinh3">'[9]Định hình'!$C$5</definedName>
    <definedName name="bkinh4">'[9]Định hình'!$C$6</definedName>
    <definedName name="bkinh5">'[9]Định hình'!$C$7</definedName>
    <definedName name="bkinh6">'[9]Định hình'!$C$8</definedName>
    <definedName name="BL">"$A$1:$f$11"</definedName>
    <definedName name="blu0.47">'[5]Vat tu'!$O$5</definedName>
    <definedName name="blu0.57">'[5]Vat tu'!$O$6</definedName>
    <definedName name="blu0.77">'[5]Vat tu'!$O$7</definedName>
    <definedName name="blu0.95">'[5]Vat tu'!$O$8</definedName>
    <definedName name="blu1.15">'[5]Vat tu'!$O$9</definedName>
    <definedName name="BM">#REF!</definedName>
    <definedName name="BMS">{"'Sheet1'!$L$16"}</definedName>
    <definedName name="BN">{"'Sheet1'!$L$16"}</definedName>
    <definedName name="bo" hidden="1">{0,0,0,0;0,0,0,0;0,0,0,0;0,0,0,0;0,0,0,0;0,0,0,0;0,0,0,0}</definedName>
    <definedName name="Bọc_BTT_dày_25">25</definedName>
    <definedName name="bơm">1.35</definedName>
    <definedName name="book1" hidden="1">{"'现金流量表（全部投资）'!$B$4:$P$23"}</definedName>
    <definedName name="Book22">{"'Sheet1'!$L$16"}</definedName>
    <definedName name="BOQA2">{"'Sheet1'!$L$16"}</definedName>
    <definedName name="BOQCongtruong">#REF!</definedName>
    <definedName name="bosung">{"'Sheet1'!$L$16"}</definedName>
    <definedName name="BREAK">#REF!</definedName>
    <definedName name="BSA" hidden="1">{"'Sheet1'!$L$16"}</definedName>
    <definedName name="BSFSDBVSD">{"'Sheet1'!$L$16"}</definedName>
    <definedName name="BT" hidden="1">{"'Sheet1'!$L$16"}</definedName>
    <definedName name="btdc2">#REF!</definedName>
    <definedName name="BTH">{"'Sheet1'!$L$16"}</definedName>
    <definedName name="btl" hidden="1">{"'Sheet1'!$L$16"}</definedName>
    <definedName name="btnm3" hidden="1">{"'Sheet1'!$L$16"}</definedName>
    <definedName name="BTT">25</definedName>
    <definedName name="bu" hidden="1">{"'Sheet1'!$L$16"}</definedName>
    <definedName name="bùc">{"Book1","Dt tonghop.xls"}</definedName>
    <definedName name="Bulongma">8700</definedName>
    <definedName name="buoi">{"'Sheet1'!$L$16"}</definedName>
    <definedName name="Button_1">"MAT_PRICE_Sheet1_List"</definedName>
    <definedName name="Button_44">"the_kho_muachitiet_List"</definedName>
    <definedName name="bvhjggj">#REF!</definedName>
    <definedName name="BXBXCBC">{"'Sheet1'!$L$16"}</definedName>
    <definedName name="bxvbx" hidden="1">{"'Sheet1'!$L$16"}</definedName>
    <definedName name="C_VND">0.03</definedName>
    <definedName name="C_YEN">0.1</definedName>
    <definedName name="CA">#REF!</definedName>
    <definedName name="CẪ">{"'Sheet1'!$L$16"}</definedName>
    <definedName name="Cable">{"'Sheet1'!$L$16"}</definedName>
    <definedName name="CACAU">298161</definedName>
    <definedName name="caccccc">{"'Sheet1'!$L$16"}</definedName>
    <definedName name="CACSA" hidden="1">{"'Sheet1'!$L$16"}</definedName>
    <definedName name="CALBE">{"'Sheet1'!$L$16"}</definedName>
    <definedName name="cald">#REF!</definedName>
    <definedName name="came">{"'Sheet1'!$L$16"}</definedName>
    <definedName name="camsw">#REF!</definedName>
    <definedName name="CANON">{"'Sheet1'!$L$16"}</definedName>
    <definedName name="canteen" hidden="1">{"'Sheet1'!$L$16"}</definedName>
    <definedName name="CaododayGa">{"'Sheet1'!$L$16"}</definedName>
    <definedName name="CARL">#REF!</definedName>
    <definedName name="CARL1">#REF!</definedName>
    <definedName name="CARL2">#REF!</definedName>
    <definedName name="catalogue">{"'Sheet1'!$L$16"}</definedName>
    <definedName name="cau">[10]NC!$B$5:$C$56</definedName>
    <definedName name="caunho1">ErrorHandler_1</definedName>
    <definedName name="cauthang" hidden="1">{"'Sheet1'!$L$16"}</definedName>
    <definedName name="Caw">0.45-0.11</definedName>
    <definedName name="cay">{"'Sheet1'!$L$16"}</definedName>
    <definedName name="cbnnbn" hidden="1">{"'Sheet1'!$L$16"}</definedName>
    <definedName name="Cbw">0.45/2-0.11</definedName>
    <definedName name="CBWorkbookPriority">-1807836116</definedName>
    <definedName name="ccc">{"'Sheet1'!$L$16"}</definedName>
    <definedName name="cccc">#REF!</definedName>
    <definedName name="cccccccasdasd" hidden="1">{"'Sheet1'!$L$16"}</definedName>
    <definedName name="CCDC" hidden="1">{"'Sheet1'!$L$16"}</definedName>
    <definedName name="CCM">#REF!</definedName>
    <definedName name="CD">#REF!</definedName>
    <definedName name="Çdµ" hidden="1">{"'Sheet1'!$L$16"}</definedName>
    <definedName name="CDFRRR">#REF!</definedName>
    <definedName name="cdfrt">#REF!</definedName>
    <definedName name="cds">#REF!</definedName>
    <definedName name="cdt">#REF!</definedName>
    <definedName name="Celling">{"'Sheet1'!$L$16"}</definedName>
    <definedName name="CF_TDGDD">[7]Config!$C$101</definedName>
    <definedName name="CFA_CP" comment="CFA cost plan">CFA_PTE</definedName>
    <definedName name="CFA_PTE" comment="CFA PTE">20791</definedName>
    <definedName name="cfddddd">#REF!</definedName>
    <definedName name="cg">{"'Sheet1'!$L$16"}</definedName>
    <definedName name="cgmh" hidden="1">{"'용역비'!$A$4:$C$8"}</definedName>
    <definedName name="CHAIN">#REF!</definedName>
    <definedName name="Chart3" hidden="1">{"'Sheet1'!$L$16"}</definedName>
    <definedName name="chi" hidden="1">{"'Sheet1'!$L$16"}</definedName>
    <definedName name="chietchai2">{"'Sheet1'!$L$16"}</definedName>
    <definedName name="chieucaotang">5</definedName>
    <definedName name="chilk">{"'Sheet1'!$L$16"}</definedName>
    <definedName name="Chiphi">{"'Sheet1'!$L$16"}</definedName>
    <definedName name="chitiet3">{"'Sheet1'!$L$16"}</definedName>
    <definedName name="chitietbgiang2" hidden="1">{"'Sheet1'!$L$16"}</definedName>
    <definedName name="chl">{"'Sheet1'!$L$16"}</definedName>
    <definedName name="CHO">#REF!</definedName>
    <definedName name="CHO.J">#REF!</definedName>
    <definedName name="CHOJ">#REF!</definedName>
    <definedName name="CHOJU">#REF!</definedName>
    <definedName name="chosd">#REF!</definedName>
    <definedName name="chot3">{"'Sheet1'!$L$16"}</definedName>
    <definedName name="chottda">{"'Sheet1'!$L$16"}</definedName>
    <definedName name="chung">66</definedName>
    <definedName name="chungchi" hidden="1">{"'Sheet1'!$L$16"}</definedName>
    <definedName name="chuyen" hidden="1">{"'Sheet1'!$L$16"}</definedName>
    <definedName name="ci">{"'Sheet1'!$L$16"}</definedName>
    <definedName name="cjh">#REF!</definedName>
    <definedName name="CLVC3">0.1</definedName>
    <definedName name="CMC">{"'Sheet1'!$L$16"}</definedName>
    <definedName name="cn2a" hidden="1">{"'Sheet1'!$L$16"}</definedName>
    <definedName name="CNchung">{"'Sheet1'!$L$16"}</definedName>
    <definedName name="cnjfnbnn">#REF!</definedName>
    <definedName name="CNSCL">{"'Sheet1'!$L$16"}</definedName>
    <definedName name="COAT">#REF!</definedName>
    <definedName name="coba">#REF!</definedName>
    <definedName name="Coc_60">{"'Sheet1'!$L$16"}</definedName>
    <definedName name="coccat">{"'Sheet1'!$L$16"}</definedName>
    <definedName name="cocly" hidden="1">{"'Sheet1'!$L$16"}</definedName>
    <definedName name="Code">#REF!</definedName>
    <definedName name="CODE_ID">"A. NTHAT!$V$10:$V$27"</definedName>
    <definedName name="Col">0.45</definedName>
    <definedName name="Column">#REF!</definedName>
    <definedName name="Comm">BlankMacro1</definedName>
    <definedName name="Company2013">#REF!</definedName>
    <definedName name="CON" hidden="1">{"'Sheet1'!$L$16"}</definedName>
    <definedName name="condition" hidden="1">{"'장비'!$A$3:$M$12"}</definedName>
    <definedName name="Cong_nhan">50</definedName>
    <definedName name="CONGD300" hidden="1">{"'Sheet1'!$L$16"}</definedName>
    <definedName name="CONGPA1">{"'Sheet1'!$L$16"}</definedName>
    <definedName name="coping">#REF!</definedName>
    <definedName name="copphathepviÎttung">{"'Sheet1'!$L$16"}</definedName>
    <definedName name="copy" hidden="1">{"'Sheet1'!$L$16"}</definedName>
    <definedName name="Copyright">"© 1995 Worley Limited"</definedName>
    <definedName name="Cot_san_nen">-0.45</definedName>
    <definedName name="Cot_san_tret">7.1</definedName>
    <definedName name="Cot_tu_nhien">-0.2</definedName>
    <definedName name="CotdinhCocot">-0.05</definedName>
    <definedName name="CotdinhDaiGiangmong">-0.75</definedName>
    <definedName name="Cotsannen">-0.45</definedName>
    <definedName name="Cotsatma">9726</definedName>
    <definedName name="Cotthepma">9726</definedName>
    <definedName name="cotycap">{"'Sheet1'!$L$16"}</definedName>
    <definedName name="COVE">{"'Sheet1'!$L$16"}</definedName>
    <definedName name="CP">#REF!</definedName>
    <definedName name="cpd">[3]gVL!$Q$20</definedName>
    <definedName name="cpdd">[3]gVL!$Q$21</definedName>
    <definedName name="CPDP_CP1">'[7]CP Du phong'!$C$9</definedName>
    <definedName name="CPMS">'[7]THCP thiet bi'!$D$6</definedName>
    <definedName name="CPXD">{"'Sheet1'!$L$16"}</definedName>
    <definedName name="credit1">#REF!</definedName>
    <definedName name="credit1_dt">#REF!</definedName>
    <definedName name="credit1_end">#REF!</definedName>
    <definedName name="credit1_pt">#REF!</definedName>
    <definedName name="credit1_start">#REF!</definedName>
    <definedName name="credit1_start_dt">#REF!</definedName>
    <definedName name="credit1_start_pt">#REF!</definedName>
    <definedName name="credit2">#REF!</definedName>
    <definedName name="credit2_dt">#REF!</definedName>
    <definedName name="credit2_end">#REF!</definedName>
    <definedName name="credit2_pt">#REF!</definedName>
    <definedName name="credit2_start">#REF!</definedName>
    <definedName name="credit2_start_dt">#REF!</definedName>
    <definedName name="credit2_start_pt">#REF!</definedName>
    <definedName name="credit3">#REF!</definedName>
    <definedName name="credit3_dt">#REF!</definedName>
    <definedName name="credit3_end">#REF!</definedName>
    <definedName name="credit3_pt">#REF!</definedName>
    <definedName name="credit3_start">#REF!</definedName>
    <definedName name="credit3_start_dt">#REF!</definedName>
    <definedName name="credit3_start_pt">#REF!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ac" hidden="1">{"'Sheet1'!$L$16"}</definedName>
    <definedName name="csdcsdvdfvdfbdfbd">#REF!</definedName>
    <definedName name="CSODJWO">#REF!</definedName>
    <definedName name="ct">{"'Sheet1'!$L$16"}</definedName>
    <definedName name="ct1_2">{"'Sheet1'!$L$16"}</definedName>
    <definedName name="ctbbt">{"'Sheet1'!$L$16"}</definedName>
    <definedName name="ctct" hidden="1">{"'Sheet1'!$L$16"}</definedName>
    <definedName name="CTCT1" hidden="1">{"'Sheet1'!$L$16"}</definedName>
    <definedName name="CTCT1_1">{"'Sheet1'!$L$16"}</definedName>
    <definedName name="ctct2" hidden="1">{"'Sheet1'!$L$16"}</definedName>
    <definedName name="ctctct" hidden="1">{"'Sheet1'!$L$16"}</definedName>
    <definedName name="CTGS" hidden="1">{"'Sheet1'!$L$16"}</definedName>
    <definedName name="ctieu">{"'Sheet1'!$L$16"}</definedName>
    <definedName name="ctrl">#REF!</definedName>
    <definedName name="CTTC10nam" hidden="1">{"'Sheet1'!$L$16"}</definedName>
    <definedName name="CTXT" hidden="1">{"'Sheet1'!$L$16"}</definedName>
    <definedName name="cung">{"'Sheet1'!$L$16"}</definedName>
    <definedName name="cuong">{"'Sheet1'!$L$16"}</definedName>
    <definedName name="CVBCXBCV">{"'Sheet1'!$L$16"}</definedName>
    <definedName name="CVBGHNNJ">#REF!</definedName>
    <definedName name="cvcvc" hidden="1">{"'Sheet1'!$L$16"}</definedName>
    <definedName name="cvf" hidden="1">{"'Sheet1'!$L$16"}</definedName>
    <definedName name="cvfr">{"'Sheet1'!$L$16"}</definedName>
    <definedName name="cxcxcx" hidden="1">{"'Sheet1'!$L$16"}</definedName>
    <definedName name="cxcxcxc" hidden="1">{"'Sheet1'!$L$16"}</definedName>
    <definedName name="CXVBGFHHG">#REF!</definedName>
    <definedName name="d">{"'Sheet1'!$L$16"}</definedName>
    <definedName name="Đ">#REF!</definedName>
    <definedName name="Ð">{"'Sheet1'!$L$16"}</definedName>
    <definedName name="D1D" hidden="1">{"'Sheet1'!$L$16"}</definedName>
    <definedName name="D1DUONG">#REF!</definedName>
    <definedName name="D1DUONG1">#REF!</definedName>
    <definedName name="D3D" hidden="1">{"'Sheet1'!$L$16"}</definedName>
    <definedName name="D6IN">[0]!BTRAM</definedName>
    <definedName name="da">{"'Sheet1'!$L$16"}</definedName>
    <definedName name="dá">{"'Sheet1'!$L$16"}</definedName>
    <definedName name="dà">{"'Sheet1'!$L$16"}</definedName>
    <definedName name="đá" hidden="1">{"'Sheet1'!$L$16"}</definedName>
    <definedName name="đấ">{"'Sheet1'!$L$16"}</definedName>
    <definedName name="daa">#REF!</definedName>
    <definedName name="dad">#REF!</definedName>
    <definedName name="dada">#REF!</definedName>
    <definedName name="DÁDÁ" hidden="1">{"'Sheet1'!$L$16"}</definedName>
    <definedName name="dadasda">#REF!</definedName>
    <definedName name="DADASDSADSA" hidden="1">{"'Sheet1'!$L$16"}</definedName>
    <definedName name="dads" hidden="1">{"'Sheet1'!$L$16"}</definedName>
    <definedName name="daDSD">{"'Sheet1'!$L$16"}</definedName>
    <definedName name="dadsws" hidden="1">{"'Sheet1'!$L$16"}</definedName>
    <definedName name="dafas" hidden="1">{#N/A,#N/A,TRUE,"BT M200 da 10x20"}</definedName>
    <definedName name="DAGA">#REF!</definedName>
    <definedName name="dam">78000</definedName>
    <definedName name="DAMMONG" hidden="1">{"'Sheet1'!$L$16"}</definedName>
    <definedName name="dang">{"'Sheet1'!$L$16"}</definedName>
    <definedName name="dao">{"'Sheet1'!$L$16"}</definedName>
    <definedName name="daodapong" hidden="1">{"'Sheet1'!$L$16"}</definedName>
    <definedName name="daomuong">{"'Sheet1'!$L$16"}</definedName>
    <definedName name="das" hidden="1">{"'Sheet1'!$L$16"}</definedName>
    <definedName name="dasasasa" hidden="1">{"'Sheet1'!$L$16"}</definedName>
    <definedName name="DASDSADADS" hidden="1">{"'Sheet1'!$L$16"}</definedName>
    <definedName name="DASDSADAS" hidden="1">{"'Sheet1'!$L$16"}</definedName>
    <definedName name="dase">#REF!</definedName>
    <definedName name="daSFSSASADSD">#REF!</definedName>
    <definedName name="dat">#REF!</definedName>
    <definedName name="DATA">#REF!</definedName>
    <definedName name="data1">#REF!</definedName>
    <definedName name="data2">#REF!</definedName>
    <definedName name="data3">#REF!</definedName>
    <definedName name="_xlnm.Database" hidden="1">#REF!</definedName>
    <definedName name="datct" hidden="1">{"'Sheet1'!$L$16"}</definedName>
    <definedName name="daù" hidden="1">{"'Sheet1'!$L$16"}</definedName>
    <definedName name="Dautu">{"'Sheet1'!$L$16"}</definedName>
    <definedName name="davdacsa">{"'Sheet1'!$L$16"}</definedName>
    <definedName name="DBSDVSDVS">{"'Sheet1'!$L$16"}</definedName>
    <definedName name="dbu0.5">'[5]Vat tu'!$E$5</definedName>
    <definedName name="dbu0.6">'[5]Vat tu'!$E$6</definedName>
    <definedName name="dbu0.8">'[5]Vat tu'!$E$7</definedName>
    <definedName name="dbu1.0">'[5]Vat tu'!$E$8</definedName>
    <definedName name="dbu1.2">'[5]Vat tu'!$E$9</definedName>
    <definedName name="dbu1.4">'[5]Vat tu'!$E$10</definedName>
    <definedName name="dbu1.6">'[5]Vat tu'!$E$11</definedName>
    <definedName name="dbu2.0">'[5]Vat tu'!$E$12</definedName>
    <definedName name="dc">{"'Sheet1'!$L$16"}</definedName>
    <definedName name="dcc">[3]gVL!$Q$50</definedName>
    <definedName name="DCFBGYYT">#REF!</definedName>
    <definedName name="DCKS" hidden="1">{"'Sheet1'!$L$16"}</definedName>
    <definedName name="dcl">[3]gVL!$Q$40</definedName>
    <definedName name="DCL_22">12117600</definedName>
    <definedName name="DCL_35">25490000</definedName>
    <definedName name="dcngty">IF(OR(sochucnghinty="",sochucnghinty=0),IF(AND(songhinty&lt;&gt;0,LEN(so)&gt;14),"lẻ",""),CHOOSE(sochucnghinty,"mười","hai mươi","ba mươi","bốn mươi","năm mươi","sáu mươi","bảy mươi","tám mươi","chín mươi"))</definedName>
    <definedName name="dCuocVC_Bachang" hidden="1">#REF!</definedName>
    <definedName name="dd">{"'Sheet1'!$L$16"}</definedName>
    <definedName name="dd0.5x1">[3]gVL!$Q$10</definedName>
    <definedName name="dd2x4">[3]gVL!$Q$12</definedName>
    <definedName name="dda" hidden="1">{"'Sheet1'!$L$16"}</definedName>
    <definedName name="ddamlot" hidden="1">{"'Sheet1'!$L$16"}</definedName>
    <definedName name="ddång">{"'Sheet1'!$L$16"}</definedName>
    <definedName name="ddc">{"'Sheet1'!$L$16"}</definedName>
    <definedName name="ddd">{"'Sheet1'!$L$16"}</definedName>
    <definedName name="dddd">{"'Sheet1'!$L$16"}</definedName>
    <definedName name="DDDĐ" hidden="1">{"'Sheet1'!$L$16"}</definedName>
    <definedName name="ddddd">{"'Sheet1'!$L$16"}</definedName>
    <definedName name="dddddd">#REF!</definedName>
    <definedName name="DDDDDDDD">#REF!</definedName>
    <definedName name="dddddddddd" hidden="1">{"'Sheet1'!$L$16"}</definedName>
    <definedName name="dddddddddddddddđ" hidden="1">{"'Sheet1'!$L$16"}</definedName>
    <definedName name="DDDDDDDDDDDDDDDDDDDDDDDDDDDDDDDDDDDD">#REF!</definedName>
    <definedName name="dddghgghjhk">{"'Sheet1'!$L$16"}</definedName>
    <definedName name="ddds" hidden="1">{"'Sheet1'!$L$16"}</definedName>
    <definedName name="DDEE" hidden="1">{"'Sheet1'!$L$16"}</definedName>
    <definedName name="ddf" hidden="1">{"'Sheet1'!$L$16"}</definedName>
    <definedName name="ddggdg">#REF!</definedName>
    <definedName name="ddghhjjjj">#REF!</definedName>
    <definedName name="ddien">[3]gVL!$Q$51</definedName>
    <definedName name="de">{"'Liquid'!$A$1:$U$57"}</definedName>
    <definedName name="đe" hidden="1">{"'Sheet1'!$L$16"}</definedName>
    <definedName name="dec" hidden="1">{"Offgrid",#N/A,FALSE,"OFFGRID";"Region",#N/A,FALSE,"REGION";"Offgrid -2",#N/A,FALSE,"OFFGRID";"WTP",#N/A,FALSE,"WTP";"WTP -2",#N/A,FALSE,"WTP";"Project",#N/A,FALSE,"PROJECT";"Summary -2",#N/A,FALSE,"SUMMARY"}</definedName>
    <definedName name="dÊd">#REF!</definedName>
    <definedName name="dede">{"'Sheet1'!$L$16"}</definedName>
    <definedName name="deedfsd" hidden="1">{"'Sheet1'!$L$16"}</definedName>
    <definedName name="defef">#REF!</definedName>
    <definedName name="deí" hidden="1">{"'Sheet1'!$L$16"}</definedName>
    <definedName name="DenDK" hidden="1">{"'Sheet1'!$L$16"}</definedName>
    <definedName name="deqetq" hidden="1">{"'Sheet1'!$L$16"}</definedName>
    <definedName name="der">{"Book1","BoQ2.XLS"}</definedName>
    <definedName name="deviation">#REF!</definedName>
    <definedName name="DEWSLDW">#REF!</definedName>
    <definedName name="dex" hidden="1">{"'Sheet1'!$L$16"}</definedName>
    <definedName name="df">#REF!</definedName>
    <definedName name="DFA" hidden="1">#REF!</definedName>
    <definedName name="DFADF">{"'Sheet1'!$L$16"}</definedName>
    <definedName name="DFADFDA">{"'Sheet1'!$L$16"}</definedName>
    <definedName name="dfadsfsdf">{"'Sheet1'!$L$16"}</definedName>
    <definedName name="dfaf" hidden="1">{"'장비'!$A$3:$M$12"}</definedName>
    <definedName name="dfafa" hidden="1">{#N/A,#N/A,FALSE,"Chi tiÆt"}</definedName>
    <definedName name="dfasdfsdfsdf">{"'Sheet1'!$L$16"}</definedName>
    <definedName name="dfcvddddds">#REF!</definedName>
    <definedName name="dfd">#REF!</definedName>
    <definedName name="DFDF">#REF!</definedName>
    <definedName name="DFĐF" hidden="1">{"'Sheet1'!$L$16"}</definedName>
    <definedName name="DFDFBGFBFB" hidden="1">{"'Sheet1'!$L$16"}</definedName>
    <definedName name="dfdfd">{"'Sheet1'!$L$16"}</definedName>
    <definedName name="dfdfdfdf" hidden="1">{"'Sheet1'!$L$16"}</definedName>
    <definedName name="DFDFDS">#REF!</definedName>
    <definedName name="DFDFGE" hidden="1">{#N/A,#N/A,FALSE,"Chi tiÆt"}</definedName>
    <definedName name="DFDFSADFA" hidden="1">{"NGUYEN QUI THIEP - Personal View",#N/A,FALSE,"XDCB.HT.FUR."}</definedName>
    <definedName name="dfdfsdf" hidden="1">{"'Sheet1'!$L$16"}</definedName>
    <definedName name="DFDFSDFSD">#REF!</definedName>
    <definedName name="dfdgfdgfg" hidden="1">{"'Sheet1'!$L$16"}</definedName>
    <definedName name="dfds" hidden="1">{"'Sheet1'!$L$16"}</definedName>
    <definedName name="DFDSAFASF" hidden="1">{"'Sheet1'!$L$16"}</definedName>
    <definedName name="DFDSFA">{"'Sheet1'!$L$16"}</definedName>
    <definedName name="DFF">#REF!</definedName>
    <definedName name="DFFF" hidden="1">{"'Sheet1'!$L$16"}</definedName>
    <definedName name="dfgadfa" hidden="1">{#N/A,#N/A,TRUE,"BT M200 da 10x20"}</definedName>
    <definedName name="DFGASDFA">{"'Sheet1'!$L$16"}</definedName>
    <definedName name="dfgfdg" hidden="1">{"'Sheet1'!$L$16"}</definedName>
    <definedName name="dfgfgjy">{"'Sheet1'!$L$16"}</definedName>
    <definedName name="dfgfj">{"'Sheet1'!$L$16"}</definedName>
    <definedName name="dfgfjhj">{"'Sheet1'!$L$16"}</definedName>
    <definedName name="dfgfÞygh">{"'Sheet1'!$L$16"}</definedName>
    <definedName name="dfgg">NA()</definedName>
    <definedName name="dfggfj" hidden="1">{0}</definedName>
    <definedName name="dfggg">{"'Sheet1'!$L$16"}</definedName>
    <definedName name="dfghfjh">{"'Sheet1'!$L$16"}</definedName>
    <definedName name="DFGHFSGFDS">{"'Sheet1'!$L$16"}</definedName>
    <definedName name="dfgiyy">{"'Sheet1'!$L$16"}</definedName>
    <definedName name="dfgrgqrrrr">#REF!</definedName>
    <definedName name="dfgsdsdfe" hidden="1">{"'Sheet1'!$L$16"}</definedName>
    <definedName name="dfgzxdf">#REF!</definedName>
    <definedName name="dfh">{"'Sheet1'!$L$16"}</definedName>
    <definedName name="dfhadf" hidden="1">{"'Sheet1'!$L$16"}</definedName>
    <definedName name="dfhf">{"'Sheet1'!$L$16"}</definedName>
    <definedName name="dfhp">{"'Sheet1'!$L$16"}</definedName>
    <definedName name="dfjsdhldfgkfd" hidden="1">{"'Sheet1'!$L$16"}</definedName>
    <definedName name="dfret">#REF!</definedName>
    <definedName name="dfrgt">#REF!</definedName>
    <definedName name="dfrgthyyy">#REF!</definedName>
    <definedName name="dfs">#REF!</definedName>
    <definedName name="DFSDF">{"'Sheet1'!$L$16"}</definedName>
    <definedName name="DFSF">#REF!</definedName>
    <definedName name="dfsfsd">{"'Sheet1'!$L$16"}</definedName>
    <definedName name="dfsgsag" hidden="1">{"'Sheet1'!$L$16"}</definedName>
    <definedName name="dftgftjk">{"'Sheet1'!$L$16"}</definedName>
    <definedName name="DGBH" hidden="1">{"'Sheet1'!$L$16"}</definedName>
    <definedName name="DGCTmatcauviahe" hidden="1">{"'Sheet1'!$L$16"}</definedName>
    <definedName name="dgctp2" hidden="1">{"'Sheet1'!$L$16"}</definedName>
    <definedName name="DGD">#REF!</definedName>
    <definedName name="DGDG" hidden="1">{"'Sheet1'!$L$16"}</definedName>
    <definedName name="dgdjdkgd">#REF!</definedName>
    <definedName name="DGF">#REF!</definedName>
    <definedName name="DGFDG">#REF!</definedName>
    <definedName name="dgfg" hidden="1">{"'Sheet1'!$L$16"}</definedName>
    <definedName name="dgfgjky">{"'Sheet1'!$L$16"}</definedName>
    <definedName name="dgfrtfjyu">{"'Sheet1'!$L$16"}</definedName>
    <definedName name="dgh" hidden="1">{"'Sheet1'!$L$16"}</definedName>
    <definedName name="dghg" hidden="1">{"'Sheet1'!$L$16"}</definedName>
    <definedName name="dghjyuk">{"'Sheet1'!$L$16"}</definedName>
    <definedName name="DGKL">#REF!</definedName>
    <definedName name="dgnc1">0.006</definedName>
    <definedName name="dgncTC">0.04</definedName>
    <definedName name="dgrgjg">{"'Sheet1'!$L$16"}</definedName>
    <definedName name="DGSDG" hidden="1">{"'Sheet1'!$L$16"}</definedName>
    <definedName name="DGSEGWE">{"'Sheet1'!$L$16"}</definedName>
    <definedName name="dgsgsg" hidden="1">{"'Sheet1'!$L$16"}</definedName>
    <definedName name="dgvf" hidden="1">{"'Sheet1'!$L$16"}</definedName>
    <definedName name="DGWEHWR">{"'Sheet1'!$L$16"}</definedName>
    <definedName name="DHDFGSF">{"'Sheet1'!$L$16"}</definedName>
    <definedName name="dhdhd" hidden="1">{"'Sheet1'!$L$16"}</definedName>
    <definedName name="đhf" hidden="1">{"'Sheet1'!$L$16"}</definedName>
    <definedName name="dhfdhgf" hidden="1">{"'Sheet1'!$L$16"}</definedName>
    <definedName name="dhfsg">#REF!</definedName>
    <definedName name="dhh" hidden="1">{"'Sheet1'!$L$16"}</definedName>
    <definedName name="dhhsf" hidden="1">{"'Sheet1'!$L$16"}</definedName>
    <definedName name="dhj" hidden="1">{"'용역비'!$A$4:$C$8"}</definedName>
    <definedName name="DHSRHGR">{"'Sheet1'!$L$16"}</definedName>
    <definedName name="dhung" hidden="1">{"'Sheet1'!$L$16"}</definedName>
    <definedName name="dien">{"'Sheet1'!$L$16"}</definedName>
    <definedName name="diengiai">{"'Sheet1'!$L$16"}</definedName>
    <definedName name="dieùn" hidden="1">{"'Sheet1'!$L$16"}</definedName>
    <definedName name="Discount">'[11] 60 Range Guard_WORKSHEET'!$K$7</definedName>
    <definedName name="DiscTab1">#REF!</definedName>
    <definedName name="display_area_2">#REF!</definedName>
    <definedName name="dj">{"'Sheet1'!$L$16"}</definedName>
    <definedName name="djghjkd" hidden="1">{"'Sheet1'!$L$16"}</definedName>
    <definedName name="djhfytr">#REF!</definedName>
    <definedName name="djkgklsdfgj" hidden="1">{"'Sheet1'!$L$16"}</definedName>
    <definedName name="dkdjhlajf">#REF!</definedName>
    <definedName name="DKFK">[0]!DKFK</definedName>
    <definedName name="dkhhgkl">{"'Sheet1'!$L$16"}</definedName>
    <definedName name="dkswhdfbf">BlankMacro1</definedName>
    <definedName name="dldyddn" hidden="1">{"'별표'!$N$220"}</definedName>
    <definedName name="dlff">#REF!</definedName>
    <definedName name="DMVT">#REF!</definedName>
    <definedName name="dmxl2">{"'Sheet1'!$L$16"}</definedName>
    <definedName name="dmz">[3]gVL!$Q$45</definedName>
    <definedName name="dn">#REF!</definedName>
    <definedName name="DN1_CT5">{"'Sheet1'!$L$16"}</definedName>
    <definedName name="DNCJFGHH">#REF!</definedName>
    <definedName name="dngty">IF(songhinty="","",IF(AND(soty=0,sochucty=0,sotramty=0,songhinty&gt;0),CHOOSE(sotramty,"một","hai","ba","bốn","năm","sáu","bảy","tám","chín")&amp;" nghìn tỷ ",dnty))</definedName>
    <definedName name="dno">[3]gVL!$Q$49</definedName>
    <definedName name="DNTT">#REF!</definedName>
    <definedName name="dntt10">{"'Sheet1'!$L$16"}</definedName>
    <definedName name="dntt9">{"'Sheet1'!$L$16"}</definedName>
    <definedName name="dnty">IF(AND(songhinty=0,OR(soty&gt;0,sochucty&gt;0,sotramty&gt;0))," nghìn ",IF(AND(sotramty=0,sochucty=0,soty=0),"nghìn tỷ",CHOOSE(songhinty,"một","hai","ba","bốn","năm","sáu","bảy","tám","chín")&amp;" nghìn "))</definedName>
    <definedName name="doc" hidden="1">{"'Sheet1'!$L$16"}</definedName>
    <definedName name="docchuc">IF(OR(sochuc="",sochuc=0),IF(AND(sodonvi&lt;&gt;0,LEN(so)&gt;2),"lẻ",""),CHOOSE(sochuc,"mười","hai mươi","ba mươi","bốn mươi","năm mươi","sáu mươi","bảy mươi","tám mươi","chín mươi"))</definedName>
    <definedName name="docchucnghin">IF(OR(sochucnghin="",sochucnghin=0),IF(AND(songhin&lt;&gt;0,LEN(so)&gt;5),"lẻ",""),CHOOSE(sochucnghin,"mười","hai mươi","ba mươi","bốn mươi","năm mươi","sáu mươi","bảy mươi","tám mươi","chín mươi"))</definedName>
    <definedName name="docchuctrieu">IF(OR(sochuctrieu="",sochuctrieu=0),IF(AND(sotrieu&lt;&gt;0,LEN(so)&gt;8),"lẻ",""),CHOOSE(sochuctrieu,"mười","hai mươi","ba mươi","bốn mươi","năm mươi","sáu mươi","bảy mươi","tám mươi","chín mươi"))</definedName>
    <definedName name="docchucty">IF(OR(sochucty="",sochucty=0),IF(AND(soty&lt;&gt;0,LEN(so)&gt;11),"lẻ",""),CHOOSE(sochucty,"mười","hai mươi","ba mươi","bốn mươi","năm mươi","sáu mươi","bảy mươi","tám mươi","chín mươi"))</definedName>
    <definedName name="docdonvi">IF(OR(sodonvi="",sodonvi=0),"",CHOOSE(sodonvi,IF(AND(sochuc&lt;&gt;"",sochuc&gt;1),"mốt","một"),"hai","ba","bốn",IF(OR(sochuc="",sochuc=0),"năm","lăm"),"sáu","bảy","tám","chín"))</definedName>
    <definedName name="docnghin">IF(AND(songhin=0,sochucnghin&gt;0),"nghìn ",IF(OR(songhin="",songhin=0),"",CHOOSE(songhin,IF(AND(sochucnghin&lt;&gt;"",sochucnghin&gt;1),"mốt","một"),"hai","ba","bốn",IF(OR(sochucnghin="",sochucnghin=0),"năm","lăm"),"sáu","bảy","tám","chín")&amp;" nghìn "))</definedName>
    <definedName name="Docso">#REF!</definedName>
    <definedName name="doctram">IF(OR(sotram="",AND(sodonvi=0,sochuc=0,sotram=0)),"",IF(AND(sotram=0,OR(sodonvi&gt;0,sochuc&gt;0))," không trăm ",CHOOSE(sotram,"một","hai","ba","bốn","năm","sáu","bảy","tám","chín")&amp;" trăm "))</definedName>
    <definedName name="doctramnghin">IF(sotramnghin="","",IF(AND(songhin=0,sochucnghin=0,sotramnghin&gt;0),CHOOSE(sotramnghin,"một","hai","ba","bốn","năm","sáu","bảy","tám","chín")&amp;" trăm nghìn ",dtn))</definedName>
    <definedName name="doctramtrieu">IF(sotramtrieu="","",IF(AND(sotrieu=0,sochuctrieu=0,sotramtrieu&gt;0),CHOOSE(sotramtrieu,"một","hai","ba","bốn","năm","sáu","bảy","tám","chín")&amp;" trăm triệu ",dtt))</definedName>
    <definedName name="doctramty">IF(sotramty="","",IF(AND(soty=0,sochucty=0,sotramty&gt;0),CHOOSE(sotramty,"một","hai","ba","bốn","năm","sáu","bảy","tám","chín")&amp;" trăm tỷ ",dtty))</definedName>
    <definedName name="doctrieu">IF(AND(sotrieu=0,sochuctrieu&gt;0),"triệu ",IF(OR(sotrieu="",sotrieu=0),"",CHOOSE(sotrieu,IF(AND(sochuctrieu&lt;&gt;"",sochuctrieu&gt;1),"mốt","một"),"hai","ba","bốn",IF(OR(sochuctrieu="",sochuctrieu=0),"năm","lăm"),"sáu","bảy","tám","chín")&amp;" triệu "))</definedName>
    <definedName name="docty">IF(AND(soty=0,sochucty&gt;0),"tỷ",IF(OR(soty="",soty=0),"",CHOOSE(soty,IF(AND(sochucty&lt;&gt;"",sochucty&gt;1),"mốt","một"),"hai","ba","bốn",IF(OR(sochucty="",sochucty=0),"năm","lăm"),"sáu","bảy","tám","chín")&amp;" tỷ "))</definedName>
    <definedName name="Document_array">{"Book1","BoQ2.XLS"}</definedName>
    <definedName name="Document_array_1">{"Book1"}</definedName>
    <definedName name="Document_array_5">{"Book1"}</definedName>
    <definedName name="Document_array_6">{"Book1"}</definedName>
    <definedName name="Document_array_7">{"Book1"}</definedName>
    <definedName name="Document_array_8">{"Book1"}</definedName>
    <definedName name="Document_array_9">{"Book1"}</definedName>
    <definedName name="dohong" hidden="1">{"'Sheet1'!$L$16"}</definedName>
    <definedName name="doll" hidden="1">{"'Sheet1'!$L$16"}</definedName>
    <definedName name="Domain">#REF!</definedName>
    <definedName name="dongianhanuoc" hidden="1">{"'Sheet1'!$L$16"}</definedName>
    <definedName name="dq" hidden="1">{"'Sheet1'!$L$16"}</definedName>
    <definedName name="dqdq" hidden="1">{"'Sheet1'!$L$16"}</definedName>
    <definedName name="dQlda_GdpVal">10%*(dQlda_GxlGtbVal+dQlda_GcpkVal)/10^9</definedName>
    <definedName name="dQlda_GtongVal">dQlda_GxlGtbVal+dQlda_GcpkVal+10%*(dQlda_GxlGtbVal+dQlda_GcpkVal)</definedName>
    <definedName name="dQlda_GxlGtbVal">dQlda_GxlVal+dQlda_GtbVal</definedName>
    <definedName name="dqw" hidden="1">{"'Sheet1'!$L$16"}</definedName>
    <definedName name="dr" hidden="1">{"'Sheet1'!$L$16"}</definedName>
    <definedName name="drfgôu">{"'Sheet1'!$L$16"}</definedName>
    <definedName name="drggku">{"'Sheet1'!$L$16"}</definedName>
    <definedName name="ds">#REF!</definedName>
    <definedName name="dsa" hidden="1">{#N/A,#N/A,FALSE,"Chi tiÆt"}</definedName>
    <definedName name="dsaaee" hidden="1">{"'Sheet1'!$L$16"}</definedName>
    <definedName name="Dsachchitiet" hidden="1">{"'Sheet1'!$L$16"}</definedName>
    <definedName name="dsada" hidden="1">{"'Sheet1'!$L$16"}</definedName>
    <definedName name="dsadasdasdas" hidden="1">{"'Sheet1'!$L$16"}</definedName>
    <definedName name="DSADEDWE" hidden="1">{"'Sheet1'!$L$16"}</definedName>
    <definedName name="dsadsa" hidden="1">{"'Sheet1'!$L$16"}</definedName>
    <definedName name="dsaf" hidden="1">{"'Sheet1'!$L$16"}</definedName>
    <definedName name="dsafddsdf">{"'Sheet1'!$L$16"}</definedName>
    <definedName name="dsasdasdasd">#REF!</definedName>
    <definedName name="DSCFDRE">#REF!</definedName>
    <definedName name="dsd" hidden="1">{"'용역비'!$A$4:$C$8"}</definedName>
    <definedName name="dsddd">#REF!</definedName>
    <definedName name="dsds">{"'Sheet1'!$L$16"}</definedName>
    <definedName name="dsdsd">#REF!</definedName>
    <definedName name="DSDSDS" hidden="1">{"'Sheet1'!$L$16"}</definedName>
    <definedName name="dse" hidden="1">{"'Sheet1'!$L$16"}</definedName>
    <definedName name="dsewrtgy">#REF!</definedName>
    <definedName name="dsfa" hidden="1">{"'Sheet1'!$L$16"}</definedName>
    <definedName name="dsfas" hidden="1">{"'Sheet1'!$L$16"}</definedName>
    <definedName name="dsfd">#REF!</definedName>
    <definedName name="DSFDS">{"'Sheet1'!$L$16"}</definedName>
    <definedName name="DSFDSDFSD" hidden="1">{"'Sheet1'!$L$16"}</definedName>
    <definedName name="dsfs" hidden="1">{"'Sheet1'!$L$16"}</definedName>
    <definedName name="dsfsad" hidden="1">{"'Sheet1'!$L$16"}</definedName>
    <definedName name="dsfsdf" hidden="1">{"'Sheet1'!$L$16"}</definedName>
    <definedName name="DSGDSG" hidden="1">{"'Sheet1'!$L$16"}</definedName>
    <definedName name="dsgfhtyjjt">#REF!</definedName>
    <definedName name="dsgsdfgdfshfgh" hidden="1">{"'Sheet1'!$L$16"}</definedName>
    <definedName name="dsgsdg" hidden="1">{"'Sheet1'!$L$16"}</definedName>
    <definedName name="đsjiybùghhd">{"'Sheet1'!$L$16"}</definedName>
    <definedName name="dsjk" hidden="1">{"'Sheet1'!$L$16"}</definedName>
    <definedName name="DSJKLDE">#REF!</definedName>
    <definedName name="dss">#REF!</definedName>
    <definedName name="dssad" hidden="1">{"'Sheet1'!$L$16"}</definedName>
    <definedName name="DSSDSDSADSADSAD" hidden="1">{"'Sheet1'!$L$16"}</definedName>
    <definedName name="DSTD_Clear">NA()</definedName>
    <definedName name="DSTD_Clear_5">NA()</definedName>
    <definedName name="DSTD_Clear_6">NA()</definedName>
    <definedName name="DSTD_Clear_7">NA()</definedName>
    <definedName name="DSTD_Clear_8">NA()</definedName>
    <definedName name="dt">#REF!</definedName>
    <definedName name="dtcnnxi">{"Thuxm2.xls","Sheet1"}</definedName>
    <definedName name="dtctnd" hidden="1">{"'Sheet1'!$L$16"}</definedName>
    <definedName name="dtdt">#REF!</definedName>
    <definedName name="dtgfggÞ">{"'Sheet1'!$L$16"}</definedName>
    <definedName name="dthft" hidden="1">{"'Sheet1'!$L$16"}</definedName>
    <definedName name="dTHKP_Rng" hidden="1">#REF!</definedName>
    <definedName name="DTKT3">{"'Sheet1'!$L$16"}</definedName>
    <definedName name="DTMG_vumua">#REF!</definedName>
    <definedName name="dtn">IF(AND(sotramnghin=0,OR(songhin&gt;0,sochucnghin&gt;0))," không trăm ",IF(AND(sotramnghin=0,sochucnghin=0,songhin=0),"",CHOOSE(sotramnghin,"một","hai","ba","bốn","năm","sáu","bảy","tám","chín")&amp;" trăm "))</definedName>
    <definedName name="dtngty">IF(sotramnghinty="","",IF(AND(songhinty=0,sochucnghinty=0,sotramnghinty&gt;0),CHOOSE(sotramnghinty,"một","hai","ba","bốn","năm","sáu","bảy","tám","chín")&amp;" trăm nghìn ",dtnty))</definedName>
    <definedName name="dtnty">IF(AND(sotramnghinty=0,OR(songhinty&gt;0,sochucnghinty&gt;0))," không trăm ",IF(AND(sotramnghinty=0,sochucnghinty=0,songhinty=0),"",CHOOSE(sotramnghinty,"một","hai","ba","bốn","năm","sáu","bảy","tám","chín")&amp;" trăm "))</definedName>
    <definedName name="dtt">IF(AND(sotramtrieu=0,OR(sotrieu&gt;0,sochuctrieu&gt;0))," không trăm ",IF(AND(sotramtrieu=0,sochuctrieu=0,sotrieu=0),"",CHOOSE(sotramtrieu,"một","hai","ba","bốn","năm","sáu","bảy","tám","chín")&amp;" trăm "))</definedName>
    <definedName name="DTTK">{"'Sheet1'!$L$16"}</definedName>
    <definedName name="dtty">IF(AND(sotramty=0,OR(soty&gt;0,sochucty&gt;0))," không trăm ",IF(AND(sotramty=0,sochucty=0,soty=0),"",CHOOSE(sotramty,"một","hai","ba","bốn","năm","sáu","bảy","tám","chín")&amp;" trăm "))</definedName>
    <definedName name="du">{"'Sheet1'!$L$16"}</definedName>
    <definedName name="duc">{"'Sheet1'!$L$16"}</definedName>
    <definedName name="DucO">{"'Sheet1'!$L$16"}</definedName>
    <definedName name="DUCT">#REF!</definedName>
    <definedName name="dưdưdư" hidden="1">{"'Sheet1'!$L$16"}</definedName>
    <definedName name="DUL" hidden="1">{"'Sheet1'!$L$16"}</definedName>
    <definedName name="dumbwaiter">#REF!</definedName>
    <definedName name="DUNG">{"'Sheet1'!$L$16"}</definedName>
    <definedName name="dung2" hidden="1">{"'Sheet1'!$L$16"}</definedName>
    <definedName name="duong">[10]NC!$B$5:$D$56</definedName>
    <definedName name="Duongnaco">{"'Sheet1'!$L$16"}</definedName>
    <definedName name="dutoanbenuoc">{"'Sheet1'!$L$16"}</definedName>
    <definedName name="dutoanc2">{"'Sheet1'!$L$16"}</definedName>
    <definedName name="Dutoandien" hidden="1">{"'Sheet1'!$L$16"}</definedName>
    <definedName name="dutruchiphi">#REF!</definedName>
    <definedName name="duy" hidden="1">{"'Sheet1'!$L$16"}</definedName>
    <definedName name="DVGEWVBEW">{"'Sheet1'!$L$16"}</definedName>
    <definedName name="dw" hidden="1">{"'Sheet1'!$L$16"}</definedName>
    <definedName name="DWPRICE">#REF!</definedName>
    <definedName name="dwqwq">#REF!</definedName>
    <definedName name="DZ" hidden="1">{"'Sheet1'!$L$16"}</definedName>
    <definedName name="E">#REF!</definedName>
    <definedName name="É" hidden="1">{"'Sheet1'!$L$16"}</definedName>
    <definedName name="Ê" hidden="1">{"'Sheet1'!$L$16"}</definedName>
    <definedName name="Ẻ" hidden="1">{"'Sheet1'!$L$16"}</definedName>
    <definedName name="eaf" hidden="1">{"'Sheet1'!$L$16"}</definedName>
    <definedName name="Êc" hidden="1">{"'Sheet1'!$L$16"}</definedName>
    <definedName name="ED">#REF!</definedName>
    <definedName name="éd" hidden="1">{"'Sheet1'!$L$16"}</definedName>
    <definedName name="edd" hidden="1">{"'Sheet1'!$L$16"}</definedName>
    <definedName name="edffgggg">#REF!</definedName>
    <definedName name="edssqq">#REF!</definedName>
    <definedName name="EDW" hidden="1">{"'Sheet1'!$L$16"}</definedName>
    <definedName name="edwfrhjy">#REF!</definedName>
    <definedName name="edwtgfdsgf">{"'Sheet1'!$L$16"}</definedName>
    <definedName name="ee">#REF!</definedName>
    <definedName name="eed">#REF!</definedName>
    <definedName name="eee">{"'Liquid'!$A$1:$U$57"}</definedName>
    <definedName name="ẺEẺE" hidden="1">{"'Sheet1'!$L$16"}</definedName>
    <definedName name="eeeee">#REF!</definedName>
    <definedName name="eeeeeeeeeee">#REF!</definedName>
    <definedName name="eef">{"'Sheet1'!$L$16"}</definedName>
    <definedName name="eerefdg">#REF!</definedName>
    <definedName name="EFFFEFFF">#REF!</definedName>
    <definedName name="ẻger" hidden="1">{#N/A,#N/A,TRUE,"BT M200 da 10x20"}</definedName>
    <definedName name="egsf" hidden="1">{"'Sheet1'!$L$16"}</definedName>
    <definedName name="ẻgwe" hidden="1">{"'Sheet1'!$L$16"}</definedName>
    <definedName name="ẻgwrq" hidden="1">#REF!</definedName>
    <definedName name="eïhd" hidden="1">{"'Sheet1'!$L$16"}</definedName>
    <definedName name="EK">#REF!</definedName>
    <definedName name="ELLEN1">#REF!</definedName>
    <definedName name="ELLEN10">#REF!</definedName>
    <definedName name="ELLEN11">#REF!</definedName>
    <definedName name="ELLEN12">#REF!</definedName>
    <definedName name="ELLEN13">#REF!</definedName>
    <definedName name="ELLEN14">#REF!</definedName>
    <definedName name="ELLEN15">#REF!</definedName>
    <definedName name="ELLEN16">#REF!</definedName>
    <definedName name="ELLEN17">#REF!</definedName>
    <definedName name="ELLEN18">#REF!</definedName>
    <definedName name="ELLEN19">#REF!</definedName>
    <definedName name="ELLEN2">#REF!</definedName>
    <definedName name="ELLEN3">#REF!</definedName>
    <definedName name="ELLEN4">#REF!</definedName>
    <definedName name="ELLEN5">#REF!</definedName>
    <definedName name="ELLEN6">#REF!</definedName>
    <definedName name="ELLEN7">#REF!</definedName>
    <definedName name="ELLEN8">#REF!</definedName>
    <definedName name="ELLEN9">#REF!</definedName>
    <definedName name="elv">{"'Sheet1'!$L$16"}</definedName>
    <definedName name="eng">#REF!</definedName>
    <definedName name="eng_dt">#REF!</definedName>
    <definedName name="eng_pt">#REF!</definedName>
    <definedName name="eqtrwy" hidden="1">{"'Sheet1'!$L$16"}</definedName>
    <definedName name="er">{0,0,0,0;0,0,0,0;0,0,0,0;0,0,0,0;0,0,0,0;0,0,0,0;0,0,0,0}</definedName>
    <definedName name="ÊR">{"'Sheet1'!$L$16"}</definedName>
    <definedName name="êre" hidden="1">{"'Sheet1'!$L$16"}</definedName>
    <definedName name="erewaf">#REF!</definedName>
    <definedName name="ERQW" hidden="1">#REF!</definedName>
    <definedName name="ERR">#REF!</definedName>
    <definedName name="ERT">{"'Sheet1'!$L$16"}</definedName>
    <definedName name="ertwqtg" hidden="1">{"'Sheet1'!$L$16"}</definedName>
    <definedName name="ertyertye" hidden="1">{"'용역비'!$A$4:$C$8"}</definedName>
    <definedName name="erw">#REF!</definedName>
    <definedName name="erwe">#REF!</definedName>
    <definedName name="eryhrtgabqergerggbvrth">#REF!</definedName>
    <definedName name="es">{"'Sheet1'!$L$16"}</definedName>
    <definedName name="etẻt" hidden="1">{"'Sheet1'!$L$16"}</definedName>
    <definedName name="etqgsg_đhs" hidden="1">{"'Sheet1'!$L$16"}</definedName>
    <definedName name="etuiuti">{"'Sheet1'!$L$16"}</definedName>
    <definedName name="ẺTWTW">{"'Sheet1'!$L$16"}</definedName>
    <definedName name="etyj" hidden="1">{"'용역비'!$A$4:$C$8"}</definedName>
    <definedName name="etyjj" hidden="1">{"'용역비'!$A$4:$C$8"}</definedName>
    <definedName name="EU" comment="Tỉ giá VND/EU=27,544.77">27544.77</definedName>
    <definedName name="eûtheí" hidden="1">{"'Sheet1'!$L$16"}</definedName>
    <definedName name="evt" hidden="1">{"'Sheet1'!$L$16"}</definedName>
    <definedName name="EW" hidden="1">{"'Sheet1'!$L$16"}</definedName>
    <definedName name="ÈW">#REF!</definedName>
    <definedName name="ẺW" hidden="1">{"'Sheet1'!$L$16"}</definedName>
    <definedName name="ewe" hidden="1">{"'Sheet1'!$L$16"}</definedName>
    <definedName name="EWEREWRE">{"'Sheet1'!$L$16"}</definedName>
    <definedName name="ẺWERWE">{"'Sheet1'!$L$16"}</definedName>
    <definedName name="ewfawg" hidden="1">#REF!</definedName>
    <definedName name="EWFS">#REF!</definedName>
    <definedName name="ewqwee" hidden="1">{"'Sheet1'!$L$16"}</definedName>
    <definedName name="ewrfqewrrefeqrftr">{"'Sheet1'!$L$16"}</definedName>
    <definedName name="ewrt" hidden="1">{"'Sheet1'!$L$16"}</definedName>
    <definedName name="ews">{0}</definedName>
    <definedName name="ewtgyqyewy" hidden="1">{"'Sheet1'!$L$16"}</definedName>
    <definedName name="ewwq" hidden="1">{"'Sheet1'!$L$16"}</definedName>
    <definedName name="ex">{"Book1","BoQ2.XLS"}</definedName>
    <definedName name="ExactAddinConnection">"200"</definedName>
    <definedName name="ExactAddinConnection.100">"NGOM19645-2;175;Administrator;1"</definedName>
    <definedName name="ExactAddinConnection.175">"NGOM19645-2;175;Administrator;1"</definedName>
    <definedName name="ExactAddinConnection.200">"MAYCHU2;200;yen;0"</definedName>
    <definedName name="ExactAddinConnection.222">"MINH183590-1;710;Minh183590;1"</definedName>
    <definedName name="ExactAddinConnection.567">"NGO196613-1;567;Tuan;1"</definedName>
    <definedName name="ExactAddinConnection.692">"MINH183590-1;710;Minh183590;1"</definedName>
    <definedName name="ExactAddinConnection.710">"KT_SERVER;710;van2;0"</definedName>
    <definedName name="ExactAddinConnection.889">"NGOM19645-1;889;VAIO;1"</definedName>
    <definedName name="ExactAddinReports">24</definedName>
    <definedName name="Excavati">#REF!</definedName>
    <definedName name="Excel">#REF!</definedName>
    <definedName name="Excel_BuiltIn_Print_Titles">NA()</definedName>
    <definedName name="explorer" hidden="1">{"'Sheet1'!$L$16"}</definedName>
    <definedName name="F">#REF!</definedName>
    <definedName name="F5TF">#REF!</definedName>
    <definedName name="fáaafafaf">{"'Sheet1'!$L$16"}</definedName>
    <definedName name="Fact">1.57</definedName>
    <definedName name="factory4" hidden="1">{"'Sheet1'!$L$16"}</definedName>
    <definedName name="FADHAFH">#REF!</definedName>
    <definedName name="FAFA">{"'Sheet1'!$L$16"}</definedName>
    <definedName name="FAFS" hidden="1">{"'Sheet1'!$L$16"}</definedName>
    <definedName name="fagfa" hidden="1">{"'Sheet1'!$L$16"}</definedName>
    <definedName name="FASDFA" hidden="1">#REF!</definedName>
    <definedName name="fasdfsdfsdfsdf">{"'Sheet1'!$L$16"}</definedName>
    <definedName name="fasf">{"'Sheet1'!$L$16"}</definedName>
    <definedName name="fasfa">{"'Sheet1'!$L$16"}</definedName>
    <definedName name="fasfaga">{"'Sheet1'!$L$16"}</definedName>
    <definedName name="fasfsadfs">{"'Sheet1'!$L$16"}</definedName>
    <definedName name="FASFSD" hidden="1">{"'Sheet1'!$L$16"}</definedName>
    <definedName name="FBCB">#REF!</definedName>
    <definedName name="fbsdggdsf">{"DZ-TDTB2.XLS","Dcksat.xls"}</definedName>
    <definedName name="fbsdggdsf_1">{"DZ-TDTB2.XLS","Dcksat.xls"}</definedName>
    <definedName name="fbsdggdsf_2">{"DZ-TDTB2.XLS","Dcksat.xls"}</definedName>
    <definedName name="fbsdggdsf_3">{"DZ-TDTB2.XLS","Dcksat.xls"}</definedName>
    <definedName name="fbsdggdsf_4">{"DZ-TDTB2.XLS","Dcksat.xls"}</definedName>
    <definedName name="fbsdggdsf_5">{"DZ-TDTB2.XLS","Dcksat.xls"}</definedName>
    <definedName name="FBSEEBASD">{"'Sheet1'!$L$16"}</definedName>
    <definedName name="fÇ">{"'Sheet1'!$L$16"}</definedName>
    <definedName name="FCode">#REF!</definedName>
    <definedName name="fd" hidden="1">{"'Sheet1'!$L$16"}</definedName>
    <definedName name="FDA">#REF!</definedName>
    <definedName name="FDAFW" hidden="1">{"'Sheet1'!$L$16"}</definedName>
    <definedName name="fdasfa" hidden="1">{"'Sheet1'!$L$16"}</definedName>
    <definedName name="fdasfsdfsdfs">{"ÿÿÿÿÿ.xls","CT Dap cau(Thau).xls"}</definedName>
    <definedName name="fdcvgfty">#REF!</definedName>
    <definedName name="fddf" hidden="1">{"'Sheet1'!$L$16"}</definedName>
    <definedName name="fdds" hidden="1">{"'Sheet1'!$L$16"}</definedName>
    <definedName name="FDED">#REF!</definedName>
    <definedName name="FDF">#REF!</definedName>
    <definedName name="fdfd">#REF!</definedName>
    <definedName name="FDFDSF">#REF!</definedName>
    <definedName name="fdfs">#REF!</definedName>
    <definedName name="fdfs2">#REF!</definedName>
    <definedName name="fdfsdfs">#REF!</definedName>
    <definedName name="fdfsf">#REF!</definedName>
    <definedName name="fdg">{"'Sheet1'!$L$16"}</definedName>
    <definedName name="FDGDGDF">#REF!</definedName>
    <definedName name="fdgf" hidden="1">{"'Sheet1'!$L$16"}</definedName>
    <definedName name="fdgfg">{"'Sheet1'!$L$16"}</definedName>
    <definedName name="fdgfgjghhk">#REF!</definedName>
    <definedName name="fdgh">{"ÿÿÿÿÿ.xls","CT Dap cau(Thau).xls"}</definedName>
    <definedName name="fdgk" hidden="1">{"'Sheet1'!$L$16"}</definedName>
    <definedName name="fdgssda" hidden="1">{"'Sheet1'!$L$16"}</definedName>
    <definedName name="fdhgf" hidden="1">{"'Sheet1'!$L$16"}</definedName>
    <definedName name="fđhh" hidden="1">{"'Sheet1'!$L$16"}</definedName>
    <definedName name="fdsdf" hidden="1">{"'Sheet1'!$L$16"}</definedName>
    <definedName name="fdsf">{"'Sheet1'!$L$16"}</definedName>
    <definedName name="fdsfds">#REF!</definedName>
    <definedName name="fdsff">{"'Sheet1'!$L$16"}</definedName>
    <definedName name="fdsfs" hidden="1">{"'Sheet1'!$L$16"}</definedName>
    <definedName name="fdsfsdfd">{"'Sheet1'!$L$16"}</definedName>
    <definedName name="fdy">#REF!</definedName>
    <definedName name="fdyr" hidden="1">{"'Sheet1'!$L$16"}</definedName>
    <definedName name="fe" hidden="1">{"'Sheet1'!$L$16"}</definedName>
    <definedName name="FEDSBSD">{"'Sheet1'!$L$16"}</definedName>
    <definedName name="FEFE" hidden="1">{"'Sheet1'!$L$16"}</definedName>
    <definedName name="FERQAA">{"'Sheet1'!$L$16"}</definedName>
    <definedName name="fers">{"'Sheet1'!$L$16"}</definedName>
    <definedName name="ff">#REF!</definedName>
    <definedName name="ffadfd" hidden="1">{"'Sheet1'!$L$16"}</definedName>
    <definedName name="ffas">{"'Sheet1'!$L$16"}</definedName>
    <definedName name="FFDFG">#REF!</definedName>
    <definedName name="fff">{"'Sheet1'!$L$16"}</definedName>
    <definedName name="FFFF">{"'Sheet1'!$L$16"}</definedName>
    <definedName name="ffffd">#REF!</definedName>
    <definedName name="fffff">{"'Sheet1'!$L$16"}</definedName>
    <definedName name="fffffff" hidden="1">{"'Sheet1'!$L$16"}</definedName>
    <definedName name="fffffffffffffff">{"'Sheet1'!$L$16"}</definedName>
    <definedName name="FFMNQUJQ">#REF!</definedName>
    <definedName name="ffsgsg">17784</definedName>
    <definedName name="fg">#REF!</definedName>
    <definedName name="FGAF" hidden="1">{"'Sheet1'!$L$16"}</definedName>
    <definedName name="fgd">{"'Sheet1'!$L$16"}</definedName>
    <definedName name="FGDFAG" hidden="1">{"'Sheet1'!$L$16"}</definedName>
    <definedName name="FGDFGH" hidden="1">{"'Sheet1'!$L$16"}</definedName>
    <definedName name="FGDFHG">{"'Sheet1'!$L$16"}</definedName>
    <definedName name="fgdgdfg" hidden="1">{"'Sheet1'!$L$16"}</definedName>
    <definedName name="FGDV">#REF!</definedName>
    <definedName name="FGF">#REF!</definedName>
    <definedName name="fgff">#REF!</definedName>
    <definedName name="fgfg">#REF!</definedName>
    <definedName name="fgfgf">{"'Sheet1'!$L$16"}</definedName>
    <definedName name="fgfgfg">{"'Sheet1'!$L$16"}</definedName>
    <definedName name="fgfgfgfgf" hidden="1">{"'Sheet1'!$L$16"}</definedName>
    <definedName name="fgfh">#REF!</definedName>
    <definedName name="fgfjghk">{"'Sheet1'!$L$16"}</definedName>
    <definedName name="fgfjh">{"'Sheet1'!$L$16"}</definedName>
    <definedName name="fgg" hidden="1">{"'장비'!$A$3:$M$12"}</definedName>
    <definedName name="fggfgfgfg" hidden="1">{"'Sheet1'!$L$16"}</definedName>
    <definedName name="fgh">#REF!</definedName>
    <definedName name="fghbys">#REF!</definedName>
    <definedName name="FGHDGFHDF">{"'Sheet1'!$L$16"}</definedName>
    <definedName name="FGHDGHD">{"'Sheet1'!$L$16"}</definedName>
    <definedName name="fghf">{"'Sheet1'!$L$16"}</definedName>
    <definedName name="fghfd">#REF!</definedName>
    <definedName name="fghgh" hidden="1">{"'Sheet1'!$L$16"}</definedName>
    <definedName name="fghgkuh">{"'Sheet1'!$L$16"}</definedName>
    <definedName name="fghhk" hidden="1">{0}</definedName>
    <definedName name="fghjk">{"'Sheet1'!$L$16"}</definedName>
    <definedName name="fghkgjk">{"'Sheet1'!$L$16"}</definedName>
    <definedName name="FGHRGS" hidden="1">{"NGUYEN QUI THIEP - Personal View",#N/A,FALSE,"XDCB.HT.FUR."}</definedName>
    <definedName name="fghytr">#REF!</definedName>
    <definedName name="FGJFGH">{"'Sheet1'!$L$16"}</definedName>
    <definedName name="fgjgyk">{"'Sheet1'!$L$16"}</definedName>
    <definedName name="fgjj">{"'Sheet1'!$L$16"}</definedName>
    <definedName name="fgn">{"'Sheet1'!$L$16"}</definedName>
    <definedName name="FGNFGNFGNF" hidden="1">{"NGUYEN QUI THIEP - Personal View",#N/A,FALSE,"XDCB.HT.FUR."}</definedName>
    <definedName name="fgsdaa" hidden="1">{#N/A,#N/A,TRUE,"BT M200 da 10x20"}</definedName>
    <definedName name="fgzdf" hidden="1">{"'Sheet1'!$L$16"}</definedName>
    <definedName name="fh">#REF!</definedName>
    <definedName name="fhdfh" hidden="1">{"'Sheet1'!$L$16"}</definedName>
    <definedName name="fhf" hidden="1">{0,0,0,0}</definedName>
    <definedName name="fhfdyh" hidden="1">{"'Sheet1'!$L$16"}</definedName>
    <definedName name="fhghl">{"'Sheet1'!$L$16"}</definedName>
    <definedName name="fhgj" hidden="1">{"'Sheet1'!$L$16"}</definedName>
    <definedName name="fhhh" hidden="1">{"'Sheet1'!$L$16"}</definedName>
    <definedName name="FHJHJHG">{"'Sheet1'!$L$16"}</definedName>
    <definedName name="fhjjh" hidden="1">{"'Sheet1'!$L$16"}</definedName>
    <definedName name="fhk" hidden="1">{0}</definedName>
    <definedName name="FI_12">4820</definedName>
    <definedName name="fill">#REF!</definedName>
    <definedName name="FILLL">#REF!</definedName>
    <definedName name="FIRST" hidden="1">{"'Sheet1'!$L$16"}</definedName>
    <definedName name="FIT">BlankMacro1</definedName>
    <definedName name="FITT2">BlankMacro1</definedName>
    <definedName name="FITTING2">BlankMacro1</definedName>
    <definedName name="fjgh">{"'Sheet1'!$L$16"}</definedName>
    <definedName name="FK" hidden="1">{"'용역비'!$A$4:$C$8"}</definedName>
    <definedName name="fkgjk" hidden="1">{"'Sheet1'!$L$16"}</definedName>
    <definedName name="fldfángonh" hidden="1">{"'Sheet1'!$L$16"}</definedName>
    <definedName name="FLG">BlankMacro1</definedName>
    <definedName name="fngn" hidden="1">{"'Sheet1'!$L$16"}</definedName>
    <definedName name="FOR">#REF!</definedName>
    <definedName name="form" hidden="1">{"'ELEC'!$A$2:$H$216","'ELEC'!$C$2:$D$2"}</definedName>
    <definedName name="FORMAT">#REF!</definedName>
    <definedName name="FORMWORK" hidden="1">{"'Sheet1'!$L$16"}</definedName>
    <definedName name="FP">#REF!</definedName>
    <definedName name="FQWERWE">#REF!</definedName>
    <definedName name="FQWFF">#REF!</definedName>
    <definedName name="fr">{"'Liquid'!$A$1:$U$57"}</definedName>
    <definedName name="fr_end">#REF!</definedName>
    <definedName name="fr_start">#REF!</definedName>
    <definedName name="fre" hidden="1">{"'Sheet1'!$L$16"}</definedName>
    <definedName name="FRERTT" hidden="1">{"'Sheet1'!$L$16"}</definedName>
    <definedName name="FRGTHGFRT">#REF!</definedName>
    <definedName name="FRWDS" hidden="1">{"'Sheet1'!$L$16"}</definedName>
    <definedName name="frwrw">#REF!</definedName>
    <definedName name="fs¸gg">{"'Sheet1'!$L$16"}</definedName>
    <definedName name="fsdf">#REF!</definedName>
    <definedName name="FSDFĐ" hidden="1">{"'Sheet1'!$L$16"}</definedName>
    <definedName name="fsdfds" hidden="1">{"'Sheet1'!$L$16"}</definedName>
    <definedName name="fsdfdsf">{"'Sheet1'!$L$16"}</definedName>
    <definedName name="FSDFEW" hidden="1">{"'Sheet1'!$L$16"}</definedName>
    <definedName name="fsdfgdf" hidden="1">{"'Sheet1'!$L$16"}</definedName>
    <definedName name="FSDFSĐ" hidden="1">{"'Sheet1'!$L$16"}</definedName>
    <definedName name="FSDFSDF">#REF!</definedName>
    <definedName name="fsdfsdfsdfs" hidden="1">{"'Sheet1'!$L$16"}</definedName>
    <definedName name="fsdfsf">#REF!</definedName>
    <definedName name="fsdfsfđsffsd" hidden="1">{"'Sheet1'!$L$16"}</definedName>
    <definedName name="fsf">{"'Sheet1'!$L$16"}</definedName>
    <definedName name="fsfs" hidden="1">{"'Sheet1'!$L$16"}</definedName>
    <definedName name="fsfsd" hidden="1">{"'Sheet1'!$L$16"}</definedName>
    <definedName name="FSFSĐSS" hidden="1">{"'Sheet1'!$L$16"}</definedName>
    <definedName name="fsfsf">{"'Sheet1'!$L$16"}</definedName>
    <definedName name="fsfsfdd" hidden="1">{"'Sheet1'!$L$16"}</definedName>
    <definedName name="fsm" hidden="1">{"'CPA Sum'!$A$1:$X$30","'CPA'!$A$1:$K$187","'Infra Cost'!$A$1:$Q$30","'Dev't Cost'!$A$1:$AH$40","'Cashflow'!$A$1:$DG$82"}</definedName>
    <definedName name="fss">{"'Sheet1'!$L$16"}</definedName>
    <definedName name="fszg" hidden="1">{"'Sheet1'!$L$16"}</definedName>
    <definedName name="ftgfg">#REF!</definedName>
    <definedName name="ftrjk" hidden="1">{"'Sheet1'!$L$16"}</definedName>
    <definedName name="fu">#REF!</definedName>
    <definedName name="FUCK">#REF!</definedName>
    <definedName name="FULL">#REF!</definedName>
    <definedName name="fvcgfdr">#REF!</definedName>
    <definedName name="fwef">#REF!</definedName>
    <definedName name="FXBFXB">{"'Sheet1'!$L$16"}</definedName>
    <definedName name="g" hidden="1">{"'Sheet1'!$L$16"}</definedName>
    <definedName name="ga" hidden="1">{"'Sheet1'!$L$16"}</definedName>
    <definedName name="gadfgs" hidden="1">{"'Sheet1'!$L$16"}</definedName>
    <definedName name="gadga" hidden="1">{0,0,0,0;0,0,0,0;0,0,0,0;0,0,0,0;0,0,0,0;0,0,0,0;0,0,0,0}</definedName>
    <definedName name="GADGAFDH">#REF!</definedName>
    <definedName name="GAGA">#REF!</definedName>
    <definedName name="găgawg" hidden="1">#REF!</definedName>
    <definedName name="GÀGF" hidden="1">{"'Sheet1'!$L$16"}</definedName>
    <definedName name="gara" hidden="1">{"'Sheet1'!$L$16"}</definedName>
    <definedName name="gbb">{"'Sheet1'!$L$16"}</definedName>
    <definedName name="gbdg" hidden="1">{"'Sheet1'!$L$16"}</definedName>
    <definedName name="gcm">{"'Sheet1'!$L$16"}</definedName>
    <definedName name="GD">#REF!</definedName>
    <definedName name="gdb">#REF!</definedName>
    <definedName name="gdfg">{0}</definedName>
    <definedName name="gdfgdfgdf">{"'Sheet1'!$L$16"}</definedName>
    <definedName name="gdfgds">#REF!</definedName>
    <definedName name="gdg" hidden="1">{"'Sheet1'!$L$16"}</definedName>
    <definedName name="gdgdfg" hidden="1">{"'Sheet1'!$L$16"}</definedName>
    <definedName name="gdgdfgdfgdfg" hidden="1">{"'Sheet1'!$L$16"}</definedName>
    <definedName name="gdgdg." hidden="1">{"'Sheet1'!$L$16"}</definedName>
    <definedName name="GDGDS" hidden="1">{"'Sheet1'!$L$16"}</definedName>
    <definedName name="gdgfgf" hidden="1">{"'Sheet1'!$L$16"}</definedName>
    <definedName name="gdh" hidden="1">{"'Sheet1'!$L$16"}</definedName>
    <definedName name="gdhgh" hidden="1">{"'Sheet1'!$L$16"}</definedName>
    <definedName name="gdjk">{"'Sheet1'!$L$16"}</definedName>
    <definedName name="gdret" hidden="1">{"'Sheet1'!$L$16"}</definedName>
    <definedName name="GDRFHDF">{"'Sheet1'!$L$16"}</definedName>
    <definedName name="gdrtôh">{"'Sheet1'!$L$16"}</definedName>
    <definedName name="gds" hidden="1">{"'Sheet1'!$L$16"}</definedName>
    <definedName name="ge">{"'Sheet1'!$L$16"}</definedName>
    <definedName name="gể4">#REF!</definedName>
    <definedName name="gegE">#REF!</definedName>
    <definedName name="GÈGEWG">{"'Sheet1'!$L$16"}</definedName>
    <definedName name="gẻgweg" hidden="1">#REF!</definedName>
    <definedName name="GEWGEW">{"'Sheet1'!$L$16"}</definedName>
    <definedName name="gf" hidden="1">{"'Sheet1'!$L$16"}</definedName>
    <definedName name="GFB">4.2-0.75</definedName>
    <definedName name="gfbb" hidden="1">{"'Sheet1'!$L$16"}</definedName>
    <definedName name="GFBV" hidden="1">{"'Sheet1'!$L$16"}</definedName>
    <definedName name="gfd">{"'Sheet1'!$L$16"}</definedName>
    <definedName name="gfdg">{"'Sheet1'!$L$16"}</definedName>
    <definedName name="GFDHG" hidden="1">{"NGUYEN QUI THIEP - Personal View",#N/A,FALSE,"XDCB.HT.FUR."}</definedName>
    <definedName name="gfdhs" hidden="1">{"'Sheet1'!$L$16"}</definedName>
    <definedName name="GFDSGD" hidden="1">{"'Sheet1'!$L$16"}</definedName>
    <definedName name="gfeg">#REF!</definedName>
    <definedName name="GFF">#REF!</definedName>
    <definedName name="gffµggg" hidden="1">{"'Sheet1'!$L$16"}</definedName>
    <definedName name="gffdff">{"'Sheet1'!$L$16"}</definedName>
    <definedName name="gffg" hidden="1">{"'Sheet1'!$L$16"}</definedName>
    <definedName name="gfg">{"'Sheet1'!$L$16"}</definedName>
    <definedName name="gfgdfg">#REF!</definedName>
    <definedName name="gfgf">#REF!</definedName>
    <definedName name="GFGFG" hidden="1">{"'Sheet1'!$L$16"}</definedName>
    <definedName name="gfgfgfgfgfg" hidden="1">{"'Sheet1'!$L$16"}</definedName>
    <definedName name="gfgxdfgx" hidden="1">{"'Sheet1'!$L$16"}</definedName>
    <definedName name="gfh">#REF!</definedName>
    <definedName name="gfhfghfghfgh">{"'Sheet1'!$L$16"}</definedName>
    <definedName name="gfhfghfghfghfghfgh">{"'Sheet1'!$L$16"}</definedName>
    <definedName name="gfhgj" hidden="1">{0}</definedName>
    <definedName name="gfj" hidden="1">{"'Sheet1'!$L$16"}</definedName>
    <definedName name="gfjg">{"'Sheet1'!$L$16"}</definedName>
    <definedName name="GFJHJ" hidden="1">{"'Sheet1'!$L$16"}</definedName>
    <definedName name="gfjnfg" hidden="1">{"'Sheet1'!$L$16"}</definedName>
    <definedName name="GFNGHFN" hidden="1">{"'Sheet1'!$L$16"}</definedName>
    <definedName name="GFSDFSF">{"'Sheet1'!$L$16"}</definedName>
    <definedName name="gftrhgtrfhb">#REF!</definedName>
    <definedName name="gfxhfh" hidden="1">{"'Sheet1'!$L$16"}</definedName>
    <definedName name="GG">#REF!</definedName>
    <definedName name="GGBC1" hidden="1">{"'Sheet1'!$L$16"}</definedName>
    <definedName name="ggdf">{"'Sheet1'!$L$16"}</definedName>
    <definedName name="ggf" hidden="1">'[4]6MONTHS'!$AI$39:$AO$39</definedName>
    <definedName name="GGG">#REF!</definedName>
    <definedName name="GGGGG">#REF!</definedName>
    <definedName name="ggggggg" hidden="1">{"'Sheet1'!$L$16"}</definedName>
    <definedName name="gghh" hidden="1">{"'Sheet1'!$L$16"}</definedName>
    <definedName name="GGIA">#REF!</definedName>
    <definedName name="GGRGH" hidden="1">{"'Sheet1'!$L$16"}</definedName>
    <definedName name="ggsf">#REF!</definedName>
    <definedName name="ggss" hidden="1">{"'Sheet1'!$L$16"}</definedName>
    <definedName name="ggyukiuh">{"'Sheet1'!$L$16"}</definedName>
    <definedName name="GH">#REF!</definedName>
    <definedName name="GHDF" hidden="1">{"'Sheet1'!$L$16"}</definedName>
    <definedName name="ghdzsf" hidden="1">{"'Sheet1'!$L$16"}</definedName>
    <definedName name="ghf" hidden="1">{"'Sheet1'!$L$16"}</definedName>
    <definedName name="ghfghgfhf" hidden="1">{"'Sheet1'!$L$16"}</definedName>
    <definedName name="ghg">{"'Sheet1'!$L$16"}</definedName>
    <definedName name="GHGH">#REF!</definedName>
    <definedName name="ghgj" hidden="1">{0}</definedName>
    <definedName name="ghgk" hidden="1">{0}</definedName>
    <definedName name="ghhdsg">#REF!</definedName>
    <definedName name="ghhgfj">#REF!</definedName>
    <definedName name="ghhh">{"'Sheet1'!$L$16"}</definedName>
    <definedName name="ghhjd">{"'Sheet1'!$L$16"}</definedName>
    <definedName name="ghiu">{"'Sheet1'!$L$16"}</definedName>
    <definedName name="ghj">{"'Sheet1'!$L$16"}</definedName>
    <definedName name="ghjghjgh" hidden="1">#REF!</definedName>
    <definedName name="ghjhgj">{"'Sheet1'!$L$16"}</definedName>
    <definedName name="gi">#REF!</definedName>
    <definedName name="gÎ">#REF!</definedName>
    <definedName name="giangtaygat_1">'[5]Vat tu'!$W$12</definedName>
    <definedName name="giao" hidden="1">{"'Sheet1'!$L$16"}</definedName>
    <definedName name="GiaTon04">35000</definedName>
    <definedName name="GiaTon06">55000</definedName>
    <definedName name="GiaTon08">60000</definedName>
    <definedName name="GIAVT">[12]THVT!$B$5:$G$9</definedName>
    <definedName name="gid" hidden="1">{"'Sheet1'!$L$16"}</definedName>
    <definedName name="Gio">1.2</definedName>
    <definedName name="gjfge4">#REF!</definedName>
    <definedName name="gjfgvfh">#REF!</definedName>
    <definedName name="gjgh" hidden="1">{"'Sheet1'!$L$16"}</definedName>
    <definedName name="gjh" hidden="1">{"'Sheet1'!$L$16"}</definedName>
    <definedName name="gjhg" hidden="1">{"'Sheet1'!$L$16"}</definedName>
    <definedName name="gjhhn">{"'Sheet1'!$L$16"}</definedName>
    <definedName name="gjhi">{"'Sheet1'!$L$16"}</definedName>
    <definedName name="gjhkjh">{"'Sheet1'!$L$16"}</definedName>
    <definedName name="gjk" hidden="1">{0}</definedName>
    <definedName name="GJKHJFG">{"'Sheet1'!$L$16"}</definedName>
    <definedName name="GJKHK">{"'Sheet1'!$L$16"}</definedName>
    <definedName name="gjkj">{"'Sheet1'!$L$16"}</definedName>
    <definedName name="gjrđjsjs" hidden="1">{"'Sheet1'!$L$16"}</definedName>
    <definedName name="gkd" hidden="1">{"'Sheet1'!$L$16"}</definedName>
    <definedName name="GKGHJH" hidden="1">{#N/A,#N/A,FALSE,"Chi tiÆt"}</definedName>
    <definedName name="GKS">[7]Ts!$O$31</definedName>
    <definedName name="glhlhl">{"'Sheet1'!$L$16"}</definedName>
    <definedName name="glllhlh">{"'Sheet1'!$L$16"}</definedName>
    <definedName name="GMG">#REF!</definedName>
    <definedName name="GNCBN" hidden="1">{"NGUYEN QUI THIEP - Personal View",#N/A,FALSE,"XDCB.HT.FUR."}</definedName>
    <definedName name="gndfd">{"'Sheet1'!$L$16"}</definedName>
    <definedName name="GNFKD">#REF!</definedName>
    <definedName name="gnytemy5">#REF!</definedName>
    <definedName name="gochong">[13]GiaVL!$F$22</definedName>
    <definedName name="gra" hidden="1">{"'Sheet1'!$L$16"}</definedName>
    <definedName name="grap_b">#REF!</definedName>
    <definedName name="GREG4E">{"'Sheet1'!$L$16"}</definedName>
    <definedName name="gresg" hidden="1">{"'Sheet1'!$L$16"}</definedName>
    <definedName name="grew">#REF!</definedName>
    <definedName name="grewgrhj">#REF!</definedName>
    <definedName name="grgeg" hidden="1">#REF!</definedName>
    <definedName name="GroundFloor" hidden="1">{"'Sheet1'!$L$16"}</definedName>
    <definedName name="GSDGA" hidden="1">{"'Sheet1'!$L$16"}</definedName>
    <definedName name="GSDGD" hidden="1">{"'Sheet1'!$L$16"}</definedName>
    <definedName name="GSFFAFSFSDF">{"'Sheet1'!$L$16"}</definedName>
    <definedName name="GSGSD">{"'Sheet1'!$L$16"}</definedName>
    <definedName name="gt">{"'Liquid'!$A$1:$U$57"}</definedName>
    <definedName name="gtert" hidden="1">{"'Sheet1'!$L$16"}</definedName>
    <definedName name="gteyhưez" hidden="1">{"'Sheet1'!$L$16"}</definedName>
    <definedName name="GTM">{"'Sheet1'!$L$16"}</definedName>
    <definedName name="GTOTAL">{"'Sheet1'!$L$16"}</definedName>
    <definedName name="gtrfxjmjl" hidden="1">{"'Sheet1'!$L$16"}</definedName>
    <definedName name="GTTB">[7]Ts!$O$30</definedName>
    <definedName name="GTTC">[7]Ts!$O$29</definedName>
    <definedName name="GTTV">[7]Ts!$O$28</definedName>
    <definedName name="GƯD" hidden="1">{"'Sheet1'!$L$16"}</definedName>
    <definedName name="GƯEGWEGED">{"'Sheet1'!$L$16"}</definedName>
    <definedName name="gugỳtỳty">{"'Sheet1'!$L$16"}</definedName>
    <definedName name="gv">[3]gVL!$Q$28</definedName>
    <definedName name="gvjgkjh" hidden="1">{"'Sheet1'!$L$16"}</definedName>
    <definedName name="gwgw">#REF!</definedName>
    <definedName name="GYGY">#REF!</definedName>
    <definedName name="h">{"'Sheet1'!$L$16"}</definedName>
    <definedName name="h_1">{"'Sheet1'!$L$16"}</definedName>
    <definedName name="h_xoa">{"'Sheet1'!$L$16"}</definedName>
    <definedName name="h_xoa_1">{"'Sheet1'!$L$16"}</definedName>
    <definedName name="h_xoa2">{"'Sheet1'!$L$16"}</definedName>
    <definedName name="h_xoa2_1">{"'Sheet1'!$L$16"}</definedName>
    <definedName name="h_xoa3">{"'Sheet1'!$L$16"}</definedName>
    <definedName name="HA">{"'Sheet1'!$L$16"}</definedName>
    <definedName name="Hà">{"'Sheet1'!$L$16"}</definedName>
    <definedName name="hai">{"'Sheet1'!$L$16"}</definedName>
    <definedName name="halong">{"'Sheet1'!$L$16"}</definedName>
    <definedName name="ham">{"'Sheet1'!$L$16"}</definedName>
    <definedName name="han">#REF!</definedName>
    <definedName name="hangmuc">#REF!</definedName>
    <definedName name="hanh">{"'Sheet1'!$L$16"}</definedName>
    <definedName name="HAO">#REF!</definedName>
    <definedName name="hàodajk" hidden="1">{"'Sheet1'!$L$16"}</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aq" hidden="1">{"'Sheet1'!$L$16"}</definedName>
    <definedName name="hau" hidden="1">{"'Sheet1'!$L$16"}</definedName>
    <definedName name="hb">{"'Sheet1'!$L$16"}</definedName>
    <definedName name="hbbbbbb" hidden="1">{"'Sheet1'!$L$16"}</definedName>
    <definedName name="hbhbh" hidden="1">{"'Sheet1'!$L$16"}</definedName>
    <definedName name="hchdsvf">{"'Sheet1'!$L$16"}</definedName>
    <definedName name="HCNA">{"'Sheet1'!$L$16"}</definedName>
    <definedName name="hd">#REF!</definedName>
    <definedName name="HDFGHFD">{"'Sheet1'!$L$16"}</definedName>
    <definedName name="hdfhdh">#REF!</definedName>
    <definedName name="HDGUJ" hidden="1">{"'Sheet1'!$L$16"}</definedName>
    <definedName name="hdhgd">#REF!</definedName>
    <definedName name="hdyt">{"'Sheet1'!$L$16"}</definedName>
    <definedName name="he" hidden="1">{"'Sheet1'!$L$16"}</definedName>
    <definedName name="Heä_soá_laép_xaø_H">1.7</definedName>
    <definedName name="hee_opjg" hidden="1">{"'Sheet1'!$L$16"}</definedName>
    <definedName name="hehdhdh">#REF!</definedName>
    <definedName name="hehehe">#REF!</definedName>
    <definedName name="hehgeh">#REF!</definedName>
    <definedName name="HẺHRE" hidden="1">{#N/A,#N/A,FALSE,"Chi tiÆt"}</definedName>
    <definedName name="hehreh" hidden="1">{"'Sheet1'!$L$16"}</definedName>
    <definedName name="hel">{"'Sheet1'!$L$16"}</definedName>
    <definedName name="hergyew" hidden="1">{"'Sheet1'!$L$16"}</definedName>
    <definedName name="HESO1">#REF!</definedName>
    <definedName name="HESO2">#REF!</definedName>
    <definedName name="HESO3">#REF!</definedName>
    <definedName name="HESO4">#REF!</definedName>
    <definedName name="HESO5">#REF!</definedName>
    <definedName name="HESO6">#REF!</definedName>
    <definedName name="HesoKL.3A.04">1</definedName>
    <definedName name="Hesotang">1.05</definedName>
    <definedName name="Hesoton">1</definedName>
    <definedName name="HETH">{"'Sheet1'!$L$16"}</definedName>
    <definedName name="hethongthoatnuocngoainha">#REF!</definedName>
    <definedName name="hẻy" hidden="1">{"'Sheet1'!$L$16"}</definedName>
    <definedName name="hfgd" hidden="1">{"'Sheet1'!$L$16"}</definedName>
    <definedName name="hfghfg" hidden="1">{"'Sheet1'!$L$16"}</definedName>
    <definedName name="HFGHFGHDG">{"'Sheet1'!$L$16"}</definedName>
    <definedName name="hfghgfhfghfg">{"'Sheet1'!$L$16"}</definedName>
    <definedName name="hfgjks">{"'Sheet1'!$L$16"}</definedName>
    <definedName name="hfgk">#REF!</definedName>
    <definedName name="hfgsdf">{"'Sheet1'!$L$16"}</definedName>
    <definedName name="hfgsdf_1">{"'Sheet1'!$L$16"}</definedName>
    <definedName name="hg" hidden="1">{"'Sheet1'!$L$16"}</definedName>
    <definedName name="HGDHDFG">{"'Sheet1'!$L$16"}</definedName>
    <definedName name="hgdhdghd" hidden="1">{"'Sheet1'!$L$16"}</definedName>
    <definedName name="hgf">#REF!</definedName>
    <definedName name="hgfagl">#REF!</definedName>
    <definedName name="hgff">{"'Sheet1'!$L$16"}</definedName>
    <definedName name="HGFGJHG">{"'Sheet1'!$L$16"}</definedName>
    <definedName name="HGFH">#REF!</definedName>
    <definedName name="hgfhfghfghfghfgh">{"'Sheet1'!$L$16"}</definedName>
    <definedName name="hgfhg" hidden="1">{"'Sheet1'!$L$16"}</definedName>
    <definedName name="hggf">{"'Sheet1'!$L$16"}</definedName>
    <definedName name="hggg">{"'Sheet1'!$L$16"}</definedName>
    <definedName name="hgggggggggggggg" hidden="1">{"'Sheet1'!$L$16"}</definedName>
    <definedName name="hgh" hidden="1">{"'Sheet1'!$L$16"}</definedName>
    <definedName name="HGHG" hidden="1">{"'Sheet1'!$L$16"}</definedName>
    <definedName name="hghghg" hidden="1">{"'Sheet1'!$L$16"}</definedName>
    <definedName name="hghttt">{"'Sheet1'!$L$16"}</definedName>
    <definedName name="hgj" hidden="1">{"'Sheet1'!$L$16"}</definedName>
    <definedName name="hgjhkh">{"'Sheet1'!$L$16"}</definedName>
    <definedName name="hgjjjh" hidden="1">{"'Sheet1'!$L$16"}</definedName>
    <definedName name="hgkgyk">{"'Sheet1'!$L$16"}</definedName>
    <definedName name="hgôuhl">{"'Sheet1'!$L$16"}</definedName>
    <definedName name="hgre_zdfhgfd" hidden="1">{"'Sheet1'!$L$16"}</definedName>
    <definedName name="hgrf">{"'Sheet1'!$L$16"}</definedName>
    <definedName name="hgtgftryt" hidden="1">{"'Sheet1'!$L$16"}</definedName>
    <definedName name="hh">{"'Sheet1'!$L$16"}</definedName>
    <definedName name="hhb">{"'Sheet1'!$L$16"}</definedName>
    <definedName name="hhgggggg">{"'Sheet1'!$L$16"}</definedName>
    <definedName name="hhghg" hidden="1">{"'Sheet1'!$L$16"}</definedName>
    <definedName name="hhh">#REF!</definedName>
    <definedName name="hhhh" hidden="1">{"'Sheet1'!$L$16"}</definedName>
    <definedName name="hhhhh">#REF!</definedName>
    <definedName name="HHHHHH">#REF!</definedName>
    <definedName name="hhhhhhh">{"'Sheet1'!$L$16"}</definedName>
    <definedName name="hhhhhhhhhh">{"'Sheet1'!$L$16"}</definedName>
    <definedName name="hhhhhu">{"'Sheet1'!$L$16"}</definedName>
    <definedName name="hhhlll">{"'Sheet1'!$L$16"}</definedName>
    <definedName name="hhhththththth" hidden="1">{"'Sheet1'!$L$16"}</definedName>
    <definedName name="hhhu">{"Thuxm2.xls","Sheet1"}</definedName>
    <definedName name="hhjd" hidden="1">{0}</definedName>
    <definedName name="hhjkkk">{"'Sheet1'!$L$16"}</definedName>
    <definedName name="hhkl" hidden="1">{"'Sheet1'!$L$16"}</definedName>
    <definedName name="hi" hidden="1">{"'Sheet1'!$L$16"}</definedName>
    <definedName name="HiddenRows">#REF!</definedName>
    <definedName name="hiept2" hidden="1">{"'Sheet1'!$L$16"}</definedName>
    <definedName name="hieu">{"'Sheet1'!$L$16"}</definedName>
    <definedName name="HIGH">#REF!</definedName>
    <definedName name="hihi" hidden="1">{"'Sheet1'!$L$16"}</definedName>
    <definedName name="hiio">{"'Sheet1'!$L$16"}</definedName>
    <definedName name="hiup">{"'Sheet1'!$L$16"}</definedName>
    <definedName name="hjfgh" hidden="1">{"'Sheet1'!$L$16"}</definedName>
    <definedName name="HJFGHGDH" hidden="1">{"NGUYEN QUI THIEP - Personal View",#N/A,FALSE,"XDCB.HT.FUR."}</definedName>
    <definedName name="hjgỳđxgy">{"'Sheet1'!$L$16"}</definedName>
    <definedName name="hjh" hidden="1">{0,0,0,0}</definedName>
    <definedName name="HJHH">#REF!</definedName>
    <definedName name="hjjgh">{"'Sheet1'!$L$16"}</definedName>
    <definedName name="hjjkl">{"'Sheet1'!$L$16"}</definedName>
    <definedName name="hjjpu">{"'Sheet1'!$L$16"}</definedName>
    <definedName name="hjjþu">{"'Sheet1'!$L$16"}</definedName>
    <definedName name="hjk">{"'Sheet1'!$L$16"}</definedName>
    <definedName name="hjkhghj">BlankMacro1</definedName>
    <definedName name="hjkk" hidden="1">{"'Sheet1'!$L$16"}</definedName>
    <definedName name="hjkl">{"'Sheet1'!$L$16"}</definedName>
    <definedName name="HJTHE">{"'Sheet1'!$L$16"}</definedName>
    <definedName name="hkj">{"'Sheet1'!$L$16"}</definedName>
    <definedName name="HKJHJ">#REF!</definedName>
    <definedName name="hkjlj" hidden="1">{"'Sheet1'!$L$16"}</definedName>
    <definedName name="hkkkfd" hidden="1">{"'Sheet1'!$L$16"}</definedName>
    <definedName name="hkl">{"'Sheet1'!$L$16"}</definedName>
    <definedName name="hklhj">{"'Sheet1'!$L$16"}</definedName>
    <definedName name="hllgljl">{"'Sheet1'!$L$16"}</definedName>
    <definedName name="hlu">"43559-712"</definedName>
    <definedName name="hma">"43559-190"</definedName>
    <definedName name="hme">"43559-729"</definedName>
    <definedName name="HMFDFG">{"'Sheet1'!$L$16"}</definedName>
    <definedName name="HMFGMFG">{"'Sheet1'!$L$16"}</definedName>
    <definedName name="ho" hidden="1">{"'Sheet1'!$L$16"}</definedName>
    <definedName name="hoa">{"'Sheet1'!$L$16"}</definedName>
    <definedName name="hoan" hidden="1">{"'Sheet1'!$L$16"}</definedName>
    <definedName name="hoan1">{"'Sheet1'!$L$16"}</definedName>
    <definedName name="Hoang" hidden="1">{"'Sheet1'!$L$16"}</definedName>
    <definedName name="hoc">{"'Sheet1'!$L$16"}</definedName>
    <definedName name="hoi" hidden="1">{0}</definedName>
    <definedName name="homqua">{"Bao cao nNL tieu thu theo ca may hang thang nam 2001.xls"}</definedName>
    <definedName name="hong">{"'Sheet1'!$L$16"}</definedName>
    <definedName name="HOTE" hidden="1">{"'Sheet1'!$L$16"}</definedName>
    <definedName name="hp">{"'Sheet1'!$L$16"}</definedName>
    <definedName name="Hqua">{"Bao cao nNL tieu thu theo ca may hang thang nam 2001.xls"}</definedName>
    <definedName name="HREHRE">{"'Sheet1'!$L$16"}</definedName>
    <definedName name="hrtt">#REF!</definedName>
    <definedName name="hsbo">1.06</definedName>
    <definedName name="hsbpk">1.2</definedName>
    <definedName name="HSCT3">0.1</definedName>
    <definedName name="HSDN">2.5</definedName>
    <definedName name="HSG">1.1</definedName>
    <definedName name="hsgg">0.5</definedName>
    <definedName name="hskh">1</definedName>
    <definedName name="hsl">1.15</definedName>
    <definedName name="HSLXH">1.7</definedName>
    <definedName name="hsm">1.1289</definedName>
    <definedName name="hsn">0.5</definedName>
    <definedName name="hsnc_cau">1.626</definedName>
    <definedName name="hsnc_cau2">1.626</definedName>
    <definedName name="hsnc_d">1.6356</definedName>
    <definedName name="hsnc_d2">1.6356</definedName>
    <definedName name="hspk">1.4</definedName>
    <definedName name="hsruj" hidden="1">{"'Sheet1'!$L$16"}</definedName>
    <definedName name="hsson">1</definedName>
    <definedName name="hsss" hidden="1">{"'Sheet1'!$L$16"}</definedName>
    <definedName name="hsu">"43559-722"</definedName>
    <definedName name="hsvl">1</definedName>
    <definedName name="hsvl2">1</definedName>
    <definedName name="hsvt">1</definedName>
    <definedName name="hsvtbms">1</definedName>
    <definedName name="hsvtmt">1</definedName>
    <definedName name="HTD">#REF!</definedName>
    <definedName name="hteye">#REF!</definedName>
    <definedName name="htfrju" hidden="1">{"'Sheet1'!$L$16"}</definedName>
    <definedName name="hþ">{"'Sheet1'!$L$16"}</definedName>
    <definedName name="HTHTR">{"'Sheet1'!$L$16"}</definedName>
    <definedName name="hþwr">{"'Sheet1'!$L$16"}</definedName>
    <definedName name="htlm" hidden="1">{"'Sheet1'!$L$16"}</definedName>
    <definedName name="htm">{"'Sheet1'!$L$16"}</definedName>
    <definedName name="html" hidden="1">{"'Sheet1'!$L$16"}</definedName>
    <definedName name="HTML_CodePage" hidden="1">950</definedName>
    <definedName name="HTML_Control" hidden="1">{"'Sheet1'!$L$16"}</definedName>
    <definedName name="HTML_Control_1" hidden="1">{"'Sheet1'!$L$16"}</definedName>
    <definedName name="HTML_Control_2">{"'Sheet1'!$L$16"}</definedName>
    <definedName name="HTML_Control_3">{"'Sheet1'!$L$16"}</definedName>
    <definedName name="HTML_Control_4">{"'Sheet1'!$L$16"}</definedName>
    <definedName name="HTML_Control_5">{"'Sheet1'!$L$16"}</definedName>
    <definedName name="HTML_Control_6">{"'Sheet1'!$L$16"}</definedName>
    <definedName name="HTML_Control_7">{"'Sheet1'!$L$16"}</definedName>
    <definedName name="html_control_xoa2">{"'Sheet1'!$L$16"}</definedName>
    <definedName name="html_control_xoa2_1">{"'Sheet1'!$L$16"}</definedName>
    <definedName name="HTML_Control1">{"'Sheet1'!$L$16"}</definedName>
    <definedName name="HTML_Control1_1">{"'Sheet1'!$L$16"}</definedName>
    <definedName name="HTML_Controlmoi">{"'Sheet1'!$L$16"}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TML1_1">"'[98계획ⅱ.XLS]98총괄'!$A$2:$F$16"</definedName>
    <definedName name="HTML1_10">""</definedName>
    <definedName name="HTML1_11">1</definedName>
    <definedName name="HTML1_2">1</definedName>
    <definedName name="HTML1_3">"98계획ⅱ.XL"</definedName>
    <definedName name="HTML1_4">"98총괄"</definedName>
    <definedName name="HTML1_5">""</definedName>
    <definedName name="HTML1_6">1</definedName>
    <definedName name="HTML1_7">1</definedName>
    <definedName name="HTML1_8">"97-12-10"</definedName>
    <definedName name="HTML1_9">"hyogye01"</definedName>
    <definedName name="html2">{"'Sheet1'!$L$16"}</definedName>
    <definedName name="HTMLCount">1</definedName>
    <definedName name="HTMLcpnmtrol">{"'Sheet1'!$L$16"}</definedName>
    <definedName name="htmll" hidden="1">{"'Sheet1'!$L$16"}</definedName>
    <definedName name="HTNL" hidden="1">{"'Sheet1'!$L$16"}</definedName>
    <definedName name="htra">"43559-721"</definedName>
    <definedName name="htrdi" hidden="1">{"'Sheet1'!$L$16"}</definedName>
    <definedName name="htrhrt" hidden="1">{"'Sheet1'!$L$16"}</definedName>
    <definedName name="htu">{"'Sheet1'!$L$16"}</definedName>
    <definedName name="HTVBCVBGBB">#REF!</definedName>
    <definedName name="htwht">#REF!</definedName>
    <definedName name="htwshnb">#REF!</definedName>
    <definedName name="hu">{"'Sheet1'!$L$16"}</definedName>
    <definedName name="hu_1">{"'Sheet1'!$L$16"}</definedName>
    <definedName name="hud" hidden="1">{"'Sheet1'!$L$16"}</definedName>
    <definedName name="hudas" hidden="1">{"'Sheet1'!$L$16"}</definedName>
    <definedName name="HUE" hidden="1">{"'Sheet1'!$L$16"}</definedName>
    <definedName name="HUH">#REF!</definedName>
    <definedName name="HUHU">#REF!</definedName>
    <definedName name="HUHUH">#REF!</definedName>
    <definedName name="hui">{"'Sheet1'!$L$16"}</definedName>
    <definedName name="HUNG">#REF!</definedName>
    <definedName name="hung3">{"'Sheet1'!$L$16"}</definedName>
    <definedName name="hunh" hidden="1">{"'Sheet1'!$L$16"}</definedName>
    <definedName name="HUO">#REF!</definedName>
    <definedName name="huong" hidden="1">{"'Sheet1'!$L$16"}</definedName>
    <definedName name="hut" hidden="1">{"'Sheet1'!$L$16"}</definedName>
    <definedName name="huu" hidden="1">{"'Sheet1'!$L$16"}</definedName>
    <definedName name="huy" hidden="1">{"'Sheet1'!$L$16"}</definedName>
    <definedName name="huy_1" hidden="1">{"'Sheet1'!$L$16"}</definedName>
    <definedName name="huy_xoa">{"'Sheet1'!$L$16"}</definedName>
    <definedName name="huy_xoa_1">{"'Sheet1'!$L$16"}</definedName>
    <definedName name="huy_xoa2">{"'Sheet1'!$L$16"}</definedName>
    <definedName name="huy_xoa2_1">{"'Sheet1'!$L$16"}</definedName>
    <definedName name="huyen">{"'Sheet1'!$L$16"}</definedName>
    <definedName name="huyhoa">{"'Sheet1'!$L$16"}</definedName>
    <definedName name="huyhu">{"'Sheet1'!$L$16"}</definedName>
    <definedName name="huymoi">{"'Sheet1'!$L$16"}</definedName>
    <definedName name="HUYØ">{"'Sheet1'!$L$16"}</definedName>
    <definedName name="huyy" hidden="1">{"'Sheet1'!$L$16"}</definedName>
    <definedName name="huyyy" hidden="1">{"'Sheet1'!$L$16"}</definedName>
    <definedName name="hvac1">#REF!</definedName>
    <definedName name="hvjhvj" hidden="1">{"'Sheet1'!$L$16"}</definedName>
    <definedName name="hwe">"43559-715"</definedName>
    <definedName name="hy" hidden="1">{"'Sheet1'!$L$16"}</definedName>
    <definedName name="hygytyhụik">{"'Sheet1'!$L$16"}</definedName>
    <definedName name="Ìag" hidden="1">{"'Sheet1'!$L$16"}</definedName>
    <definedName name="iCount">3</definedName>
    <definedName name="iCt_End">3868</definedName>
    <definedName name="ie" hidden="1">{"'Sheet1'!$L$16"}</definedName>
    <definedName name="Ìgewgwrgrwegew" hidden="1">{"'Sheet1'!$L$16"}</definedName>
    <definedName name="ïhcgftÞyg">{"'Sheet1'!$L$16"}</definedName>
    <definedName name="iii" hidden="1">{"'Sheet1'!$L$16"}</definedName>
    <definedName name="ijhgfddffth">{"'Sheet1'!$L$16"}</definedName>
    <definedName name="in">{"'Sheet1'!$L$16"}</definedName>
    <definedName name="Inc">#REF!</definedName>
    <definedName name="InfoDialog">"Dialogfeldrahmen 1"</definedName>
    <definedName name="IO">#REF!</definedName>
    <definedName name="iop" hidden="1">{"'Sheet1'!$L$16"}</definedName>
    <definedName name="is" hidden="1">{"'Sheet1'!$L$16"}</definedName>
    <definedName name="it" hidden="1">{"'Sheet1'!$L$16"}</definedName>
    <definedName name="Ît" hidden="1">{"'Sheet1'!$L$16"}</definedName>
    <definedName name="ịth" hidden="1">{"'Sheet1'!$L$16"}</definedName>
    <definedName name="ityityit">#REF!</definedName>
    <definedName name="iuliupoui">{"'Sheet1'!$L$16"}</definedName>
    <definedName name="iutrir">#REF!</definedName>
    <definedName name="iuuttt">{"'Sheet1'!$L$16"}</definedName>
    <definedName name="iwer">{"'Sheet1'!$L$16"}</definedName>
    <definedName name="iylryi">{"'Sheet1'!$L$16"}</definedName>
    <definedName name="J">#REF!</definedName>
    <definedName name="j\" hidden="1">#REF!</definedName>
    <definedName name="jæít" hidden="1">{"'Sheet1'!$L$16"}</definedName>
    <definedName name="JDFHDH">{"'Sheet1'!$L$16"}</definedName>
    <definedName name="jdk" hidden="1">{"'Sheet1'!$L$16"}</definedName>
    <definedName name="jfgjfjfj">#REF!</definedName>
    <definedName name="jfgsdf">{"'Sheet1'!$L$16"}</definedName>
    <definedName name="JFH">#REF!</definedName>
    <definedName name="JFJFGHG">{"'Sheet1'!$L$16"}</definedName>
    <definedName name="JFK" hidden="1">{"'Sheet1'!$L$16"}</definedName>
    <definedName name="jggui78">{"'Sheet1'!$L$16"}</definedName>
    <definedName name="JGHJFHJJ">{"'Sheet1'!$L$16"}</definedName>
    <definedName name="JGJ">#REF!</definedName>
    <definedName name="jgtjdt" hidden="1">{"'Sheet1'!$L$16"}</definedName>
    <definedName name="jhakjhskjd">#REF!</definedName>
    <definedName name="jhfdgy" hidden="1">{"'Sheet1'!$L$16"}</definedName>
    <definedName name="jhfgj" hidden="1">{"'Sheet1'!$L$16"}</definedName>
    <definedName name="JHG">#REF!</definedName>
    <definedName name="JHGH">#REF!</definedName>
    <definedName name="jhjh">{"'Sheet1'!$L$16"}</definedName>
    <definedName name="jhk" hidden="1">{"'Sheet1'!$L$16"}</definedName>
    <definedName name="jhn" hidden="1">{"'Sheet1'!$L$16"}</definedName>
    <definedName name="jjhjmhhmh">{"'Sheet1'!$L$16"}</definedName>
    <definedName name="JJJ" hidden="1">{"'Sheet1'!$L$16"}</definedName>
    <definedName name="jjjjj">{"'Sheet1'!$L$16"}</definedName>
    <definedName name="jjjjjjj" hidden="1">{"'Sheet1'!$L$16"}</definedName>
    <definedName name="jjjjjjjjjjjjj" hidden="1">{"'Sheet1'!$L$16"}</definedName>
    <definedName name="jjkk">{"'Sheet1'!$L$16"}</definedName>
    <definedName name="jjsskskođfj">{"'Sheet1'!$L$16"}</definedName>
    <definedName name="JKDFSJCSDKJ">#REF!</definedName>
    <definedName name="JKH">#REF!</definedName>
    <definedName name="jkjhk" hidden="1">{"'Sheet1'!$L$16"}</definedName>
    <definedName name="jkjk">{"'Sheet1'!$L$16"}</definedName>
    <definedName name="jkl">{"'Sheet1'!$L$16"}</definedName>
    <definedName name="JLJKL" hidden="1">{"'Sheet1'!$L$16"}</definedName>
    <definedName name="jo">{"'Sheet1'!$L$16"}</definedName>
    <definedName name="jrd" hidden="1">{"'Sheet1'!$L$16"}</definedName>
    <definedName name="JRY">{"'Sheet1'!$L$16"}</definedName>
    <definedName name="jsdh">{"'Sheet1'!$L$16"}</definedName>
    <definedName name="jsdjs">{"'Sheet1'!$L$16"}</definedName>
    <definedName name="jsryj">{"'Sheet1'!$L$16"}</definedName>
    <definedName name="jt">{"'Sheet1'!$L$16"}</definedName>
    <definedName name="JTDEYW">{"'Sheet1'!$L$16"}</definedName>
    <definedName name="jtru">{"'Sheet1'!$L$16"}</definedName>
    <definedName name="jtrujt">#REF!</definedName>
    <definedName name="jtyjey">{"Book1","Khoan-481-Hai Phong.xls","Khoi luong vat tuhp.xls","Khoan-361 moi-Hai Phong.xls"}</definedName>
    <definedName name="jtyk">{"'Sheet1'!$L$16"}</definedName>
    <definedName name="jufyk" hidden="1">{"'Sheet1'!$L$16"}</definedName>
    <definedName name="JY">{"'Sheet1'!$L$16"}</definedName>
    <definedName name="jyemkuek">#REF!</definedName>
    <definedName name="JYJYTJYT" hidden="1">{"NGUYEN QUI THIEP - Personal View",#N/A,FALSE,"XDCB.HT.FUR."}</definedName>
    <definedName name="jyru" hidden="1">{"'Sheet1'!$L$16"}</definedName>
    <definedName name="jysrjy">{"Book1","Khoan-481-Hai Phong.xls","Khoi luong vat tuhp.xls","Khoan-361 moi-Hai Phong.xls"}</definedName>
    <definedName name="jytdj">#REF!</definedName>
    <definedName name="jyuk">{"'Sheet1'!$L$16"}</definedName>
    <definedName name="jýỵy" hidden="1">{"'Sheet1'!$L$16"}</definedName>
    <definedName name="k">#REF!</definedName>
    <definedName name="K.viecBAHUNG">{"'Sheet1'!$L$16"}</definedName>
    <definedName name="k_xoa">#REF!</definedName>
    <definedName name="k_xoa2">#REF!</definedName>
    <definedName name="K2_K2">#REF!</definedName>
    <definedName name="KCThep">{"'Sheet1'!$L$16"}</definedName>
    <definedName name="KDCNThonmoi20_00">{"'Sheet1'!$L$16"}</definedName>
    <definedName name="KDJU" hidden="1">{"'장비'!$A$3:$M$12"}</definedName>
    <definedName name="kdkk" hidden="1">{"'Sheet1'!$L$16"}</definedName>
    <definedName name="ke" hidden="1">#REF!</definedName>
    <definedName name="kegoc">1500</definedName>
    <definedName name="kfrl" hidden="1">{"'Sheet1'!$L$16"}</definedName>
    <definedName name="KFTCGN" hidden="1">{"'Sheet1'!$L$16"}</definedName>
    <definedName name="kgh">{"'Sheet1'!$L$16"}</definedName>
    <definedName name="khac">2</definedName>
    <definedName name="khfd">{"'Sheet1'!$L$16"}</definedName>
    <definedName name="khg" hidden="1">{"'Sheet1'!$L$16"}</definedName>
    <definedName name="KHGDFKHGFJKGF" hidden="1">#REF!</definedName>
    <definedName name="KHGLG" hidden="1">{"'Sheet1'!$L$16"}</definedName>
    <definedName name="khkh" hidden="1">{"'Sheet1'!$L$16"}</definedName>
    <definedName name="khkttt">{"'Sheet1'!$L$16"}</definedName>
    <definedName name="kho">"kh¶o"</definedName>
    <definedName name="khoa">{"'Sheet1'!$L$16"}</definedName>
    <definedName name="khoas" hidden="1">{"'Sheet1'!$L$16"}</definedName>
    <definedName name="KHOILUONG">{"'Sheet1'!$L$16"}</definedName>
    <definedName name="KhongCT" hidden="1">{"'Sheet1'!$L$16"}</definedName>
    <definedName name="khongtruotgia">{"'Sheet1'!$L$16"}</definedName>
    <definedName name="khuyen">{"'Sheet1'!$L$16"}</definedName>
    <definedName name="KhuyenmaiUPS">"AutoShape 264"</definedName>
    <definedName name="Kien" hidden="1">{"'Sheet1'!$L$16"}</definedName>
    <definedName name="kikiukikik" hidden="1">{"'Sheet1'!$L$16"}</definedName>
    <definedName name="kim">{"'Sheet1'!$L$16"}</definedName>
    <definedName name="kiyddfdr">{"'Sheet1'!$L$16"}</definedName>
    <definedName name="kj">#REF!</definedName>
    <definedName name="kjhkhj" hidden="1">{"'Sheet1'!$L$16"}</definedName>
    <definedName name="kjhyh">{"'Sheet1'!$L$16"}</definedName>
    <definedName name="kjjhhg" hidden="1">{"'Sheet1'!$L$16"}</definedName>
    <definedName name="kjjkjgg">{"'Sheet1'!$L$16"}</definedName>
    <definedName name="kjjlll">{"'Sheet1'!$L$16"}</definedName>
    <definedName name="kjk" hidden="1">{"'Sheet1'!$L$16"}</definedName>
    <definedName name="kjkjk" hidden="1">{"'Sheet1'!$L$16"}</definedName>
    <definedName name="kjkjkj">{"'Sheet1'!$L$16"}</definedName>
    <definedName name="kjoh">#REF!</definedName>
    <definedName name="kk">#REF!</definedName>
    <definedName name="kkgdss">{"'Sheet1'!$L$16"}</definedName>
    <definedName name="kkk">{"'Sheet1'!$L$16"}</definedName>
    <definedName name="ｋｋｋ">{"'Sheet1'!$L$16"}</definedName>
    <definedName name="kkkk">{"'Sheet1'!$L$16"}</definedName>
    <definedName name="kkkkk">{"'Sheet1'!$L$16"}</definedName>
    <definedName name="kkkl">{"'Sheet1'!$L$16"}</definedName>
    <definedName name="kkl">{"'Sheet1'!$L$16"}</definedName>
    <definedName name="kkll">{"'Sheet1'!$L$16"}</definedName>
    <definedName name="kklll">{"'Sheet1'!$L$16"}</definedName>
    <definedName name="KL_Dai" hidden="1">{"'Sheet1'!$L$16"}</definedName>
    <definedName name="KLduonggiaods">{"'Sheet1'!$L$16"}</definedName>
    <definedName name="kldv">[14]Sheet1!$I$2:$AE$3</definedName>
    <definedName name="klf" hidden="1">{"'Sheet1'!$L$16"}</definedName>
    <definedName name="klhkl">#REF!</definedName>
    <definedName name="kljg" hidden="1">{"'Sheet1'!$L$16"}</definedName>
    <definedName name="klkkj" hidden="1">{"'Sheet1'!$L$16"}</definedName>
    <definedName name="klkklk">#REF!</definedName>
    <definedName name="KLLT">#REF!</definedName>
    <definedName name="klm">{"'Sheet1'!$L$16"}</definedName>
    <definedName name="klnhhh" hidden="1">{"'Sheet1'!$L$16"}</definedName>
    <definedName name="kluong" hidden="1">{"'Sheet1'!$L$16"}</definedName>
    <definedName name="KNDAT_CHUA_SU_DUNG">#REF!</definedName>
    <definedName name="kno">[3]gVL!$Q$48</definedName>
    <definedName name="kon" hidden="1">{"'Sheet1'!$L$16"}</definedName>
    <definedName name="ks" hidden="1">{"'Sheet1'!$L$16"}</definedName>
    <definedName name="ksbn" hidden="1">{"'Sheet1'!$L$16"}</definedName>
    <definedName name="KSDA">{"'Sheet1'!$L$16"}</definedName>
    <definedName name="kshn" hidden="1">{"'Sheet1'!$L$16"}</definedName>
    <definedName name="kskt5" hidden="1">{"'Sheet1'!$L$16"}</definedName>
    <definedName name="ksls" hidden="1">{"'Sheet1'!$L$16"}</definedName>
    <definedName name="kukek">{"'Sheet1'!$L$16"}</definedName>
    <definedName name="kuklk">{"'Sheet1'!$L$16"}</definedName>
    <definedName name="kutkuk">{"'Sheet1'!$L$16"}</definedName>
    <definedName name="kvl">1.166</definedName>
    <definedName name="KY0">[1]BXLDL!$D$2:$D$54</definedName>
    <definedName name="Kye" hidden="1">#REF!</definedName>
    <definedName name="KYUKGH">{"'Sheet1'!$L$16"}</definedName>
    <definedName name="l">{"'Liquid'!$A$1:$U$57"}</definedName>
    <definedName name="L63x6">5800</definedName>
    <definedName name="LA1_EN02">#REF!</definedName>
    <definedName name="LA1_EN11">#REF!</definedName>
    <definedName name="LA1_EN20">#REF!</definedName>
    <definedName name="lab">#REF!</definedName>
    <definedName name="lab_dt">#REF!</definedName>
    <definedName name="lab_pt">#REF!</definedName>
    <definedName name="labour">0.04</definedName>
    <definedName name="LAI">#REF!</definedName>
    <definedName name="lam">{"'Sheet1'!$L$16"}</definedName>
    <definedName name="lan">#REF!</definedName>
    <definedName name="langson" hidden="1">{"'Sheet1'!$L$16"}</definedName>
    <definedName name="lapmoi8430" hidden="1">{"'Sheet1'!$L$16"}</definedName>
    <definedName name="latxay" hidden="1">{"'Sheet1'!$L$16"}</definedName>
    <definedName name="LB">14643</definedName>
    <definedName name="lbit">5%</definedName>
    <definedName name="LBS_22">107800000</definedName>
    <definedName name="LDTB" hidden="1">{"'Sheet1'!$L$16"}</definedName>
    <definedName name="le">{"'Sheet1'!$L$16"}</definedName>
    <definedName name="LEEEE">#REF!</definedName>
    <definedName name="lethuadinh" hidden="1">{"'Sheet1'!$L$16"}</definedName>
    <definedName name="LF">1.16</definedName>
    <definedName name="LG">#REF!</definedName>
    <definedName name="lgala" hidden="1">{"'Sheet1'!$L$16"}</definedName>
    <definedName name="LGK">BlankMacro1</definedName>
    <definedName name="li" hidden="1">{"'용역비'!$A$4:$C$8"}</definedName>
    <definedName name="lie" hidden="1">{"'Sheet1'!$L$16"}</definedName>
    <definedName name="light">"Picture 1"</definedName>
    <definedName name="limcount">4</definedName>
    <definedName name="linh" hidden="1">{"'Sheet1'!$L$16"}</definedName>
    <definedName name="linhT">{"'Sheet1'!$L$16"}</definedName>
    <definedName name="List">{"'Sheet1'!$L$16"}</definedName>
    <definedName name="ljhghg">{"'Sheet1'!$L$16"}</definedName>
    <definedName name="LJHMN" hidden="1">{"'Sheet1'!$L$16"}</definedName>
    <definedName name="ljj" hidden="1">{"'Sheet1'!$L$16"}</definedName>
    <definedName name="ljkl" hidden="1">{"'Sheet1'!$L$16"}</definedName>
    <definedName name="ljklk">{"'Sheet1'!$L$16"}</definedName>
    <definedName name="ljkㅏㅎ">#REF!</definedName>
    <definedName name="ljl">#REF!</definedName>
    <definedName name="lk" hidden="1">{"'Sheet1'!$L$16"}</definedName>
    <definedName name="lkj">{"'Sheet1'!$L$16"}</definedName>
    <definedName name="lkjhgf">{"'Sheet1'!$L$16"}</definedName>
    <definedName name="lkjhgfdsa">{"'Sheet1'!$L$16"}</definedName>
    <definedName name="LKK">[0]!BlankMacro1</definedName>
    <definedName name="lkklll">{"'Sheet1'!$L$16"}</definedName>
    <definedName name="lklkhh">{"'Sheet1'!$L$16"}</definedName>
    <definedName name="ll" hidden="1">{"'Sheet1'!$L$16"}</definedName>
    <definedName name="LLEE">#REF!</definedName>
    <definedName name="lll">#REF!</definedName>
    <definedName name="lllj">{"'Sheet1'!$L$16"}</definedName>
    <definedName name="lllllkuyu">{"'Sheet1'!$L$16"}</definedName>
    <definedName name="LLLLLLL">#REF!</definedName>
    <definedName name="lllllllllll">{"'Sheet1'!$L$16"}</definedName>
    <definedName name="loa" hidden="1">{"'Sheet1'!$L$16"}</definedName>
    <definedName name="LoaiCongTrinh">[7]Ts!$K$15</definedName>
    <definedName name="LOCO">{"'Sheet1'!$L$16"}</definedName>
    <definedName name="LOCO2">{"'Sheet1'!$L$16"}</definedName>
    <definedName name="lon">{"'Sheet1'!$L$16"}</definedName>
    <definedName name="Long" hidden="1">{"'Sheet1'!$L$16"}</definedName>
    <definedName name="LongNP" hidden="1">{"'Sheet1'!$L$16"}</definedName>
    <definedName name="lontrau">{"'Sheet1'!$L$16"}</definedName>
    <definedName name="LOP">#REF!</definedName>
    <definedName name="lop.">#REF!</definedName>
    <definedName name="lsjlhjh">{"'Sheet1'!$L$16"}</definedName>
    <definedName name="lt">#REF!</definedName>
    <definedName name="LTGT" hidden="1">{"'Sheet1'!$L$16"}</definedName>
    <definedName name="LTKD">{"'Sheet1'!$L$16"}</definedName>
    <definedName name="Ltt">[15]cu!$D$704</definedName>
    <definedName name="luan">{"'Sheet1'!$L$16"}</definedName>
    <definedName name="luc">{"'Sheet1'!$L$16"}</definedName>
    <definedName name="luong">{"'Sheet1'!$L$16"}</definedName>
    <definedName name="Luu" hidden="1">{"'Sheet1'!$L$16"}</definedName>
    <definedName name="luyÕn">{"'Sheet1'!$L$16"}</definedName>
    <definedName name="LV">#REF!</definedName>
    <definedName name="M10.">{"'Sheet1'!$L$16"}</definedName>
    <definedName name="Ma">1959.7/1622</definedName>
    <definedName name="mäc">{"'Sheet1'!$L$16"}</definedName>
    <definedName name="mai">{"'Sheet1'!$L$16"}</definedName>
    <definedName name="maicong45" hidden="1">{"'Sheet1'!$L$16"}</definedName>
    <definedName name="MAITAI.11.MARCH08" hidden="1">{"'Sheet1'!$L$16"}</definedName>
    <definedName name="MASO">[1]BXLDL!$B$2:$B$54</definedName>
    <definedName name="mat">#REF!</definedName>
    <definedName name="mat.spare">{"'ELEC'!$A$2:$H$216","'ELEC'!$C$2:$D$2"}</definedName>
    <definedName name="mat_end">#REF!</definedName>
    <definedName name="mat_start">#REF!</definedName>
    <definedName name="matbang" hidden="1">{"'Sheet1'!$L$16"}</definedName>
    <definedName name="MAU">{"'Sheet1'!$L$16"}</definedName>
    <definedName name="Maykhoandung4.5KW">72334</definedName>
    <definedName name="mbb" hidden="1">{"'Sheet1'!$L$16"}</definedName>
    <definedName name="mbm">{"'Sheet1'!$L$16"}</definedName>
    <definedName name="mccb">#REF!</definedName>
    <definedName name="MCCO">#REF!</definedName>
    <definedName name="MCCO10">#REF!</definedName>
    <definedName name="MCCO11">#REF!</definedName>
    <definedName name="MCCO12">#REF!</definedName>
    <definedName name="MCCO13">#REF!</definedName>
    <definedName name="MCCO3">#REF!</definedName>
    <definedName name="MCCO4">#REF!</definedName>
    <definedName name="MCCO5">#REF!</definedName>
    <definedName name="MCCO6">#REF!</definedName>
    <definedName name="MCCO7">#REF!</definedName>
    <definedName name="MCCO8">#REF!</definedName>
    <definedName name="MCCO9">#REF!</definedName>
    <definedName name="MCCOÙ">#REF!</definedName>
    <definedName name="mck">#REF!</definedName>
    <definedName name="Mech">#REF!</definedName>
    <definedName name="MF">#REF!</definedName>
    <definedName name="MFGND">{"'Sheet1'!$L$16"}</definedName>
    <definedName name="MFHMFGNG">{"'Sheet1'!$L$16"}</definedName>
    <definedName name="MGB">#REF!</definedName>
    <definedName name="Middle" hidden="1">{"'Sheet1'!$L$16"}</definedName>
    <definedName name="minh">{"'Sheet1'!$L$16"}</definedName>
    <definedName name="miyu" hidden="1">{"'Sheet1'!$L$16"}</definedName>
    <definedName name="mjh" hidden="1">{"'Sheet1'!$L$16"}</definedName>
    <definedName name="mkhj" hidden="1">{"'Sheet1'!$L$16"}</definedName>
    <definedName name="mm">{"Book1","BoQ2.XLS"}</definedName>
    <definedName name="mmlj" hidden="1">{0}</definedName>
    <definedName name="mmm" hidden="1">{"'Sheet1'!$L$16"}</definedName>
    <definedName name="ｍｍｍ">{"'Sheet1'!$L$16"}</definedName>
    <definedName name="MMMM" hidden="1">{"'Sheet1'!$L$16"}</definedName>
    <definedName name="ｍｍｍｍ">{"'Sheet1'!$L$16"}</definedName>
    <definedName name="mmmmmmmm" hidden="1">{"'Sheet1'!$L$16"}</definedName>
    <definedName name="mn" hidden="1">{"'Sheet1'!$L$16"}</definedName>
    <definedName name="MNB">#REF!</definedName>
    <definedName name="mo" hidden="1">{"'Sheet1'!$L$16"}</definedName>
    <definedName name="moc">{"'Sheet1'!$L$16"}</definedName>
    <definedName name="MoE">1.17</definedName>
    <definedName name="moi">{"'Sheet1'!$L$16"}</definedName>
    <definedName name="mot" hidden="1">{"'Sheet1'!$L$16"}</definedName>
    <definedName name="MTYMYTMY">{"'Sheet1'!$L$16"}</definedName>
    <definedName name="mua" hidden="1">{"'Sheet1'!$L$16"}</definedName>
    <definedName name="mucluong">144000</definedName>
    <definedName name="MV">#REF!</definedName>
    <definedName name="mvac">{"'Sheet1'!$L$16"}</definedName>
    <definedName name="MVBNMVB" hidden="1">{"NGUYEN QUI THIEP - Personal View",#N/A,FALSE,"XDCB.HT.FUR."}</definedName>
    <definedName name="mx" hidden="1">{"'Sheet1'!$L$16"}</definedName>
    <definedName name="MyBC">"44 NK 4001"</definedName>
    <definedName name="myclient">"UNILEVER"</definedName>
    <definedName name="mylocation">"Ho Chi Minh City,VIETNAM"</definedName>
    <definedName name="MyRef">MID([0]!VT,FIND(GetRow,[0]!VT)+4,FIND(")",[0]!VT)-FIND(GetRow,[0]!VT)-4)</definedName>
    <definedName name="n">#REF!</definedName>
    <definedName name="Na">{"'Sheet1'!$L$16"}</definedName>
    <definedName name="Na_1">{"'Sheet1'!$L$16"}</definedName>
    <definedName name="nam">{"'Sheet1'!$L$16"}</definedName>
    <definedName name="NAME">#REF!</definedName>
    <definedName name="name_one">#REF!</definedName>
    <definedName name="name_three">#REF!</definedName>
    <definedName name="name_two">#REF!</definedName>
    <definedName name="NB">#REF!</definedName>
    <definedName name="nbc" hidden="1">{"'Sheet1'!$L$16"}</definedName>
    <definedName name="nbfđ">{"'Sheet1'!$L$16"}</definedName>
    <definedName name="nbv" hidden="1">{"'Sheet1'!$L$16"}</definedName>
    <definedName name="nc">#REF!</definedName>
    <definedName name="NCga" hidden="1">{"'Sheet1'!$L$16"}</definedName>
    <definedName name="NCVBXVCB">{"'Sheet1'!$L$16"}</definedName>
    <definedName name="nd">[3]gVL!$Q$30</definedName>
    <definedName name="NDFNDF">{"'Sheet1'!$L$16"}</definedName>
    <definedName name="NDFNDFB">{"'Sheet1'!$L$16"}</definedName>
    <definedName name="NDFNDN">{"'Sheet1'!$L$16"}</definedName>
    <definedName name="NDFNSF">{"'Sheet1'!$L$16"}</definedName>
    <definedName name="NDGFD">{"'Sheet1'!$L$16"}</definedName>
    <definedName name="NDGNFGNG">{"'Sheet1'!$L$16"}</definedName>
    <definedName name="NDNSBS">{"'Sheet1'!$L$16"}</definedName>
    <definedName name="Ne">{"'Sheet1'!$L$16"}</definedName>
    <definedName name="nego검토">#REF!</definedName>
    <definedName name="nen" hidden="1">{"'Sheet1'!$L$16"}</definedName>
    <definedName name="nepcua">#REF!</definedName>
    <definedName name="ner" hidden="1">{"'Sheet1'!$L$16"}</definedName>
    <definedName name="NEW">#REF!</definedName>
    <definedName name="NEWNAME">#REF!</definedName>
    <definedName name="NFDBDB">{"'Sheet1'!$L$16"}</definedName>
    <definedName name="NFDNDF">{"'Sheet1'!$L$16"}</definedName>
    <definedName name="NFGJH">{"'Sheet1'!$L$16"}</definedName>
    <definedName name="NFGMGF">{"'Sheet1'!$L$16"}</definedName>
    <definedName name="NFGNDBDF">{"'Sheet1'!$L$16"}</definedName>
    <definedName name="NFHJYFF">{"'Sheet1'!$L$16"}</definedName>
    <definedName name="NFNGFH">{"'Sheet1'!$L$16"}</definedName>
    <definedName name="ng">{"'Sheet1'!$L$16"}</definedName>
    <definedName name="NGFN">{"'Sheet1'!$L$16"}</definedName>
    <definedName name="nghgh">{"'Sheet1'!$L$16"}</definedName>
    <definedName name="NGHIEMTHUCOTTHEP" hidden="1">{"'Sheet1'!$L$16"}</definedName>
    <definedName name="ngljlj">{"'Sheet1'!$L$16"}</definedName>
    <definedName name="ngu">{"'Sheet1'!$L$16"}</definedName>
    <definedName name="NguyenDiep">{"'Sheet1'!$L$16"}</definedName>
    <definedName name="nguyennha" hidden="1">{"'Sheet1'!$L$16"}</definedName>
    <definedName name="nguyet">{"'Sheet1'!$L$16"}</definedName>
    <definedName name="NHAÂN_COÂNG">NA()</definedName>
    <definedName name="NHAÂN_COÂNG_5">NA()</definedName>
    <definedName name="NHAÂN_COÂNG_6">NA()</definedName>
    <definedName name="NHAÂN_COÂNG_7">NA()</definedName>
    <definedName name="NHAÂN_COÂNG_8">NA()</definedName>
    <definedName name="nham">#REF!</definedName>
    <definedName name="Nhan_xet_cua_dai">"Picture 1"</definedName>
    <definedName name="NHANH2_CG4" hidden="1">{"'Sheet1'!$L$16"}</definedName>
    <definedName name="nhanuoc">{"'Sheet1'!$L$16"}</definedName>
    <definedName name="NHAP5P" hidden="1">{"'Sheet1'!$L$16"}</definedName>
    <definedName name="nharac">#REF!</definedName>
    <definedName name="NHAVESINH" hidden="1">{"'Sheet1'!$L$16"}</definedName>
    <definedName name="nhb" hidden="1">{#N/A,#N/A,FALSE,"Chi tiÆt"}</definedName>
    <definedName name="nhfffd">{"DZ-TDTB2.XLS","Dcksat.xls"}</definedName>
    <definedName name="nhfffd_1">{"DZ-TDTB2.XLS","Dcksat.xls"}</definedName>
    <definedName name="nhfffd_2">{"DZ-TDTB2.XLS","Dcksat.xls"}</definedName>
    <definedName name="nhfffd_3">{"DZ-TDTB2.XLS","Dcksat.xls"}</definedName>
    <definedName name="nhfffd_4">{"DZ-TDTB2.XLS","Dcksat.xls"}</definedName>
    <definedName name="nhfffd_5">{"DZ-TDTB2.XLS","Dcksat.xls"}</definedName>
    <definedName name="Nhiem">{"'Sheet1'!$L$16"}</definedName>
    <definedName name="nhjyeru">{"'Sheet1'!$L$16"}</definedName>
    <definedName name="nhug" hidden="1">{"một";"hai";"ba";"bốn";"năm";"sáu";"bảy";"tám";"chín";"mười";"mươi";"mốt";"lăm";"trăm";"nghìn";"triệu";"tỷ";"lẻ";"không trăm";"Bằng chử : "}</definedName>
    <definedName name="NHUNG">zIsDgiaCTiet_Gia.VTu*2+3</definedName>
    <definedName name="ninh">{"'Sheet1'!$L$16"}</definedName>
    <definedName name="nmhjjjj">#REF!</definedName>
    <definedName name="NNL" hidden="1">{"'boi duong nang nhoc'!$A$1"}</definedName>
    <definedName name="nnn">{"'Sheet1'!$L$16"}</definedName>
    <definedName name="nnnn">#REF!</definedName>
    <definedName name="nnnnn">{"'Sheet1'!$L$16"}</definedName>
    <definedName name="NO">#REF!</definedName>
    <definedName name="No.10">{"'Sheet1'!$L$16"}</definedName>
    <definedName name="No.9">{"'Sheet1'!$L$16"}</definedName>
    <definedName name="NRBFD">{"'Sheet1'!$L$16"}</definedName>
    <definedName name="NRMTYM" hidden="1">{"NGUYEN QUI THIEP - Personal View",#N/A,FALSE,"XDCB.HT.FUR."}</definedName>
    <definedName name="NRNRD">{"'Sheet1'!$L$16"}</definedName>
    <definedName name="nsbt">90*10*20*0.7</definedName>
    <definedName name="NTH" hidden="1">{"'Sheet1'!$L$16"}</definedName>
    <definedName name="nttn">{"'Sheet1'!$L$16"}</definedName>
    <definedName name="ñtútykt7y">{"'Sheet1'!$L$16"}</definedName>
    <definedName name="ntwrt" hidden="1">#REF!</definedName>
    <definedName name="Number_of_Payments">MATCH(0.01,End_Bal,-1)+1</definedName>
    <definedName name="nuoc">1.2</definedName>
    <definedName name="nuoc2" hidden="1">{"'Sheet1'!$L$16"}</definedName>
    <definedName name="NUOCHKHOAN">{"'Sheet1'!$L$16"}</definedName>
    <definedName name="NUOCHKHOANMOI">{"'Sheet1'!$L$16"}</definedName>
    <definedName name="nuoùc" hidden="1">{"'Sheet1'!$L$16"}</definedName>
    <definedName name="NVBNBNV" hidden="1">{#N/A,#N/A,FALSE,"Chi tiÆt"}</definedName>
    <definedName name="NVCB">{"'Sheet1'!$L$16"}</definedName>
    <definedName name="ny">{"'Sheet1'!$L$16"}</definedName>
    <definedName name="o">{"'Sheet1'!$L$16"}</definedName>
    <definedName name="oa">#REF!</definedName>
    <definedName name="õadfgdfgdf" hidden="1">{"'Sheet1'!$L$16"}</definedName>
    <definedName name="oanh">{"'Sheet1'!$L$16"}</definedName>
    <definedName name="OC">{"'Sheet1'!$L$16"}</definedName>
    <definedName name="ôclsaclnmc" hidden="1">{"'Sheet1'!$L$16"}</definedName>
    <definedName name="öe" hidden="1">{"'Sheet1'!$L$16"}</definedName>
    <definedName name="office" hidden="1">{"'Sheet1'!$L$16"}</definedName>
    <definedName name="OIJYED" hidden="1">{"'Sheet1'!$L$16"}</definedName>
    <definedName name="OIL" hidden="1">{"'용역비'!$A$4:$C$8"}</definedName>
    <definedName name="ok">{"'Liquid'!$A$1:$U$57"}</definedName>
    <definedName name="oke" hidden="1">{"'Sheet1'!$L$16"}</definedName>
    <definedName name="olk">#REF!</definedName>
    <definedName name="oo">{"'Liquid'!$A$1:$U$57"}</definedName>
    <definedName name="opiuy" hidden="1">{"'Sheet1'!$L$16"}</definedName>
    <definedName name="Option" hidden="1">{"'Sheet1'!$L$16"}</definedName>
    <definedName name="order2" hidden="1">0</definedName>
    <definedName name="OrderTable">#REF!</definedName>
    <definedName name="ouioyoigoigyiyugi">#REF!</definedName>
    <definedName name="Overhead_and_Profit">10</definedName>
    <definedName name="p" hidden="1">{"'Sheet1'!$L$16"}</definedName>
    <definedName name="P.T.Xuan" hidden="1">{"'Sheet1'!$L$16"}</definedName>
    <definedName name="PA">#REF!</definedName>
    <definedName name="PA2CAU39M" hidden="1">{"'Sheet1'!$L$16"}</definedName>
    <definedName name="PAIII_">{"'Sheet1'!$L$16"}</definedName>
    <definedName name="Panel">#REF!</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ayment_Date">DATE(YEAR(Loan_Start),MONTH(Loan_Start)+Payment_Number,DAY(Loan_Start))</definedName>
    <definedName name="PayTerms">#REF!</definedName>
    <definedName name="PB">#REF!</definedName>
    <definedName name="pẻgtmaegnahr" hidden="1">{"'Sheet1'!$L$16"}</definedName>
    <definedName name="PEJM">#REF!</definedName>
    <definedName name="PercentComplete">PercentCompleteBeyond*PeriodInPlan</definedName>
    <definedName name="period_selected">'[7]Tien do TV'!$P$1</definedName>
    <definedName name="PF">#REF!</definedName>
    <definedName name="PGV">#REF!</definedName>
    <definedName name="ph" hidden="1">{"'Sheet1'!$L$16"}</definedName>
    <definedName name="phai">{"'Sheet1'!$L$16"}</definedName>
    <definedName name="phantich3">{"'Sheet1'!$L$16"}</definedName>
    <definedName name="phátinhdien02" hidden="1">{"'Sheet1'!$L$16"}</definedName>
    <definedName name="phñto2">{"'Sheet1'!$L$16"}</definedName>
    <definedName name="phong" hidden="1">{"'Sheet1'!$L$16"}</definedName>
    <definedName name="PHOTO">#REF!</definedName>
    <definedName name="phu">{"'Sheet1'!$L$16"}</definedName>
    <definedName name="phugia">[2]GiaVL!$F$28</definedName>
    <definedName name="phuoc" hidden="1">{"'Sheet1'!$L$16"}</definedName>
    <definedName name="Phuong">{"'Sheet1'!$L$16"}</definedName>
    <definedName name="PIP">BlankMacro1</definedName>
    <definedName name="Pipe">#REF!</definedName>
    <definedName name="PIPE2">BlankMacro1</definedName>
    <definedName name="PKTN.">{"'Sheet1'!$L$16"}</definedName>
    <definedName name="pktpn0.48">'[5]Bang tinh gia'!$K$6</definedName>
    <definedName name="pktpn0.58">'[5]Bang tinh gia'!$K$7</definedName>
    <definedName name="pktpn0.75">'[5]Bang tinh gia'!$K$8</definedName>
    <definedName name="pktpn0.95">'[5]Bang tinh gia'!$K$9</definedName>
    <definedName name="pktpn1.15">'[5]Bang tinh gia'!$K$10</definedName>
    <definedName name="pkvhs0.75">'[16]Đơn giá theo m2'!$I$62</definedName>
    <definedName name="pkvpn0.48">'[5]Bang tinh gia'!$K$39</definedName>
    <definedName name="pkvpn0.58">'[5]Bang tinh gia'!$K$40</definedName>
    <definedName name="pkvpn0.75">'[5]Bang tinh gia'!$K$41</definedName>
    <definedName name="pkvpn0.95">'[5]Bang tinh gia'!$K$42</definedName>
    <definedName name="PL">{"'Sheet1'!$L$16"}</definedName>
    <definedName name="PL_Sample_1">#REF!</definedName>
    <definedName name="plkl">{"'Sheet1'!$L$16"}</definedName>
    <definedName name="PlucBcaoTD">{"'Sheet1'!$L$16"}</definedName>
    <definedName name="pm1_ac_dt">#REF!</definedName>
    <definedName name="pm1_ac_pt">#REF!</definedName>
    <definedName name="pm1_dt">#REF!</definedName>
    <definedName name="pm1_end_dt">#REF!</definedName>
    <definedName name="pm1_end_pt">#REF!</definedName>
    <definedName name="pm1_pt">#REF!</definedName>
    <definedName name="pm1_start">#REF!</definedName>
    <definedName name="pm1_start_dt">#REF!</definedName>
    <definedName name="pm1_start_pt">#REF!</definedName>
    <definedName name="pm2_ac_dt">#REF!</definedName>
    <definedName name="pm2_ac_pt">#REF!</definedName>
    <definedName name="pm2_dt">#REF!</definedName>
    <definedName name="pm2_end_dt">#REF!</definedName>
    <definedName name="pm2_end_pt">#REF!</definedName>
    <definedName name="pm2_pt">#REF!</definedName>
    <definedName name="pm2_start">#REF!</definedName>
    <definedName name="pm2_start_dt">#REF!</definedName>
    <definedName name="pm2_start_pt">#REF!</definedName>
    <definedName name="pm3_ac_dt">#REF!</definedName>
    <definedName name="pm3_ac_pt">#REF!</definedName>
    <definedName name="pm3_dt">#REF!</definedName>
    <definedName name="pm3_end_dt">#REF!</definedName>
    <definedName name="pm3_end_pt">#REF!</definedName>
    <definedName name="pm3_pt">#REF!</definedName>
    <definedName name="pm3_start">#REF!</definedName>
    <definedName name="pm3_start_dt">#REF!</definedName>
    <definedName name="pm3_start_pt">#REF!</definedName>
    <definedName name="pm4_ac_dt">#REF!</definedName>
    <definedName name="pm4_ac_pt">#REF!</definedName>
    <definedName name="pm4_dt">#REF!</definedName>
    <definedName name="pm4_end_dt">#REF!</definedName>
    <definedName name="pm4_end_pt">#REF!</definedName>
    <definedName name="pm4_pt">#REF!</definedName>
    <definedName name="pm4_start">#REF!</definedName>
    <definedName name="pm4_start_dt">#REF!</definedName>
    <definedName name="pm4_start_pt">#REF!</definedName>
    <definedName name="pm5_ac_dt">#REF!</definedName>
    <definedName name="pm5_ac_pt">#REF!</definedName>
    <definedName name="pm5_dt">#REF!</definedName>
    <definedName name="pm5_end_dt">#REF!</definedName>
    <definedName name="pm5_end_pt">#REF!</definedName>
    <definedName name="pm5_pt">#REF!</definedName>
    <definedName name="pm5_start">#REF!</definedName>
    <definedName name="pm5_start_dt">#REF!</definedName>
    <definedName name="pm5_start_pt">#REF!</definedName>
    <definedName name="PMS">{"'Sheet1'!$L$16"}</definedName>
    <definedName name="pn0.48">'[5]Vat tu'!$J$5</definedName>
    <definedName name="pn0.58">'[5]Vat tu'!$J$6</definedName>
    <definedName name="pn0.75">'[5]Vat tu'!$J$7</definedName>
    <definedName name="pn0.95">'[5]Vat tu'!$J$8</definedName>
    <definedName name="pn1.15">'[5]Vat tu'!$J$9</definedName>
    <definedName name="POA.5.1">'[17]B5.1 rate'!$N$1</definedName>
    <definedName name="poi">{"'Sheet1'!$L$16"}</definedName>
    <definedName name="pope" hidden="1">{"'Sheet1'!$L$16"}</definedName>
    <definedName name="Port1">#REF!</definedName>
    <definedName name="port11">#REF!</definedName>
    <definedName name="pp">#REF!</definedName>
    <definedName name="PPC">{"'Sheet1'!$L$16"}</definedName>
    <definedName name="ppp">#REF!</definedName>
    <definedName name="PPPP">{"'Sheet1'!$L$16"}</definedName>
    <definedName name="ｐｐｐｐ">{"'Sheet1'!$L$16"}</definedName>
    <definedName name="ppr">1.35</definedName>
    <definedName name="PQ점수">"Dialog Frame 1"</definedName>
    <definedName name="pri">#REF!</definedName>
    <definedName name="price04">#REF!</definedName>
    <definedName name="_xlnm.Print_Area" hidden="1">#REF!</definedName>
    <definedName name="Print_Area_Reset">OFFSET(Full_Print,0,0,Last_Row)</definedName>
    <definedName name="_xlnm.Print_Titles">#N/A</definedName>
    <definedName name="Print_Titles_MI">#REF!</definedName>
    <definedName name="PRINTA">#REF!</definedName>
    <definedName name="prjName">#REF!</definedName>
    <definedName name="prjNo">#REF!</definedName>
    <definedName name="prod_end">#REF!</definedName>
    <definedName name="prod_end_dt">#REF!</definedName>
    <definedName name="prod_end_pt">#REF!</definedName>
    <definedName name="prod_start">#REF!</definedName>
    <definedName name="prod_start_dt">#REF!</definedName>
    <definedName name="prod_start_pt">#REF!</definedName>
    <definedName name="ProdForm">#REF!</definedName>
    <definedName name="Product">#REF!</definedName>
    <definedName name="PRODUCTION">{"'Sheet1'!$L$16"}</definedName>
    <definedName name="project_end">#REF!</definedName>
    <definedName name="project_end_dt">#REF!</definedName>
    <definedName name="project_end_pt">#REF!</definedName>
    <definedName name="project_start_pt">#REF!</definedName>
    <definedName name="pst">{"'Sheet1'!$L$16"}</definedName>
    <definedName name="pthu">{"'Sheet1'!$L$16"}</definedName>
    <definedName name="ptich3">{"'Sheet1'!$L$16"}</definedName>
    <definedName name="PtichDTL">rate</definedName>
    <definedName name="PtichDTL_1">rate</definedName>
    <definedName name="PtichDTL_5">rate</definedName>
    <definedName name="PtichDTL_6">rate</definedName>
    <definedName name="PtichDTL_7">rate</definedName>
    <definedName name="PtichDTL_8">rate</definedName>
    <definedName name="PtichDTL_9">rate</definedName>
    <definedName name="PUBLIC">{"'Sheet1'!$L$16"}</definedName>
    <definedName name="PVC">{"'Sheet1'!$L$16"}</definedName>
    <definedName name="q" hidden="1">{"'Sheet1'!$L$16"}</definedName>
    <definedName name="q234562456" hidden="1">{"'용역비'!$A$4:$C$8"}</definedName>
    <definedName name="qa">{"'Sheet1'!$L$16"}</definedName>
    <definedName name="qaaaaxzs">#REF!</definedName>
    <definedName name="QADASD" hidden="1">{"'Sheet1'!$L$16"}</definedName>
    <definedName name="QANG" hidden="1">{"'Sheet1'!$L$16"}</definedName>
    <definedName name="qasd">{"'Sheet1'!$L$16"}</definedName>
    <definedName name="qcdc" hidden="1">{"'Sheet1'!$L$16"}</definedName>
    <definedName name="qd">{"'Sheet1'!$L$16"}</definedName>
    <definedName name="qd10_gt">{"'Sheet1'!$L$16"}</definedName>
    <definedName name="qd10_gt_1">{"'Sheet1'!$L$16"}</definedName>
    <definedName name="qd10_gt1">{"'Sheet1'!$L$16"}</definedName>
    <definedName name="qdqdwd" hidden="1">{"'Sheet1'!$L$16"}</definedName>
    <definedName name="qe" hidden="1">{"'Sheet1'!$L$16"}</definedName>
    <definedName name="qềqg" hidden="1">{"'Sheet1'!$L$16"}</definedName>
    <definedName name="qet" hidden="1">{"'Sheet1'!$L$16"}</definedName>
    <definedName name="QẺTTT" hidden="1">{"'Sheet1'!$L$16"}</definedName>
    <definedName name="qeưq" hidden="1">{"'Sheet1'!$L$16"}</definedName>
    <definedName name="qew">#REF!</definedName>
    <definedName name="QGFADB" hidden="1">{"'Sheet1'!$L$16"}</definedName>
    <definedName name="qk" hidden="1">{"'자리배치도'!$AG$1:$CI$28"}</definedName>
    <definedName name="QL">#REF!</definedName>
    <definedName name="QL60.TVT8">#REF!</definedName>
    <definedName name="qncjstkdehdwhrud">#REF!</definedName>
    <definedName name="qöeqwerqwereq">#REF!</definedName>
    <definedName name="qq" hidden="1">{"'Sheet1'!$L$16"}</definedName>
    <definedName name="qqee">{"'Sheet1'!$L$16"}</definedName>
    <definedName name="QQQ">{"'Sheet1'!$L$16"}</definedName>
    <definedName name="ｑｑｑ">{"'Sheet1'!$L$16"}</definedName>
    <definedName name="QQQ_1">{"'Sheet1'!$L$16"}</definedName>
    <definedName name="qqqq" hidden="1">{"'Sheet1'!$L$16"}</definedName>
    <definedName name="ｑｑｑｑ">{"'Sheet1'!$L$16"}</definedName>
    <definedName name="qqqqq" hidden="1">{"'Sheet1'!$L$16"}</definedName>
    <definedName name="qqqqqqq" hidden="1">{"'Sheet1'!$L$16"}</definedName>
    <definedName name="qqqqqqqqqqqqqqqqqqqqqq" hidden="1">{"'Sheet1'!$L$16"}</definedName>
    <definedName name="qqssssss" hidden="1">{"'Sheet1'!$L$16"}</definedName>
    <definedName name="qqưq">{"'Sheet1'!$L$16"}</definedName>
    <definedName name="qqwwww">#REF!</definedName>
    <definedName name="qrt" hidden="1">{"'Sheet1'!$L$16"}</definedName>
    <definedName name="qrw">#REF!</definedName>
    <definedName name="qs">#REF!</definedName>
    <definedName name="qtrwey" hidden="1">{"'Sheet1'!$L$16"}</definedName>
    <definedName name="QƯ">#REF!</definedName>
    <definedName name="quan">{"'Sheet1'!$L$16"}</definedName>
    <definedName name="quan.P12" hidden="1">{"'Sheet1'!$L$16"}</definedName>
    <definedName name="quang">{"'Sheet1'!$L$16"}</definedName>
    <definedName name="quang03">{"'Sheet1'!$L$16"}</definedName>
    <definedName name="quantity">#REF!</definedName>
    <definedName name="quoan" hidden="1">{"'Sheet1'!$L$16"}</definedName>
    <definedName name="QUOC">#REF!</definedName>
    <definedName name="QƯQ">#REF!</definedName>
    <definedName name="qưqq" hidden="1">{"'Sheet1'!$L$16"}</definedName>
    <definedName name="qưqw">{"'Sheet1'!$L$16"}</definedName>
    <definedName name="quyet">{"'Sheet1'!$L$16"}</definedName>
    <definedName name="qvv" hidden="1">{"'Sheet1'!$L$16"}</definedName>
    <definedName name="qw">#REF!</definedName>
    <definedName name="QWE">{"'Sheet1'!$L$16"}</definedName>
    <definedName name="qweq" hidden="1">{"'Sheet1'!$L$16"}</definedName>
    <definedName name="QWEQW">#REF!</definedName>
    <definedName name="qweqweqwe" hidden="1">{"'Sheet1'!$L$16"}</definedName>
    <definedName name="qwer">{"'Sheet1'!$L$16"}</definedName>
    <definedName name="QWERCDFGV">#REF!</definedName>
    <definedName name="qwertet">{"'Sheet1'!$L$16"}</definedName>
    <definedName name="qws">#REF!</definedName>
    <definedName name="qwwqe">{"'Sheet1'!$L$16"}</definedName>
    <definedName name="qwwwwwwwwww" hidden="1">{"'Sheet1'!$L$16"}</definedName>
    <definedName name="qyk" hidden="1">{"'용역비'!$A$4:$C$8"}</definedName>
    <definedName name="Ra">2700</definedName>
    <definedName name="Rad">1500</definedName>
    <definedName name="RANH" hidden="1">{"'Sheet1'!$L$16"}</definedName>
    <definedName name="RANH2" hidden="1">{"'Sheet1'!$L$16"}</definedName>
    <definedName name="Ranhxay">{"'Sheet1'!$L$16"}</definedName>
    <definedName name="rate">14000</definedName>
    <definedName name="rate_9">14000</definedName>
    <definedName name="rbsr">{"'Sheet1'!$L$16"}</definedName>
    <definedName name="RCArea">#REF!</definedName>
    <definedName name="rd" hidden="1">{"'Sheet1'!$L$16"}</definedName>
    <definedName name="rdtgrt">{"'Sheet1'!$L$16"}</definedName>
    <definedName name="re4e4">{"'Sheet1'!$L$16"}</definedName>
    <definedName name="reawrew" hidden="1">{"'Sheet1'!$L$16"}</definedName>
    <definedName name="reay" hidden="1">{"'Sheet1'!$L$16"}</definedName>
    <definedName name="_xlnm.Recorder" hidden="1">#REF!</definedName>
    <definedName name="RECOUT">NA()</definedName>
    <definedName name="Ref" hidden="1">{"'Sheet1'!$L$16"}</definedName>
    <definedName name="report1">#REF!</definedName>
    <definedName name="report2">#REF!</definedName>
    <definedName name="rêreeyre" hidden="1">{"'Sheet1'!$L$16"}</definedName>
    <definedName name="Result21">{"'Sheet1'!$L$16"}</definedName>
    <definedName name="reûtht" hidden="1">{"'Sheet1'!$L$16"}</definedName>
    <definedName name="Revised">#REF!</definedName>
    <definedName name="rewgwegn" hidden="1">{"'Sheet1'!$L$16"}</definedName>
    <definedName name="rewr">{"'Sheet1'!$L$16"}</definedName>
    <definedName name="rewrer" hidden="1">{"'Sheet1'!$L$16"}</definedName>
    <definedName name="rewrewr" hidden="1">{"'Sheet1'!$L$16"}</definedName>
    <definedName name="rf" hidden="1">{"'Sheet1'!$L$16"}</definedName>
    <definedName name="rferfg" hidden="1">{"'Sheet1'!$L$16"}</definedName>
    <definedName name="RFV">#REF!</definedName>
    <definedName name="rfwetet" hidden="1">{"'Sheet1'!$L$16"}</definedName>
    <definedName name="rgdf">{"'Sheet1'!$L$16"}</definedName>
    <definedName name="rgeger" hidden="1">#REF!</definedName>
    <definedName name="rger" hidden="1">#REF!</definedName>
    <definedName name="rggsg" hidden="1">{"'Sheet1'!$L$16"}</definedName>
    <definedName name="rgshds" hidden="1">{"'Sheet1'!$L$16"}</definedName>
    <definedName name="rgwerg" hidden="1">{#N/A,#N/A,FALSE,"Chi tiÆt"}</definedName>
    <definedName name="rgwergfwe">{"'Sheet1'!$L$16"}</definedName>
    <definedName name="RH" hidden="1">{"'용역비'!$A$4:$C$8"}</definedName>
    <definedName name="rhgrs" hidden="1">{"'Sheet1'!$L$16"}</definedName>
    <definedName name="RHODIA">{"'DocTypeCode'!$A$142:$A$226"}</definedName>
    <definedName name="rid" hidden="1">{"'Sheet1'!$L$16"}</definedName>
    <definedName name="rits" hidden="1">{"'Sheet1'!$L$16"}</definedName>
    <definedName name="rÎy" hidden="1">{"'Sheet1'!$L$16"}</definedName>
    <definedName name="rjs">#REF!</definedName>
    <definedName name="rkd">#REF!</definedName>
    <definedName name="rkdkd">#REF!</definedName>
    <definedName name="RKDLKS">#REF!</definedName>
    <definedName name="rmadb111">BlankMacro1</definedName>
    <definedName name="Rn">130</definedName>
    <definedName name="rnp">32</definedName>
    <definedName name="RO">#REF!</definedName>
    <definedName name="Road" hidden="1">{"'Sheet1'!$L$16"}</definedName>
    <definedName name="Roman">1</definedName>
    <definedName name="row">#REF!</definedName>
    <definedName name="RPLA">{"'Sheet1'!$L$16"}</definedName>
    <definedName name="RQ" hidden="1">#REF!</definedName>
    <definedName name="rqbbqngrt">#REF!</definedName>
    <definedName name="RQGBVV">#REF!</definedName>
    <definedName name="RQWERFAF" hidden="1">#REF!</definedName>
    <definedName name="rqwr" hidden="1">{"'Sheet1'!$L$16"}</definedName>
    <definedName name="rr">{"Book1","BoQ2.XLS"}</definedName>
    <definedName name="RRG">#REF!</definedName>
    <definedName name="rrr">{"'Sheet1'!$L$16"}</definedName>
    <definedName name="rrrr">{"'Sheet1'!$L$16"}</definedName>
    <definedName name="ｒｒｒｒ">{"'Sheet1'!$L$16"}</definedName>
    <definedName name="rrrrfrt">#REF!</definedName>
    <definedName name="rrrrr" hidden="1">{"'장비'!$A$3:$M$12"}</definedName>
    <definedName name="rrrrrr">#REF!</definedName>
    <definedName name="rrrrrrrr" hidden="1">{"'장비'!$A$3:$M$12"}</definedName>
    <definedName name="rrrrrrrrrr" hidden="1">{"'Sheet1'!$L$16"}</definedName>
    <definedName name="rrt" hidden="1">{"'Sheet1'!$L$16"}</definedName>
    <definedName name="rsls">{"'Sheet1'!$L$16"}</definedName>
    <definedName name="RT">#REF!</definedName>
    <definedName name="rth" hidden="1">{"'용역비'!$A$4:$C$8"}</definedName>
    <definedName name="RTJR">{"'Sheet1'!$L$16"}</definedName>
    <definedName name="rtr" hidden="1">{"'Sheet1'!$L$16"}</definedName>
    <definedName name="rtrt" hidden="1">{"'Sheet1'!$L$16"}</definedName>
    <definedName name="RTWR">{"'Sheet1'!$L$16"}</definedName>
    <definedName name="rty" hidden="1">{"'용역비'!$A$4:$C$8"}</definedName>
    <definedName name="RTYE" hidden="1">{"'장비'!$A$3:$M$12"}</definedName>
    <definedName name="rtyreyey" hidden="1">{"'Sheet1'!$L$16"}</definedName>
    <definedName name="rtyrtyt">#REF!</definedName>
    <definedName name="rtytry">#REF!</definedName>
    <definedName name="rưerew" hidden="1">{"'Sheet1'!$L$16"}</definedName>
    <definedName name="RƯET">{"'Sheet1'!$L$16"}</definedName>
    <definedName name="RƯT4WTW">{"'Sheet1'!$L$16"}</definedName>
    <definedName name="RVVRRRRR">#REF!</definedName>
    <definedName name="rweqrwe">{"'Sheet1'!$L$16"}</definedName>
    <definedName name="rwer" hidden="1">{"'Sheet1'!$L$16"}</definedName>
    <definedName name="ryedfg">#REF!</definedName>
    <definedName name="ryuk" hidden="1">{"'용역비'!$A$4:$C$8"}</definedName>
    <definedName name="s" hidden="1">{"'Sheet1'!$L$16"}</definedName>
    <definedName name="sa" hidden="1">{"'Sheet1'!$L$16"}</definedName>
    <definedName name="saa">#REF!</definedName>
    <definedName name="saada">#REF!</definedName>
    <definedName name="sach">{"'Sheet1'!$L$16"}</definedName>
    <definedName name="sad" hidden="1">{"'Sheet1'!$L$16"}</definedName>
    <definedName name="SADASC" hidden="1">{"'Sheet1'!$L$16"}</definedName>
    <definedName name="sadcs" hidden="1">{"'Sheet1'!$L$16"}</definedName>
    <definedName name="sadf¸a">{"'Sheet1'!$L$16"}</definedName>
    <definedName name="sadfsadf" hidden="1">{"'Sheet1'!$L$16"}</definedName>
    <definedName name="sadSa">#REF!</definedName>
    <definedName name="sadsgfjhkhluiluil">#REF!</definedName>
    <definedName name="sagawa">#REF!</definedName>
    <definedName name="SAGD" hidden="1">{"'Sheet1'!$L$16"}</definedName>
    <definedName name="sahdfjdgjds" hidden="1">{"'Sheet1'!$L$16"}</definedName>
    <definedName name="sang" hidden="1">{"'Sheet1'!$L$16"}</definedName>
    <definedName name="SAPBEXrevision">1</definedName>
    <definedName name="SAPBEXsysID">"TA2"</definedName>
    <definedName name="SAPBEXwbID">"E9Q3LCWW911VAJ39BASH84PBR"</definedName>
    <definedName name="sas">{"'Sheet1'!$L$16"}</definedName>
    <definedName name="sasa">#REF!</definedName>
    <definedName name="sav" hidden="1">{"'Sheet1'!$L$16"}</definedName>
    <definedName name="SAVDSVVAV" hidden="1">{"'Sheet1'!$L$16"}</definedName>
    <definedName name="sbcxdnndf">#REF!</definedName>
    <definedName name="sbdhdhdh">#REF!</definedName>
    <definedName name="SBSDGBRS">{"'Sheet1'!$L$16"}</definedName>
    <definedName name="sc" hidden="1">{"'ELEC'!$A$2:$H$216","'ELEC'!$C$2:$D$2"}</definedName>
    <definedName name="scẪ">{"'Sheet1'!$L$16"}</definedName>
    <definedName name="SCAAAAX">#REF!</definedName>
    <definedName name="scaawws">#REF!</definedName>
    <definedName name="scÂC">{"'Sheet1'!$L$16"}</definedName>
    <definedName name="scddddd">#REF!</definedName>
    <definedName name="scdfrrrr">#REF!</definedName>
    <definedName name="scdfrt">#REF!</definedName>
    <definedName name="SCH">#REF!</definedName>
    <definedName name="schedule">{"'Sheet1'!$L$16"}</definedName>
    <definedName name="sCol">zIsDgiaCTiet_Gia.VTu*2+3</definedName>
    <definedName name="scr">[3]gVL!$Q$33</definedName>
    <definedName name="SCTai" hidden="1">{"'Sheet1'!$L$16"}</definedName>
    <definedName name="sctcn">{"'Sheet1'!$L$16"}</definedName>
    <definedName name="SCTX">{"'Sheet1'!$L$16"}</definedName>
    <definedName name="SD">{"'ELEC'!$A$2:$H$216","'ELEC'!$C$2:$D$2"}</definedName>
    <definedName name="sđ" hidden="1">{"'Sheet1'!$L$16"}</definedName>
    <definedName name="sd¸d" hidden="1">{"'Sheet1'!$L$16"}</definedName>
    <definedName name="sdad" hidden="1">{"'Sheet1'!$L$16"}</definedName>
    <definedName name="sdaf" hidden="1">{"'Sheet1'!$L$16"}</definedName>
    <definedName name="sdafsffgdgf" hidden="1">{"'Sheet1'!$L$16"}</definedName>
    <definedName name="sdasa">#REF!</definedName>
    <definedName name="sdbv">{"'Sheet1'!$L$16"}</definedName>
    <definedName name="sdc_dt">#REF!</definedName>
    <definedName name="sdc_pt">#REF!</definedName>
    <definedName name="sdc_start_dt">#REF!</definedName>
    <definedName name="sdc_start_pt">#REF!</definedName>
    <definedName name="SDCDFVQQW">#REF!</definedName>
    <definedName name="sdcfffff">#REF!</definedName>
    <definedName name="sdcfgggrt">#REF!</definedName>
    <definedName name="sdcsd">{"'Sheet1'!$L$16"}</definedName>
    <definedName name="sdd">{"'Sheet1'!$L$16"}</definedName>
    <definedName name="sderftg">#REF!</definedName>
    <definedName name="sdf">{"'Sheet1'!$L$16"}</definedName>
    <definedName name="sđf" hidden="1">{"'Sheet1'!$L$16"}</definedName>
    <definedName name="SDFASFSA">{"'Sheet1'!$L$16"}</definedName>
    <definedName name="sdfastgawtwqetr">#REF!</definedName>
    <definedName name="sdfd" hidden="1">{"'Sheet1'!$L$16"}</definedName>
    <definedName name="sdfda">{"'Sheet1'!$L$16"}</definedName>
    <definedName name="sdfdf" hidden="1">#REF!</definedName>
    <definedName name="SDFDS" hidden="1">{"'Sheet1'!$L$16"}</definedName>
    <definedName name="sdfgdfg">#REF!</definedName>
    <definedName name="sdfhsf" hidden="1">#REF!</definedName>
    <definedName name="sdfs">#REF!</definedName>
    <definedName name="SDFSA" hidden="1">{"'Sheet1'!$L$16"}</definedName>
    <definedName name="SDFSDFS">{"'Sheet1'!$L$16"}</definedName>
    <definedName name="sdfsdfsd">{"'Sheet1'!$L$16"}</definedName>
    <definedName name="SDFSDGD">{"'Sheet1'!$L$16"}</definedName>
    <definedName name="SDFSDGF">{"'Sheet1'!$L$16"}</definedName>
    <definedName name="SDFSE">{"'Sheet1'!$L$16"}</definedName>
    <definedName name="SDFSF" hidden="1">{"'Sheet1'!$L$16"}</definedName>
    <definedName name="sđfsf" hidden="1">{"'Sheet1'!$L$16"}</definedName>
    <definedName name="sdfsfd" hidden="1">{"'Sheet1'!$L$16"}</definedName>
    <definedName name="sdg">#REF!</definedName>
    <definedName name="sdgdsg" hidden="1">{"'Sheet1'!$L$16"}</definedName>
    <definedName name="sdgfjhfj" hidden="1">{"'Sheet1'!$L$16"}</definedName>
    <definedName name="SDGSDG">{"'Sheet1'!$L$16"}</definedName>
    <definedName name="SDGSDHET">{"'Sheet1'!$L$16"}</definedName>
    <definedName name="sdgtugþ">{"'Sheet1'!$L$16"}</definedName>
    <definedName name="SDGWRSRWG">{"'Sheet1'!$L$16"}</definedName>
    <definedName name="sdjfngggng">#REF!</definedName>
    <definedName name="SDRƯE">#REF!</definedName>
    <definedName name="sdryhj" hidden="1">{"'용역비'!$A$4:$C$8"}</definedName>
    <definedName name="SDS">#REF!</definedName>
    <definedName name="sdsad" hidden="1">{"'Sheet1'!$L$16"}</definedName>
    <definedName name="sdsafsd" hidden="1">{"'Sheet1'!$L$16"}</definedName>
    <definedName name="SDSD" hidden="1">{#N/A,#N/A,FALSE,"Sheet1";#N/A,#N/A,FALSE,"Sheet3";#N/A,#N/A,FALSE,"Sheet5"}</definedName>
    <definedName name="sdsdds">{"'Sheet1'!$L$16"}</definedName>
    <definedName name="sdsdsd">{"'Sheet1'!$L$16"}</definedName>
    <definedName name="sdsdwdwdd">#REF!</definedName>
    <definedName name="sdz">{"'Sheet1'!$L$16"}</definedName>
    <definedName name="SE" hidden="1">{"'용역비'!$A$4:$C$8"}</definedName>
    <definedName name="SEC.C1">#REF!</definedName>
    <definedName name="seet2" hidden="1">{"'Sheet1'!$L$16"}</definedName>
    <definedName name="SEGSD" hidden="1">{"NGUYEN QUI THIEP - Personal View",#N/A,FALSE,"XDCB.HT.FUR."}</definedName>
    <definedName name="sen">{"'Sheet1'!$L$16"}</definedName>
    <definedName name="sencount">1</definedName>
    <definedName name="SFA">#REF!</definedName>
    <definedName name="SFADHGFD" hidden="1">{"'Sheet1'!$L$16"}</definedName>
    <definedName name="SFasfa" hidden="1">{"'Sheet1'!$L$16"}</definedName>
    <definedName name="SFBAS">{"'Sheet1'!$L$16"}</definedName>
    <definedName name="sfdfdf" hidden="1">{"'Sheet1'!$L$16"}</definedName>
    <definedName name="sfdgdfgfhgjgjgjghj">#REF!</definedName>
    <definedName name="sfdgnl">#REF!</definedName>
    <definedName name="SFEFSG">{"'Sheet1'!$L$16"}</definedName>
    <definedName name="sff">{"'Sheet1'!$L$16"}</definedName>
    <definedName name="sfg" hidden="1">{"'Sheet1'!$L$16"}</definedName>
    <definedName name="sfghj">{"'Sheet1'!$L$16"}</definedName>
    <definedName name="sfsafsfds" hidden="1">{"'Sheet1'!$L$16"}</definedName>
    <definedName name="sfsd">{"'Sheet1'!$L$16"}</definedName>
    <definedName name="sfsdg" hidden="1">{"'Sheet1'!$L$16"}</definedName>
    <definedName name="SFSFS" hidden="1">{"'Sheet1'!$L$16"}</definedName>
    <definedName name="SFSFSDF" hidden="1">{"'Sheet1'!$L$16"}</definedName>
    <definedName name="sfsfsfas" hidden="1">{"'Sheet1'!$L$16"}</definedName>
    <definedName name="sga">#REF!</definedName>
    <definedName name="sga_dt">#REF!</definedName>
    <definedName name="sga_pt">#REF!</definedName>
    <definedName name="sgasgreg" hidden="1">#REF!</definedName>
    <definedName name="sgfdgdf" hidden="1">{"'Sheet1'!$L$16"}</definedName>
    <definedName name="sgfhsdhe" hidden="1">{"'Sheet1'!$L$16"}</definedName>
    <definedName name="SGG">{"'Sheet1'!$L$16"}</definedName>
    <definedName name="sgjhk">{"'Sheet1'!$L$16"}</definedName>
    <definedName name="sgjyti">{"'Sheet1'!$L$16"}</definedName>
    <definedName name="sgs" hidden="1">{"'Sheet1'!$L$16"}</definedName>
    <definedName name="sgsdg" hidden="1">{"'Sheet1'!$L$16"}</definedName>
    <definedName name="sgsr" hidden="1">{"'Sheet1'!$L$16"}</definedName>
    <definedName name="sh" hidden="1">{"'Sheet1'!$L$16"}</definedName>
    <definedName name="shee12">{"'Sheet1'!$L$16"}</definedName>
    <definedName name="sheet">{"'Sheet1'!$L$16"}</definedName>
    <definedName name="sheet1">#REF!</definedName>
    <definedName name="Sheet2">#REF!</definedName>
    <definedName name="sheet3">#REF!</definedName>
    <definedName name="sheet5" hidden="1">{"'Sheet1'!$L$16"}</definedName>
    <definedName name="SheetName">"[Bao_cao_cua_NVTK_tai_NPP_bieu_mau_moi_4___Mau_moi.xls]~         "</definedName>
    <definedName name="shfgskfj" hidden="1">{"'Sheet1'!$L$16"}</definedName>
    <definedName name="SHGREGER" hidden="1">{"NGUYEN QUI THIEP - Personal View",#N/A,FALSE,"XDCB.HT.FUR."}</definedName>
    <definedName name="SHGSDFH" hidden="1">{"'Sheet1'!$L$16"}</definedName>
    <definedName name="SHIPT" hidden="1">{"'Sheet1'!$L$16"}</definedName>
    <definedName name="shsrhtr" hidden="1">{"'Sheet1'!$L$16"}</definedName>
    <definedName name="sHsVlNcCm">VALUE(IF(LEFT(OFFSET(Acell,0,-4),1)="A",dTHKP_HsVl,IF(LEFT(OFFSET(Acell,0,-4),1)="B",dTHKP_HsNc,dTHKP_HsCm)))</definedName>
    <definedName name="Sie">#REF!</definedName>
    <definedName name="sÎee" hidden="1">{"'Sheet1'!$L$16"}</definedName>
    <definedName name="silo4" hidden="1">{"'ELEC'!$A$2:$H$216","'ELEC'!$C$2:$D$2"}</definedName>
    <definedName name="sinh" hidden="1">{"'Sheet1'!$L$16"}</definedName>
    <definedName name="sjdbhfrree">#REF!</definedName>
    <definedName name="sjdhggfff">#REF!</definedName>
    <definedName name="sjdnfhrrr">#REF!</definedName>
    <definedName name="skd">[3]gVL!$Q$37</definedName>
    <definedName name="skdjhnffds">#REF!</definedName>
    <definedName name="SL">#REF!</definedName>
    <definedName name="sMh">IF(LEFT(OFFSET(Acell,0,-6),1)="1",dVTu_Mh,IF(LEFT(OFFSET(Acell,0,-6),1)="2",dNCong_Mh,dCMay_Mh))</definedName>
    <definedName name="SN_Z3" hidden="1">{"'CPA Sum'!$A$1:$X$30","'CPA'!$A$1:$K$187","'Infra Cost'!$A$1:$Q$30","'Dev't Cost'!$A$1:$AH$40","'Cashflow'!$A$1:$DG$82"}</definedName>
    <definedName name="SnACOST_TABLE">#REF!</definedName>
    <definedName name="SnACOST_Table1">#REF!</definedName>
    <definedName name="sName">IF(LEFT(OFFSET(Acell,0,-6),1)="1",dVTu_Name,IF(LEFT(OFFSET(Acell,0,-6),1)="2",dNCong_Name,dCMay_Name))</definedName>
    <definedName name="so">ROUND(TRIM(INDIRECT(MyRef)),0)</definedName>
    <definedName name="sochuc">IF(LEN(so)&gt;1,VALUE(LEFT(RIGHT(so,2),1)),"")</definedName>
    <definedName name="sochucnghin">IF(LEN(so)&gt;4,VALUE(LEFT(RIGHT(so,5),1)),"")</definedName>
    <definedName name="sochucnghinty">IF(LEN(so)&gt;13,VALUE(LEFT(RIGHT(so,14),1)),"")</definedName>
    <definedName name="sochuctrieu">IF(LEN(so)&gt;7,VALUE(LEFT(RIGHT(so,8),1)),"")</definedName>
    <definedName name="sochucty">IF(LEN(so)&gt;10,VALUE(LEFT(RIGHT(so,11),1)),"")</definedName>
    <definedName name="sodonvi">VALUE(RIGHT(so,1))</definedName>
    <definedName name="sodu">{"'Sheet1'!$L$16"}</definedName>
    <definedName name="solver_cvg">0.0001</definedName>
    <definedName name="solver_drv">1</definedName>
    <definedName name="solver_est">1</definedName>
    <definedName name="solver_itr">100</definedName>
    <definedName name="solver_lin">0</definedName>
    <definedName name="solver_neg">2</definedName>
    <definedName name="solver_num">0</definedName>
    <definedName name="solver_nwt">1</definedName>
    <definedName name="solver_pre">0.000001</definedName>
    <definedName name="solver_rel1">1</definedName>
    <definedName name="solver_rel2">1</definedName>
    <definedName name="solver_rel3">3</definedName>
    <definedName name="solver_rel4">2</definedName>
    <definedName name="solver_rel5">5</definedName>
    <definedName name="solver_rel6">3</definedName>
    <definedName name="solver_rel7">2</definedName>
    <definedName name="solver_rhs5">binary</definedName>
    <definedName name="solver_scl">2</definedName>
    <definedName name="solver_sho">2</definedName>
    <definedName name="solver_tim">100</definedName>
    <definedName name="solver_tol">0.05</definedName>
    <definedName name="solver_typ">3</definedName>
    <definedName name="solver_val">231184</definedName>
    <definedName name="son">{"'Sheet1'!$L$16"}</definedName>
    <definedName name="songhin">IF(LEN(so)&gt;3,VALUE(LEFT(RIGHT(so,4),1)),"")</definedName>
    <definedName name="songhinty">IF(LEN(so)&gt;12,VALUE(LEFT(RIGHT(so,13),1)),"")</definedName>
    <definedName name="SORT">#REF!</definedName>
    <definedName name="Sort1">#REF!</definedName>
    <definedName name="Sosanh2">{"'Sheet1'!$L$16"}</definedName>
    <definedName name="sotram">IF(LEN(so)&gt;2,VALUE(LEFT(RIGHT(so,3),1)),"")</definedName>
    <definedName name="sotramnghin">IF(LEN(so)&gt;5,VALUE(LEFT(RIGHT(so,6),1)),"")</definedName>
    <definedName name="sotramnghinty">IF(LEN(so)&gt;14,VALUE(LEFT(RIGHT(so,15),1)),"")</definedName>
    <definedName name="sotramtrieu">IF(LEN(so)&gt;8,VALUE(LEFT(RIGHT(so,9),1)),"")</definedName>
    <definedName name="sotramty">IF(LEN(so)&gt;11,VALUE(LEFT(RIGHT(so,12),1)),"")</definedName>
    <definedName name="sotrieu">IF(LEN(so)&gt;6,VALUE(LEFT(RIGHT(so,7),1)),"")</definedName>
    <definedName name="soty">IF(LEN(so)&gt;9,VALUE(LEFT(RIGHT(so,10),1)),"")</definedName>
    <definedName name="SP">#REF!</definedName>
    <definedName name="Spample">{"'Sheet1'!$L$16"}</definedName>
    <definedName name="SpecialPrice">#REF!</definedName>
    <definedName name="sqw">#REF!</definedName>
    <definedName name="sRng">IF(LEFT(OFFSET(Acell,0,-6),1)="1",dVTu_Rng,IF(LEFT(OFFSET(Acell,0,-6),1)="2",dNCong_Rng,dCMay_Rng))</definedName>
    <definedName name="srth" hidden="1">{"'용역비'!$A$4:$C$8"}</definedName>
    <definedName name="SRTWER">{"'Sheet1'!$L$16"}</definedName>
    <definedName name="SS">{"'Sheet1'!$L$16"}</definedName>
    <definedName name="sscsd" hidden="1">{"'Sheet1'!$L$16"}</definedName>
    <definedName name="ssđ">{"'Sheet1'!$L$16"}</definedName>
    <definedName name="SSĐSFDSDS" hidden="1">{"'Sheet1'!$L$16"}</definedName>
    <definedName name="ssgffg">{"'Sheet1'!$L$16"}</definedName>
    <definedName name="sss">#REF!</definedName>
    <definedName name="sssdsdsd">#REF!</definedName>
    <definedName name="ssss">#REF!</definedName>
    <definedName name="ssssss" hidden="1">{"'Sheet1'!$L$16"}</definedName>
    <definedName name="ssssssss">#REF!</definedName>
    <definedName name="sstoanbo" hidden="1">{"'Sheet1'!$L$16"}</definedName>
    <definedName name="ST_TH2_131">3</definedName>
    <definedName name="StBm_Amount">OFFSET('[18]3.1-ST-BM'!$I$6,0,0,COUNTA('[18]3.1-ST-BM'!$D$6:$D$1632))</definedName>
    <definedName name="StBm_Code">OFFSET('[18]3.1-ST-BM'!$A$6,0,0,COUNTA('[18]3.1-ST-BM'!$D$6:$D$1632))</definedName>
    <definedName name="StBm_HangMuc">OFFSET('[18]3.1-ST-BM'!$B$1,0,0,COUNTA('[18]3.1-ST-BM'!$D$1:$D$2632))</definedName>
    <definedName name="StBm_KhoiLuong">OFFSET('[18]3.1-ST-BM'!$F$1,0,0,COUNTA('[18]3.1-ST-BM'!$D$1:$D$2632))</definedName>
    <definedName name="stgaerterterte" hidden="1">#REF!</definedName>
    <definedName name="STJST" hidden="1">{"'Sheet1'!$L$16"}</definedName>
    <definedName name="StPo_Amount">OFFSET('[18]3.2-ST-PO'!$I$4,0,0,COUNTA('[18]3.2-ST-PO'!$D$4:$D$2590))</definedName>
    <definedName name="StPo_Code">OFFSET('[18]3.2-ST-PO'!$A$4,0,0,COUNTA('[18]3.2-ST-PO'!$D$4:$D$2590))</definedName>
    <definedName name="STS" hidden="1">{"'용역비'!$A$4:$C$8"}</definedName>
    <definedName name="StTo_Amount">OFFSET('[18]3.3-ST-TO'!$K$4,0,0,COUNTA('[18]3.3-ST-TO'!$D$4:$D$2534))</definedName>
    <definedName name="StTo_Code">OFFSET('[18]3.3-ST-TO'!$A$4,0,0,COUNTA('[18]3.3-ST-TO'!$D$4:$D$2534))</definedName>
    <definedName name="stzbtns" hidden="1">{"'Sheet1'!$L$16"}</definedName>
    <definedName name="Subase" hidden="1">{"'Sheet1'!$L$16"}</definedName>
    <definedName name="Subbase" hidden="1">{"'Sheet1'!$L$16"}</definedName>
    <definedName name="sum">#REF!</definedName>
    <definedName name="SUM_DRAINAGE" hidden="1">[19]FD!$I$55</definedName>
    <definedName name="SUM_GI" hidden="1">[19]GI!$I$53</definedName>
    <definedName name="SUM_LIGHTING" hidden="1">'[19]EE (3)'!$I$54</definedName>
    <definedName name="SUM_PAVEMENT" hidden="1">[19]PAVEMENT!$I$55</definedName>
    <definedName name="SUM_TRAFFIC" hidden="1">[19]TRAFFIC!$I$54</definedName>
    <definedName name="sumimasenn">{"'Sheet1'!$L$16"}</definedName>
    <definedName name="summar">#REF!</definedName>
    <definedName name="SUOIDOI2" hidden="1">{"'Sheet1'!$L$16"}</definedName>
    <definedName name="sus304_0.5">'[5]Vat tu'!$S$5</definedName>
    <definedName name="sus304_0.6">'[5]Vat tu'!$S$6</definedName>
    <definedName name="sus304_0.8">'[5]Vat tu'!$S$8</definedName>
    <definedName name="sus304_1.0">'[5]Vat tu'!$S$10</definedName>
    <definedName name="sus304_1.2">'[5]Vat tu'!$S$11</definedName>
    <definedName name="sus430_0.5">'[5]Vat tu'!$S$12</definedName>
    <definedName name="sus430_0.6">'[5]Vat tu'!$S$13</definedName>
    <definedName name="sus430_0.8">'[5]Vat tu'!$S$15</definedName>
    <definedName name="SWw">#REF!</definedName>
    <definedName name="sy">#REF!</definedName>
    <definedName name="szdasda">#REF!</definedName>
    <definedName name="szszểcttcy">{"'Sheet1'!$L$16"}</definedName>
    <definedName name="T">#REF!</definedName>
    <definedName name="T.3">{"'Sheet1'!$L$16"}</definedName>
    <definedName name="T_n_b_n_vÏ">2100</definedName>
    <definedName name="T1PC">{"'Sheet1'!$L$16"}</definedName>
    <definedName name="T7Q3">{"'Sheet1'!$L$16"}</definedName>
    <definedName name="TamdanTB" hidden="1">{"'Sheet1'!$L$16"}</definedName>
    <definedName name="tamm">{"'Sheet1'!$L$16"}</definedName>
    <definedName name="tammm">{"'Sheet1'!$L$16"}</definedName>
    <definedName name="tammmm">#REF!</definedName>
    <definedName name="tan">{"'Sheet1'!$L$16"}</definedName>
    <definedName name="tang1" hidden="1">{"'Sheet1'!$L$16"}</definedName>
    <definedName name="tao">{"'Sheet1'!$L$16"}</definedName>
    <definedName name="tªtrt" hidden="1">{"'Sheet1'!$L$16"}</definedName>
    <definedName name="taun">{"'Sheet1'!$L$16"}</definedName>
    <definedName name="TAX">0.05</definedName>
    <definedName name="TaxTV">10%</definedName>
    <definedName name="TaxXL">5%</definedName>
    <definedName name="tbao">{"'Sheet1'!$L$16"}</definedName>
    <definedName name="tbl_ProdInfo">#REF!</definedName>
    <definedName name="tchi">{"'Sheet1'!$L$16"}</definedName>
    <definedName name="TDTBA" hidden="1">{"'Sheet1'!$L$16"}</definedName>
    <definedName name="te" hidden="1">{"'Sheet1'!$L$16"}</definedName>
    <definedName name="tecco">{"'Sheet1'!$L$16"}</definedName>
    <definedName name="tem">{"'Sheet1'!$L$16"}</definedName>
    <definedName name="TEMP">#REF!</definedName>
    <definedName name="Ten_cong_trinh">"Drop Down 29"</definedName>
    <definedName name="test">#REF!</definedName>
    <definedName name="tểt" hidden="1">{"'Sheet1'!$L$16"}</definedName>
    <definedName name="teta">0.95</definedName>
    <definedName name="TextRefCopyRangeCount">21</definedName>
    <definedName name="TFUI" hidden="1">{"'용역비'!$A$4:$C$8"}</definedName>
    <definedName name="tg">40000</definedName>
    <definedName name="TGIA">#REF!</definedName>
    <definedName name="TGNH">{"'Sheet1'!$L$16"}</definedName>
    <definedName name="tgnt">20500</definedName>
    <definedName name="tgưgz" hidden="1">{"'Sheet1'!$L$16"}</definedName>
    <definedName name="th">{"'Sheet1'!$L$16"}</definedName>
    <definedName name="TH.tinh">#REF!</definedName>
    <definedName name="th.xls">{"'Sheet1'!$L$16"}</definedName>
    <definedName name="TH7SP" hidden="1">{"'Sheet1'!$L$16"}</definedName>
    <definedName name="tha" hidden="1">{"'Sheet1'!$L$16"}</definedName>
    <definedName name="thai" hidden="1">{"'Sheet1'!$L$16"}</definedName>
    <definedName name="thang">{"'Sheet1'!$L$16"}</definedName>
    <definedName name="thang_1">{"'Sheet1'!$L$16"}</definedName>
    <definedName name="Thang1">{"'Sheet1'!$L$16"}</definedName>
    <definedName name="thang10">{"'Sheet1'!$L$16"}</definedName>
    <definedName name="Thang11.03" hidden="1">{"'Sheet1'!$L$16"}</definedName>
    <definedName name="thang13">{"'Sheet1'!$L$16"}</definedName>
    <definedName name="thang2">{"'Sheet1'!$L$16"}</definedName>
    <definedName name="THANH">{"'Sheet1'!$L$16"}</definedName>
    <definedName name="THANH_1">{"'Sheet1'!$L$16"}</definedName>
    <definedName name="thanhluan">#REF!</definedName>
    <definedName name="thanhtoankl" hidden="1">{"'Sheet1'!$L$16"}</definedName>
    <definedName name="thao1">{"'Sheet1'!$L$16"}</definedName>
    <definedName name="thao2">{"'Sheet1'!$L$16"}</definedName>
    <definedName name="Thautinh">#REF!</definedName>
    <definedName name="THC" hidden="1">{"'Sheet1'!$L$16"}</definedName>
    <definedName name="THcong" hidden="1">{"'Sheet1'!$L$16"}</definedName>
    <definedName name="THCP2">{"'Sheet1'!$L$16"}</definedName>
    <definedName name="THCP4" hidden="1">{"'Sheet1'!$L$16"}</definedName>
    <definedName name="THCPCTD">{"'Sheet1'!$L$16"}</definedName>
    <definedName name="THDT">{"'Sheet1'!$L$16"}</definedName>
    <definedName name="the">{"'Sheet1'!$L$16"}</definedName>
    <definedName name="them01" hidden="1">#REF!</definedName>
    <definedName name="TheodoiBCTCT">{"'Sheet1'!$L$16"}</definedName>
    <definedName name="thep">1.35</definedName>
    <definedName name="THEPB18T7" hidden="1">{"'Sheet1'!$L$16"}</definedName>
    <definedName name="thepbuoc">[13]GiaVL!$F$20</definedName>
    <definedName name="thepma">10500</definedName>
    <definedName name="Thepsan">{"'Sheet1'!$L$16"}</definedName>
    <definedName name="thepsan2">{"'Sheet1'!$L$16"}</definedName>
    <definedName name="thgh" hidden="1">{"'Sheet1'!$L$16"}</definedName>
    <definedName name="THGT">{"'Sheet1'!$L$16"}</definedName>
    <definedName name="THHD">{"'Sheet1'!$L$16"}</definedName>
    <definedName name="THHVT">{"'Sheet1'!$L$16"}</definedName>
    <definedName name="Thietbi">{"'Sheet1'!$L$16"}</definedName>
    <definedName name="THK">#REF!</definedName>
    <definedName name="THKL" hidden="1">{"'Sheet1'!$L$16"}</definedName>
    <definedName name="thkl2" hidden="1">{"'Sheet1'!$L$16"}</definedName>
    <definedName name="thkl3" hidden="1">{"'Sheet1'!$L$16"}</definedName>
    <definedName name="THKLDD">{"'Sheet1'!$L$16"}</definedName>
    <definedName name="THKLPSM" hidden="1">{"'Sheet1'!$L$16"}</definedName>
    <definedName name="THKP" hidden="1">{"'Sheet1'!$L$16"}</definedName>
    <definedName name="thkp5">{"'Sheet1'!$L$16"}</definedName>
    <definedName name="thkp6">{"'Sheet1'!$L$16"}</definedName>
    <definedName name="thkp7">{"'Sheet1'!$L$16"}</definedName>
    <definedName name="THKP7YT">{"'Sheet1'!$L$16"}</definedName>
    <definedName name="THKPBS">{"'Sheet1'!$L$16"}</definedName>
    <definedName name="thkpdnt">{"'Sheet1'!$L$16"}</definedName>
    <definedName name="THKPM8">{"'Sheet1'!$L$16"}</definedName>
    <definedName name="thkprtn">{"'Sheet1'!$L$16"}</definedName>
    <definedName name="THKS" hidden="1">{"'Sheet1'!$L$16"}</definedName>
    <definedName name="THLeloi">{"'Sheet1'!$L$16"}</definedName>
    <definedName name="THNgHue">{"'Sheet1'!$L$16"}</definedName>
    <definedName name="THNgThHoc">{"'Sheet1'!$L$16"}</definedName>
    <definedName name="tho3_7">26435</definedName>
    <definedName name="tho4_7">14506</definedName>
    <definedName name="tho45_7">15937</definedName>
    <definedName name="tho5_7">33356</definedName>
    <definedName name="THOAT" hidden="1">{"'Sheet1'!$L$16"}</definedName>
    <definedName name="thoatnuoc" hidden="1">{"'Sheet1'!$L$16"}</definedName>
    <definedName name="THQT">#REF!</definedName>
    <definedName name="thqt2" hidden="1">{"'Sheet1'!$L$16"}</definedName>
    <definedName name="thqtpsg">{"'Sheet1'!$L$16"}</definedName>
    <definedName name="THQuiCapChan">{"'Sheet1'!$L$16"}</definedName>
    <definedName name="thQuicaple">{"'Sheet1'!$L$16"}</definedName>
    <definedName name="tht">{"'Sheet1'!$L$16"}</definedName>
    <definedName name="THTranPhu">{"'Sheet1'!$L$16"}</definedName>
    <definedName name="thtyhyjyjyjyjjjyujyj">#REF!</definedName>
    <definedName name="thu">{"'Sheet1'!$L$16"}</definedName>
    <definedName name="thuat" hidden="1">{"'Sheet1'!$L$16"}</definedName>
    <definedName name="thucthanh">'[20]Thuc thanh'!$E$29</definedName>
    <definedName name="thue">6</definedName>
    <definedName name="Thuong" hidden="1">{"'Sheet1'!$L$16"}</definedName>
    <definedName name="thuy">{"'Sheet1'!$L$16"}</definedName>
    <definedName name="thvlmoi">{"'Sheet1'!$L$16"}</definedName>
    <definedName name="thvlmoimoi">{"'Sheet1'!$L$16"}</definedName>
    <definedName name="THVT" hidden="1">{"'ELEC'!$A$2:$H$216","'ELEC'!$C$2:$D$2"}</definedName>
    <definedName name="THXD2">{"'Sheet1'!$L$16"}</definedName>
    <definedName name="tidf" hidden="1">{"'Sheet1'!$L$16"}</definedName>
    <definedName name="Tien_do">6</definedName>
    <definedName name="Tiepdiama">9500</definedName>
    <definedName name="tigia">#REF!</definedName>
    <definedName name="TIM" hidden="1">{"'Sheet1'!$L$16"}</definedName>
    <definedName name="TINH">#REF!</definedName>
    <definedName name="tirirn" hidden="1">{"'Sheet1'!$L$16"}</definedName>
    <definedName name="tit" hidden="1">{"'Sheet1'!$L$16"}</definedName>
    <definedName name="tjhtrjntrsjnsr" hidden="1">{"'Sheet1'!$L$16"}</definedName>
    <definedName name="tjygkjh">{"'Sheet1'!$L$16"}</definedName>
    <definedName name="TKCK" hidden="1">{"'Sheet1'!$L$16"}</definedName>
    <definedName name="TKYB">"TKYB"</definedName>
    <definedName name="tl">#REF!</definedName>
    <definedName name="TL_DongMy" hidden="1">{"'Sheet1'!$L$16"}</definedName>
    <definedName name="TL_TKKT">[7]DMTL!$D$67</definedName>
    <definedName name="tlc">{"'Sheet1'!$L$16"}</definedName>
    <definedName name="TLD">[21]Names!$D$9</definedName>
    <definedName name="TLP">#REF!</definedName>
    <definedName name="TLPMG">{"'Sheet1'!$L$16"}</definedName>
    <definedName name="TLY">[21]Names!$D$8</definedName>
    <definedName name="TM">{"'Sheet1'!$L$16"}</definedName>
    <definedName name="TMDT_CPTB">[7]Ts!$M$27</definedName>
    <definedName name="TMDT_CPXD">[7]Ts!$M$26</definedName>
    <definedName name="TMDTSLT">[7]Ts!$M$32</definedName>
    <definedName name="TN">"$A$1:$I$11"</definedName>
    <definedName name="tnk">1.5</definedName>
    <definedName name="tno">[3]gVL!$Q$47</definedName>
    <definedName name="tntn">{"'Sheet1'!$L$16"}</definedName>
    <definedName name="toan">{"'Sheet1'!$L$16"}</definedName>
    <definedName name="Toanbo">#REF!</definedName>
    <definedName name="toilet" hidden="1">{"'Sheet1'!$L$16"}</definedName>
    <definedName name="tol">{"'Sheet1'!$L$16"}</definedName>
    <definedName name="tomtat" hidden="1">{"'Sheet1'!$L$16"}</definedName>
    <definedName name="Tong">[21]Names!$D$10</definedName>
    <definedName name="Tonghop" hidden="1">{"'Sheet1'!$L$16"}</definedName>
    <definedName name="tongPA2" hidden="1">{"'Sheet1'!$L$16"}</definedName>
    <definedName name="TOTAL">#REF!</definedName>
    <definedName name="tÓtrte" hidden="1">{"'Sheet1'!$L$16"}</definedName>
    <definedName name="Tower2" hidden="1">{"'Break down'!$A$4"}</definedName>
    <definedName name="tpn0.48">'[5]Bang tinh gia'!$J$6</definedName>
    <definedName name="tpn0.58">'[5]Bang tinh gia'!$J$7</definedName>
    <definedName name="tpn0.75">'[5]Bang tinh gia'!$J$8</definedName>
    <definedName name="tpn0.95">'[5]Bang tinh gia'!$J$9</definedName>
    <definedName name="tpn1.15">'[5]Bang tinh gia'!$J$10</definedName>
    <definedName name="TQ">100</definedName>
    <definedName name="Tram" hidden="1">{"'Sheet1'!$L$16"}</definedName>
    <definedName name="trd" hidden="1">{"'Sheet1'!$L$16"}</definedName>
    <definedName name="trgy" hidden="1">{"'Sheet1'!$L$16"}</definedName>
    <definedName name="TRHEH">{"'Sheet1'!$L$16"}</definedName>
    <definedName name="trieu" hidden="1">{"'Sheet1'!$L$16"}</definedName>
    <definedName name="Trong" hidden="1">{"'Sheet1'!$L$16"}</definedName>
    <definedName name="trrh" hidden="1">{"'Sheet1'!$L$16"}</definedName>
    <definedName name="trtet" hidden="1">{"'Sheet1'!$L$16"}</definedName>
    <definedName name="trteter" hidden="1">{"'Sheet1'!$L$16"}</definedName>
    <definedName name="truc10">'[5]Vat tu'!$W$5</definedName>
    <definedName name="TRUNGNGUYEN">#REF!</definedName>
    <definedName name="Truotgia" hidden="1">{"'Sheet1'!$L$16"}</definedName>
    <definedName name="trutriutit">#REF!</definedName>
    <definedName name="TT">{"'Sheet1'!$L$16"}</definedName>
    <definedName name="TT_Key1">#REF!</definedName>
    <definedName name="ttc">1550</definedName>
    <definedName name="ttd">1600</definedName>
    <definedName name="ttdb">1.2</definedName>
    <definedName name="tthh" hidden="1">{"'Sheet1'!$L$16"}</definedName>
    <definedName name="tthkprtn">{"'Sheet1'!$L$16"}</definedName>
    <definedName name="TTHU" hidden="1">{"'Sheet1'!$L$16"}</definedName>
    <definedName name="ttoan" hidden="1">{"'Sheet1'!$L$16"}</definedName>
    <definedName name="ttr" hidden="1">{"'Sheet1'!$L$16"}</definedName>
    <definedName name="TTSC">{"'Sheet1'!$L$16"}</definedName>
    <definedName name="tttskldf" hidden="1">{0}</definedName>
    <definedName name="tttt">{"'Sheet1'!$L$16"}</definedName>
    <definedName name="tttte">{"'Sheet1'!$L$16"}</definedName>
    <definedName name="ttttt" hidden="1">{"'Sheet1'!$L$16"}</definedName>
    <definedName name="ｔｔｔｔｔ">{"'Sheet1'!$L$16"}</definedName>
    <definedName name="tttttt" hidden="1">{#N/A,#N/A,FALSE,"Chi tiÆt"}</definedName>
    <definedName name="TU" hidden="1">{"'Sheet1'!$L$16"}</definedName>
    <definedName name="tuam">{"'Sheet1'!$L$16"}</definedName>
    <definedName name="tuan">{"'Sheet1'!$L$16"}</definedName>
    <definedName name="tuan03">{"'Sheet1'!$L$16"}</definedName>
    <definedName name="tuan123456">{"'Sheet1'!$L$16"}</definedName>
    <definedName name="tuan2">{"'Sheet1'!$L$16"}</definedName>
    <definedName name="TUANKHANHTUYET45">{0}</definedName>
    <definedName name="tuannn">{"'Sheet1'!$L$16"}</definedName>
    <definedName name="TUI" hidden="1">{"'Sheet1'!$L$16"}</definedName>
    <definedName name="tuilol" hidden="1">{"'용역비'!$A$4:$C$8"}</definedName>
    <definedName name="TUKHKJT">{"'Sheet1'!$L$16"}</definedName>
    <definedName name="Tuong">{"'Sheet1'!$L$16"}</definedName>
    <definedName name="tusâsasa" hidden="1">{"'Sheet1'!$L$16"}</definedName>
    <definedName name="tututut" hidden="1">{"'Sheet1'!$L$16"}</definedName>
    <definedName name="tuurtur" hidden="1">{"'Sheet1'!$L$16"}</definedName>
    <definedName name="tuy" hidden="1">{"'Sheet1'!$L$16"}</definedName>
    <definedName name="tuyen" hidden="1">{"'Sheet1'!$L$16"}</definedName>
    <definedName name="tuyennhanh" hidden="1">{"'Sheet1'!$L$16"}</definedName>
    <definedName name="tuyet">{"'Sheet1'!$L$16"}</definedName>
    <definedName name="tuynen">{"'Sheet1'!$L$16"}</definedName>
    <definedName name="tuynhdn" hidden="1">{"'Sheet1'!$L$16"}</definedName>
    <definedName name="tv">{"'Sheet1'!$L$16"}</definedName>
    <definedName name="TVDT">[7]Ts!$M$34</definedName>
    <definedName name="TW">#REF!</definedName>
    <definedName name="twerjhr">#REF!</definedName>
    <definedName name="ty">1000000000</definedName>
    <definedName name="TYJ" hidden="1">{"'용역비'!$A$4:$C$8"}</definedName>
    <definedName name="tyje" hidden="1">{"'용역비'!$A$4:$C$8"}</definedName>
    <definedName name="tyjet" hidden="1">{"'용역비'!$A$4:$C$8"}</definedName>
    <definedName name="TYJTJMMHJM" hidden="1">{"'Sheet1'!$L$16"}</definedName>
    <definedName name="TYT">BlankMacro1</definedName>
    <definedName name="TYTYYTY" hidden="1">{"'Sheet1'!$L$16"}</definedName>
    <definedName name="tyu" hidden="1">{"'용역비'!$A$4:$C$8"}</definedName>
    <definedName name="tyyyyyyyyyyyyy" hidden="1">{"'Sheet1'!$L$16"}</definedName>
    <definedName name="U">#REF!</definedName>
    <definedName name="ư">#REF!</definedName>
    <definedName name="ự" hidden="1">{"'Sheet1'!$L$16"}</definedName>
    <definedName name="ư2" hidden="1">{"'Sheet1'!$L$16"}</definedName>
    <definedName name="u5u6" hidden="1">{"'Sheet1'!$L$16"}</definedName>
    <definedName name="uassw_sh" hidden="1">{"'Sheet1'!$L$16"}</definedName>
    <definedName name="UBDT" hidden="1">{"'Sheet1'!$L$16"}</definedName>
    <definedName name="ỨD">#REF!</definedName>
    <definedName name="ừd" hidden="1">{"'Sheet1'!$L$16"}</definedName>
    <definedName name="ưdưdưdư" hidden="1">{"'Sheet1'!$L$16"}</definedName>
    <definedName name="ưdw" hidden="1">{"'Sheet1'!$L$16"}</definedName>
    <definedName name="ưe">{"'Sheet1'!$L$16"}</definedName>
    <definedName name="ƯẺ">#REF!</definedName>
    <definedName name="ưeawegw" hidden="1">#REF!</definedName>
    <definedName name="ưegweg" hidden="1">{"'Sheet1'!$L$16"}</definedName>
    <definedName name="ưergasd" hidden="1">#REF!</definedName>
    <definedName name="ưergwrgn" hidden="1">{"'Sheet1'!$L$16"}</definedName>
    <definedName name="ƯERWER">{"'Sheet1'!$L$16"}</definedName>
    <definedName name="ưerwerewr">{"'Sheet1'!$L$16"}</definedName>
    <definedName name="ưewe" hidden="1">{"'Sheet1'!$L$16"}</definedName>
    <definedName name="ưgawegw" hidden="1">#REF!</definedName>
    <definedName name="üggkyg">{"'Sheet1'!$L$16"}</definedName>
    <definedName name="uhpupui" hidden="1">{"'Sheet1'!$L$16"}</definedName>
    <definedName name="UIU">#REF!</definedName>
    <definedName name="uiyp8">{"'Sheet1'!$L$16"}</definedName>
    <definedName name="ujdffdf">#REF!</definedName>
    <definedName name="UKKY">#REF!</definedName>
    <definedName name="ukluy">{"'Sheet1'!$L$16"}</definedName>
    <definedName name="UL">{"'Sheet1'!$L$16"}</definedName>
    <definedName name="ulo" hidden="1">{"'용역비'!$A$4:$C$8"}</definedName>
    <definedName name="underslab">#REF!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T" hidden="1">{"'Sheet1'!$L$16"}</definedName>
    <definedName name="unitt">BlankMacro1</definedName>
    <definedName name="ủnt" hidden="1">{"'Sheet1'!$L$16"}</definedName>
    <definedName name="UP">#REF!</definedName>
    <definedName name="upvc">1.35</definedName>
    <definedName name="ưqqqưqư">{"'Sheet1'!$L$16"}</definedName>
    <definedName name="ưqw" hidden="1">{"'Sheet1'!$L$16"}</definedName>
    <definedName name="UR_CSA_Amount">OFFSET('[18]UnitRateCSA(NonPrint)'!$M$1,0,0,2000)</definedName>
    <definedName name="UR_CSA_Code">OFFSET('[18]UnitRateCSA(NonPrint)'!$C$1,0,0,2000)</definedName>
    <definedName name="UR_MEP_Code">OFFSET('[18]UnitRateMEP(NonPrint)'!$B$1,0,0,2000)</definedName>
    <definedName name="UR_MEP_Item">OFFSET('[18]UnitRateMEP(NonPrint)'!$B$1,0,0,2000)</definedName>
    <definedName name="UR_MEP_NC">OFFSET('[18]UnitRateMEP(NonPrint)'!$N$1,0,0,2000)</definedName>
    <definedName name="UR_MEP_VT">OFFSET('[18]UnitRateMEP(NonPrint)'!$M$1,0,0,2000)</definedName>
    <definedName name="urreur">#REF!</definedName>
    <definedName name="urtureu">#REF!</definedName>
    <definedName name="urtureuer">#REF!</definedName>
    <definedName name="uru4u4urur">#REF!</definedName>
    <definedName name="US">21150</definedName>
    <definedName name="utrtuy">{"'Sheet1'!$L$16"}</definedName>
    <definedName name="utrutr">#REF!</definedName>
    <definedName name="UTWER">{"'Sheet1'!$L$16"}</definedName>
    <definedName name="utyutru">#REF!</definedName>
    <definedName name="uu" hidden="1">{"'용역비'!$A$4:$C$8"}</definedName>
    <definedName name="UUU">#REF!</definedName>
    <definedName name="uuw2798973êưydhui">{"'Sheet1'!$L$16"}</definedName>
    <definedName name="uyedgnhgdf">#REF!</definedName>
    <definedName name="uyi" hidden="1">{"'Sheet1'!$L$16"}</definedName>
    <definedName name="ủytỉt" hidden="1">{"'Sheet1'!$L$16"}</definedName>
    <definedName name="uytjhtdjtj" hidden="1">{"'Sheet1'!$L$16"}</definedName>
    <definedName name="v">#REF!</definedName>
    <definedName name="V.clvl3" hidden="1">{"'Sheet1'!$L$16"}</definedName>
    <definedName name="V8.Refresh">#REF!</definedName>
    <definedName name="VAÄT_LIEÄU">"ATRAM"</definedName>
    <definedName name="Vach" hidden="1">{"'Sheet1'!$L$16"}</definedName>
    <definedName name="VÁCH">#REF!</definedName>
    <definedName name="vadvsa">{"'Sheet1'!$L$16"}</definedName>
    <definedName name="Values_Entered">IF(Loan_Amount*Interest_Rate*Loan_Years*Loan_Start&gt;0,1,0)</definedName>
    <definedName name="valuevx">42.314159</definedName>
    <definedName name="Valve">{"'Sheet1'!$L$16"}</definedName>
    <definedName name="Valve_1">{"'Sheet1'!$L$16"}</definedName>
    <definedName name="van" hidden="1">{"'Sheet1'!$L$16"}</definedName>
    <definedName name="vat">5</definedName>
    <definedName name="VATM">{"'Sheet1'!$L$16"}</definedName>
    <definedName name="vb">{"'Sheet1'!$L$16"}</definedName>
    <definedName name="vbc">{"'Sheet1'!$L$16"}</definedName>
    <definedName name="vbvb">#REF!</definedName>
    <definedName name="vcbo1" hidden="1">{"'Sheet1'!$L$16"}</definedName>
    <definedName name="vcoto" hidden="1">{"'Sheet1'!$L$16"}</definedName>
    <definedName name="vcv" hidden="1">{"'Sheet1'!$L$16"}</definedName>
    <definedName name="vcvc" hidden="1">{"'Sheet1'!$L$16"}</definedName>
    <definedName name="vd">{"'Sheet1'!$L$16"}</definedName>
    <definedName name="vdbdb" hidden="1">{"'Sheet1'!$L$16"}</definedName>
    <definedName name="vdfgdfg" hidden="1">{"'Sheet1'!$L$16"}</definedName>
    <definedName name="vdkt">[3]gVL!$Q$55</definedName>
    <definedName name="VEN">#REF!</definedName>
    <definedName name="vetbun">{"'Sheet1'!$L$16"}</definedName>
    <definedName name="VF">#REF!</definedName>
    <definedName name="vg" hidden="1">{"'Sheet1'!$L$16"}</definedName>
    <definedName name="vgb">{"'Sheet1'!$L$16"}</definedName>
    <definedName name="vgho">{"'Sheet1'!$L$16"}</definedName>
    <definedName name="vgjh">#REF!</definedName>
    <definedName name="vhgd">{"'Sheet1'!$L$16"}</definedName>
    <definedName name="vi">{"'Sheet1'!$L$16"}</definedName>
    <definedName name="Viet">{"'Sheet1'!$L$16"}</definedName>
    <definedName name="Viets" hidden="1">{"'Sheet1'!$L$16"}</definedName>
    <definedName name="vip" hidden="1">{"'Sheet1'!$L$16"}</definedName>
    <definedName name="vlang">3000*1+5000*0</definedName>
    <definedName name="vlct">{"'Sheet1'!$L$16"}</definedName>
    <definedName name="VLE">1.12</definedName>
    <definedName name="VLG">1.1</definedName>
    <definedName name="VLN">1.12</definedName>
    <definedName name="VLNCMTC">'[22]Gia VLNCMTC'!$B$1:$E$65536</definedName>
    <definedName name="VLP">{"'Sheet1'!$L$16"}</definedName>
    <definedName name="vn" hidden="1">{"'Sheet1'!$L$16"}</definedName>
    <definedName name="vnd_list" hidden="1">{"một";"hai";"ba";"bốn";"năm";"sáu";"bảy";"tám";"chín";"mười";"mươi";"mốt";"lăm";"trăm";"nghìn";"triệu";"tỷ";"lẻ";"không trăm";"Bằng chử : "}</definedName>
    <definedName name="vnvnvn" hidden="1">{"'Sheet1'!$L$16"}</definedName>
    <definedName name="vo" hidden="1">{"'CPA Sum'!$A$1:$X$30","'CPA'!$A$1:$K$187","'Infra Cost'!$A$1:$Q$30","'Dev't Cost'!$A$1:$AH$40","'Cashflow'!$A$1:$DG$82"}</definedName>
    <definedName name="VOLTAGE">#REF!</definedName>
    <definedName name="Von.KL">#REF!</definedName>
    <definedName name="Vph">0.05</definedName>
    <definedName name="vpn0.48">'[5]Bang tinh gia'!$J$39</definedName>
    <definedName name="vpn0.58">'[5]Bang tinh gia'!$J$40</definedName>
    <definedName name="vpn0.75">'[5]Bang tinh gia'!$J$41</definedName>
    <definedName name="vpn0.95">'[5]Bang tinh gia'!$J$42</definedName>
    <definedName name="vpn1.15">'[5]Bang tinh gia'!$J$43</definedName>
    <definedName name="VS">#REF!</definedName>
    <definedName name="vsdvs" hidden="1">#REF!</definedName>
    <definedName name="vsvs" hidden="1">{"'Sheet1'!$L$16"}</definedName>
    <definedName name="VT">#REF!</definedName>
    <definedName name="VTTON">#REF!</definedName>
    <definedName name="VTuphu">{"'Sheet1'!$L$16"}</definedName>
    <definedName name="VU" hidden="1">{"'Sheet1'!$L$16"}</definedName>
    <definedName name="VUNGTB">{"'Sheet1'!$L$16"}</definedName>
    <definedName name="vv">{"'Sheet1'!$L$16"}</definedName>
    <definedName name="vvv">{"'Sheet1'!$L$16"}</definedName>
    <definedName name="ｖｖｖ">{"'Sheet1'!$L$16"}</definedName>
    <definedName name="VVVV" hidden="1">#REF!</definedName>
    <definedName name="ｖｖｖｖｖ">{"'Sheet1'!$L$16"}</definedName>
    <definedName name="vvvvvvv">#REF!</definedName>
    <definedName name="vxcgs" hidden="1">{"'Sheet1'!$L$16"}</definedName>
    <definedName name="vxfsđs" hidden="1">{"'Sheet1'!$L$16"}</definedName>
    <definedName name="VXVZX" hidden="1">{"'Sheet1'!$L$16"}</definedName>
    <definedName name="vyu" hidden="1">{"'Sheet1'!$L$16"}</definedName>
    <definedName name="VZDVA">{"'Sheet1'!$L$16"}</definedName>
    <definedName name="vzdxvd" hidden="1">{"'Sheet1'!$L$16"}</definedName>
    <definedName name="VZVZD">{"'Sheet1'!$L$16"}</definedName>
    <definedName name="VZVZXCZ">{"'Sheet1'!$L$16"}</definedName>
    <definedName name="w">#REF!</definedName>
    <definedName name="wafef" hidden="1">{"'Sheet1'!$L$16"}</definedName>
    <definedName name="walkway">{"'Sheet1'!$L$16"}</definedName>
    <definedName name="wd">#REF!</definedName>
    <definedName name="wdd" hidden="1">{"'Sheet1'!$L$16"}</definedName>
    <definedName name="WEẺWE">#REF!</definedName>
    <definedName name="wefwgfwegf">{"'Sheet1'!$L$16"}</definedName>
    <definedName name="weqew">#REF!</definedName>
    <definedName name="WEQWEQ" hidden="1">{0,0,0,0}</definedName>
    <definedName name="werar" hidden="1">{"'Sheet1'!$L$16"}</definedName>
    <definedName name="wererr">#REF!</definedName>
    <definedName name="werewr">#REF!</definedName>
    <definedName name="werwer">#REF!</definedName>
    <definedName name="wew">#REF!</definedName>
    <definedName name="wewq" hidden="1">{"'Sheet1'!$L$16"}</definedName>
    <definedName name="wgyw" hidden="1">{"'Sheet1'!$L$16"}</definedName>
    <definedName name="window">#REF!</definedName>
    <definedName name="WIRE1">5</definedName>
    <definedName name="wis">#REF!</definedName>
    <definedName name="wjsr">#REF!</definedName>
    <definedName name="wlqrp" hidden="1">0</definedName>
    <definedName name="wm.조골재1">#REF!</definedName>
    <definedName name="wõe" hidden="1">{"'Sheet1'!$L$16"}</definedName>
    <definedName name="WQ" hidden="1">{"'Sheet1'!$L$16"}</definedName>
    <definedName name="WQ3VF21" hidden="1">{"'Sheet1'!$L$16"}</definedName>
    <definedName name="wqe">{"'ELEC'!$A$2:$H$216","'ELEC'!$C$2:$D$2"}</definedName>
    <definedName name="wqeq" hidden="1">{"'Sheet1'!$L$16"}</definedName>
    <definedName name="wqeqwewqew" hidden="1">{"'Sheet1'!$L$16"}</definedName>
    <definedName name="wqqq">{"'Sheet1'!$L$16"}</definedName>
    <definedName name="wqqwqw">{"'Sheet1'!$L$16"}</definedName>
    <definedName name="wqweqr" hidden="1">{"'Sheet1'!$L$16"}</definedName>
    <definedName name="WRITE">#REF!</definedName>
    <definedName name="WRN">#REF!</definedName>
    <definedName name="wrn.2번.">#REF!</definedName>
    <definedName name="wrn.97년._.사업계획._.및._.예산지침.">#REF!</definedName>
    <definedName name="wrn.A.">#REF!</definedName>
    <definedName name="wrn.aaa.">#REF!</definedName>
    <definedName name="wrn.Bang._.ke._.nhan._.hang.">#REF!</definedName>
    <definedName name="wrn.BAOCAO.">#REF!</definedName>
    <definedName name="wrn.BIDSUM.">#REF!</definedName>
    <definedName name="wrn.BILLS._.OF._.QUANTITY.">#REF!</definedName>
    <definedName name="wrn.BM.">#REF!</definedName>
    <definedName name="wrn.CBA.">#REF!</definedName>
    <definedName name="wrn.CBA_RO.">#REF!</definedName>
    <definedName name="wrn.CBA_ST.">#REF!</definedName>
    <definedName name="wrn.Che._.do._.duoc._.huong.">#REF!</definedName>
    <definedName name="wrn.chi._.tiÆt.">#REF!</definedName>
    <definedName name="wrn.cong.">#REF!</definedName>
    <definedName name="wrn.DIRLABR.">#REF!</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Giáy._.bao._.no.">#REF!</definedName>
    <definedName name="wrn.INDIRCOS.">#REF!</definedName>
    <definedName name="wrn.jvreport." hidden="1">{#N/A,#N/A,TRUE,"SAS-SHEL";#N/A,#N/A,TRUE,"SAS-DECK";#N/A,#N/A,TRUE,"SAS-BHDS";#N/A,#N/A,TRUE,"SAS-TWEB";#N/A,#N/A,TRUE,"SAS-LONG";#N/A,#N/A,TRUE,"SAS-PKTK";#N/A,#N/A,TRUE,"Weighting"}</definedName>
    <definedName name="wrn.mai._.khanh.">#REF!</definedName>
    <definedName name="wrn.Monthly._.Statement.">#REF!</definedName>
    <definedName name="wrn.MTD1.">#REF!</definedName>
    <definedName name="wrn.MTD2.">#REF!</definedName>
    <definedName name="wrn.Print._.Output.">#REF!</definedName>
    <definedName name="wrn.re_xoa2">#REF!</definedName>
    <definedName name="wrn.Report." hidden="1">{"Offgrid",#N/A,FALSE,"OFFGRID";"Region",#N/A,FALSE,"REGION";"Offgrid -2",#N/A,FALSE,"OFFGRID";"WTP",#N/A,FALSE,"WTP";"WTP -2",#N/A,FALSE,"WTP";"Project",#N/A,FALSE,"PROJECT";"Summary -2",#N/A,FALSE,"SUMMARY"}</definedName>
    <definedName name="wrn.report1.">#REF!</definedName>
    <definedName name="wrn.Residential.">#REF!</definedName>
    <definedName name="wrn.Site._.expenses.">#REF!</definedName>
    <definedName name="wrn.vd.">#REF!</definedName>
    <definedName name="WRN.VOLTAGE.">#REF!</definedName>
    <definedName name="wrn.건물기초.">#REF!</definedName>
    <definedName name="wrn.건설기계사업소._.상반기보고.">#REF!</definedName>
    <definedName name="wrn.골재소요량.">#REF!</definedName>
    <definedName name="wrn.교육청.">#REF!</definedName>
    <definedName name="wrn.교육청.1">#REF!</definedName>
    <definedName name="wrn.구조2.">#REF!</definedName>
    <definedName name="wrn.단가표지.">#REF!</definedName>
    <definedName name="wrn.담배인삼공사._.실행품의.">#REF!</definedName>
    <definedName name="wrn.배수1.">#REF!</definedName>
    <definedName name="wrn.배수2.">#REF!</definedName>
    <definedName name="wrn.변경예산.">#REF!</definedName>
    <definedName name="wrn.부대1.">#REF!</definedName>
    <definedName name="wrn.부대2.">#REF!</definedName>
    <definedName name="wrn.부산주경기장.">#REF!</definedName>
    <definedName name="wrn.사업현황.">#REF!</definedName>
    <definedName name="wrn.속도.">#REF!</definedName>
    <definedName name="wrn.손익보고.">#REF!</definedName>
    <definedName name="wrn.실행품의.">#REF!</definedName>
    <definedName name="wrn.업체별._.견적공사명.">#REF!</definedName>
    <definedName name="wrn.예상손익.">#REF!</definedName>
    <definedName name="wrn.운반시간.">#REF!</definedName>
    <definedName name="wrn.이정표.">#REF!</definedName>
    <definedName name="wrn.조골재.">#REF!</definedName>
    <definedName name="wrn.진각빌딩.">#REF!</definedName>
    <definedName name="wrn.철골집계표._.5칸.">#REF!</definedName>
    <definedName name="wrn.토공1.">#REF!</definedName>
    <definedName name="wrn.토공2.">#REF!</definedName>
    <definedName name="wrn.통신지.">#REF!</definedName>
    <definedName name="wrn.포장1.">#REF!</definedName>
    <definedName name="wrn.포장2.">#REF!</definedName>
    <definedName name="wrn.표지.">#REF!</definedName>
    <definedName name="wrn.표지목차.">#REF!</definedName>
    <definedName name="wrn.현장._.NCR._.분석.">#REF!</definedName>
    <definedName name="wrn.혼합골재.">#REF!</definedName>
    <definedName name="wrn_xoa2">#REF!</definedName>
    <definedName name="wrnf.report" hidden="1">{"Offgrid",#N/A,FALSE,"OFFGRID";"Region",#N/A,FALSE,"REGION";"Offgrid -2",#N/A,FALSE,"OFFGRID";"WTP",#N/A,FALSE,"WTP";"WTP -2",#N/A,FALSE,"WTP";"Project",#N/A,FALSE,"PROJECT";"Summary -2",#N/A,FALSE,"SUMMARY"}</definedName>
    <definedName name="wrnf_xoa2">#REF!</definedName>
    <definedName name="WRS" hidden="1">{"'장비'!$A$3:$M$12"}</definedName>
    <definedName name="WRTWE">{"'Sheet1'!$L$16"}</definedName>
    <definedName name="wrty" hidden="1">{"'용역비'!$A$4:$C$8"}</definedName>
    <definedName name="wrtyrtyrt" hidden="1">{"'용역비'!$A$4:$C$8"}</definedName>
    <definedName name="wrtywrtywr" hidden="1">{"'용역비'!$A$4:$C$8"}</definedName>
    <definedName name="WRWRRREWR">#REF!</definedName>
    <definedName name="wsq">#REF!</definedName>
    <definedName name="wtwtwtew">#REF!</definedName>
    <definedName name="wuy" hidden="1">{"'용역비'!$A$4:$C$8"}</definedName>
    <definedName name="wvu.박경희.">#REF!</definedName>
    <definedName name="ww">{"'Sheet1'!$L$16"}</definedName>
    <definedName name="ｗｗ">{"'Sheet1'!$L$16"}</definedName>
    <definedName name="WWF" hidden="1">{"'Sheet1'!$L$16"}</definedName>
    <definedName name="wwhwhwrh" hidden="1">{"'Sheet1'!$L$16"}</definedName>
    <definedName name="www">#REF!</definedName>
    <definedName name="wwwrwee" hidden="1">{"'Sheet1'!$L$16"}</definedName>
    <definedName name="WWWW">#REF!</definedName>
    <definedName name="ｗｗｗｗ">{"'Sheet1'!$L$16"}</definedName>
    <definedName name="wwwwwww">#REF!</definedName>
    <definedName name="x">#REF!</definedName>
    <definedName name="XAC">#REF!</definedName>
    <definedName name="XAY" hidden="1">{"'Sheet1'!$L$16"}</definedName>
    <definedName name="xc">{"'Sheet1'!$L$16"}</definedName>
    <definedName name="XCB">#REF!</definedName>
    <definedName name="xcccccccccccccccccccccccc" hidden="1">{"'Sheet1'!$L$16"}</definedName>
    <definedName name="XCCT">0.5</definedName>
    <definedName name="xcfgdsg" hidden="1">{"'Sheet1'!$L$16"}</definedName>
    <definedName name="XCVBGGHN">#REF!</definedName>
    <definedName name="xdcb">{"Bao cao nNL tieu thu theo ca may hang thang nam 2001.xls"}</definedName>
    <definedName name="XDCB07">{"Bao cao nNL tieu thu theo ca may hang thang nam 2001.xls"}</definedName>
    <definedName name="xddddd" hidden="1">{"'Sheet1'!$L$16"}</definedName>
    <definedName name="XDKT">#REF!</definedName>
    <definedName name="XFBDSBSB">{"'Sheet1'!$L$16"}</definedName>
    <definedName name="XFHGHTD">{"'Sheet1'!$L$16"}</definedName>
    <definedName name="xgsdg" hidden="1">{"'Sheet1'!$L$16"}</definedName>
    <definedName name="xls" hidden="1">{"'Sheet1'!$L$16"}</definedName>
    <definedName name="xlttbninh" hidden="1">{"'Sheet1'!$L$16"}</definedName>
    <definedName name="XLxa">#REF!</definedName>
    <definedName name="XN908nam2003">{"'Sheet1'!$L$16"}</definedName>
    <definedName name="xoa1">{"'Sheet1'!$L$16"}</definedName>
    <definedName name="xoa1_1">{"'Sheet1'!$L$16"}</definedName>
    <definedName name="xoa2" hidden="1">{#N/A,#N/A,FALSE,"Chi tiÆt"}</definedName>
    <definedName name="xoa3"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RefColumnsCount">5</definedName>
    <definedName name="XRefCopyRangeCount">6</definedName>
    <definedName name="XRefPasteRangeCount">5</definedName>
    <definedName name="XuÊt8">{"'Sheet1'!$L$16"}</definedName>
    <definedName name="xuong">[22]D_MUC!$A:$M</definedName>
    <definedName name="xvxcvxc">{"'Sheet1'!$L$16"}</definedName>
    <definedName name="XVXZ" hidden="1">{"'Sheet1'!$L$16"}</definedName>
    <definedName name="xx">#REF!</definedName>
    <definedName name="xxx" hidden="1">{"'Sheet1'!$L$16"}</definedName>
    <definedName name="ｘｘｘ">{"'Sheet1'!$L$16"}</definedName>
    <definedName name="XXXAAAA">{"'Sheet1'!$L$16"}</definedName>
    <definedName name="XXXAAAA_1">{"'Sheet1'!$L$16"}</definedName>
    <definedName name="ｘｘｘｘ">{"'Sheet1'!$L$16"}</definedName>
    <definedName name="ｘｘｘｘｘ">{"'Sheet1'!$L$16"}</definedName>
    <definedName name="xzZsfx" hidden="1">{#N/A,#N/A,FALSE,"Chi tiÆt"}</definedName>
    <definedName name="y">{"'Liquid'!$A$1:$U$57"}</definedName>
    <definedName name="ỵ">{"'Sheet1'!$L$16"}</definedName>
    <definedName name="y5ey3y33y3">#REF!</definedName>
    <definedName name="Y5T45">{"'Sheet1'!$L$16"}</definedName>
    <definedName name="y6ytyjtyjytjtyj">#REF!</definedName>
    <definedName name="ỳdhgg" hidden="1">{"'Sheet1'!$L$16"}</definedName>
    <definedName name="Yen">153.28</definedName>
    <definedName name="ýenda" hidden="1">{"'Sheet1'!$L$16"}</definedName>
    <definedName name="yeryewy3">#REF!</definedName>
    <definedName name="yeu" hidden="1">{"'Sheet1'!$L$16"}</definedName>
    <definedName name="YFU" hidden="1">{"'용역비'!$A$4:$C$8"}</definedName>
    <definedName name="yheryey">#REF!</definedName>
    <definedName name="yhetyt">#REF!</definedName>
    <definedName name="yhgjg" hidden="1">{"'Sheet1'!$L$16"}</definedName>
    <definedName name="yhiuo">{"'Sheet1'!$L$16"}</definedName>
    <definedName name="yi" hidden="1">{"'Sheet1'!$L$16"}</definedName>
    <definedName name="YI7I">{"'Sheet1'!$L$16"}</definedName>
    <definedName name="yidti" hidden="1">{"'Sheet1'!$L$16"}</definedName>
    <definedName name="ỵiđúihuyhùhd">{"'Sheet1'!$L$16"}</definedName>
    <definedName name="yiuti" hidden="1">{"'Sheet1'!$L$16"}</definedName>
    <definedName name="YSJSJSW">#REF!</definedName>
    <definedName name="YSY">#REF!</definedName>
    <definedName name="yteye5y" hidden="1">{"'Sheet1'!$L$16"}</definedName>
    <definedName name="ytẻyyỷ">{"'Sheet1'!$L$16"}</definedName>
    <definedName name="ytfrfrttfty">{"'Sheet1'!$L$16"}</definedName>
    <definedName name="YTJTY" hidden="1">{0,0,0,0}</definedName>
    <definedName name="ytri" hidden="1">{"'Sheet1'!$L$16"}</definedName>
    <definedName name="ytru" hidden="1">{"'Sheet1'!$L$16"}</definedName>
    <definedName name="YTYT">{"'Sheet1'!$L$16"}</definedName>
    <definedName name="yu" hidden="1">{"'용역비'!$A$4:$C$8"}</definedName>
    <definedName name="ỵu" hidden="1">{"'Sheet1'!$L$16"}</definedName>
    <definedName name="YUK" hidden="1">{"'용역비'!$A$4:$C$8"}</definedName>
    <definedName name="yuo">#REF!</definedName>
    <definedName name="yyjy_ukyu" hidden="1">{"'Sheet1'!$L$16"}</definedName>
    <definedName name="yytrrygji">{"'Sheet1'!$L$16"}</definedName>
    <definedName name="yyy" hidden="1">{"'Sheet1'!$L$16"}</definedName>
    <definedName name="ｙｙｙ">{"'Sheet1'!$L$16"}</definedName>
    <definedName name="z">{"'Sheet1'!$L$16"}</definedName>
    <definedName name="Z_2BD578FA_E2CB_4B2F_9A88_B148DA6298A5_.wvu.Cols">#REF!</definedName>
    <definedName name="Z_2BD578FA_E2CB_4B2F_9A88_B148DA6298A5_.wvu.PrintArea">#REF!</definedName>
    <definedName name="zcg" hidden="1">{"'Sheet1'!$L$16"}</definedName>
    <definedName name="zcgxf" hidden="1">{"'Sheet1'!$L$16"}</definedName>
    <definedName name="ZCZXC">{"'Sheet1'!$L$16"}</definedName>
    <definedName name="zDT_End">#REF!</definedName>
    <definedName name="ZFFD">{"'Sheet1'!$L$16"}</definedName>
    <definedName name="zIsAnChuThich" hidden="1">FALSE</definedName>
    <definedName name="zIsAnDienGiai" hidden="1">FALSE</definedName>
    <definedName name="zIsBanTienLuong" hidden="1">FALSE</definedName>
    <definedName name="zIsCgia" hidden="1">[0]!zIsDgiaCTiet_Gia.HPhi+3</definedName>
    <definedName name="zIsCM_BuNLieu" hidden="1">TRUE</definedName>
    <definedName name="zIsDgiaCTiet_Gia.HPhi">1</definedName>
    <definedName name="zIsDgiaCTiet_Gia.NcCm">1</definedName>
    <definedName name="zIsDgiaCTiet_Gia.VTu">2</definedName>
    <definedName name="zIsDtoan_TTu">1</definedName>
    <definedName name="zIsDtxlsWorkBook" hidden="1">TRUE</definedName>
    <definedName name="zIsHsCpcNc" hidden="1">FALSE</definedName>
    <definedName name="zIsHThong_cDinhMuc" hidden="1">"DM#24#05#A|DM#33#05#A|DM#28#05#A"</definedName>
    <definedName name="zIsHThong_cDonGia">"DGia_0104XD|DGia_0104LD|DGia_0103KS|1"</definedName>
    <definedName name="zIsHThong_cGiaCmay">"GCM243305_HCM|GCM243305_HCM|GCM282005_HCM"</definedName>
    <definedName name="zIsHThong_cGiaNCong">"GNC243305_HCM|GNC243305_HCM|GNC282005_HCM"</definedName>
    <definedName name="zIsHThong_cGiaVLieu">"GVL243305_HCM|GVL243305_HCM|GVL282005_HCM"</definedName>
    <definedName name="zIsHThong_cMDB">"TP.HCM_Dgia|TP.HCM_Gia|ZZ_Dinh_Muc_ZZ|ZZ_PLuc_Vua_ZZ|ZZ_Danh_Muc_ZZ|ZZ_CuocVc_ZZ|ZZ_DMuc_MXD_ZZ"</definedName>
    <definedName name="zIsHThong_cPLVua" hidden="1">"PLV#2005#A|PLV#2005#A|None"</definedName>
    <definedName name="zIsHThong_cTDienCTac" hidden="1">"CVIEC#24#2005|CVIEC#33#2005|CVIEC#28#2005#A"</definedName>
    <definedName name="zIsHThong_cTDienHPhi" hidden="1">"HPHI#2433#05#A|HPHI#2433#05#A|HPHI#28#2005#A"</definedName>
    <definedName name="zIsHThong_cTThanh">"HCM"</definedName>
    <definedName name="zIsHThong_cVChuyen">"zVatGiaCP_89_00|zVatGiaCP_89_00|zVatGiaCP_89_00"</definedName>
    <definedName name="zIsHThong_ShChange">"True|False|False|False|False|False|False|True|True|True|True|False|False|False|True"</definedName>
    <definedName name="zIsNghiDinh99" hidden="1">FALSE</definedName>
    <definedName name="zIsPT_PTVua" hidden="1">TRUE</definedName>
    <definedName name="zIsPT_Vl.Nc.Cm" hidden="1">TRUE</definedName>
    <definedName name="zIsPT_VLieuKhac">1</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0</definedName>
    <definedName name="zIsVTu_GiaTBao">1</definedName>
    <definedName name="zKm2">{"'Sheet1'!$L$16"}</definedName>
    <definedName name="zone3_25">{"TKVT-KV3-ND sua.xls","Dau noi bo xung TSB-kv05-40.xls","site diary.xls","Hoancong.xls"}</definedName>
    <definedName name="ZSSS" hidden="1">{"'Sheet1'!$L$16"}</definedName>
    <definedName name="zx">#REF!</definedName>
    <definedName name="zxfdf" hidden="1">{"'Sheet1'!$L$16"}</definedName>
    <definedName name="ZXzX">{"'Sheet1'!$L$16"}</definedName>
    <definedName name="ZYX">#REF!</definedName>
    <definedName name="zzxxc">{"'Sheet1'!$L$16"}</definedName>
    <definedName name="ZZZ">#REF!</definedName>
    <definedName name="zzzz">{"'Sheet1'!$L$16"}</definedName>
    <definedName name="ｚｚｚｚｚ">{"'Sheet1'!$L$16"}</definedName>
    <definedName name="ｚｚｚｚｚｚ">{"'Sheet1'!$L$16"}</definedName>
    <definedName name="あ">{"'Sheet1'!$L$16"}</definedName>
    <definedName name="ああ">{"'Sheet1'!$L$16"}</definedName>
    <definedName name="あああ">{"'Sheet1'!$L$16"}</definedName>
    <definedName name="ああああ">{"'Sheet1'!$L$16"}</definedName>
    <definedName name="あああああ">{"'Sheet1'!$L$16"}</definedName>
    <definedName name="ううう">{"'Sheet1'!$L$16"}</definedName>
    <definedName name="えええ">{"'Sheet1'!$L$16"}</definedName>
    <definedName name="っｋ">#REF!</definedName>
    <definedName name="んｎ">{"'Sheet1'!$L$16"}</definedName>
    <definedName name="んんｎ">{"'Sheet1'!$L$16"}</definedName>
    <definedName name="ㄱㄷㄱㄷㄱㄱㅎㄺㄷ" hidden="1">{"'장비'!$A$3:$M$12"}</definedName>
    <definedName name="ㄱㄹㅇㄷ">#REF!</definedName>
    <definedName name="ㄱㅈㅎ">#REF!</definedName>
    <definedName name="가나다">BlankMacro1</definedName>
    <definedName name="간접비">#REF!</definedName>
    <definedName name="간접비1">#REF!</definedName>
    <definedName name="갑지">#REF!</definedName>
    <definedName name="갑지지">#REF!</definedName>
    <definedName name="강교">#REF!</definedName>
    <definedName name="강구조물">#REF!</definedName>
    <definedName name="개요">#REF!</definedName>
    <definedName name="개요1">#REF!</definedName>
    <definedName name="개요2">#REF!</definedName>
    <definedName name="건걱" hidden="1">{"'Sheet1'!$A$4:$M$21","'Sheet1'!$J$17:$K$19"}</definedName>
    <definedName name="건설">BlankMacro1</definedName>
    <definedName name="건설이자">BlankMacro1</definedName>
    <definedName name="건적" hidden="1">{"'Sheet1'!$A$4:$M$21","'Sheet1'!$J$17:$K$19"}</definedName>
    <definedName name="건축">#REF!</definedName>
    <definedName name="건축공사">[0]!BlankMacro1</definedName>
    <definedName name="건축비목집계">#REF!</definedName>
    <definedName name="건축토공">#REF!</definedName>
    <definedName name="견대">#REF!</definedName>
    <definedName name="견적" hidden="1">{#N/A,#N/A,FALSE,"CCTV"}</definedName>
    <definedName name="견적2">#REF!</definedName>
    <definedName name="견적SHEET">#REF!</definedName>
    <definedName name="견적대비">#REF!</definedName>
    <definedName name="견적서">#REF!</definedName>
    <definedName name="견적조건">#REF!</definedName>
    <definedName name="견적조건8">#REF!</definedName>
    <definedName name="결">#REF!</definedName>
    <definedName name="결과">#REF!</definedName>
    <definedName name="계측기기">#REF!</definedName>
    <definedName name="공">#REF!</definedName>
    <definedName name="공공도서">#REF!</definedName>
    <definedName name="공공도서1">#REF!</definedName>
    <definedName name="공기1">#REF!</definedName>
    <definedName name="공동구토공">#REF!</definedName>
    <definedName name="공사비">#REF!</definedName>
    <definedName name="공사비분석">#REF!</definedName>
    <definedName name="공종별">Dlog_Show</definedName>
    <definedName name="공종별집계표">#REF!</definedName>
    <definedName name="공통가설">#REF!</definedName>
    <definedName name="관리비2">#REF!</definedName>
    <definedName name="교좌">#REF!</definedName>
    <definedName name="구산갑지">#REF!</definedName>
    <definedName name="권대협">#REF!</definedName>
    <definedName name="근거">#REF!</definedName>
    <definedName name="금광추정">#REF!</definedName>
    <definedName name="금오관">#REF!</definedName>
    <definedName name="기계주차">#REF!</definedName>
    <definedName name="기도환">BlankMacro1</definedName>
    <definedName name="기성">BlankMacro1</definedName>
    <definedName name="기술">#REF!</definedName>
    <definedName name="김">#REF!</definedName>
    <definedName name="김도환">BlankMacro1</definedName>
    <definedName name="ㄳ">#REF!</definedName>
    <definedName name="ㄴㄱㄹ">#REF!</definedName>
    <definedName name="ㄴㄷㄹ">#REF!</definedName>
    <definedName name="ㄴㄻㄴㅇ">#REF!</definedName>
    <definedName name="ㄴㅁ">#REF!</definedName>
    <definedName name="ㄴㅁㄹㄴㅁㅇㄴㅇㅁㄹㄴ">#REF!</definedName>
    <definedName name="나" hidden="1">{"'Sheet1'!$A$22:$G$23","'Sheet1'!$A$6","'Sheet1'!$E$10","'Sheet1'!$A$1:$F$23","'Sheet1'!$B$10","'Sheet1'!$A$1:$G$22","'Sheet1'!$A$1:$G$51"}</definedName>
    <definedName name="내선">49296</definedName>
    <definedName name="내역산출근거">#REF!</definedName>
    <definedName name="내역서1" hidden="1">{"'단계별시설공사비'!$A$3:$K$51"}</definedName>
    <definedName name="내역서2" hidden="1">{"'단계별시설공사비'!$A$3:$K$51"}</definedName>
    <definedName name="넣러">#REF!</definedName>
    <definedName name="노원문화">#REF!</definedName>
    <definedName name="노원문화1">#REF!</definedName>
    <definedName name="놓ㄹ노">#REF!</definedName>
    <definedName name="ㄶㅇㅀㄴㅇ">#REF!</definedName>
    <definedName name="ㄷ">#REF!</definedName>
    <definedName name="ㄷㄱ">#REF!</definedName>
    <definedName name="ㄷㄳ">#REF!</definedName>
    <definedName name="ㄷㄷㄷ">BlankMacro1</definedName>
    <definedName name="ㄷㄷㄷㄷ" hidden="1">{"'장비'!$A$3:$M$12"}</definedName>
    <definedName name="ㄷㅈㅂㄷ" hidden="1">{"'장비'!$A$3:$M$12"}</definedName>
    <definedName name="다음에">[0]!다음에</definedName>
    <definedName name="단ㄱ">#REF!</definedName>
    <definedName name="당초계획">#REF!</definedName>
    <definedName name="대구공항">#REF!</definedName>
    <definedName name="대구신당동" hidden="1">{"'별표'!$N$220"}</definedName>
    <definedName name="대비량">[0]!BlankMacro1</definedName>
    <definedName name="대비표">#REF!</definedName>
    <definedName name="대외인성">[0]!BlankMacro1</definedName>
    <definedName name="덕">#REF!</definedName>
    <definedName name="덕주집계">BlankMacro1</definedName>
    <definedName name="덕진">#REF!</definedName>
    <definedName name="덕호">#REF!</definedName>
    <definedName name="독립기초">#REF!</definedName>
    <definedName name="독립기초토공수량산출">#REF!</definedName>
    <definedName name="동구연숩">#REF!</definedName>
    <definedName name="동명공통가설관리비">#REF!</definedName>
    <definedName name="동별" hidden="1">{"'Sheet1'!$A$4:$M$21","'Sheet1'!$J$17:$K$19"}</definedName>
    <definedName name="동별내역" hidden="1">{"'Sheet1'!$A$4:$M$21","'Sheet1'!$J$17:$K$19"}</definedName>
    <definedName name="ㄹㄴㄹ">#REF!</definedName>
    <definedName name="ㄹㄴㅇㄻㄴ">#REF!</definedName>
    <definedName name="ㄹㄴ웋">#REF!</definedName>
    <definedName name="ㄹㄹㄹ">#REF!</definedName>
    <definedName name="ㄹㅇㄴ" hidden="1">{"'Sheet1'!$L$16"}</definedName>
    <definedName name="ㄹㅇㄹ">#REF!</definedName>
    <definedName name="ㄹㅇㅁㄴㅇㅁㄼ2ㅇㄴㅇㅇ">BlankMacro1</definedName>
    <definedName name="ㄹㅇㅎㄴㅇ">#REF!</definedName>
    <definedName name="ㄹ호">#REF!</definedName>
    <definedName name="ㄹ훙ㄷㅁㄷㅈㅂㄹ">BlankMacro1</definedName>
    <definedName name="ㄹ휴ㅠ">[0]!ㄹ휴ㅠ</definedName>
    <definedName name="라" hidden="1">{"'Sheet1'!$A$22:$G$23","'Sheet1'!$A$6","'Sheet1'!$E$10","'Sheet1'!$A$1:$F$23","'Sheet1'!$B$10","'Sheet1'!$A$1:$G$22","'Sheet1'!$A$1:$G$51"}</definedName>
    <definedName name="래그">#REF!</definedName>
    <definedName name="려ㅛㄹ">#REF!</definedName>
    <definedName name="ㄻㄴㄹㅇㄴㅁ">#REF!</definedName>
    <definedName name="ㄻㄴㅇㄻㄴ">#REF!</definedName>
    <definedName name="ㄻㄴㅇㄻㄴㄹ">#REF!</definedName>
    <definedName name="ㄻㄴㅇㄻㄴㄻㄴㅁㄴ">#REF!</definedName>
    <definedName name="ㄻㄴㅇㄻㄴㅁ">#REF!</definedName>
    <definedName name="ㄻㄴㅇㄻㄴㅇ">#REF!</definedName>
    <definedName name="ㄻㄴㅇㄻㄴㅇㄻ">#REF!</definedName>
    <definedName name="ㄻㄴㅇㅁㄴㅇ">#REF!</definedName>
    <definedName name="ㄻㅁ">#REF!</definedName>
    <definedName name="ㅀㅇㅀㅀ휴">BlankMacro1</definedName>
    <definedName name="ㅀㅇㅁ">#REF!</definedName>
    <definedName name="ㅀ허">#REF!</definedName>
    <definedName name="ㅁ">#REF!</definedName>
    <definedName name="ㅁㄴ">#REF!</definedName>
    <definedName name="ㅁㄴㄹ">#REF!</definedName>
    <definedName name="ㅁㄴㄹㄴ">#REF!</definedName>
    <definedName name="ㅁㄴㄹㅇㅁ">#REF!</definedName>
    <definedName name="ㅁㄴㅇ">BlankMacro1</definedName>
    <definedName name="ㅁㄴㅌㄴ" hidden="1">{"'자리배치도'!$AG$1:$CI$28"}</definedName>
    <definedName name="ㅁㄹㄴㅇ">#REF!</definedName>
    <definedName name="ㅁㄹㄴㅇㄻㄴㄹ">#REF!</definedName>
    <definedName name="ㅁㄹㄴㅇㅁ">#REF!</definedName>
    <definedName name="ㅁㄹㅇㄴ">#REF!</definedName>
    <definedName name="ㅁㄹㅇㅁㄴ">#REF!</definedName>
    <definedName name="ㅁㄻ">#REF!</definedName>
    <definedName name="ㅁㄻㄴㄹ">#REF!</definedName>
    <definedName name="ㅁㅁ">[0]!BlankMacro1</definedName>
    <definedName name="ㅁㅁㄴ">BlankMacro1</definedName>
    <definedName name="ㅁㅁㅁ">#REF!</definedName>
    <definedName name="ㅁㅁㅁㅁ">#REF!</definedName>
    <definedName name="ㅁㅁㅁㅁㅁㅁ">#REF!</definedName>
    <definedName name="ㅁㅁㅇㅇ">Dlog_Show</definedName>
    <definedName name="ㅁㅇㄹㄴㅇㅁㄹ">#REF!</definedName>
    <definedName name="ㅁㅇㄻ">#REF!</definedName>
    <definedName name="ㅁㅇㄻㄴㄹ">#REF!</definedName>
    <definedName name="ㅁㅇㄻㅇㅎ">#REF!</definedName>
    <definedName name="ㅁㅇㅀ">BlankMacro1</definedName>
    <definedName name="ㅁㅇㅀㅁㅇ">#REF!</definedName>
    <definedName name="ㅁㅇㅁㄻㅂ">BlankMacro1</definedName>
    <definedName name="ㅁㅎㄻㅇㄻ">#REF!</definedName>
    <definedName name="ㅁㅎㅁ">#REF!</definedName>
    <definedName name="ㅁㅎㅇㅀㅁㅇ">#REF!</definedName>
    <definedName name="ㅁㅎㅇㅀㅁㅎ">#REF!</definedName>
    <definedName name="명일">#REF!</definedName>
    <definedName name="모">#REF!</definedName>
    <definedName name="몰라" hidden="1">0</definedName>
    <definedName name="ㅂ">#REF!</definedName>
    <definedName name="ㅂㄷㄷ">BlankMacro1</definedName>
    <definedName name="ㅂㅂ">#REF!</definedName>
    <definedName name="ㅂㅂㄴ">BlankMacro1</definedName>
    <definedName name="ㅂㅂㅂㅂ">#REF!</definedName>
    <definedName name="ㅂㅂㅂㅂㅂ" hidden="1">{"'별표'!$N$220"}</definedName>
    <definedName name="ㅂㅂㅂㅂㅂㅂ" hidden="1">{"'용역비'!$A$4:$C$8"}</definedName>
    <definedName name="ㅂㅂㅂㅈ">BlankMacro1</definedName>
    <definedName name="ㅂㅈ">#REF!</definedName>
    <definedName name="ㅂㅈㄱㅂㅈㄷㄱ" hidden="1">{"'장비'!$A$3:$M$12"}</definedName>
    <definedName name="ㅂㅈㄷ" hidden="1">{"'장비'!$A$3:$M$12"}</definedName>
    <definedName name="ㅂㅈㄷㄷㅂㅈㅈㅂ" hidden="1">{"'장비'!$A$3:$M$12"}</definedName>
    <definedName name="ㅂㅈㄷㅂㅈ" hidden="1">{"'장비'!$A$3:$M$12"}</definedName>
    <definedName name="ㅂㅈㄷㅂㅈㅈㅂㄷ" hidden="1">{"'장비'!$A$3:$M$12"}</definedName>
    <definedName name="ㅂㅈㄷㅈㅂㄷ" hidden="1">{"'장비'!$A$3:$M$12"}</definedName>
    <definedName name="바붕">#REF!</definedName>
    <definedName name="배기덕트공사">#REF!</definedName>
    <definedName name="법인세4.6">#REF!</definedName>
    <definedName name="변경개요">#REF!</definedName>
    <definedName name="변경개요2">#REF!</definedName>
    <definedName name="변경후개요">#REF!</definedName>
    <definedName name="보링">#REF!</definedName>
    <definedName name="보오링그라우팅">#REF!</definedName>
    <definedName name="보충">#REF!</definedName>
    <definedName name="복지">#REF!</definedName>
    <definedName name="부대">#REF!</definedName>
    <definedName name="부대1">#REF!</definedName>
    <definedName name="부대원가">#REF!</definedName>
    <definedName name="부대원본">#REF!</definedName>
    <definedName name="부손익">#REF!</definedName>
    <definedName name="부천상동조경">#REF!</definedName>
    <definedName name="부토">Dlog_Show</definedName>
    <definedName name="분석변경">#REF!</definedName>
    <definedName name="뷰">#REF!</definedName>
    <definedName name="비용_01">BlankMacro1</definedName>
    <definedName name="빔제작단가개정표준도적용" hidden="1">{"'자리배치도'!$AG$1:$CI$28"}</definedName>
    <definedName name="ㅅㄱㄱㄷ" hidden="1">{"'장비'!$A$3:$M$12"}</definedName>
    <definedName name="ㅅ고ㅗ">BlankMacro1</definedName>
    <definedName name="ㅅ굲유">#REF!</definedName>
    <definedName name="ㅅㄷ" hidden="1">{"'Sheet1'!$L$16"}</definedName>
    <definedName name="ㅅㅅㅅㅅㅅ" hidden="1">{"'장비'!$A$3:$M$12"}</definedName>
    <definedName name="사">#REF!</definedName>
    <definedName name="사급">#REF!</definedName>
    <definedName name="사업부양식2">#REF!</definedName>
    <definedName name="삼항ㅇㅇ">[0]!삼항ㅇㅇ</definedName>
    <definedName name="삼호">#REF!</definedName>
    <definedName name="샘풀카피">#REF!</definedName>
    <definedName name="샘플카피2">#REF!</definedName>
    <definedName name="샘플카피3">#REF!</definedName>
    <definedName name="석재받은의뢰업체">255</definedName>
    <definedName name="설계내역서">{"'별표'!$N$220"}</definedName>
    <definedName name="설명서">#REF!</definedName>
    <definedName name="설서" hidden="1">{"'별표'!$N$220"}</definedName>
    <definedName name="소ㅑ104">#REF!</definedName>
    <definedName name="손익계산서">#REF!</definedName>
    <definedName name="쇼ㅗㅎ로" hidden="1">{"'장비'!$A$3:$M$12"}</definedName>
    <definedName name="수">#REF!</definedName>
    <definedName name="수량대비">[0]!BlankMacro1</definedName>
    <definedName name="수량산출근거">#REF!</definedName>
    <definedName name="시중단가" hidden="1">{"'단계별시설공사비'!$A$3:$K$51"}</definedName>
    <definedName name="신">BlankMacro1</definedName>
    <definedName name="신사">BlankMacro1</definedName>
    <definedName name="ㅇ">[0]!BlankMacro1</definedName>
    <definedName name="ㅇㄴㄹ">#REF!</definedName>
    <definedName name="ㅇㄴㄻ">#REF!</definedName>
    <definedName name="ㅇㄴㄻㄴㅇ">#REF!</definedName>
    <definedName name="ㅇㄴㄿ">#REF!</definedName>
    <definedName name="ㅇㄹ">#REF!</definedName>
    <definedName name="ㅇㄹㄹ">#REF!</definedName>
    <definedName name="ㅇㄹㅇ">#REF!</definedName>
    <definedName name="ㅇㄻㅇㄻㄴㄹ">#REF!</definedName>
    <definedName name="ㅇㄻㅈㄹㄷㄱㄹ">BlankMacro1</definedName>
    <definedName name="ㅇㅀㅁㅇㅁㅇ">#REF!</definedName>
    <definedName name="ㅇㅇ">#REF!</definedName>
    <definedName name="ㅇㅇㅁㅂㅈ">Dlog_Show</definedName>
    <definedName name="ㅇㅇㅇ">[0]!BlankMacro1</definedName>
    <definedName name="ㅇㅇㅇㅇ">[0]!BlankMacro1</definedName>
    <definedName name="ㅇㅇㅇㅇㅁ">BlankMacro1</definedName>
    <definedName name="ㅇㅇㅇㅇㅁㅁ">BlankMacro1</definedName>
    <definedName name="ㅇ호">#REF!</definedName>
    <definedName name="아니" hidden="1">{"'Sheet1'!$A$4:$M$21","'Sheet1'!$J$17:$K$19"}</definedName>
    <definedName name="아롷누">[0]!아롷누</definedName>
    <definedName name="아륜">[0]!아륜</definedName>
    <definedName name="아무">#REF!</definedName>
    <definedName name="아무거나">#REF!</definedName>
    <definedName name="아싸">#REF!</definedName>
    <definedName name="아안녕" hidden="1">{"'별표'!$N$220"}</definedName>
    <definedName name="아잔견적서">[0]!BlankMacro1</definedName>
    <definedName name="아진견적3">[0]!BlankMacro1</definedName>
    <definedName name="아파트" hidden="1">{"'Sheet1'!$A$4:$M$21","'Sheet1'!$J$17:$K$19"}</definedName>
    <definedName name="아파트내역2" hidden="1">{"'Sheet1'!$A$4:$M$21","'Sheet1'!$J$17:$K$19"}</definedName>
    <definedName name="아ㅓ림">#REF!</definedName>
    <definedName name="안녕" hidden="1">{"'별표'!$N$220"}</definedName>
    <definedName name="안종률">BlankMacro1</definedName>
    <definedName name="양재승2222222">#REF!</definedName>
    <definedName name="억이상">#REF!</definedName>
    <definedName name="업">#REF!</definedName>
    <definedName name="업종">#REF!</definedName>
    <definedName name="업체">#REF!</definedName>
    <definedName name="업체순위">#REF!</definedName>
    <definedName name="연태4">[0]!BlankMacro1</definedName>
    <definedName name="영암실행">#REF!</definedName>
    <definedName name="오수토공">#REF!</definedName>
    <definedName name="오정근">[0]!BlankMacro1</definedName>
    <definedName name="완도">#REF!</definedName>
    <definedName name="용용">#REF!</definedName>
    <definedName name="우후" hidden="1">{"'별표'!$N$220"}</definedName>
    <definedName name="우ㅗ홓ㅇ">#REF!</definedName>
    <definedName name="원가">#REF!</definedName>
    <definedName name="원가계산">[0]!원가계산</definedName>
    <definedName name="원가계산창">[0]!원가계산창</definedName>
    <definedName name="의">#REF!</definedName>
    <definedName name="이름모름" hidden="1">{"'별표'!$N$220"}</definedName>
    <definedName name="이릉">#REF!</definedName>
    <definedName name="이미도">[0]!이미도</definedName>
    <definedName name="이상">BlankMacro1</definedName>
    <definedName name="이이">BlankMacro1</definedName>
    <definedName name="이천순복음">#REF!</definedName>
    <definedName name="이현수">[0]!BlankMacro1</definedName>
    <definedName name="인쇄양식">[0]!인쇄양식</definedName>
    <definedName name="인천지검">#REF!</definedName>
    <definedName name="임형">#REF!</definedName>
    <definedName name="입찰금액안">#REF!</definedName>
    <definedName name="자" hidden="1">{"'Sheet1'!$A$4:$M$21","'Sheet1'!$J$17:$K$19"}</definedName>
    <definedName name="자재1">#REF!</definedName>
    <definedName name="자재2">#REF!</definedName>
    <definedName name="자재단가근거">#REF!</definedName>
    <definedName name="자재인력조달">[0]!자재인력조달</definedName>
    <definedName name="작동">#REF!</definedName>
    <definedName name="전기" hidden="1">{"'Sheet1'!$A$1:$E$59"}</definedName>
    <definedName name="전기내역">#REF!</definedName>
    <definedName name="전기산출">#REF!</definedName>
    <definedName name="전기산출내역">#REF!</definedName>
    <definedName name="조건2">#REF!</definedName>
    <definedName name="조경공사">#REF!</definedName>
    <definedName name="조경사본">#REF!</definedName>
    <definedName name="조사가">#REF!</definedName>
    <definedName name="조직">#REF!</definedName>
    <definedName name="종합청사">#REF!</definedName>
    <definedName name="주차장">#REF!</definedName>
    <definedName name="지역업체">#REF!</definedName>
    <definedName name="지철">#REF!</definedName>
    <definedName name="지철자재">#REF!</definedName>
    <definedName name="지토">#REF!</definedName>
    <definedName name="지토자재">#REF!</definedName>
    <definedName name="ㅊㅊ">BlankMacro1</definedName>
    <definedName name="ㅊㅍㅋㅌㅊㅋ">#REF!</definedName>
    <definedName name="ㅊㅍㅋㅌㅍㅌ">#REF!</definedName>
    <definedName name="철근량">#REF!</definedName>
    <definedName name="철근수정본" hidden="1">{"'Sheet1'!$A$4:$M$21","'Sheet1'!$J$17:$K$19"}</definedName>
    <definedName name="철콘공사">[0]!철콘공사</definedName>
    <definedName name="철콘부대외">#REF!</definedName>
    <definedName name="초기비용_01">BlankMacro1</definedName>
    <definedName name="총">#REF!</definedName>
    <definedName name="총공사비2">#REF!</definedName>
    <definedName name="총괄제출2차">#REF!</definedName>
    <definedName name="총괄표">#REF!</definedName>
    <definedName name="최성론ㄱ">[0]!최성론ㄱ</definedName>
    <definedName name="추" hidden="1">{"'Sheet1'!$L$16"}</definedName>
    <definedName name="추가분" hidden="1">{"'장비'!$A$3:$M$12"}</definedName>
    <definedName name="추가옵션01">#REF!</definedName>
    <definedName name="추정">#REF!</definedName>
    <definedName name="ㅋㅋㅋㅋ">BlankMacro1</definedName>
    <definedName name="ㅋㅌㅊ">[0]!ㅋㅌㅊ</definedName>
    <definedName name="켐온건축">#REF!</definedName>
    <definedName name="ㅌㅍ츛ㅌ">#REF!</definedName>
    <definedName name="태영지급">#REF!</definedName>
    <definedName name="테스크">#REF!</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토">#REF!</definedName>
    <definedName name="토공11">#REF!</definedName>
    <definedName name="토공이수">#REF!</definedName>
    <definedName name="토목">#REF!</definedName>
    <definedName name="토목변경" hidden="1">{"'장비'!$A$3:$M$12"}</definedName>
    <definedName name="토목설계">#REF!</definedName>
    <definedName name="토목실행예산" hidden="1">{"'장비'!$A$3:$M$12"}</definedName>
    <definedName name="토목조정분" hidden="1">{"'장비'!$A$3:$M$12"}</definedName>
    <definedName name="투3">#REF!</definedName>
    <definedName name="투찰서_2">[0]!투찰서_2</definedName>
    <definedName name="투찰서_3">[0]!투찰서_3</definedName>
    <definedName name="투찰서2">[0]!투찰서2</definedName>
    <definedName name="투찰표">#REF!</definedName>
    <definedName name="특케">111738</definedName>
    <definedName name="ㅍ춫">#REF!</definedName>
    <definedName name="ㅍ츝">#REF!</definedName>
    <definedName name="ㅍㅍㅍㅍ">BlankMacro1</definedName>
    <definedName name="파일">#REF!</definedName>
    <definedName name="팔">#REF!</definedName>
    <definedName name="평당견적">#REF!</definedName>
    <definedName name="표지2">#REF!</definedName>
    <definedName name="피팅">BlankMacro1</definedName>
    <definedName name="ㅎㄴ">#REF!</definedName>
    <definedName name="ㅎㄹㄴㅇ">#REF!</definedName>
    <definedName name="ㅎㄹㅇㄴ">#REF!</definedName>
    <definedName name="ㅎㄹㅇㅁㅁㅎ">#REF!</definedName>
    <definedName name="ㅎㄹㅇㅁㅎㅁ">#REF!</definedName>
    <definedName name="ㅎㄹㅇㅎ">#REF!</definedName>
    <definedName name="ㅎㄹㅇㅎㅇㅁㅎ">#REF!</definedName>
    <definedName name="ㅎㄹ오하ㅓ">#REF!</definedName>
    <definedName name="ㅎㄹ우">[0]!ㅎㄹ우</definedName>
    <definedName name="ㅎ륜ㅇㄹ">#REF!</definedName>
    <definedName name="ㅎ르ㅓㅗㅓ">#REF!</definedName>
    <definedName name="ㅎㄻㄹㅇㅎㅇㅁ">#REF!</definedName>
    <definedName name="ㅎㄻㅇㅎㅁㅇㅎㅁㅇㅎ">#REF!</definedName>
    <definedName name="ㅎㅁㅇㅀㅁㅇ">#REF!</definedName>
    <definedName name="ㅎㅁㅇㅀㅁㅇㅎㅁ">#REF!</definedName>
    <definedName name="ㅎㅇㄴ">#REF!</definedName>
    <definedName name="ㅎㅇㄹ홍ㄴ로">#REF!</definedName>
    <definedName name="ㅎㅇㄻㅎㅁㅇ">#REF!</definedName>
    <definedName name="ㅎㅇㄻㅎㅁㅎㅁㅇ">#REF!</definedName>
    <definedName name="ㅎㅇㅀ">#REF!</definedName>
    <definedName name="ㅎㅇㅀㄴ">#REF!</definedName>
    <definedName name="ㅎㅇㅀㅁㅇㅎㅁㅇ">#REF!</definedName>
    <definedName name="ㅎㅇㅀㅇㅀ">#REF!</definedName>
    <definedName name="ㅎㅇㅀㅇㅀㅇ">#REF!</definedName>
    <definedName name="ㅎㅇㅁㄴㄹ">#REF!</definedName>
    <definedName name="ㅎㅇㅁㅀㅁㅇ">#REF!</definedName>
    <definedName name="ㅎㅎㅀ">BlankMacro1</definedName>
    <definedName name="ㅎㅎㅎ">[0]!ㅎㅎㅎ</definedName>
    <definedName name="ㅎㅎㅎㅎ" hidden="1">{"'장비'!$A$3:$M$12"}</definedName>
    <definedName name="하도">#REF!</definedName>
    <definedName name="하도사">#REF!</definedName>
    <definedName name="하한선">#REF!</definedName>
    <definedName name="한">#REF!</definedName>
    <definedName name="할" hidden="1">{"'Sheet1'!$L$16"}</definedName>
    <definedName name="항" hidden="1">{"'Sheet1'!$L$16"}</definedName>
    <definedName name="현장">#REF!</definedName>
    <definedName name="현장자재外" hidden="1">{"'Sheet1'!$A$4:$M$21","'Sheet1'!$J$17:$K$19"}</definedName>
    <definedName name="현조">#REF!</definedName>
    <definedName name="협">#REF!</definedName>
    <definedName name="협력">#REF!</definedName>
    <definedName name="협력업체">#REF!</definedName>
    <definedName name="협철">#REF!</definedName>
    <definedName name="협토">#REF!</definedName>
    <definedName name="협토1">#REF!</definedName>
    <definedName name="협토자재">#REF!</definedName>
    <definedName name="형제">#REF!</definedName>
    <definedName name="호우">#REF!</definedName>
    <definedName name="호우ㅗ">#REF!</definedName>
    <definedName name="호ㅓㅎ">#REF!</definedName>
    <definedName name="호ㅓㅕㅏ6ㅅ서ㅛㅓ">#REF!</definedName>
    <definedName name="혼ㄹ">#REF!</definedName>
    <definedName name="홀ㄴㄺㅅ">#REF!</definedName>
    <definedName name="홓렁호ㅓ호">#REF!</definedName>
    <definedName name="홓로">#REF!</definedName>
    <definedName name="화허호ㅓ">#REF!</definedName>
    <definedName name="효구">Dlog_Show</definedName>
    <definedName name="후다">[0]!후다</definedName>
    <definedName name="후후ㅜ">[0]!후후ㅜ</definedName>
    <definedName name="ㅏ허화">#REF!</definedName>
    <definedName name="ㅏㅓ화호">#REF!</definedName>
    <definedName name="ㅏㅓㅗ라">#REF!</definedName>
    <definedName name="ㅏㅓㅗㅎ">#REF!</definedName>
    <definedName name="ㅏㅓㅗㅓ">#REF!</definedName>
    <definedName name="ㅏㅓㅘ허호">#REF!</definedName>
    <definedName name="ㅏㅗㅓㅏ화호">#REF!</definedName>
    <definedName name="ㅏㅣ">#REF!</definedName>
    <definedName name="ㅑ">BlankMacro1</definedName>
    <definedName name="ㅑㅅ" hidden="1">{"'Sheet1'!$L$16"}</definedName>
    <definedName name="ㅓ롤">#REF!</definedName>
    <definedName name="ㅓㅇㄴ">#REF!</definedName>
    <definedName name="ㅓㅇ호ㅓㅇ호ㅓㅇ허">#REF!</definedName>
    <definedName name="ㅓㅎ렁홍">#REF!</definedName>
    <definedName name="ㅓㅎ로ㅗㄴ">#REF!</definedName>
    <definedName name="ㅓㅎㅇㅎ">#REF!</definedName>
    <definedName name="ㅓ호ㅓ">#REF!</definedName>
    <definedName name="ㅓ호ㅓㅗㄹ">#REF!</definedName>
    <definedName name="ㅓㅏ호">#REF!</definedName>
    <definedName name="ㅓㅏ호ㅓ">#REF!</definedName>
    <definedName name="ㅓㅏㅗ하ㅗㅓㅎ">#REF!</definedName>
    <definedName name="ㅓㅗ">#REF!</definedName>
    <definedName name="ㅓㅗㅎㄹ">#REF!</definedName>
    <definedName name="ㅓㅗㅎ러ㅗㅎ러">#REF!</definedName>
    <definedName name="ㅓㅗㅎ러ㅗ호ㅓ">#REF!</definedName>
    <definedName name="ㅓㅗ허">#REF!</definedName>
    <definedName name="ㅓㅗ허ㅗㄹ">#REF!</definedName>
    <definedName name="ㅓㅗ허ㅗㅎㄹ">#REF!</definedName>
    <definedName name="ㅓㅗ허ㅗㅎ러">#REF!</definedName>
    <definedName name="ㅓㅗ헝홍허">#REF!</definedName>
    <definedName name="ㅓㅗ헣ㄹ">#REF!</definedName>
    <definedName name="ㅓㅗ헣러">#REF!</definedName>
    <definedName name="ㅓㅗ헣로ㅓ">#REF!</definedName>
    <definedName name="ㅓㅗ헣호ㅓ">#REF!</definedName>
    <definedName name="ㅓㅗ호">#REF!</definedName>
    <definedName name="ㅓㅗ호ㅓㅗ">#REF!</definedName>
    <definedName name="ㅓㅗㅗ">#REF!</definedName>
    <definedName name="ㅓㅗㅗㅗ">#REF!</definedName>
    <definedName name="ㅔㅔ">#REF!</definedName>
    <definedName name="ㅕ">Dlog_Show</definedName>
    <definedName name="ㅗㄹㄶ">#REF!</definedName>
    <definedName name="ㅗㅎ">#REF!</definedName>
    <definedName name="ㅗㅎㄴ">#REF!</definedName>
    <definedName name="ㅗㅎㄴㄹ">#REF!</definedName>
    <definedName name="ㅗㅎ로ㅜ">#REF!</definedName>
    <definedName name="ㅗㅎ론ㄹ">#REF!</definedName>
    <definedName name="ㅗㅎ롯홋ㄱ">#REF!</definedName>
    <definedName name="ㅗ허ㅗ">#REF!</definedName>
    <definedName name="ㅗ호">#REF!</definedName>
    <definedName name="ㅗ홓ㅎ로" hidden="1">{"'장비'!$A$3:$M$12"}</definedName>
    <definedName name="ㅗㅓ쇼ㅓㅕㄷ쇼ㅓㅕㄷㅅ">#REF!</definedName>
    <definedName name="ㅗㅓㅎ로ㅓㅎㄹ">#REF!</definedName>
    <definedName name="ㅗㅗㅍ">BlankMacro1</definedName>
    <definedName name="ㅗㅗㅗㅗㅗ" hidden="1">{"'장비'!$A$3:$M$12"}</definedName>
    <definedName name="ㅗㅝㅓㅓㅓㅓ">#REF!</definedName>
    <definedName name="ㅗㅠㅍ">#REF!</definedName>
    <definedName name="ㅘ" hidden="1">{"'Sheet1'!$L$16"}</definedName>
    <definedName name="ㅛ" hidden="1">{"'장비'!$A$3:$M$12"}</definedName>
    <definedName name="ㅜ">#REF!</definedName>
    <definedName name="ㅜㄴㄱ">#REF!</definedName>
    <definedName name="ㅜㄹ윤">#REF!</definedName>
    <definedName name="ㅜㅊㅍ">#REF!</definedName>
    <definedName name="ㅜㅋㅊㅍ">#REF!</definedName>
    <definedName name="ㅜㅍ추ㅠ">#REF!</definedName>
    <definedName name="ㅜㅎㄴ">#REF!</definedName>
    <definedName name="ㅜㅎㅅㄱㄴ">#REF!</definedName>
    <definedName name="ㅜㅎㅇ후">BlankMacro1</definedName>
    <definedName name="ㅜㅎㅎ">[0]!ㅜㅎㅎ</definedName>
    <definedName name="ㅜㅗㅇㅎㅌ">#REF!</definedName>
    <definedName name="ㅜㅗㅇ훟">#REF!</definedName>
    <definedName name="ㅜㅗㅗㅗㅇㅎ">#REF!</definedName>
    <definedName name="ㅜㅜㅜㅜ">[0]!ㅜㅜㅜㅜ</definedName>
    <definedName name="ㅜㅠ푸">#REF!</definedName>
    <definedName name="ㅜㅠㅠ">#REF!</definedName>
    <definedName name="ㅝㅎㄹ">#REF!</definedName>
    <definedName name="ㅠㄴ">#REF!</definedName>
    <definedName name="ㅠㄹㅇㄴㄴㄹㅇ">#REF!</definedName>
    <definedName name="ㅠㅊㅌ퓿ㅌ">#REF!</definedName>
    <definedName name="ㅠㅊㅍㅌ">#REF!</definedName>
    <definedName name="ㅠㅊㅍ튜">#REF!</definedName>
    <definedName name="ㅠㅊㅍ튵ㅊ">#REF!</definedName>
    <definedName name="ㅠㅊ픁츄">#REF!</definedName>
    <definedName name="ㅠㅍ">#REF!</definedName>
    <definedName name="ㅠㅍㅊ">#REF!</definedName>
    <definedName name="ㅠㅍㅊ튳">#REF!</definedName>
    <definedName name="ㅠㅍㅊ튳ㅌㅍ">#REF!</definedName>
    <definedName name="ㅠㅍㅊ튵">#REF!</definedName>
    <definedName name="ㅠㅍㅊ튵ㅊ">#REF!</definedName>
    <definedName name="ㅠㅍ츄ㅜ">#REF!</definedName>
    <definedName name="ㅠㅍ츛ㅍ">#REF!</definedName>
    <definedName name="ㅠㅍ츜ㅊ">#REF!</definedName>
    <definedName name="ㅠㅍ츜ㅍ">#REF!</definedName>
    <definedName name="ㅠㅍ츝">#REF!</definedName>
    <definedName name="ㅠㅍ츝ㅊ">#REF!</definedName>
    <definedName name="ㅠㅍㅋㅊㅍㅍ">#REF!</definedName>
    <definedName name="ㅠ퓿큨ㅊ">#REF!</definedName>
    <definedName name="ㅠ픀ㅊ">#REF!</definedName>
    <definedName name="ㅠ픀ㅊㅍ">#REF!</definedName>
    <definedName name="ㅠ픀ㅋㅊㅍ">#REF!</definedName>
    <definedName name="ㅡㅡ">BlankMacro1</definedName>
    <definedName name="ㅣ허ㅏㅣ하">#REF!</definedName>
    <definedName name="ㅣ허ㅣ호ㅓㅏ">#REF!</definedName>
    <definedName name="ㅣㅏ허ㅏ허ㅏ허ㅏ">#REF!</definedName>
    <definedName name="ㅣㅏㅓㅎ">#REF!</definedName>
    <definedName name="ㅣㅏㅓ허ㅏㅓㅎ">#REF!</definedName>
    <definedName name="ㅣㅏㅓㅣ허ㅏㅎ">#REF!</definedName>
    <definedName name="ㅣㅏㅓㅣ허ㅏㅏ허">#REF!</definedName>
    <definedName name="ㅣㅓㅏ허">#REF!</definedName>
    <definedName name="ㅣㅓㅏ허ㅏㅣ허ㅏㅓ">#REF!</definedName>
    <definedName name="ㅣㅚㅓㅏ">#REF!</definedName>
    <definedName name="及" hidden="1">{"'Break down'!$A$4"}</definedName>
    <definedName name="取费" hidden="1">{"'现金流量表（全部投资）'!$B$4:$P$23"}</definedName>
    <definedName name="地基处理" hidden="1">{"'现金流量表（全部投资）'!$B$4:$P$23"}</definedName>
    <definedName name="外注資材集計表">#REF!</definedName>
    <definedName name="大面玻璃幕墙新" hidden="1">{"'Break down'!$A$4"}</definedName>
    <definedName name="実行">{"'Sheet1'!$L$16"}</definedName>
    <definedName name="岡田">#REF!</definedName>
    <definedName name="影响力" hidden="1">{"'现金流量表（全部投资）'!$B$4:$P$23"}</definedName>
    <definedName name="新封" hidden="1">{"'现金流量表（全部投资）'!$B$4:$P$23"}</definedName>
    <definedName name="脱硫表二" hidden="1">{"'现金流量表（全部投资）'!$B$4:$P$23"}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7" i="7" l="1"/>
  <c r="H6" i="7"/>
  <c r="H3" i="7"/>
  <c r="H4" i="7"/>
  <c r="H5" i="7"/>
  <c r="H2" i="7"/>
  <c r="G3" i="7"/>
  <c r="G4" i="7"/>
  <c r="G5" i="7"/>
  <c r="G2" i="7"/>
  <c r="F5" i="7"/>
  <c r="R86"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15" i="6"/>
  <c r="F4" i="7" l="1"/>
  <c r="R82"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45" i="5"/>
  <c r="F3" i="7" l="1"/>
  <c r="F2" i="7"/>
  <c r="R69"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15" i="4"/>
  <c r="S17" i="3" l="1"/>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16" i="3"/>
  <c r="S73" i="3" l="1"/>
  <c r="S74" i="3" s="1"/>
  <c r="S75" i="3" s="1"/>
  <c r="A3" i="7" l="1"/>
  <c r="A4" i="7" s="1"/>
  <c r="A5" i="7" s="1"/>
  <c r="M81" i="6" l="1"/>
  <c r="L81" i="6"/>
  <c r="B81" i="6"/>
  <c r="M80" i="6"/>
  <c r="L80" i="6"/>
  <c r="B80" i="6"/>
  <c r="M79" i="6"/>
  <c r="L79" i="6"/>
  <c r="B79" i="6"/>
  <c r="M78" i="6"/>
  <c r="L78" i="6"/>
  <c r="B78" i="6"/>
  <c r="M77" i="6"/>
  <c r="L77" i="6"/>
  <c r="B77" i="6"/>
  <c r="M76" i="6"/>
  <c r="L76" i="6"/>
  <c r="B76" i="6"/>
  <c r="M75" i="6"/>
  <c r="L75" i="6"/>
  <c r="B75" i="6"/>
  <c r="M74" i="6"/>
  <c r="L74" i="6"/>
  <c r="B74" i="6"/>
  <c r="M73" i="6"/>
  <c r="L73" i="6"/>
  <c r="B73" i="6"/>
  <c r="M72" i="6"/>
  <c r="L72" i="6"/>
  <c r="B72" i="6"/>
  <c r="O71" i="6"/>
  <c r="M71" i="6"/>
  <c r="L71" i="6"/>
  <c r="B71" i="6"/>
  <c r="O70" i="6"/>
  <c r="M70" i="6"/>
  <c r="L70" i="6"/>
  <c r="B70" i="6"/>
  <c r="O69" i="6"/>
  <c r="M69" i="6"/>
  <c r="L69" i="6"/>
  <c r="B69" i="6"/>
  <c r="A69" i="6"/>
  <c r="M68" i="6"/>
  <c r="O68" i="6" s="1"/>
  <c r="L68" i="6"/>
  <c r="B68" i="6"/>
  <c r="A68" i="6"/>
  <c r="M67" i="6"/>
  <c r="O67" i="6" s="1"/>
  <c r="L67" i="6"/>
  <c r="B67" i="6"/>
  <c r="A67" i="6"/>
  <c r="M66" i="6"/>
  <c r="O66" i="6" s="1"/>
  <c r="L66" i="6"/>
  <c r="B66" i="6"/>
  <c r="A66" i="6"/>
  <c r="M65" i="6"/>
  <c r="O65" i="6" s="1"/>
  <c r="L65" i="6"/>
  <c r="B65" i="6"/>
  <c r="A65" i="6"/>
  <c r="M64" i="6"/>
  <c r="O64" i="6" s="1"/>
  <c r="L64" i="6"/>
  <c r="B64" i="6"/>
  <c r="A64" i="6"/>
  <c r="O63" i="6"/>
  <c r="M63" i="6"/>
  <c r="L63" i="6"/>
  <c r="B63" i="6"/>
  <c r="A63" i="6"/>
  <c r="M62" i="6"/>
  <c r="O62" i="6" s="1"/>
  <c r="L62" i="6"/>
  <c r="B62" i="6"/>
  <c r="A62" i="6"/>
  <c r="M61" i="6"/>
  <c r="O61" i="6" s="1"/>
  <c r="L61" i="6"/>
  <c r="B61" i="6"/>
  <c r="A61" i="6"/>
  <c r="M60" i="6"/>
  <c r="O60" i="6" s="1"/>
  <c r="L60" i="6"/>
  <c r="B60" i="6"/>
  <c r="M59" i="6"/>
  <c r="O59" i="6" s="1"/>
  <c r="L59" i="6"/>
  <c r="B59" i="6"/>
  <c r="A59" i="6"/>
  <c r="M58" i="6"/>
  <c r="O58" i="6" s="1"/>
  <c r="L58" i="6"/>
  <c r="B58" i="6"/>
  <c r="A58" i="6"/>
  <c r="M57" i="6"/>
  <c r="O57" i="6" s="1"/>
  <c r="L57" i="6"/>
  <c r="B57" i="6"/>
  <c r="A57" i="6"/>
  <c r="O56" i="6"/>
  <c r="M56" i="6"/>
  <c r="L56" i="6"/>
  <c r="B56" i="6"/>
  <c r="A56" i="6"/>
  <c r="M55" i="6"/>
  <c r="O55" i="6" s="1"/>
  <c r="L55" i="6"/>
  <c r="B55" i="6"/>
  <c r="A55" i="6"/>
  <c r="M54" i="6"/>
  <c r="O54" i="6" s="1"/>
  <c r="L54" i="6"/>
  <c r="B54" i="6"/>
  <c r="A54" i="6"/>
  <c r="M53" i="6"/>
  <c r="O53" i="6" s="1"/>
  <c r="L53" i="6"/>
  <c r="B53" i="6"/>
  <c r="A53" i="6"/>
  <c r="O52" i="6"/>
  <c r="M52" i="6"/>
  <c r="L52" i="6"/>
  <c r="B52" i="6"/>
  <c r="A52" i="6"/>
  <c r="M51" i="6"/>
  <c r="O51" i="6" s="1"/>
  <c r="L51" i="6"/>
  <c r="B51" i="6"/>
  <c r="A51" i="6"/>
  <c r="M50" i="6"/>
  <c r="O50" i="6" s="1"/>
  <c r="L50" i="6"/>
  <c r="B50" i="6"/>
  <c r="A50" i="6"/>
  <c r="M49" i="6"/>
  <c r="O49" i="6" s="1"/>
  <c r="L49" i="6"/>
  <c r="B49" i="6"/>
  <c r="A49" i="6"/>
  <c r="M48" i="6"/>
  <c r="O48" i="6" s="1"/>
  <c r="L48" i="6"/>
  <c r="B48" i="6"/>
  <c r="A48" i="6"/>
  <c r="M47" i="6"/>
  <c r="O47" i="6" s="1"/>
  <c r="L47" i="6"/>
  <c r="B47" i="6"/>
  <c r="A47" i="6"/>
  <c r="M46" i="6"/>
  <c r="O46" i="6" s="1"/>
  <c r="L46" i="6"/>
  <c r="B46" i="6"/>
  <c r="A46" i="6"/>
  <c r="M45" i="6"/>
  <c r="O45" i="6" s="1"/>
  <c r="L45" i="6"/>
  <c r="B45" i="6"/>
  <c r="A45" i="6"/>
  <c r="M44" i="6"/>
  <c r="O44" i="6" s="1"/>
  <c r="L44" i="6"/>
  <c r="B44" i="6"/>
  <c r="A44" i="6"/>
  <c r="M43" i="6"/>
  <c r="O43" i="6" s="1"/>
  <c r="L43" i="6"/>
  <c r="B43" i="6"/>
  <c r="A43" i="6"/>
  <c r="O42" i="6"/>
  <c r="M42" i="6"/>
  <c r="L42" i="6"/>
  <c r="B42" i="6"/>
  <c r="A42" i="6"/>
  <c r="M41" i="6"/>
  <c r="O41" i="6" s="1"/>
  <c r="L41" i="6"/>
  <c r="B41" i="6"/>
  <c r="A41" i="6"/>
  <c r="M40" i="6"/>
  <c r="O40" i="6" s="1"/>
  <c r="L40" i="6"/>
  <c r="B40" i="6"/>
  <c r="A40" i="6"/>
  <c r="M39" i="6"/>
  <c r="O39" i="6" s="1"/>
  <c r="L39" i="6"/>
  <c r="B39" i="6"/>
  <c r="A39" i="6"/>
  <c r="O38" i="6"/>
  <c r="M38" i="6"/>
  <c r="L38" i="6"/>
  <c r="B38" i="6"/>
  <c r="A38" i="6"/>
  <c r="M37" i="6"/>
  <c r="O37" i="6" s="1"/>
  <c r="L37" i="6"/>
  <c r="B37" i="6"/>
  <c r="A37" i="6"/>
  <c r="M36" i="6"/>
  <c r="O36" i="6" s="1"/>
  <c r="L36" i="6"/>
  <c r="B36" i="6"/>
  <c r="A36" i="6"/>
  <c r="M35" i="6"/>
  <c r="O35" i="6" s="1"/>
  <c r="L35" i="6"/>
  <c r="B35" i="6"/>
  <c r="A35" i="6"/>
  <c r="M34" i="6"/>
  <c r="O34" i="6" s="1"/>
  <c r="L34" i="6"/>
  <c r="B34" i="6"/>
  <c r="A34" i="6"/>
  <c r="M33" i="6"/>
  <c r="O33" i="6" s="1"/>
  <c r="L33" i="6"/>
  <c r="B33" i="6"/>
  <c r="A33" i="6"/>
  <c r="M32" i="6"/>
  <c r="O32" i="6" s="1"/>
  <c r="L32" i="6"/>
  <c r="B32" i="6"/>
  <c r="A32" i="6"/>
  <c r="M31" i="6"/>
  <c r="O31" i="6" s="1"/>
  <c r="L31" i="6"/>
  <c r="B31" i="6"/>
  <c r="M30" i="6"/>
  <c r="O30" i="6" s="1"/>
  <c r="L30" i="6"/>
  <c r="B30" i="6"/>
  <c r="A30" i="6"/>
  <c r="M29" i="6"/>
  <c r="O29" i="6" s="1"/>
  <c r="L29" i="6"/>
  <c r="B29" i="6"/>
  <c r="A29" i="6"/>
  <c r="M28" i="6"/>
  <c r="O28" i="6" s="1"/>
  <c r="L28" i="6"/>
  <c r="H28" i="6"/>
  <c r="G28" i="6"/>
  <c r="B28" i="6"/>
  <c r="A28" i="6"/>
  <c r="M27" i="6"/>
  <c r="O27" i="6" s="1"/>
  <c r="L27" i="6"/>
  <c r="H27" i="6"/>
  <c r="G27" i="6"/>
  <c r="B27" i="6"/>
  <c r="A27" i="6"/>
  <c r="M26" i="6"/>
  <c r="O26" i="6" s="1"/>
  <c r="L26" i="6"/>
  <c r="H26" i="6"/>
  <c r="G26" i="6"/>
  <c r="B26" i="6"/>
  <c r="A26" i="6"/>
  <c r="M25" i="6"/>
  <c r="O25" i="6" s="1"/>
  <c r="L25" i="6"/>
  <c r="H25" i="6"/>
  <c r="G25" i="6"/>
  <c r="B25" i="6"/>
  <c r="A25" i="6"/>
  <c r="O24" i="6"/>
  <c r="M24" i="6"/>
  <c r="L24" i="6"/>
  <c r="H24" i="6"/>
  <c r="G24" i="6"/>
  <c r="B24" i="6"/>
  <c r="A24" i="6"/>
  <c r="M23" i="6"/>
  <c r="O23" i="6" s="1"/>
  <c r="L23" i="6"/>
  <c r="H23" i="6"/>
  <c r="G23" i="6"/>
  <c r="B23" i="6"/>
  <c r="A23" i="6"/>
  <c r="M22" i="6"/>
  <c r="O22" i="6" s="1"/>
  <c r="L22" i="6"/>
  <c r="H22" i="6"/>
  <c r="G22" i="6"/>
  <c r="B22" i="6"/>
  <c r="A22" i="6"/>
  <c r="M21" i="6"/>
  <c r="O21" i="6" s="1"/>
  <c r="L21" i="6"/>
  <c r="H21" i="6"/>
  <c r="G21" i="6"/>
  <c r="B21" i="6"/>
  <c r="A21" i="6"/>
  <c r="O20" i="6"/>
  <c r="M20" i="6"/>
  <c r="L20" i="6"/>
  <c r="H20" i="6"/>
  <c r="G20" i="6"/>
  <c r="B20" i="6"/>
  <c r="A20" i="6"/>
  <c r="M19" i="6"/>
  <c r="O19" i="6" s="1"/>
  <c r="L19" i="6"/>
  <c r="H19" i="6"/>
  <c r="G19" i="6"/>
  <c r="B19" i="6"/>
  <c r="A19" i="6"/>
  <c r="M18" i="6"/>
  <c r="O18" i="6" s="1"/>
  <c r="L18" i="6"/>
  <c r="H18" i="6"/>
  <c r="G18" i="6"/>
  <c r="B18" i="6"/>
  <c r="A18" i="6"/>
  <c r="O17" i="6"/>
  <c r="M17" i="6"/>
  <c r="L17" i="6"/>
  <c r="H17" i="6"/>
  <c r="G17" i="6"/>
  <c r="B17" i="6"/>
  <c r="A17" i="6"/>
  <c r="M16" i="6"/>
  <c r="O16" i="6" s="1"/>
  <c r="L16" i="6"/>
  <c r="H16" i="6"/>
  <c r="G16" i="6"/>
  <c r="B16" i="6"/>
  <c r="A16" i="6"/>
  <c r="O15" i="6"/>
  <c r="M15" i="6"/>
  <c r="L15" i="6"/>
  <c r="H15" i="6"/>
  <c r="G15" i="6"/>
  <c r="B15" i="6"/>
  <c r="A15" i="6"/>
  <c r="O86" i="6" l="1"/>
  <c r="C5" i="7" s="1"/>
  <c r="D5" i="7" s="1"/>
  <c r="E5" i="7" s="1"/>
  <c r="O87" i="6"/>
  <c r="O88" i="6" s="1"/>
  <c r="O80" i="5" l="1"/>
  <c r="M79" i="5"/>
  <c r="O79" i="5" s="1"/>
  <c r="L79" i="5"/>
  <c r="B79" i="5"/>
  <c r="M78" i="5"/>
  <c r="O78" i="5" s="1"/>
  <c r="L78" i="5"/>
  <c r="B78" i="5"/>
  <c r="M77" i="5"/>
  <c r="O77" i="5" s="1"/>
  <c r="L77" i="5"/>
  <c r="B77" i="5"/>
  <c r="M76" i="5"/>
  <c r="O76" i="5" s="1"/>
  <c r="L76" i="5"/>
  <c r="B76" i="5"/>
  <c r="M75" i="5"/>
  <c r="O75" i="5" s="1"/>
  <c r="L75" i="5"/>
  <c r="B75" i="5"/>
  <c r="M74" i="5"/>
  <c r="O74" i="5" s="1"/>
  <c r="L74" i="5"/>
  <c r="B74" i="5"/>
  <c r="M73" i="5"/>
  <c r="O73" i="5" s="1"/>
  <c r="L73" i="5"/>
  <c r="B73" i="5"/>
  <c r="M72" i="5"/>
  <c r="O72" i="5" s="1"/>
  <c r="L72" i="5"/>
  <c r="B72" i="5"/>
  <c r="M71" i="5"/>
  <c r="O71" i="5" s="1"/>
  <c r="L71" i="5"/>
  <c r="B71" i="5"/>
  <c r="M70" i="5"/>
  <c r="O70" i="5" s="1"/>
  <c r="L70" i="5"/>
  <c r="B70" i="5"/>
  <c r="A70" i="5"/>
  <c r="M69" i="5"/>
  <c r="O69" i="5" s="1"/>
  <c r="L69" i="5"/>
  <c r="B69" i="5"/>
  <c r="A69" i="5"/>
  <c r="M68" i="5"/>
  <c r="O68" i="5" s="1"/>
  <c r="L68" i="5"/>
  <c r="H68" i="5"/>
  <c r="G68" i="5"/>
  <c r="B68" i="5"/>
  <c r="A68" i="5"/>
  <c r="M67" i="5"/>
  <c r="O67" i="5" s="1"/>
  <c r="L67" i="5"/>
  <c r="H67" i="5"/>
  <c r="G67" i="5"/>
  <c r="B67" i="5"/>
  <c r="A67" i="5"/>
  <c r="O66" i="5"/>
  <c r="M66" i="5"/>
  <c r="L66" i="5"/>
  <c r="H66" i="5"/>
  <c r="G66" i="5"/>
  <c r="B66" i="5"/>
  <c r="A66" i="5"/>
  <c r="O65" i="5"/>
  <c r="M65" i="5"/>
  <c r="L65" i="5"/>
  <c r="H65" i="5"/>
  <c r="G65" i="5"/>
  <c r="B65" i="5"/>
  <c r="A65" i="5"/>
  <c r="M64" i="5"/>
  <c r="O64" i="5" s="1"/>
  <c r="L64" i="5"/>
  <c r="B64" i="5"/>
  <c r="A64" i="5"/>
  <c r="M63" i="5"/>
  <c r="O63" i="5" s="1"/>
  <c r="L63" i="5"/>
  <c r="B63" i="5"/>
  <c r="A63" i="5"/>
  <c r="M62" i="5"/>
  <c r="O62" i="5" s="1"/>
  <c r="L62" i="5"/>
  <c r="B62" i="5"/>
  <c r="A62" i="5"/>
  <c r="M61" i="5"/>
  <c r="O61" i="5" s="1"/>
  <c r="L61" i="5"/>
  <c r="B61" i="5"/>
  <c r="A61" i="5"/>
  <c r="M60" i="5"/>
  <c r="O60" i="5" s="1"/>
  <c r="L60" i="5"/>
  <c r="B60" i="5"/>
  <c r="M59" i="5"/>
  <c r="O59" i="5" s="1"/>
  <c r="L59" i="5"/>
  <c r="B59" i="5"/>
  <c r="A59" i="5"/>
  <c r="M58" i="5"/>
  <c r="O58" i="5" s="1"/>
  <c r="L58" i="5"/>
  <c r="B58" i="5"/>
  <c r="A58" i="5"/>
  <c r="M57" i="5"/>
  <c r="O57" i="5" s="1"/>
  <c r="L57" i="5"/>
  <c r="B57" i="5"/>
  <c r="A57" i="5"/>
  <c r="M56" i="5"/>
  <c r="O56" i="5" s="1"/>
  <c r="L56" i="5"/>
  <c r="B56" i="5"/>
  <c r="A56" i="5"/>
  <c r="M55" i="5"/>
  <c r="O55" i="5" s="1"/>
  <c r="L55" i="5"/>
  <c r="B55" i="5"/>
  <c r="A55" i="5"/>
  <c r="O54" i="5"/>
  <c r="M54" i="5"/>
  <c r="L54" i="5"/>
  <c r="B54" i="5"/>
  <c r="A54" i="5"/>
  <c r="M53" i="5"/>
  <c r="O53" i="5" s="1"/>
  <c r="L53" i="5"/>
  <c r="B53" i="5"/>
  <c r="A53" i="5"/>
  <c r="M52" i="5"/>
  <c r="O52" i="5" s="1"/>
  <c r="L52" i="5"/>
  <c r="B52" i="5"/>
  <c r="A52" i="5"/>
  <c r="M51" i="5"/>
  <c r="O51" i="5" s="1"/>
  <c r="L51" i="5"/>
  <c r="B51" i="5"/>
  <c r="A51" i="5"/>
  <c r="O50" i="5"/>
  <c r="M50" i="5"/>
  <c r="L50" i="5"/>
  <c r="B50" i="5"/>
  <c r="A50" i="5"/>
  <c r="M49" i="5"/>
  <c r="O49" i="5" s="1"/>
  <c r="L49" i="5"/>
  <c r="B49" i="5"/>
  <c r="A49" i="5"/>
  <c r="M48" i="5"/>
  <c r="O48" i="5" s="1"/>
  <c r="L48" i="5"/>
  <c r="B48" i="5"/>
  <c r="A48" i="5"/>
  <c r="M47" i="5"/>
  <c r="O47" i="5" s="1"/>
  <c r="L47" i="5"/>
  <c r="B47" i="5"/>
  <c r="A47" i="5"/>
  <c r="O46" i="5"/>
  <c r="M46" i="5"/>
  <c r="L46" i="5"/>
  <c r="B46" i="5"/>
  <c r="A46" i="5"/>
  <c r="M45" i="5"/>
  <c r="O45" i="5" s="1"/>
  <c r="L45" i="5"/>
  <c r="B45" i="5"/>
  <c r="A45" i="5"/>
  <c r="M44" i="5"/>
  <c r="O44" i="5" s="1"/>
  <c r="L44" i="5"/>
  <c r="B44" i="5"/>
  <c r="A44" i="5"/>
  <c r="M43" i="5"/>
  <c r="O43" i="5" s="1"/>
  <c r="L43" i="5"/>
  <c r="B43" i="5"/>
  <c r="A43" i="5"/>
  <c r="M42" i="5"/>
  <c r="O42" i="5" s="1"/>
  <c r="L42" i="5"/>
  <c r="B42" i="5"/>
  <c r="A42" i="5"/>
  <c r="M41" i="5"/>
  <c r="O41" i="5" s="1"/>
  <c r="L41" i="5"/>
  <c r="B41" i="5"/>
  <c r="A41" i="5"/>
  <c r="O40" i="5"/>
  <c r="M40" i="5"/>
  <c r="L40" i="5"/>
  <c r="B40" i="5"/>
  <c r="A40" i="5"/>
  <c r="M39" i="5"/>
  <c r="O39" i="5" s="1"/>
  <c r="L39" i="5"/>
  <c r="B39" i="5"/>
  <c r="A39" i="5"/>
  <c r="M38" i="5"/>
  <c r="O38" i="5" s="1"/>
  <c r="L38" i="5"/>
  <c r="B38" i="5"/>
  <c r="A38" i="5"/>
  <c r="M37" i="5"/>
  <c r="O37" i="5" s="1"/>
  <c r="L37" i="5"/>
  <c r="B37" i="5"/>
  <c r="A37" i="5"/>
  <c r="M36" i="5"/>
  <c r="O36" i="5" s="1"/>
  <c r="L36" i="5"/>
  <c r="B36" i="5"/>
  <c r="A36" i="5"/>
  <c r="M35" i="5"/>
  <c r="O35" i="5" s="1"/>
  <c r="L35" i="5"/>
  <c r="B35" i="5"/>
  <c r="A35" i="5"/>
  <c r="O34" i="5"/>
  <c r="M34" i="5"/>
  <c r="L34" i="5"/>
  <c r="B34" i="5"/>
  <c r="A34" i="5"/>
  <c r="M33" i="5"/>
  <c r="O33" i="5" s="1"/>
  <c r="L33" i="5"/>
  <c r="B33" i="5"/>
  <c r="A33" i="5"/>
  <c r="O32" i="5"/>
  <c r="M32" i="5"/>
  <c r="L32" i="5"/>
  <c r="B32" i="5"/>
  <c r="A32" i="5"/>
  <c r="M31" i="5"/>
  <c r="O31" i="5" s="1"/>
  <c r="L31" i="5"/>
  <c r="B31" i="5"/>
  <c r="M30" i="5"/>
  <c r="O30" i="5" s="1"/>
  <c r="L30" i="5"/>
  <c r="B30" i="5"/>
  <c r="A30" i="5"/>
  <c r="O29" i="5"/>
  <c r="M29" i="5"/>
  <c r="L29" i="5"/>
  <c r="B29" i="5"/>
  <c r="A29" i="5"/>
  <c r="M28" i="5"/>
  <c r="O28" i="5" s="1"/>
  <c r="L28" i="5"/>
  <c r="H28" i="5"/>
  <c r="G28" i="5"/>
  <c r="B28" i="5"/>
  <c r="A28" i="5"/>
  <c r="O27" i="5"/>
  <c r="M27" i="5"/>
  <c r="L27" i="5"/>
  <c r="H27" i="5"/>
  <c r="G27" i="5"/>
  <c r="B27" i="5"/>
  <c r="A27" i="5"/>
  <c r="M26" i="5"/>
  <c r="O26" i="5" s="1"/>
  <c r="L26" i="5"/>
  <c r="H26" i="5"/>
  <c r="G26" i="5"/>
  <c r="B26" i="5"/>
  <c r="A26" i="5"/>
  <c r="O25" i="5"/>
  <c r="M25" i="5"/>
  <c r="L25" i="5"/>
  <c r="H25" i="5"/>
  <c r="G25" i="5"/>
  <c r="B25" i="5"/>
  <c r="A25" i="5"/>
  <c r="M24" i="5"/>
  <c r="O24" i="5" s="1"/>
  <c r="L24" i="5"/>
  <c r="H24" i="5"/>
  <c r="G24" i="5"/>
  <c r="B24" i="5"/>
  <c r="A24" i="5"/>
  <c r="M23" i="5"/>
  <c r="O23" i="5" s="1"/>
  <c r="L23" i="5"/>
  <c r="H23" i="5"/>
  <c r="G23" i="5"/>
  <c r="B23" i="5"/>
  <c r="A23" i="5"/>
  <c r="M22" i="5"/>
  <c r="O22" i="5" s="1"/>
  <c r="L22" i="5"/>
  <c r="H22" i="5"/>
  <c r="G22" i="5"/>
  <c r="B22" i="5"/>
  <c r="A22" i="5"/>
  <c r="O21" i="5"/>
  <c r="M21" i="5"/>
  <c r="L21" i="5"/>
  <c r="H21" i="5"/>
  <c r="G21" i="5"/>
  <c r="B21" i="5"/>
  <c r="A21" i="5"/>
  <c r="M20" i="5"/>
  <c r="O20" i="5" s="1"/>
  <c r="L20" i="5"/>
  <c r="H20" i="5"/>
  <c r="G20" i="5"/>
  <c r="B20" i="5"/>
  <c r="A20" i="5"/>
  <c r="M19" i="5"/>
  <c r="O19" i="5" s="1"/>
  <c r="L19" i="5"/>
  <c r="H19" i="5"/>
  <c r="G19" i="5"/>
  <c r="B19" i="5"/>
  <c r="A19" i="5"/>
  <c r="M18" i="5"/>
  <c r="O18" i="5" s="1"/>
  <c r="L18" i="5"/>
  <c r="H18" i="5"/>
  <c r="G18" i="5"/>
  <c r="B18" i="5"/>
  <c r="A18" i="5"/>
  <c r="M17" i="5"/>
  <c r="O17" i="5" s="1"/>
  <c r="L17" i="5"/>
  <c r="H17" i="5"/>
  <c r="G17" i="5"/>
  <c r="B17" i="5"/>
  <c r="A17" i="5"/>
  <c r="M16" i="5"/>
  <c r="O16" i="5" s="1"/>
  <c r="L16" i="5"/>
  <c r="H16" i="5"/>
  <c r="G16" i="5"/>
  <c r="B16" i="5"/>
  <c r="A16" i="5"/>
  <c r="O15" i="5"/>
  <c r="M15" i="5"/>
  <c r="L15" i="5"/>
  <c r="H15" i="5"/>
  <c r="G15" i="5"/>
  <c r="B15" i="5"/>
  <c r="A15" i="5"/>
  <c r="O82" i="5" l="1"/>
  <c r="C4" i="7" s="1"/>
  <c r="D4" i="7" s="1"/>
  <c r="E4" i="7" s="1"/>
  <c r="O83" i="5" l="1"/>
  <c r="O84" i="5" s="1"/>
  <c r="O22" i="4" l="1"/>
  <c r="O66" i="4"/>
  <c r="O65" i="4"/>
  <c r="O64" i="4"/>
  <c r="O63" i="4"/>
  <c r="O62" i="4"/>
  <c r="O61" i="4"/>
  <c r="O60" i="4"/>
  <c r="O59" i="4"/>
  <c r="O58" i="4"/>
  <c r="O57" i="4"/>
  <c r="O56" i="4"/>
  <c r="O55" i="4"/>
  <c r="O54" i="4"/>
  <c r="H54" i="4"/>
  <c r="G54" i="4"/>
  <c r="O53" i="4"/>
  <c r="O52" i="4"/>
  <c r="O51" i="4"/>
  <c r="O50" i="4"/>
  <c r="O49" i="4"/>
  <c r="O48" i="4"/>
  <c r="O47" i="4"/>
  <c r="O46" i="4"/>
  <c r="O45" i="4"/>
  <c r="O44" i="4"/>
  <c r="O43" i="4"/>
  <c r="O42" i="4"/>
  <c r="O41" i="4"/>
  <c r="O40" i="4"/>
  <c r="O39" i="4"/>
  <c r="O38" i="4"/>
  <c r="O37" i="4"/>
  <c r="O36" i="4"/>
  <c r="O35" i="4"/>
  <c r="O34" i="4"/>
  <c r="O33" i="4"/>
  <c r="O32" i="4"/>
  <c r="O31" i="4"/>
  <c r="O30" i="4"/>
  <c r="O29" i="4"/>
  <c r="O28" i="4"/>
  <c r="O27" i="4"/>
  <c r="O26" i="4"/>
  <c r="O25" i="4"/>
  <c r="O24" i="4"/>
  <c r="O23" i="4"/>
  <c r="O21" i="4"/>
  <c r="O20" i="4"/>
  <c r="H20" i="4"/>
  <c r="G20" i="4"/>
  <c r="O19" i="4"/>
  <c r="O18" i="4"/>
  <c r="O17" i="4"/>
  <c r="O16" i="4"/>
  <c r="H16" i="4"/>
  <c r="G16" i="4"/>
  <c r="O15" i="4"/>
  <c r="O69" i="4" l="1"/>
  <c r="O70" i="4" l="1"/>
  <c r="O71" i="4" s="1"/>
  <c r="C3" i="7"/>
  <c r="D3" i="7" s="1"/>
  <c r="E3" i="7" s="1"/>
  <c r="O71" i="3"/>
  <c r="A71" i="3"/>
  <c r="O70" i="3"/>
  <c r="A70" i="3"/>
  <c r="O69" i="3"/>
  <c r="A69" i="3"/>
  <c r="O68" i="3"/>
  <c r="A68" i="3"/>
  <c r="O67" i="3"/>
  <c r="A67" i="3"/>
  <c r="O66" i="3"/>
  <c r="A66" i="3"/>
  <c r="O65" i="3"/>
  <c r="A65" i="3"/>
  <c r="O64" i="3"/>
  <c r="A64" i="3"/>
  <c r="O63" i="3"/>
  <c r="A63" i="3"/>
  <c r="O62" i="3"/>
  <c r="A62" i="3"/>
  <c r="O61" i="3"/>
  <c r="A61" i="3"/>
  <c r="O60" i="3"/>
  <c r="O59" i="3"/>
  <c r="A59" i="3"/>
  <c r="O58" i="3"/>
  <c r="A58" i="3"/>
  <c r="O57" i="3"/>
  <c r="A57" i="3"/>
  <c r="O56" i="3"/>
  <c r="A56" i="3"/>
  <c r="O55" i="3"/>
  <c r="A55" i="3"/>
  <c r="O54" i="3"/>
  <c r="A54" i="3"/>
  <c r="O53" i="3"/>
  <c r="A53" i="3"/>
  <c r="O52" i="3"/>
  <c r="A52" i="3"/>
  <c r="O51" i="3"/>
  <c r="A51" i="3"/>
  <c r="O50" i="3"/>
  <c r="A50" i="3"/>
  <c r="O49" i="3"/>
  <c r="A49" i="3"/>
  <c r="O48" i="3"/>
  <c r="A48" i="3"/>
  <c r="O47" i="3"/>
  <c r="A47" i="3"/>
  <c r="O46" i="3"/>
  <c r="A46" i="3"/>
  <c r="O45" i="3"/>
  <c r="A45" i="3"/>
  <c r="O44" i="3"/>
  <c r="A44" i="3"/>
  <c r="O43" i="3"/>
  <c r="A43" i="3"/>
  <c r="O42" i="3"/>
  <c r="A42" i="3"/>
  <c r="O41" i="3"/>
  <c r="A41" i="3"/>
  <c r="O40" i="3"/>
  <c r="A40" i="3"/>
  <c r="O39" i="3"/>
  <c r="A39" i="3"/>
  <c r="O38" i="3"/>
  <c r="A38" i="3"/>
  <c r="O37" i="3"/>
  <c r="A37" i="3"/>
  <c r="O36" i="3"/>
  <c r="A36" i="3"/>
  <c r="O35" i="3"/>
  <c r="A35" i="3"/>
  <c r="O34" i="3"/>
  <c r="A34" i="3"/>
  <c r="O33" i="3"/>
  <c r="A33" i="3"/>
  <c r="O32" i="3"/>
  <c r="A32" i="3"/>
  <c r="O31" i="3"/>
  <c r="H31" i="3"/>
  <c r="G31" i="3"/>
  <c r="O30" i="3"/>
  <c r="H30" i="3"/>
  <c r="G30" i="3"/>
  <c r="A30" i="3"/>
  <c r="O29" i="3"/>
  <c r="H29" i="3"/>
  <c r="G29" i="3"/>
  <c r="A29" i="3"/>
  <c r="O28" i="3"/>
  <c r="H28" i="3"/>
  <c r="G28" i="3"/>
  <c r="A28" i="3"/>
  <c r="O27" i="3"/>
  <c r="H27" i="3"/>
  <c r="G27" i="3"/>
  <c r="A27" i="3"/>
  <c r="O26" i="3"/>
  <c r="H26" i="3"/>
  <c r="G26" i="3"/>
  <c r="A26" i="3"/>
  <c r="O25" i="3"/>
  <c r="H25" i="3"/>
  <c r="G25" i="3"/>
  <c r="A25" i="3"/>
  <c r="O24" i="3"/>
  <c r="H24" i="3"/>
  <c r="G24" i="3"/>
  <c r="A24" i="3"/>
  <c r="O23" i="3"/>
  <c r="H23" i="3"/>
  <c r="G23" i="3"/>
  <c r="A23" i="3"/>
  <c r="O22" i="3"/>
  <c r="H22" i="3"/>
  <c r="G22" i="3"/>
  <c r="A22" i="3"/>
  <c r="O21" i="3"/>
  <c r="H21" i="3"/>
  <c r="G21" i="3"/>
  <c r="A21" i="3"/>
  <c r="O20" i="3"/>
  <c r="H20" i="3"/>
  <c r="G20" i="3"/>
  <c r="A20" i="3"/>
  <c r="O19" i="3"/>
  <c r="H19" i="3"/>
  <c r="G19" i="3"/>
  <c r="A19" i="3"/>
  <c r="O18" i="3"/>
  <c r="H18" i="3"/>
  <c r="G18" i="3"/>
  <c r="A18" i="3"/>
  <c r="O17" i="3"/>
  <c r="H17" i="3"/>
  <c r="G17" i="3"/>
  <c r="A17" i="3"/>
  <c r="O16" i="3"/>
  <c r="H16" i="3"/>
  <c r="G16" i="3"/>
  <c r="A16" i="3"/>
  <c r="A15" i="3"/>
  <c r="O73" i="3" l="1"/>
  <c r="C2" i="7" s="1"/>
  <c r="C6" i="7" l="1"/>
  <c r="D2" i="7"/>
  <c r="O74" i="3"/>
  <c r="O75" i="3" s="1"/>
  <c r="E2" i="7" l="1"/>
  <c r="E6" i="7" s="1"/>
  <c r="D6" i="7"/>
</calcChain>
</file>

<file path=xl/sharedStrings.xml><?xml version="1.0" encoding="utf-8"?>
<sst xmlns="http://schemas.openxmlformats.org/spreadsheetml/2006/main" count="959" uniqueCount="207">
  <si>
    <t>Địa chỉ :</t>
  </si>
  <si>
    <t>Số điện thoại :</t>
  </si>
  <si>
    <t>Thương hiệu</t>
  </si>
  <si>
    <t/>
  </si>
  <si>
    <t>棟強排煙系統 Hút khói sự cố</t>
  </si>
  <si>
    <t>WL</t>
  </si>
  <si>
    <t>百叶风口  Cửa Louver KT 4500x1000
尺寸50x50箱钢门框、Z形条系，75mm宽铝合金，各条均匀间隔 40mm，同步配件，浅灰色面漆
khung cửa thép hộp KT50x50, hệ nan chữ Z hợp kim nhôm rộng 75mm, các nan cách đều 40mm, phụ kiện đồng bộ, sơn dầu hoàn thiện màu xám nhạt</t>
  </si>
  <si>
    <t>個
Cái</t>
  </si>
  <si>
    <t>百叶风口  Cửa Louver KT 4000x1500
尺寸50x50箱钢门框、Z形条系，75mm宽铝合金，各条均匀间隔 40mm，同步配件，浅灰色面漆
khung cửa thép hộp KT50x50, hệ nan chữ Z hợp kim nhôm rộng 75mm, các nan cách đều 40mm, phụ kiện đồng bộ, sơn dầu hoàn thiện màu xám nhạt</t>
  </si>
  <si>
    <t>百叶风口  Cửa Louver KT 4000x1000
尺寸50x50箱钢门框、Z形条系，75mm宽铝合金，各条均匀间隔 40mm，同步配件，浅灰色面漆
khung cửa thép hộp KT50x50, hệ nan chữ Z hợp kim nhôm rộng 75mm, các nan cách đều 40mm, phụ kiện đồng bộ, sơn dầu hoàn thiện màu xám nhạt</t>
  </si>
  <si>
    <t>百叶风口  Cửa Louver KT 3500x500
尺寸50x50箱钢门框、Z形条系，75mm宽铝合金，各条均匀间隔 40mm，同步配件，浅灰色面漆
khung cửa thép hộp KT50x50, hệ nan chữ Z hợp kim nhôm rộng 75mm, các nan cách đều 40mm, phụ kiện đồng bộ, sơn dầu hoàn thiện màu xám nhạt</t>
  </si>
  <si>
    <t>百叶风口  Cửa Louver KT 3000x2000
尺寸50x50箱钢门框、Z形条系，75mm宽铝合金，各条均匀间隔 40mm，同步配件，浅灰色面漆
khung cửa thép hộp KT50x50, hệ nan chữ Z hợp kim nhôm rộng 75mm, các nan cách đều 40mm, phụ kiện đồng bộ, sơn dầu hoàn thiện màu xám nhạt</t>
  </si>
  <si>
    <t>百叶风口  Cửa Louver KT 2400x1600
尺寸50x50箱钢门框、Z形条系，75mm宽铝合金，各条均匀间隔 40mm，同步配件，浅灰色面漆
khung cửa thép hộp KT50x50, hệ nan chữ Z hợp kim nhôm rộng 75mm, các nan cách đều 40mm, phụ kiện đồng bộ, sơn dầu hoàn thiện màu xám nhạt</t>
  </si>
  <si>
    <t>百叶风口  Cửa Louver KT 2000x1300
尺寸50x50箱钢门框、Z形条系，75mm宽铝合金，各条均匀间隔 40mm，同步配件，浅灰色面漆
khung cửa thép hộp KT50x50, hệ nan chữ Z hợp kim nhôm rộng 75mm, các nan cách đều 40mm, phụ kiện đồng bộ, sơn dầu hoàn thiện màu xám nhạt</t>
  </si>
  <si>
    <t>百叶风口  Cửa Louver KT 2000x1000
尺寸50x50箱钢门框、Z形条系，75mm宽铝合金，各条均匀间隔 40mm，同步配件，浅灰色面漆
khung cửa thép hộp KT50x50, hệ nan chữ Z hợp kim nhôm rộng 75mm, các nan cách đều 40mm, phụ kiện đồng bộ, sơn dầu hoàn thiện màu xám nhạt</t>
  </si>
  <si>
    <t>百叶风口  Cửa Louver KT 2000x800
尺寸50x50箱钢门框、Z形条系，75mm宽铝合金，各条均匀间隔 40mm，同步配件，浅灰色面漆
khung cửa thép hộp KT50x50, hệ nan chữ Z hợp kim nhôm rộng 75mm, các nan cách đều 40mm, phụ kiện đồng bộ, sơn dầu hoàn thiện màu xám nhạt</t>
  </si>
  <si>
    <t>百叶风口  Cửa Louver KT 1500x1500
尺寸50x50箱钢门框、Z形条系，75mm宽铝合金，各条均匀间隔 40mm，同步配件，浅灰色面漆
khung cửa thép hộp KT50x50, hệ nan chữ Z hợp kim nhôm rộng 75mm, các nan cách đều 40mm, phụ kiện đồng bộ, sơn dầu hoàn thiện màu xám nhạt</t>
  </si>
  <si>
    <t>百叶风口  Cửa Louver KT 1000x1500
尺寸50x50箱钢门框、Z形条系，75mm宽铝合金，各条均匀间隔 40mm，同步配件，浅灰色面漆
khung cửa thép hộp KT50x50, hệ nan chữ Z hợp kim nhôm rộng 75mm, các nan cách đều 40mm, phụ kiện đồng bộ, sơn dầu hoàn thiện màu xám nhạt</t>
  </si>
  <si>
    <t>百叶风口  Cửa Louver KT 1200x1000
尺寸50x50箱钢门框、Z形条系，75mm宽铝合金，各条均匀间隔 40mm，同步配件，浅灰色面漆
khung cửa thép hộp KT50x50, hệ nan chữ Z hợp kim nhôm rộng 75mm, các nan cách đều 40mm, phụ kiện đồng bộ, sơn dầu hoàn thiện màu xám nhạt</t>
  </si>
  <si>
    <t>百叶风口  Cửa Louver KT 1000x1000
尺寸50x50箱钢门框、Z形条系，75mm宽铝合金，各条均匀间隔 40mm，同步配件，浅灰色面漆
khung cửa thép hộp KT50x50, hệ nan chữ Z hợp kim nhôm rộng 75mm, các nan cách đều 40mm, phụ kiện đồng bộ, sơn dầu hoàn thiện màu xám nhạt</t>
  </si>
  <si>
    <t>百叶风口  Cửa Louver KT 800x1500
尺寸50x50箱钢门框、Z形条系，75mm宽铝合金，各条均匀间隔 40mm，同步配件，浅灰色面漆
khung cửa thép hộp KT50x50, hệ nan chữ Z hợp kim nhôm rộng 75mm, các nan cách đều 40mm, phụ kiện đồng bộ, sơn dầu hoàn thiện màu xám nhạt</t>
  </si>
  <si>
    <t>SDG</t>
  </si>
  <si>
    <t>風門含SEG 1200x600+OBD 流量調節閥含配件及安裝Cửa gió kèm van điều chỉnh lưu lượng SEG 1200x600+OBD Bao gồm nhân công phụ kiện lắp đặt</t>
  </si>
  <si>
    <t>風門含SEG 600x600+OBD 流量調節閥含配件及安裝Cửa gió kèm van điều chỉnh lưu lượng SEG 600x600+OBD Bao gồm nhân công phụ kiện lắp đặt</t>
  </si>
  <si>
    <t>Ống chữ nhật</t>
  </si>
  <si>
    <t xml:space="preserve">空調鍍鋅鐵皮排風管 1400x700mm, δ=1.15mm 含製作及安裝
Ống thoát gió bằng tôn mạ kẽm 1400x700mm , δ=1.15mm bao gồm gia công chế tạo và lắp đặt. </t>
  </si>
  <si>
    <t>m2</t>
  </si>
  <si>
    <t xml:space="preserve">空調鍍鋅鐵皮排風管 1000x350mm, δ=1.15mm 含製作及安裝
Ống thoát gió bằng tôn mạ kẽm 1000x350mm , δ=1.15mm bao gồm gia công chế tạo và lắp đặt. </t>
  </si>
  <si>
    <t>空調鍍鋅鐵皮排風管1200x400mm EI45, 含製作及安裝 （含越南消防及救護-救難警察局檢定費用）
Ống thoát gió bằng tôn mạ kẽm 1200x400mm, EI45, bao gồm gia công chế tạo và lắp đặt. （Bao gồm chi phí kiểm định của cục cảnh sát pccc &amp; CNCH Việt Nam)</t>
  </si>
  <si>
    <t>空調鍍鋅鐵皮排風管1600x400mm EI45, 含製作及安裝 （含越南消防及救護-救難警察局檢定費用）
Ống thoát gió bằng tôn mạ kẽm 1600x400mm, EI45,  bao gồm gia công chế tạo và lắp đặt. （Bao gồm chi phí kiểm định của cục cảnh sát pccc &amp; CNCH Việt Nam)</t>
  </si>
  <si>
    <t>空調鍍鋅鐵皮排風管1800x400mm EI45,  含製作及安裝 （含越南消防及救護-救難警察局檢定費用）
Ống thoát gió bằng tôn mạ kẽm 1800x400mm, EI45,  bao gồm gia công chế tạo và lắp đặt. （Bao gồm chi phí kiểm định của cục cảnh sát pccc &amp; CNCH Việt Nam)</t>
  </si>
  <si>
    <t>空調鍍鋅鐵皮排風管2000x400mm EI45,  含製作及安裝 （含越南消防及救護-救難警察局檢定費用）
Ống thoát gió bằng tôn mạ kẽm 2000x400mm, EI45, bao gồm gia công chế tạo và lắp đặt. （Bao gồm chi phí kiểm định của cục cảnh sát pccc &amp; CNCH Việt Nam)</t>
  </si>
  <si>
    <t>空調鍍鋅鐵皮排風管2000x400mm EI120,  含製作及安裝 （含越南消防及救護-救難警察局檢定費用）
Ống thoát gió bằng tôn mạ kẽm 2000x400mm, EI120, bao gồm gia công chế tạo và lắp đặt. （Bao gồm chi phí kiểm định của cục cảnh sát pccc &amp; CNCH Việt Nam)</t>
  </si>
  <si>
    <t>空調鍍鋅鐵皮排風管700x350mm EI30,  含製作及安裝 （含越南消防及救護-救難警察局檢定費用）
Ống thoát gió bằng tôn mạ kẽm 700x350mm, EI30,bao gồm gia công chế tạo và lắp đặt. （Bao gồm chi phí kiểm định của cục cảnh sát pccc &amp; CNCH Việt Nam)</t>
  </si>
  <si>
    <t>空調鍍鋅鐵皮排風管1000x350mm EI30, 含製作及安裝 （含越南消防及救護-救難警察局檢定費用）
Ống thoát gió bằng tôn mạ kẽm 1000x350mm, EI30,  bao gồm gia công chế tạo và lắp đặt. （Bao gồm chi phí kiểm định của cục cảnh sát pccc &amp; CNCH Việt Nam)</t>
  </si>
  <si>
    <t>大小頭、彎頭、三通等連接配件，含安裝Phụ kiện kết nối côn, cút, tê…. bao gồm lắp đặt</t>
  </si>
  <si>
    <t>Khoản
式</t>
  </si>
  <si>
    <t>MFD - EI</t>
  </si>
  <si>
    <t>MFD單葉閥2000x400 ，on/off DC 24v電動機, EI45
Van MFD 1 lá 2000x400, động cơ điện on/off DC 24v, EI45</t>
  </si>
  <si>
    <t>Cái
個</t>
  </si>
  <si>
    <t>MFD單葉閥1800x400 ，on/off DC 24v電動機, EI45
Van MFD 1 lá 1800x400, động cơ điện on/off DC 24v, EI45</t>
  </si>
  <si>
    <t>MFD單葉閥1000x350 ，on/off DC 24v電動機, EI45
Van MFD 1 lá 1000x350, động cơ điện on/off DC 24v, EI45</t>
  </si>
  <si>
    <t>MD</t>
  </si>
  <si>
    <t>MD單葉閥4500x1000 ，on/off DC 24v電動機
Van MD 1 lá 4500x1000, động cơ điện on/off DC 24v</t>
  </si>
  <si>
    <t>MD單葉閥4000x2000 ，on/off DC 24v電動機
Van MD 1 lá 4000x2000, động cơ điện on/off DC 24v</t>
  </si>
  <si>
    <t>MD單葉閥4000x1500 ，on/off DC 24v電動機
Van MD 1 lá 4000x1500, động cơ điện on/off DC 24v</t>
  </si>
  <si>
    <t>MD單葉閥4000x1000 ，on/off DC 24v電動機
Van MD 1 lá 4000x1000, động cơ điện on/off DC 24v</t>
  </si>
  <si>
    <t>MD單葉閥3500x500 ，on/off DC 24v電動機
Van MD 1 lá 3500x500, động cơ điện on/off DC 24v</t>
  </si>
  <si>
    <t>MD單葉閥2000x1000 ，on/off DC 24v電動機
Van MD 1 lá 2000x1000, động cơ điện on/off DC 24v</t>
  </si>
  <si>
    <t>MD單葉閥2000x800 ，on/off DC 24v電動機
Van MD 1 lá 2000x800, động cơ điện on/off DC 24v</t>
  </si>
  <si>
    <t>MD單葉閥1500x1500 ，on/off DC 24v電動機
Van MD 1 lá 1500x1500, động cơ điện on/off DC 24v</t>
  </si>
  <si>
    <t>MD單葉閥1200x1000 ，on/off DC 24v電動機
Van MD 1 lá 1200x1000, động cơ điện on/off DC 24v</t>
  </si>
  <si>
    <t>MD單葉閥1000x1000 ，on/off DC 24v電動機
Van MD 1 lá 1000x1000, động cơ điện on/off DC 24v</t>
  </si>
  <si>
    <t>MD單葉閥800x1500 ，on/off DC 24v電動機
Van MD 1 lá 800x1500, động cơ điện on/off DC 24v</t>
  </si>
  <si>
    <t>MD單葉閥2600x1000 ，on/off DC 24v電動機
Van MD 1 lá 2600x1000, động cơ điện on/off DC 24v</t>
  </si>
  <si>
    <t>MD單葉閥2000x1300 ，on/off DC 24v電動機
Van MD 1 lá 2000x1300, động cơ điện on/off DC 24v</t>
  </si>
  <si>
    <t>MD單葉閥1000x1500 ，on/off DC 24v電動機
Van MD 1 lá 1000x1500, động cơ điện on/off DC 24v</t>
  </si>
  <si>
    <t>NRD</t>
  </si>
  <si>
    <t>1800×1000止回阀安装 Van 1 chiều 1800x1000</t>
  </si>
  <si>
    <t>1400×500止回阀安装 Van 1 chiều 1400x500</t>
  </si>
  <si>
    <t>Cửa gió louver thải khói + lưới chắn côn trùng 1800x1000
louver風門排煙+擋昆蟲網1800x1000</t>
  </si>
  <si>
    <t>Cửa gió louver thải khói + lưới chắn côn trùng 1000x500
louver風門排煙+擋昆蟲網1000x500</t>
  </si>
  <si>
    <t>Côn VT</t>
  </si>
  <si>
    <t>Côn thu đầu quạt 1400x700/DQ-L800. Bao gồm nhân công lắp đặt, phụ kiện bích nối, zoăng làm kín, kẹp C, bulong+ốc+long đen
 1400x700/DQ-L800抽煙機頭變徑。含安裝及鏈接法蘭、墊圈、C夾、螺栓螺絲等</t>
  </si>
  <si>
    <t>Côn thu đầu quạt 1000x350/DQ. Bao gồm nhân công lắp đặt, phụ kiện bích nối, zoăng làm kín, kẹp C, bulong+ốc+long đen
1000x350/DQ抽煙機頭變徑。含安裝及鏈接法蘭、墊圈、C夾、螺栓螺絲等</t>
  </si>
  <si>
    <t>Cút tròn</t>
  </si>
  <si>
    <t>D820排风帽（带防虫网）制作与安装. Chụp thải gió kèm lưới chắn côn trùng D820</t>
  </si>
  <si>
    <t>Cút</t>
  </si>
  <si>
    <t>Cút 90 độ 1800x1000R1000. Bao gồm nhân công lắp đặt, phụ kiện bích nối, zoăng làm kín, kẹp C, bulong+ốc+long đen
1800x1000R1000 90度彎頭含安裝及鏈接法蘭、墊圈、C夾、螺栓螺絲等</t>
  </si>
  <si>
    <t>45°弯头（1800×1000，TDC法兰）+ 304不锈钢防虫网（4–6mm），板厚0.95mm.  Cút 45 độ KT: 1800x1000 - TDC+Lưới chắn côn trùng inox 304 (mắt lưới 4-6mm), chiều dày tôn 0,95mm</t>
  </si>
  <si>
    <t>Cút 90 độ 1400x500R1000. Bao gồm nhân công lắp đặt, phụ kiện bích nối, zoăng làm kín, kẹp C, bulong+ốc+long đen
1800x1000R1000 90度彎頭含安裝及鏈接法蘭、墊圈、C夾、螺栓螺絲等</t>
  </si>
  <si>
    <t>45°弯头（1400×500，TDC法兰）+ 304不锈钢防虫网（4–6mm），板厚0.95mm Cút 45 độ KT: 1400x500 - TDC+Lưới chắn côn trùng inox 304 (mắt lưới 4-6mm), chiều dày tôn 0,95mm</t>
  </si>
  <si>
    <t xml:space="preserve">軟接法蘭Bích nối mềm </t>
  </si>
  <si>
    <t>Chi phí vận chuyển</t>
  </si>
  <si>
    <t>lô</t>
  </si>
  <si>
    <t>CÔNG TY CỔ PHẦN TẬP ĐOÀN QUỐC TẾ SLAND</t>
  </si>
  <si>
    <t>VPGD: SỐ 49, Ngõ 1295 Giải Phóng, Phường Hoàng Mai, TP Hà Nội</t>
  </si>
  <si>
    <t>Nhà máy: Thôn Nhân Hiền- xã Thường Tín - TP Hà Nội</t>
  </si>
  <si>
    <t>Hotline: 082 5577 999</t>
  </si>
  <si>
    <t>BẢNG BÁO GIÁ</t>
  </si>
  <si>
    <t>Seri number
 Số hiệu</t>
  </si>
  <si>
    <t>Sales executive
 PT Kinh doanh</t>
  </si>
  <si>
    <t>Ms Nhài</t>
  </si>
  <si>
    <t>Người nhận :</t>
  </si>
  <si>
    <t>Mobile
 Điện thoại</t>
  </si>
  <si>
    <t>0945588248</t>
  </si>
  <si>
    <t xml:space="preserve">Email: </t>
  </si>
  <si>
    <t xml:space="preserve">
Dự án</t>
  </si>
  <si>
    <t xml:space="preserve">
STT</t>
  </si>
  <si>
    <t xml:space="preserve">
Danh mục sản phẩm</t>
  </si>
  <si>
    <t>Model</t>
  </si>
  <si>
    <t>Kích thước (mm)</t>
  </si>
  <si>
    <t>Modul</t>
  </si>
  <si>
    <t>L</t>
  </si>
  <si>
    <t>Độ dày
(m)</t>
  </si>
  <si>
    <t>Unit
Đơn vị</t>
  </si>
  <si>
    <t>Q'ty
Số lượng</t>
  </si>
  <si>
    <t>Price
Đơn giá</t>
  </si>
  <si>
    <t>Total price
Thành tiền</t>
  </si>
  <si>
    <t>Remarks
Ghi chú</t>
  </si>
  <si>
    <t>A1</t>
  </si>
  <si>
    <t>A2</t>
  </si>
  <si>
    <t>B1</t>
  </si>
  <si>
    <t>B2</t>
  </si>
  <si>
    <t>Face size</t>
  </si>
  <si>
    <t>Neck size</t>
  </si>
  <si>
    <t>SWIND</t>
  </si>
  <si>
    <t>SDG+OBD</t>
  </si>
  <si>
    <t>Total/ Tổng Trước thuế</t>
  </si>
  <si>
    <t xml:space="preserve">- Ghi chú : </t>
  </si>
  <si>
    <t>XÁC NHẬN ĐẶT HÀNG</t>
  </si>
  <si>
    <r>
      <rPr>
        <b/>
        <sz val="9"/>
        <color theme="1"/>
        <rFont val="Times New Roman"/>
        <family val="1"/>
      </rPr>
      <t xml:space="preserve">* </t>
    </r>
    <r>
      <rPr>
        <sz val="9"/>
        <color theme="1"/>
        <rFont val="Times New Roman"/>
        <family val="1"/>
      </rPr>
      <t>Thời hạn báo giá: Báo giá có giá trị trong vòng 07 ngày kể từ ngày báo.</t>
    </r>
  </si>
  <si>
    <r>
      <rPr>
        <b/>
        <sz val="9"/>
        <color theme="1"/>
        <rFont val="Times New Roman"/>
        <family val="1"/>
      </rPr>
      <t xml:space="preserve">* </t>
    </r>
    <r>
      <rPr>
        <sz val="9"/>
        <color theme="1"/>
        <rFont val="Times New Roman"/>
        <family val="1"/>
      </rPr>
      <t>Thời gian giao hàng: theo thực tế từng đơn hàng</t>
    </r>
  </si>
  <si>
    <r>
      <t xml:space="preserve"> - Van gió &amp; Phụ kiện : </t>
    </r>
    <r>
      <rPr>
        <b/>
        <i/>
        <sz val="10"/>
        <rFont val="Arial"/>
        <family val="2"/>
      </rPr>
      <t>Tôn Hoa Sen Z08/Z18</t>
    </r>
  </si>
  <si>
    <r>
      <t xml:space="preserve"> - Cửa gió và Phụ kiện : </t>
    </r>
    <r>
      <rPr>
        <b/>
        <i/>
        <sz val="10"/>
        <rFont val="Arial"/>
        <family val="2"/>
      </rPr>
      <t>Nhôm A6063 T5 - Sơn Tĩnh điện mầu trắng .</t>
    </r>
  </si>
  <si>
    <t>ĐIỀU KHOẢN THANH TOÁN VÀ GIAO HÀNG</t>
  </si>
  <si>
    <t xml:space="preserve">* Điều kiện thanh toán: Tạm ứng 30%, Thanh toán bằng bảo lãnh thanh toán thời hạn 35 ngày </t>
  </si>
  <si>
    <t>Xin vui lòng liên hệ với chúng tôi nếu quý khách có cần thêm các yêu cầu nào khác.</t>
  </si>
  <si>
    <t xml:space="preserve"> Đơn vị thụ hưởng : </t>
  </si>
  <si>
    <t>Công ty Cổ phần tập đoàn quốc tế Sland</t>
  </si>
  <si>
    <t>Trụ sở: Thôn 1B, xã Nam Phù, TP Hà Nội</t>
  </si>
  <si>
    <t xml:space="preserve">- Số tài khoản : 1359 666 888 </t>
  </si>
  <si>
    <t>- Mở tại :  Ngân hàng TMCP Á Châu ( ACB ) chi nhánh Hà Nội</t>
  </si>
  <si>
    <t>SWIND-1.03- MFD-EI90</t>
  </si>
  <si>
    <t>VAT 8%</t>
  </si>
  <si>
    <t>Total Amount (including VAT 8%)/ Tổng sau thuế</t>
  </si>
  <si>
    <t>Cửa gió 1 lớp nan thẳng bầu dục + van OBD</t>
  </si>
  <si>
    <t>Louver nan Z cố định + LCCT</t>
  </si>
  <si>
    <t xml:space="preserve"> - Van ngăn cháy động cơ - Tiêu chuẩn EI 90
 - 2 đầu bích TDC - Gắn kèm động cơ ON-OFF 5Nm, Hãng KLB
- Sản xuất theo BCTN số 4651/VLXD-TBMT</t>
  </si>
  <si>
    <t>Van MD chia 4 modul,  4 động cơ KLB/VIWECO 24V -10N</t>
  </si>
  <si>
    <t>Van MD chia 8 modul,  8 động cơ KLB/VIWECO 24V -10N</t>
  </si>
  <si>
    <t>Van MD chia 2 modul,  2 động cơ KLB/VIWECO 24V -10N</t>
  </si>
  <si>
    <t>Van MD, động cơ KLB/VIWECO 24v-10N</t>
  </si>
  <si>
    <t>WL+LCCT</t>
  </si>
  <si>
    <t>Louver nan Z cố định chia modul khi sản xuất+ LCCT</t>
  </si>
  <si>
    <t>Khách hàng : CÔNG TY CỔ PHẦN XÂY DỰNG &amp; KỸ THUẬT KD VIỆT NAM</t>
  </si>
  <si>
    <t>BG1_SLAND_KDVN_PCCC NHA A22</t>
  </si>
  <si>
    <t>NHÀ A22</t>
  </si>
  <si>
    <t>Chưa bao gồm, dự kiến 3%</t>
  </si>
  <si>
    <t>Chi phí kiểm dịnh</t>
  </si>
  <si>
    <t>Đã bao gồm</t>
  </si>
  <si>
    <t>BG2_SLAND_KDVN_PCCC NHA A05</t>
  </si>
  <si>
    <t>NHÀ A05</t>
  </si>
  <si>
    <t>百叶风口 4500x800 Cửa Louver KT 4500x800
尺寸50x50箱钢门框、Z形条系，75mm宽铝合金，各条均匀间隔 40mm，同步配件，浅灰色面漆
khung cửa thép hộp KT50x50, hệ nan chữ Z hợp kim nhôm rộng 75mm, các nan cách đều 40mm, phụ kiện đồng bộ, sơn dầu hoàn thiện màu xám nhạt</t>
  </si>
  <si>
    <t>Louver nan Z khung nan nhôm sơn tĩnh điện  Chia modul khi sản xuất</t>
  </si>
  <si>
    <t>百叶风口 2000x2000 Cửa Louver 2000x2000
尺寸50x50箱钢门框、Z形条系，75mm宽铝合金，各条均匀间隔 40mm，同步配件，浅灰色面漆
khung cửa thép hộp KT50x50, hệ nan chữ Z hợp kim nhôm rộng 75mm, các nan cách đều 40mm, phụ kiện đồng bộ, sơn dầu hoàn thiện màu xám nhạt</t>
  </si>
  <si>
    <t xml:space="preserve">Louver nan Z khung nan nhôm sơn tĩnh điện  </t>
  </si>
  <si>
    <t>百叶风口 2000x1000 Cửa Louver 2000x1000
尺寸50x50箱钢门框、Z形条系，75mm宽铝合金，各条均匀间隔 40mm，同步配件，浅灰色面漆
khung cửa thép hộp KT50x50, hệ nan chữ Z hợp kim nhôm rộng 75mm, các nan cách đều 40mm, phụ kiện đồng bộ, sơn dầu hoàn thiện màu xám nhạt</t>
  </si>
  <si>
    <t>百叶风口 1500x1500 Cửa Louver 1500x1500
尺寸50x50箱钢门框、Z形条系，75mm宽铝合金，各条均匀间隔 40mm，同步配件，浅灰色面漆
khung cửa thép hộp KT50x50, hệ nan chữ Z hợp kim nhôm rộng 75mm, các nan cách đều 40mm, phụ kiện đồng bộ, sơn dầu hoàn thiện màu xám nhạt</t>
  </si>
  <si>
    <t>百叶风口 1000x1000 Cửa Louver 1000x1000
尺寸50x50箱钢门框、Z形条系，75mm宽铝合金，各条均匀间隔 40mm，同步配件，浅灰色面漆
khung cửa thép hộp KT50x50, hệ nan chữ Z hợp kim nhôm rộng 75mm, các nan cách đều 40mm, phụ kiện đồng bộ, sơn dầu hoàn thiện màu xám nhạt</t>
  </si>
  <si>
    <t>百叶风口 1000x700 Cửa Louver 1000x700
尺寸50x50箱钢门框、Z形条系，75mm宽铝合金，各条均匀间隔 40mm，同步配件，浅灰色面漆
khung cửa thép hộp KT50x50, hệ nan chữ Z hợp kim nhôm rộng 75mm, các nan cách đều 40mm, phụ kiện đồng bộ, sơn dầu hoàn thiện màu xám nhạt</t>
  </si>
  <si>
    <t>風門含PAG 500x500 流量調節閥含配件及安裝 Cửa gió kèm van điều chỉnh lưu lượng PAG 500x500 Bao gồm nhân công phụ kiện lắp đặt</t>
  </si>
  <si>
    <t xml:space="preserve">空調鍍鋅鐵皮排風管 1000x600mm, δ=1.15mm 含製作及安裝
Ống thoát gió bằng tôn mạ kẽm 1000x600mm , δ=1.15mm bao gồm gia công chế tạo và lắp đặt. </t>
  </si>
  <si>
    <t xml:space="preserve">空調鍍鋅鐵皮排風管 600x600mm, δ=0.75mm 含製作及安裝
Ống thoát gió bằng tôn mạ kẽm 600x600mm , δ=0.75mm bao gồm gia công chế tạo và lắp đặt. </t>
  </si>
  <si>
    <t>空調鍍鋅鐵皮排風管1200x400mm EI45, δ=0.75mm含製作及安裝 （含越南消防及救護-救難警察局檢定費用）
Ống thoát gió bằng tôn mạ kẽm 1200x400mm, EI45, δ=0.75mm bao gồm gia công chế tạo và lắp đặt. （Bao gồm chi phí kiểm định của cục cảnh sát pccc &amp; CNCH Việt Nam)</t>
  </si>
  <si>
    <t>空調鍍鋅鐵皮排風管1600x400mm EI45 含製作及安裝 （含越南消防及救護-救難警察局檢定費用）
Ống thoát gió bằng tôn mạ kẽm 1600x400mm, EI45 bao gồm gia công chế tạo và lắp đặt. （Bao gồm chi phí kiểm định của cục cảnh sát pccc &amp; CNCH Việt Nam)</t>
  </si>
  <si>
    <t>空調鍍鋅鐵皮排風管1800x400mm EI45 含製作及安裝 （含越南消防及救護-救難警察局檢定費用）
Ống thoát gió bằng tôn mạ kẽm 1800x400mm, EI45 bao gồm gia công chế tạo và lắp đặt. （Bao gồm chi phí kiểm định của cục cảnh sát pccc &amp; CNCH Việt Nam)</t>
  </si>
  <si>
    <t>空調鍍鋅鐵皮排風管2000x400mm EI45 含製作及安裝 （含越南消防及救護-救難警察局檢定費用）
Ống thoát gió bằng tôn mạ kẽm 2000x400mm, EI45 bao gồm gia công chế tạo và lắp đặt. （Bao gồm chi phí kiểm định của cục cảnh sát pccc &amp; CNCH Việt Nam)</t>
  </si>
  <si>
    <t>空調鍍鋅鐵皮排風管500x500mm EI30 含製作及安裝 （含越南消防及救護-救難警察局檢定費用）
Ống thoát gió bằng tôn mạ kẽm 500x500mm, EI30 bao gồm gia công chế tạo và lắp đặt. （Bao gồm chi phí kiểm định của cục cảnh sát pccc &amp; CNCH Việt Nam)</t>
  </si>
  <si>
    <t>空調鍍鋅鐵皮排風管700x300mm EI30 含製作及安裝 （含越南消防及救護-救難警察局檢定費用）
Ống thoát gió bằng tôn mạ kẽm 700x300mm, EI30 bao gồm gia công chế tạo và lắp đặt. （Bao gồm chi phí kiểm định của cục cảnh sát pccc &amp; CNCH Việt Nam)</t>
  </si>
  <si>
    <t>空調鍍鋅鐵皮排風管700x350mm EI30 含製作及安裝 （含越南消防及救護-救難警察局檢定費用）
Ống thoát gió bằng tôn mạ kẽm 700x350mm, EI30 bao gồm gia công chế tạo và lắp đặt. （Bao gồm chi phí kiểm định của cục cảnh sát pccc &amp; CNCH Việt Nam)</t>
  </si>
  <si>
    <t>空調鍍鋅鐵皮排風管1000x350mm EI30 含製作及安裝 （含越南消防及救護-救難警察局檢定費用）
Ống thoát gió bằng tôn mạ kẽm 1000x350mm, EI30 bao gồm gia công chế tạo và lắp đặt. （Bao gồm chi phí kiểm định của cục cảnh sát pccc &amp; CNCH Việt Nam)</t>
  </si>
  <si>
    <t>空調鍍鋅鐵皮排風管1500x50mm EI30 含製作及安裝 （含越南消防及救護-救難警察局檢定費用）
Ống thoát gió bằng tôn mạ kẽm 1500x500mm, EI30 bao gồm gia công chế tạo và lắp đặt. （Bao gồm chi phí kiểm định của cục cảnh sát pccc &amp; CNCH Việt Nam)</t>
  </si>
  <si>
    <t>MFD單葉閥1200x400 ，on/off DC 24v電動機, EI45
Van MFD 1 lá 1200x400, động cơ điện on/off DC 24v, EI45</t>
  </si>
  <si>
    <t>MFD單葉閥700x300 ，on/off DC 24v電動機, EI45
Van MFD 1 lá 700x300, động cơ điện on/off DC 24v, EI45</t>
  </si>
  <si>
    <t>MD單葉閥4500x800 ，on/off DC 24v電動機
Van MD 1 lá 4500x800, động cơ điện on/off DC 24v</t>
  </si>
  <si>
    <t>MD單葉閥2000x2000 ，on/off DC 24v電動機
Van MD 1 lá 2000x2000, động cơ điện on/off DC 24v</t>
  </si>
  <si>
    <t>MD單葉閥2000x1000 ，on/off DC 24v電動機
Van MD 1 lá 2000x2000, động cơ điện on/off DC 24v</t>
  </si>
  <si>
    <t>MD單葉閥1000x700 ，on/off DC 24v電動機
Van MD 1 lá 1000x700, động cơ điện on/off DC 24v</t>
  </si>
  <si>
    <t>khung thì s</t>
  </si>
  <si>
    <t>Van 1 chiều</t>
  </si>
  <si>
    <t>PRD</t>
  </si>
  <si>
    <t>1000×500配重式泄压阀安装 Van xả áp kiểu đối trọng KT:1000x500</t>
  </si>
  <si>
    <t>Van xả áp</t>
  </si>
  <si>
    <t>手動抽煙啟動按鈕。含安裝及與監控模塊鏈接配件
Nút ấn khởi động hút khói bằng tay (testing). Bao gồm nhân công lắp đặt, phụ kiện liên kết</t>
  </si>
  <si>
    <t>L50x50x5mm吊架，含製造與施工（含一道底漆，及兩道乳白色面漆）
Giá treo L50x50x5mm bao gồm chế tạo và thi công ( gồm sơn 1 lớp sơn lót và 2 lớp sơn phủ màu sữa)</t>
  </si>
  <si>
    <t>套
Bộ</t>
  </si>
  <si>
    <t>FXC</t>
  </si>
  <si>
    <t>Khớp nối mềm kèm bích đầu quạt Bao gồm nhân công phụ kiện lắp đặt
軟接頭含抽煙機頭法蘭。含配件及安裝</t>
  </si>
  <si>
    <t>Cửa gió louver thải khói + lưới chắn côn trùng 1400x500
louver風門排煙+擋昆蟲網1400x500</t>
  </si>
  <si>
    <t>Cửa gió louver thải khói + lưới chắn côn trùng 1000x600
louver風門排煙+擋昆蟲網1000x600</t>
  </si>
  <si>
    <t>Côn thu đầu quạt 1000x600/DQ. Bao gồm nhân công lắp đặt, phụ kiện bích nối, zoăng làm kín, kẹp C, bulong+ốc+long đen
1000x600/DQ抽煙機頭變徑。含安裝及鏈接法蘭、墊圈、C夾、螺栓螺絲等</t>
  </si>
  <si>
    <t>45°弯头（1800×1000，TDC法兰）+ 304不锈钢防虫网（4–6mm），板厚0.95mm. Cút 45 độ KT: 1800x1000 - TDC+Lưới chắn côn trùng inox 304 (mắt lưới 4-6mm), chiều dày tôn 0,95mm</t>
  </si>
  <si>
    <t>Cút 90 độ 1400x500R1000. Bao gồm nhân công lắp đặt, phụ kiện bích nối, zoăng làm kín, kẹp C, bulong+ốc+long đen
1400x500R1000 90度彎頭含安裝及鏈接法蘭、墊圈、C夾、螺栓螺絲等</t>
  </si>
  <si>
    <t>Chi phí kiểm định</t>
  </si>
  <si>
    <t xml:space="preserve">Đã bao gồm </t>
  </si>
  <si>
    <t>BG3_SLAND_KDVN_PCCC NHA A06</t>
  </si>
  <si>
    <t>NHÀ A06</t>
  </si>
  <si>
    <t>Louver nan Z cố định+ LCCT</t>
  </si>
  <si>
    <t>Cửa gió 1 lớp nan bầu dục cố định kèm van OBD</t>
  </si>
  <si>
    <t>gói</t>
  </si>
  <si>
    <t>chưa bao gồm, dự kiến 3%</t>
  </si>
  <si>
    <t>đã bao gồm</t>
  </si>
  <si>
    <t>BG4_SLAND_KDVN_PCCC NHA A07</t>
  </si>
  <si>
    <t>NHÀ A07</t>
  </si>
  <si>
    <t>Lô</t>
  </si>
  <si>
    <t>STT</t>
  </si>
  <si>
    <t>CỤM/BLOCK</t>
  </si>
  <si>
    <t>GIÁ TRỊ TRƯỚC VAT</t>
  </si>
  <si>
    <t>VAT</t>
  </si>
  <si>
    <t>GIÁ TRỊ SAU VAT</t>
  </si>
  <si>
    <t>A22</t>
  </si>
  <si>
    <t>A05</t>
  </si>
  <si>
    <t>A06</t>
  </si>
  <si>
    <t>A07</t>
  </si>
  <si>
    <t>CỘNG</t>
  </si>
  <si>
    <t>THaCo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</si>
</sst>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33">
    <font>
      <sz val="11"/>
      <color theme="1"/>
      <name val="Calibri"/>
      <family val="2"/>
      <scheme val="minor"/>
    </font>
    <font>
      <sz val="11"/>
      <color theme="1"/>
      <name val="Calibri"/>
      <family val="2"/>
      <scheme val="minor"/>
    </font>
    <font>
      <sz val="14"/>
      <name val="Times New Roman"/>
      <family val="1"/>
    </font>
    <font>
      <sz val="10"/>
      <name val="Arial"/>
      <family val="2"/>
    </font>
    <font>
      <sz val="12"/>
      <name val=".VnTime"/>
      <family val="2"/>
    </font>
    <font>
      <sz val="9"/>
      <color theme="1"/>
      <name val="Arial"/>
      <family val="2"/>
    </font>
    <font>
      <sz val="11"/>
      <color indexed="8"/>
      <name val="Calibri"/>
      <family val="2"/>
    </font>
    <font>
      <sz val="9"/>
      <color indexed="8"/>
      <name val="Arial"/>
      <family val="2"/>
    </font>
    <font>
      <b/>
      <sz val="10"/>
      <color theme="1"/>
      <name val="Arial"/>
      <family val="2"/>
    </font>
    <font>
      <b/>
      <i/>
      <sz val="9"/>
      <color theme="1"/>
      <name val="Arial"/>
      <family val="2"/>
    </font>
    <font>
      <b/>
      <sz val="20"/>
      <color indexed="8"/>
      <name val="Arial"/>
      <family val="2"/>
    </font>
    <font>
      <sz val="10"/>
      <color indexed="8"/>
      <name val="Calibri"/>
      <family val="2"/>
    </font>
    <font>
      <b/>
      <sz val="8"/>
      <color theme="1"/>
      <name val="Arial"/>
      <family val="2"/>
    </font>
    <font>
      <sz val="8"/>
      <color theme="1"/>
      <name val="Arial"/>
      <family val="2"/>
    </font>
    <font>
      <sz val="10"/>
      <name val="Times New Roman"/>
      <family val="1"/>
    </font>
    <font>
      <sz val="11"/>
      <color theme="1"/>
      <name val="Calibri"/>
      <family val="2"/>
      <charset val="163"/>
      <scheme val="minor"/>
    </font>
    <font>
      <sz val="10"/>
      <color indexed="8"/>
      <name val="Times New Roman"/>
      <family val="1"/>
    </font>
    <font>
      <b/>
      <sz val="10"/>
      <color indexed="8"/>
      <name val="Times New Roman"/>
      <family val="1"/>
    </font>
    <font>
      <sz val="10"/>
      <color indexed="8"/>
      <name val="Arial"/>
      <family val="2"/>
    </font>
    <font>
      <b/>
      <i/>
      <u/>
      <sz val="10"/>
      <color indexed="8"/>
      <name val="Arial"/>
      <family val="2"/>
    </font>
    <font>
      <b/>
      <sz val="11"/>
      <name val="Times New Roman"/>
      <family val="1"/>
    </font>
    <font>
      <sz val="9"/>
      <color theme="1"/>
      <name val="Times New Roman"/>
      <family val="1"/>
    </font>
    <font>
      <b/>
      <sz val="9"/>
      <color theme="1"/>
      <name val="Times New Roman"/>
      <family val="1"/>
    </font>
    <font>
      <sz val="9"/>
      <color indexed="8"/>
      <name val="Times New Roman"/>
      <family val="1"/>
    </font>
    <font>
      <b/>
      <i/>
      <sz val="10"/>
      <name val="Arial"/>
      <family val="2"/>
    </font>
    <font>
      <b/>
      <u/>
      <sz val="9"/>
      <color rgb="FFFF0000"/>
      <name val="Times New Roman"/>
      <family val="1"/>
    </font>
    <font>
      <i/>
      <sz val="9"/>
      <name val="Times New Roman"/>
      <family val="1"/>
    </font>
    <font>
      <sz val="11"/>
      <color indexed="8"/>
      <name val="Times New Roman"/>
      <family val="1"/>
      <charset val="163"/>
    </font>
    <font>
      <i/>
      <sz val="9.5"/>
      <name val="Arial"/>
      <family val="2"/>
    </font>
    <font>
      <b/>
      <sz val="10"/>
      <name val="Arial"/>
      <family val="2"/>
    </font>
    <font>
      <b/>
      <sz val="10"/>
      <color indexed="8"/>
      <name val="Arial"/>
      <family val="2"/>
    </font>
    <font>
      <sz val="11"/>
      <color theme="1"/>
      <name val="Calibri"/>
      <family val="1"/>
      <scheme val="minor"/>
    </font>
    <font>
      <b/>
      <sz val="11"/>
      <color theme="1"/>
      <name val="Calibri"/>
      <family val="2"/>
      <scheme val="minor"/>
    </font>
  </fonts>
  <fills count="6">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rgb="FF92D050"/>
        <bgColor indexed="64"/>
      </patternFill>
    </fill>
    <fill>
      <patternFill patternType="solid">
        <fgColor rgb="FFFFFF00"/>
        <bgColor indexed="64"/>
      </patternFill>
    </fill>
  </fills>
  <borders count="21">
    <border>
      <left/>
      <right/>
      <top/>
      <bottom/>
      <diagonal/>
    </border>
    <border>
      <left/>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bottom/>
      <diagonal/>
    </border>
    <border>
      <left style="thin">
        <color auto="1"/>
      </left>
      <right style="thin">
        <color auto="1"/>
      </right>
      <top style="hair">
        <color auto="1"/>
      </top>
      <bottom style="hair">
        <color auto="1"/>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auto="1"/>
      </left>
      <right style="thin">
        <color auto="1"/>
      </right>
      <top/>
      <bottom style="hair">
        <color auto="1"/>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auto="1"/>
      </left>
      <right style="thin">
        <color indexed="64"/>
      </right>
      <top style="hair">
        <color auto="1"/>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s>
  <cellStyleXfs count="16">
    <xf numFmtId="0" fontId="0" fillId="0" borderId="0"/>
    <xf numFmtId="43" fontId="2" fillId="0" borderId="0" applyFont="0" applyFill="0" applyBorder="0" applyAlignment="0" applyProtection="0"/>
    <xf numFmtId="0" fontId="1" fillId="0" borderId="0"/>
    <xf numFmtId="0" fontId="2" fillId="0" borderId="0"/>
    <xf numFmtId="43" fontId="1" fillId="0" borderId="0" applyFont="0" applyFill="0" applyBorder="0" applyAlignment="0" applyProtection="0"/>
    <xf numFmtId="0" fontId="3" fillId="0" borderId="0"/>
    <xf numFmtId="0" fontId="1" fillId="0" borderId="0"/>
    <xf numFmtId="0" fontId="4" fillId="0" borderId="0"/>
    <xf numFmtId="43" fontId="6"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0" fontId="4" fillId="0" borderId="0"/>
    <xf numFmtId="0" fontId="3" fillId="0" borderId="0"/>
    <xf numFmtId="0" fontId="3" fillId="0" borderId="0"/>
    <xf numFmtId="0" fontId="15" fillId="0" borderId="0"/>
    <xf numFmtId="0" fontId="3" fillId="0" borderId="0"/>
  </cellStyleXfs>
  <cellXfs count="164">
    <xf numFmtId="0" fontId="0" fillId="0" borderId="0" xfId="0"/>
    <xf numFmtId="0" fontId="5" fillId="0" borderId="0" xfId="7" applyFont="1"/>
    <xf numFmtId="0" fontId="5" fillId="0" borderId="0" xfId="7" applyFont="1" applyAlignment="1">
      <alignment horizontal="center"/>
    </xf>
    <xf numFmtId="0" fontId="5" fillId="0" borderId="0" xfId="7" applyFont="1" applyAlignment="1">
      <alignment horizontal="center" vertical="center"/>
    </xf>
    <xf numFmtId="0" fontId="5" fillId="0" borderId="0" xfId="7" applyFont="1" applyAlignment="1">
      <alignment vertical="center"/>
    </xf>
    <xf numFmtId="164" fontId="5" fillId="0" borderId="0" xfId="8" applyNumberFormat="1" applyFont="1" applyAlignment="1">
      <alignment horizontal="center" vertical="center"/>
    </xf>
    <xf numFmtId="164" fontId="7" fillId="0" borderId="0" xfId="9" applyNumberFormat="1" applyFont="1"/>
    <xf numFmtId="164" fontId="5" fillId="0" borderId="0" xfId="9" applyNumberFormat="1" applyFont="1"/>
    <xf numFmtId="164" fontId="5" fillId="0" borderId="0" xfId="8" applyNumberFormat="1" applyFont="1" applyAlignment="1">
      <alignment horizontal="center"/>
    </xf>
    <xf numFmtId="0" fontId="4" fillId="0" borderId="0" xfId="7"/>
    <xf numFmtId="0" fontId="5" fillId="0" borderId="0" xfId="7" applyFont="1" applyAlignment="1">
      <alignment wrapText="1"/>
    </xf>
    <xf numFmtId="0" fontId="5" fillId="0" borderId="5" xfId="7" applyFont="1" applyBorder="1"/>
    <xf numFmtId="0" fontId="9" fillId="0" borderId="5" xfId="7" applyFont="1" applyBorder="1" applyAlignment="1">
      <alignment horizontal="center" vertical="center" wrapText="1"/>
    </xf>
    <xf numFmtId="0" fontId="11" fillId="0" borderId="0" xfId="7" applyFont="1"/>
    <xf numFmtId="164" fontId="12" fillId="0" borderId="3" xfId="8" applyNumberFormat="1" applyFont="1" applyFill="1" applyBorder="1" applyAlignment="1">
      <alignment horizontal="left" vertical="center"/>
    </xf>
    <xf numFmtId="164" fontId="13" fillId="0" borderId="4" xfId="9" applyNumberFormat="1" applyFont="1" applyBorder="1" applyAlignment="1">
      <alignment horizontal="left" vertical="center"/>
    </xf>
    <xf numFmtId="164" fontId="13" fillId="0" borderId="7" xfId="9" applyNumberFormat="1" applyFont="1" applyBorder="1" applyAlignment="1">
      <alignment vertical="center"/>
    </xf>
    <xf numFmtId="43" fontId="12" fillId="0" borderId="3" xfId="10" applyFont="1" applyFill="1" applyBorder="1" applyAlignment="1">
      <alignment horizontal="left" vertical="center" wrapText="1"/>
    </xf>
    <xf numFmtId="164" fontId="13" fillId="0" borderId="3" xfId="9" applyNumberFormat="1" applyFont="1" applyBorder="1" applyAlignment="1">
      <alignment horizontal="left" vertical="center"/>
    </xf>
    <xf numFmtId="164" fontId="12" fillId="0" borderId="3" xfId="10" applyNumberFormat="1" applyFont="1" applyFill="1" applyBorder="1" applyAlignment="1">
      <alignment horizontal="left" vertical="center"/>
    </xf>
    <xf numFmtId="0" fontId="12" fillId="0" borderId="3" xfId="10" quotePrefix="1" applyNumberFormat="1" applyFont="1" applyFill="1" applyBorder="1" applyAlignment="1">
      <alignment horizontal="left" vertical="center"/>
    </xf>
    <xf numFmtId="164" fontId="12" fillId="0" borderId="3" xfId="8" applyNumberFormat="1" applyFont="1" applyFill="1" applyBorder="1" applyAlignment="1">
      <alignment horizontal="center" vertical="center"/>
    </xf>
    <xf numFmtId="0" fontId="12" fillId="0" borderId="3" xfId="13" applyFont="1" applyBorder="1" applyAlignment="1">
      <alignment horizontal="center" vertical="center"/>
    </xf>
    <xf numFmtId="0" fontId="12" fillId="2" borderId="8" xfId="7" applyFont="1" applyFill="1" applyBorder="1" applyAlignment="1">
      <alignment horizontal="center" vertical="center" wrapText="1"/>
    </xf>
    <xf numFmtId="0" fontId="12" fillId="2" borderId="8" xfId="11" applyFont="1" applyFill="1" applyBorder="1" applyAlignment="1">
      <alignment horizontal="center" vertical="center" wrapText="1"/>
    </xf>
    <xf numFmtId="0" fontId="12" fillId="2" borderId="8" xfId="13" applyFont="1" applyFill="1" applyBorder="1" applyAlignment="1">
      <alignment horizontal="center" vertical="center"/>
    </xf>
    <xf numFmtId="165" fontId="12" fillId="2" borderId="8" xfId="7" applyNumberFormat="1" applyFont="1" applyFill="1" applyBorder="1" applyAlignment="1">
      <alignment horizontal="center" vertical="center" wrapText="1"/>
    </xf>
    <xf numFmtId="164" fontId="12" fillId="2" borderId="8" xfId="8" applyNumberFormat="1" applyFont="1" applyFill="1" applyBorder="1" applyAlignment="1">
      <alignment horizontal="center" vertical="center" wrapText="1"/>
    </xf>
    <xf numFmtId="164" fontId="12" fillId="2" borderId="8" xfId="9" applyNumberFormat="1" applyFont="1" applyFill="1" applyBorder="1" applyAlignment="1">
      <alignment horizontal="center" vertical="center" wrapText="1"/>
    </xf>
    <xf numFmtId="43" fontId="12" fillId="2" borderId="8" xfId="10" applyFont="1" applyFill="1" applyBorder="1" applyAlignment="1">
      <alignment horizontal="center" vertical="center" wrapText="1"/>
    </xf>
    <xf numFmtId="0" fontId="16" fillId="0" borderId="0" xfId="14" applyFont="1"/>
    <xf numFmtId="0" fontId="14" fillId="0" borderId="9" xfId="7" applyFont="1" applyBorder="1" applyAlignment="1">
      <alignment horizontal="center" vertical="center" wrapText="1"/>
    </xf>
    <xf numFmtId="164" fontId="14" fillId="0" borderId="9" xfId="9" applyNumberFormat="1" applyFont="1" applyBorder="1" applyAlignment="1">
      <alignment horizontal="center" vertical="center" wrapText="1"/>
    </xf>
    <xf numFmtId="0" fontId="14" fillId="0" borderId="9" xfId="7" quotePrefix="1" applyFont="1" applyBorder="1" applyAlignment="1">
      <alignment horizontal="left" vertical="center" wrapText="1"/>
    </xf>
    <xf numFmtId="0" fontId="14" fillId="0" borderId="9" xfId="7" applyFont="1" applyBorder="1" applyAlignment="1">
      <alignment horizontal="left" vertical="center" wrapText="1"/>
    </xf>
    <xf numFmtId="1" fontId="14" fillId="0" borderId="9" xfId="7" applyNumberFormat="1" applyFont="1" applyBorder="1" applyAlignment="1">
      <alignment horizontal="center" vertical="center" wrapText="1"/>
    </xf>
    <xf numFmtId="164" fontId="17" fillId="2" borderId="13" xfId="9" applyNumberFormat="1" applyFont="1" applyFill="1" applyBorder="1" applyAlignment="1">
      <alignment horizontal="right" vertical="center"/>
    </xf>
    <xf numFmtId="0" fontId="16" fillId="2" borderId="13" xfId="14" applyFont="1" applyFill="1" applyBorder="1" applyAlignment="1">
      <alignment horizontal="center" vertical="center" wrapText="1"/>
    </xf>
    <xf numFmtId="164" fontId="17" fillId="2" borderId="16" xfId="9" applyNumberFormat="1" applyFont="1" applyFill="1" applyBorder="1" applyAlignment="1">
      <alignment horizontal="right" vertical="center"/>
    </xf>
    <xf numFmtId="0" fontId="16" fillId="2" borderId="16" xfId="14" applyFont="1" applyFill="1" applyBorder="1" applyAlignment="1">
      <alignment horizontal="center" vertical="center" wrapText="1"/>
    </xf>
    <xf numFmtId="164" fontId="17" fillId="2" borderId="20" xfId="9" applyNumberFormat="1" applyFont="1" applyFill="1" applyBorder="1" applyAlignment="1">
      <alignment horizontal="right" vertical="center"/>
    </xf>
    <xf numFmtId="0" fontId="16" fillId="2" borderId="20" xfId="14" applyFont="1" applyFill="1" applyBorder="1" applyAlignment="1">
      <alignment horizontal="center" vertical="center" wrapText="1"/>
    </xf>
    <xf numFmtId="0" fontId="18" fillId="0" borderId="0" xfId="7" applyFont="1"/>
    <xf numFmtId="0" fontId="18" fillId="0" borderId="0" xfId="7" applyFont="1" applyAlignment="1">
      <alignment horizontal="center" wrapText="1"/>
    </xf>
    <xf numFmtId="0" fontId="18" fillId="0" borderId="0" xfId="7" applyFont="1" applyAlignment="1">
      <alignment horizontal="center"/>
    </xf>
    <xf numFmtId="0" fontId="18" fillId="0" borderId="0" xfId="7" applyFont="1" applyAlignment="1">
      <alignment horizontal="center" vertical="center"/>
    </xf>
    <xf numFmtId="0" fontId="18" fillId="0" borderId="0" xfId="7" applyFont="1" applyAlignment="1">
      <alignment vertical="center"/>
    </xf>
    <xf numFmtId="164" fontId="18" fillId="0" borderId="0" xfId="8" applyNumberFormat="1" applyFont="1" applyAlignment="1">
      <alignment horizontal="center" vertical="center"/>
    </xf>
    <xf numFmtId="164" fontId="18" fillId="0" borderId="0" xfId="9" applyNumberFormat="1" applyFont="1"/>
    <xf numFmtId="164" fontId="18" fillId="0" borderId="0" xfId="8" applyNumberFormat="1" applyFont="1" applyAlignment="1">
      <alignment horizontal="center"/>
    </xf>
    <xf numFmtId="0" fontId="16" fillId="0" borderId="0" xfId="7" applyFont="1"/>
    <xf numFmtId="0" fontId="19" fillId="0" borderId="0" xfId="7" applyFont="1" applyAlignment="1">
      <alignment horizontal="left" vertical="center" wrapText="1"/>
    </xf>
    <xf numFmtId="0" fontId="20" fillId="0" borderId="0" xfId="12" quotePrefix="1" applyFont="1" applyAlignment="1">
      <alignment horizontal="left"/>
    </xf>
    <xf numFmtId="0" fontId="3" fillId="0" borderId="0" xfId="7" applyFont="1"/>
    <xf numFmtId="0" fontId="3" fillId="0" borderId="0" xfId="7" applyFont="1" applyAlignment="1">
      <alignment horizontal="center"/>
    </xf>
    <xf numFmtId="0" fontId="19" fillId="0" borderId="0" xfId="7" applyFont="1" applyAlignment="1">
      <alignment vertical="center" wrapText="1"/>
    </xf>
    <xf numFmtId="164" fontId="19" fillId="0" borderId="0" xfId="9" applyNumberFormat="1" applyFont="1" applyAlignment="1">
      <alignment vertical="center" wrapText="1"/>
    </xf>
    <xf numFmtId="164" fontId="16" fillId="0" borderId="0" xfId="9" applyNumberFormat="1" applyFont="1"/>
    <xf numFmtId="0" fontId="21" fillId="3" borderId="0" xfId="7" applyFont="1" applyFill="1" applyAlignment="1">
      <alignment horizontal="left" vertical="center"/>
    </xf>
    <xf numFmtId="0" fontId="23" fillId="3" borderId="0" xfId="7" applyFont="1" applyFill="1" applyAlignment="1">
      <alignment horizontal="center" vertical="center"/>
    </xf>
    <xf numFmtId="43" fontId="23" fillId="3" borderId="0" xfId="8" applyFont="1" applyFill="1" applyAlignment="1" applyProtection="1">
      <alignment horizontal="left" vertical="center"/>
    </xf>
    <xf numFmtId="164" fontId="19" fillId="0" borderId="0" xfId="8" applyNumberFormat="1" applyFont="1" applyFill="1" applyBorder="1" applyAlignment="1">
      <alignment horizontal="center" vertical="center" wrapText="1"/>
    </xf>
    <xf numFmtId="3" fontId="19" fillId="0" borderId="0" xfId="7" applyNumberFormat="1" applyFont="1" applyAlignment="1">
      <alignment vertical="center" wrapText="1"/>
    </xf>
    <xf numFmtId="49" fontId="25" fillId="3" borderId="0" xfId="7" applyNumberFormat="1" applyFont="1" applyFill="1" applyAlignment="1">
      <alignment horizontal="left" vertical="center"/>
    </xf>
    <xf numFmtId="49" fontId="25" fillId="3" borderId="0" xfId="7" applyNumberFormat="1" applyFont="1" applyFill="1" applyAlignment="1">
      <alignment horizontal="center" vertical="center"/>
    </xf>
    <xf numFmtId="43" fontId="23" fillId="3" borderId="0" xfId="8" applyFont="1" applyFill="1" applyAlignment="1" applyProtection="1">
      <alignment horizontal="right" vertical="center"/>
    </xf>
    <xf numFmtId="3" fontId="19" fillId="0" borderId="0" xfId="7" applyNumberFormat="1" applyFont="1" applyAlignment="1">
      <alignment horizontal="left" vertical="center" wrapText="1"/>
    </xf>
    <xf numFmtId="3" fontId="18" fillId="0" borderId="0" xfId="7" applyNumberFormat="1" applyFont="1" applyAlignment="1">
      <alignment vertical="center"/>
    </xf>
    <xf numFmtId="164" fontId="18" fillId="0" borderId="0" xfId="9" applyNumberFormat="1" applyFont="1" applyAlignment="1">
      <alignment vertical="center"/>
    </xf>
    <xf numFmtId="0" fontId="21" fillId="3" borderId="0" xfId="7" applyFont="1" applyFill="1" applyAlignment="1">
      <alignment vertical="center"/>
    </xf>
    <xf numFmtId="49" fontId="26" fillId="3" borderId="0" xfId="7" applyNumberFormat="1" applyFont="1" applyFill="1" applyAlignment="1">
      <alignment horizontal="left" vertical="center"/>
    </xf>
    <xf numFmtId="0" fontId="20" fillId="0" borderId="0" xfId="12" applyFont="1"/>
    <xf numFmtId="0" fontId="27" fillId="0" borderId="0" xfId="13" applyFont="1"/>
    <xf numFmtId="0" fontId="27" fillId="0" borderId="0" xfId="13" applyFont="1" applyAlignment="1">
      <alignment horizontal="center" vertical="center"/>
    </xf>
    <xf numFmtId="164" fontId="18" fillId="0" borderId="0" xfId="9" applyNumberFormat="1" applyFont="1" applyAlignment="1">
      <alignment horizontal="center" vertical="center"/>
    </xf>
    <xf numFmtId="0" fontId="18" fillId="0" borderId="0" xfId="7" applyFont="1" applyAlignment="1">
      <alignment horizontal="left" vertical="center"/>
    </xf>
    <xf numFmtId="0" fontId="29" fillId="0" borderId="0" xfId="7" applyFont="1" applyAlignment="1">
      <alignment vertical="center"/>
    </xf>
    <xf numFmtId="0" fontId="21" fillId="3" borderId="0" xfId="7" quotePrefix="1" applyFont="1" applyFill="1" applyAlignment="1">
      <alignment vertical="center"/>
    </xf>
    <xf numFmtId="1" fontId="18" fillId="0" borderId="0" xfId="13" applyNumberFormat="1" applyFont="1" applyAlignment="1">
      <alignment horizontal="center" vertical="center"/>
    </xf>
    <xf numFmtId="0" fontId="30" fillId="0" borderId="0" xfId="11" applyFont="1" applyAlignment="1">
      <alignment horizontal="center" vertical="center"/>
    </xf>
    <xf numFmtId="164" fontId="30" fillId="0" borderId="0" xfId="10" applyNumberFormat="1" applyFont="1" applyFill="1" applyBorder="1" applyAlignment="1">
      <alignment horizontal="center" vertical="center" wrapText="1"/>
    </xf>
    <xf numFmtId="0" fontId="3" fillId="0" borderId="0" xfId="15" applyAlignment="1">
      <alignment horizontal="center" vertical="center" wrapText="1"/>
    </xf>
    <xf numFmtId="164" fontId="11" fillId="0" borderId="0" xfId="9" applyNumberFormat="1" applyFont="1"/>
    <xf numFmtId="0" fontId="27" fillId="0" borderId="0" xfId="13" applyFont="1" applyAlignment="1">
      <alignment vertical="center"/>
    </xf>
    <xf numFmtId="3" fontId="18" fillId="0" borderId="0" xfId="8" applyNumberFormat="1" applyFont="1"/>
    <xf numFmtId="164" fontId="18" fillId="0" borderId="0" xfId="9" applyNumberFormat="1" applyFont="1" applyAlignment="1">
      <alignment horizontal="center"/>
    </xf>
    <xf numFmtId="0" fontId="16" fillId="0" borderId="0" xfId="7" applyFont="1" applyAlignment="1">
      <alignment horizontal="center" wrapText="1"/>
    </xf>
    <xf numFmtId="0" fontId="16" fillId="0" borderId="0" xfId="7" applyFont="1" applyAlignment="1">
      <alignment horizontal="center"/>
    </xf>
    <xf numFmtId="0" fontId="16" fillId="0" borderId="0" xfId="7" applyFont="1" applyAlignment="1">
      <alignment horizontal="center" vertical="center"/>
    </xf>
    <xf numFmtId="0" fontId="16" fillId="0" borderId="0" xfId="7" applyFont="1" applyAlignment="1">
      <alignment vertical="center"/>
    </xf>
    <xf numFmtId="164" fontId="16" fillId="0" borderId="0" xfId="8" applyNumberFormat="1" applyFont="1" applyAlignment="1">
      <alignment horizontal="center" vertical="center"/>
    </xf>
    <xf numFmtId="164" fontId="16" fillId="0" borderId="0" xfId="8" applyNumberFormat="1" applyFont="1" applyAlignment="1">
      <alignment horizontal="center"/>
    </xf>
    <xf numFmtId="0" fontId="4" fillId="0" borderId="0" xfId="7" applyAlignment="1">
      <alignment horizontal="center" wrapText="1"/>
    </xf>
    <xf numFmtId="0" fontId="4" fillId="0" borderId="0" xfId="7" applyAlignment="1">
      <alignment horizontal="center"/>
    </xf>
    <xf numFmtId="0" fontId="4" fillId="0" borderId="0" xfId="7" applyAlignment="1">
      <alignment horizontal="center" vertical="center"/>
    </xf>
    <xf numFmtId="0" fontId="4" fillId="0" borderId="0" xfId="7" applyAlignment="1">
      <alignment vertical="center"/>
    </xf>
    <xf numFmtId="164" fontId="0" fillId="0" borderId="0" xfId="8" applyNumberFormat="1" applyFont="1" applyAlignment="1">
      <alignment horizontal="center" vertical="center"/>
    </xf>
    <xf numFmtId="164" fontId="6" fillId="0" borderId="0" xfId="9" applyNumberFormat="1" applyFont="1"/>
    <xf numFmtId="164" fontId="31" fillId="0" borderId="0" xfId="9" applyNumberFormat="1" applyFont="1"/>
    <xf numFmtId="164" fontId="31" fillId="0" borderId="0" xfId="8" applyNumberFormat="1" applyFont="1" applyAlignment="1">
      <alignment horizontal="center"/>
    </xf>
    <xf numFmtId="0" fontId="5" fillId="0" borderId="0" xfId="7" applyFont="1" applyAlignment="1">
      <alignment horizontal="center" wrapText="1"/>
    </xf>
    <xf numFmtId="0" fontId="5" fillId="0" borderId="0" xfId="7" applyFont="1" applyAlignment="1">
      <alignment horizontal="center" wrapText="1"/>
    </xf>
    <xf numFmtId="164" fontId="14" fillId="4" borderId="9" xfId="9" applyNumberFormat="1" applyFont="1" applyFill="1" applyBorder="1" applyAlignment="1">
      <alignment horizontal="center" vertical="center" wrapText="1"/>
    </xf>
    <xf numFmtId="0" fontId="14" fillId="0" borderId="9" xfId="0" applyFont="1" applyBorder="1" applyAlignment="1">
      <alignment horizontal="left" vertical="center" wrapText="1"/>
    </xf>
    <xf numFmtId="0" fontId="0" fillId="0" borderId="3" xfId="0" applyBorder="1"/>
    <xf numFmtId="0" fontId="0" fillId="0" borderId="0" xfId="0" applyAlignment="1">
      <alignment horizontal="center" vertical="center" wrapText="1"/>
    </xf>
    <xf numFmtId="0" fontId="0" fillId="0" borderId="3" xfId="0" applyBorder="1" applyAlignment="1">
      <alignment horizontal="center"/>
    </xf>
    <xf numFmtId="0" fontId="0" fillId="0" borderId="0" xfId="0" applyAlignment="1">
      <alignment horizontal="center"/>
    </xf>
    <xf numFmtId="164" fontId="0" fillId="0" borderId="3" xfId="1" applyNumberFormat="1" applyFont="1" applyBorder="1"/>
    <xf numFmtId="164" fontId="0" fillId="0" borderId="0" xfId="1" applyNumberFormat="1" applyFont="1"/>
    <xf numFmtId="0" fontId="32" fillId="2" borderId="3" xfId="0" applyFont="1" applyFill="1" applyBorder="1" applyAlignment="1">
      <alignment horizontal="center" wrapText="1"/>
    </xf>
    <xf numFmtId="0" fontId="32" fillId="2" borderId="3" xfId="0" applyFont="1" applyFill="1" applyBorder="1" applyAlignment="1">
      <alignment horizontal="center" vertical="center" wrapText="1"/>
    </xf>
    <xf numFmtId="164" fontId="32" fillId="2" borderId="3" xfId="1" applyNumberFormat="1" applyFont="1" applyFill="1" applyBorder="1" applyAlignment="1">
      <alignment horizontal="center" vertical="center" wrapText="1"/>
    </xf>
    <xf numFmtId="164" fontId="32" fillId="2" borderId="3" xfId="1" applyNumberFormat="1" applyFont="1" applyFill="1" applyBorder="1"/>
    <xf numFmtId="0" fontId="32" fillId="2" borderId="4" xfId="0" applyFont="1" applyFill="1" applyBorder="1" applyAlignment="1">
      <alignment horizontal="center"/>
    </xf>
    <xf numFmtId="0" fontId="32" fillId="2" borderId="7" xfId="0" applyFont="1" applyFill="1" applyBorder="1" applyAlignment="1">
      <alignment horizontal="center"/>
    </xf>
    <xf numFmtId="43" fontId="12" fillId="0" borderId="2" xfId="10" applyFont="1" applyFill="1" applyBorder="1" applyAlignment="1">
      <alignment horizontal="center" vertical="center" wrapText="1"/>
    </xf>
    <xf numFmtId="43" fontId="12" fillId="0" borderId="8" xfId="10" applyFont="1" applyFill="1" applyBorder="1" applyAlignment="1">
      <alignment horizontal="center" vertical="center" wrapText="1"/>
    </xf>
    <xf numFmtId="0" fontId="12" fillId="0" borderId="2" xfId="13" applyFont="1" applyBorder="1" applyAlignment="1">
      <alignment horizontal="center" vertical="center"/>
    </xf>
    <xf numFmtId="165" fontId="12" fillId="0" borderId="4" xfId="7" applyNumberFormat="1" applyFont="1" applyBorder="1" applyAlignment="1">
      <alignment horizontal="left" vertical="center" wrapText="1"/>
    </xf>
    <xf numFmtId="165" fontId="12" fillId="0" borderId="6" xfId="7" applyNumberFormat="1" applyFont="1" applyBorder="1" applyAlignment="1">
      <alignment horizontal="left" vertical="center" wrapText="1"/>
    </xf>
    <xf numFmtId="165" fontId="12" fillId="0" borderId="7" xfId="7" applyNumberFormat="1" applyFont="1" applyBorder="1" applyAlignment="1">
      <alignment horizontal="left" vertical="center" wrapText="1"/>
    </xf>
    <xf numFmtId="165" fontId="8" fillId="0" borderId="0" xfId="7" applyNumberFormat="1" applyFont="1" applyAlignment="1">
      <alignment horizontal="right" vertical="center"/>
    </xf>
    <xf numFmtId="0" fontId="5" fillId="0" borderId="0" xfId="7" applyFont="1" applyAlignment="1">
      <alignment horizontal="center" wrapText="1"/>
    </xf>
    <xf numFmtId="165" fontId="5" fillId="0" borderId="0" xfId="7" applyNumberFormat="1" applyFont="1" applyAlignment="1">
      <alignment horizontal="right" vertical="center"/>
    </xf>
    <xf numFmtId="165" fontId="5" fillId="0" borderId="5" xfId="7" applyNumberFormat="1" applyFont="1" applyBorder="1" applyAlignment="1">
      <alignment horizontal="right" vertical="center"/>
    </xf>
    <xf numFmtId="0" fontId="10" fillId="0" borderId="0" xfId="7" applyFont="1" applyAlignment="1">
      <alignment horizontal="center" vertical="center"/>
    </xf>
    <xf numFmtId="0" fontId="12" fillId="0" borderId="4" xfId="7" applyFont="1" applyBorder="1" applyAlignment="1">
      <alignment horizontal="left" vertical="center" wrapText="1"/>
    </xf>
    <xf numFmtId="0" fontId="12" fillId="0" borderId="6" xfId="7" applyFont="1" applyBorder="1" applyAlignment="1">
      <alignment horizontal="left" vertical="center" wrapText="1"/>
    </xf>
    <xf numFmtId="0" fontId="12" fillId="0" borderId="7" xfId="7" applyFont="1" applyBorder="1" applyAlignment="1">
      <alignment horizontal="left" vertical="center" wrapText="1"/>
    </xf>
    <xf numFmtId="0" fontId="28" fillId="0" borderId="0" xfId="7" applyFont="1" applyAlignment="1">
      <alignment horizontal="center" vertical="center"/>
    </xf>
    <xf numFmtId="164" fontId="28" fillId="0" borderId="0" xfId="9" applyNumberFormat="1" applyFont="1" applyAlignment="1">
      <alignment horizontal="center" vertical="center"/>
    </xf>
    <xf numFmtId="0" fontId="29" fillId="0" borderId="0" xfId="7" applyFont="1" applyAlignment="1">
      <alignment horizontal="left" vertical="center" indent="12"/>
    </xf>
    <xf numFmtId="164" fontId="29" fillId="0" borderId="0" xfId="9" applyNumberFormat="1" applyFont="1" applyAlignment="1">
      <alignment horizontal="left" vertical="center" indent="12"/>
    </xf>
    <xf numFmtId="164" fontId="3" fillId="0" borderId="0" xfId="8" applyNumberFormat="1" applyFont="1" applyFill="1" applyBorder="1" applyAlignment="1">
      <alignment horizontal="center" vertical="center" wrapText="1"/>
    </xf>
    <xf numFmtId="164" fontId="3" fillId="0" borderId="0" xfId="9" applyNumberFormat="1" applyFont="1" applyFill="1" applyBorder="1" applyAlignment="1">
      <alignment horizontal="center" vertical="center" wrapText="1"/>
    </xf>
    <xf numFmtId="164" fontId="17" fillId="2" borderId="17" xfId="10" applyNumberFormat="1" applyFont="1" applyFill="1" applyBorder="1" applyAlignment="1">
      <alignment horizontal="right" vertical="center" wrapText="1"/>
    </xf>
    <xf numFmtId="164" fontId="17" fillId="2" borderId="18" xfId="10" applyNumberFormat="1" applyFont="1" applyFill="1" applyBorder="1" applyAlignment="1">
      <alignment horizontal="right" vertical="center" wrapText="1"/>
    </xf>
    <xf numFmtId="164" fontId="17" fillId="2" borderId="19" xfId="10" applyNumberFormat="1" applyFont="1" applyFill="1" applyBorder="1" applyAlignment="1">
      <alignment horizontal="right" vertical="center" wrapText="1"/>
    </xf>
    <xf numFmtId="0" fontId="19" fillId="0" borderId="0" xfId="7" applyFont="1" applyAlignment="1">
      <alignment horizontal="center" vertical="center" wrapText="1"/>
    </xf>
    <xf numFmtId="164" fontId="17" fillId="2" borderId="10" xfId="10" applyNumberFormat="1" applyFont="1" applyFill="1" applyBorder="1" applyAlignment="1">
      <alignment horizontal="right" vertical="center" wrapText="1"/>
    </xf>
    <xf numFmtId="164" fontId="17" fillId="2" borderId="11" xfId="10" applyNumberFormat="1" applyFont="1" applyFill="1" applyBorder="1" applyAlignment="1">
      <alignment horizontal="right" vertical="center" wrapText="1"/>
    </xf>
    <xf numFmtId="164" fontId="17" fillId="2" borderId="12" xfId="10" applyNumberFormat="1" applyFont="1" applyFill="1" applyBorder="1" applyAlignment="1">
      <alignment horizontal="right" vertical="center" wrapText="1"/>
    </xf>
    <xf numFmtId="164" fontId="17" fillId="2" borderId="14" xfId="10" applyNumberFormat="1" applyFont="1" applyFill="1" applyBorder="1" applyAlignment="1">
      <alignment horizontal="right" vertical="center" wrapText="1"/>
    </xf>
    <xf numFmtId="164" fontId="17" fillId="2" borderId="1" xfId="10" applyNumberFormat="1" applyFont="1" applyFill="1" applyBorder="1" applyAlignment="1">
      <alignment horizontal="right" vertical="center" wrapText="1"/>
    </xf>
    <xf numFmtId="164" fontId="17" fillId="2" borderId="15" xfId="10" applyNumberFormat="1" applyFont="1" applyFill="1" applyBorder="1" applyAlignment="1">
      <alignment horizontal="right" vertical="center" wrapText="1"/>
    </xf>
    <xf numFmtId="0" fontId="12" fillId="0" borderId="3" xfId="7" applyFont="1" applyBorder="1" applyAlignment="1">
      <alignment horizontal="center" vertical="center" wrapText="1"/>
    </xf>
    <xf numFmtId="0" fontId="12" fillId="0" borderId="2" xfId="7" applyFont="1" applyBorder="1" applyAlignment="1">
      <alignment horizontal="center" vertical="center" wrapText="1"/>
    </xf>
    <xf numFmtId="0" fontId="12" fillId="0" borderId="2" xfId="11" applyFont="1" applyBorder="1" applyAlignment="1">
      <alignment horizontal="center" vertical="center" wrapText="1"/>
    </xf>
    <xf numFmtId="0" fontId="12" fillId="0" borderId="8" xfId="11" applyFont="1" applyBorder="1" applyAlignment="1">
      <alignment horizontal="center" vertical="center" wrapText="1"/>
    </xf>
    <xf numFmtId="165" fontId="12" fillId="0" borderId="2" xfId="7" applyNumberFormat="1" applyFont="1" applyBorder="1" applyAlignment="1">
      <alignment horizontal="center" vertical="center" wrapText="1"/>
    </xf>
    <xf numFmtId="165" fontId="12" fillId="0" borderId="8" xfId="7" applyNumberFormat="1" applyFont="1" applyBorder="1" applyAlignment="1">
      <alignment horizontal="center" vertical="center" wrapText="1"/>
    </xf>
    <xf numFmtId="164" fontId="12" fillId="0" borderId="2" xfId="8" applyNumberFormat="1" applyFont="1" applyFill="1" applyBorder="1" applyAlignment="1">
      <alignment horizontal="center" vertical="center" wrapText="1"/>
    </xf>
    <xf numFmtId="164" fontId="12" fillId="0" borderId="8" xfId="8" applyNumberFormat="1" applyFont="1" applyFill="1" applyBorder="1" applyAlignment="1">
      <alignment horizontal="center" vertical="center" wrapText="1"/>
    </xf>
    <xf numFmtId="164" fontId="12" fillId="0" borderId="2" xfId="9" applyNumberFormat="1" applyFont="1" applyFill="1" applyBorder="1" applyAlignment="1">
      <alignment horizontal="center" vertical="center" wrapText="1"/>
    </xf>
    <xf numFmtId="164" fontId="12" fillId="0" borderId="8" xfId="9" applyNumberFormat="1" applyFont="1" applyFill="1" applyBorder="1" applyAlignment="1">
      <alignment horizontal="center" vertical="center" wrapText="1"/>
    </xf>
    <xf numFmtId="0" fontId="12" fillId="0" borderId="8" xfId="7" applyFont="1" applyBorder="1" applyAlignment="1">
      <alignment horizontal="center" vertical="center" wrapText="1"/>
    </xf>
    <xf numFmtId="0" fontId="12" fillId="0" borderId="3" xfId="12" applyFont="1" applyBorder="1" applyAlignment="1">
      <alignment horizontal="center" vertical="center"/>
    </xf>
    <xf numFmtId="0" fontId="16" fillId="0" borderId="0" xfId="14" applyFont="1" applyAlignment="1">
      <alignment wrapText="1"/>
    </xf>
    <xf numFmtId="0" fontId="16" fillId="0" borderId="0" xfId="7" applyFont="1" applyAlignment="1">
      <alignment wrapText="1"/>
    </xf>
    <xf numFmtId="164" fontId="16" fillId="0" borderId="0" xfId="1" applyNumberFormat="1" applyFont="1"/>
    <xf numFmtId="164" fontId="16" fillId="0" borderId="0" xfId="14" applyNumberFormat="1" applyFont="1"/>
    <xf numFmtId="164" fontId="16" fillId="5" borderId="0" xfId="14" applyNumberFormat="1" applyFont="1" applyFill="1"/>
    <xf numFmtId="164" fontId="0" fillId="0" borderId="0" xfId="0" applyNumberFormat="1"/>
  </cellXfs>
  <cellStyles count="16">
    <cellStyle name="Comma" xfId="1" builtinId="3"/>
    <cellStyle name="Comma 11" xfId="8" xr:uid="{00000000-0005-0000-0000-000001000000}"/>
    <cellStyle name="Comma 3 2 4" xfId="9" xr:uid="{00000000-0005-0000-0000-000002000000}"/>
    <cellStyle name="Comma 4 2 2" xfId="10" xr:uid="{00000000-0005-0000-0000-000003000000}"/>
    <cellStyle name="Comma 7 2" xfId="4" xr:uid="{00000000-0005-0000-0000-000004000000}"/>
    <cellStyle name="Normal" xfId="0" builtinId="0"/>
    <cellStyle name="Normal 11" xfId="3" xr:uid="{00000000-0005-0000-0000-000006000000}"/>
    <cellStyle name="Normal 143" xfId="15" xr:uid="{00000000-0005-0000-0000-000007000000}"/>
    <cellStyle name="Normal 2 2 5 2 2 2" xfId="14" xr:uid="{00000000-0005-0000-0000-000008000000}"/>
    <cellStyle name="Normal 2 5" xfId="7" xr:uid="{00000000-0005-0000-0000-000009000000}"/>
    <cellStyle name="Normal 2 5 2 2" xfId="6" xr:uid="{00000000-0005-0000-0000-00000A000000}"/>
    <cellStyle name="Normal 3 2 2 3" xfId="13" xr:uid="{00000000-0005-0000-0000-00000B000000}"/>
    <cellStyle name="Normal 3 2 3" xfId="11" xr:uid="{00000000-0005-0000-0000-00000C000000}"/>
    <cellStyle name="Normal 5 2" xfId="5" xr:uid="{00000000-0005-0000-0000-00000D000000}"/>
    <cellStyle name="Normal 8 2" xfId="2" xr:uid="{00000000-0005-0000-0000-00000E000000}"/>
    <cellStyle name="Normal_Sheet1" xfId="12" xr:uid="{00000000-0005-0000-0000-00000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26" Type="http://schemas.openxmlformats.org/officeDocument/2006/relationships/externalLink" Target="externalLinks/externalLink21.xml"/><Relationship Id="rId3" Type="http://schemas.openxmlformats.org/officeDocument/2006/relationships/worksheet" Target="worksheets/sheet3.xml"/><Relationship Id="rId21" Type="http://schemas.openxmlformats.org/officeDocument/2006/relationships/externalLink" Target="externalLinks/externalLink16.xml"/><Relationship Id="rId34" Type="http://schemas.openxmlformats.org/officeDocument/2006/relationships/calcChain" Target="calcChain.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externalLink" Target="externalLinks/externalLink20.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externalLink" Target="externalLinks/externalLink15.xml"/><Relationship Id="rId29"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24" Type="http://schemas.openxmlformats.org/officeDocument/2006/relationships/externalLink" Target="externalLinks/externalLink19.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externalLink" Target="externalLinks/externalLink23.xml"/><Relationship Id="rId10" Type="http://schemas.openxmlformats.org/officeDocument/2006/relationships/externalLink" Target="externalLinks/externalLink5.xml"/><Relationship Id="rId19" Type="http://schemas.openxmlformats.org/officeDocument/2006/relationships/externalLink" Target="externalLinks/externalLink14.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openxmlformats.org/officeDocument/2006/relationships/externalLink" Target="externalLinks/externalLink22.xml"/><Relationship Id="rId30" Type="http://schemas.openxmlformats.org/officeDocument/2006/relationships/externalLink" Target="externalLinks/externalLink2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2402205</xdr:colOff>
      <xdr:row>4</xdr:row>
      <xdr:rowOff>59055</xdr:rowOff>
    </xdr:to>
    <xdr:pic>
      <xdr:nvPicPr>
        <xdr:cNvPr id="2" name="Picture 1">
          <a:extLst>
            <a:ext uri="{FF2B5EF4-FFF2-40B4-BE49-F238E27FC236}">
              <a16:creationId xmlns:a16="http://schemas.microsoft.com/office/drawing/2014/main" id="{A4E7835A-331F-4602-8AF2-706B71B1D74F}"/>
            </a:ext>
          </a:extLst>
        </xdr:cNvPr>
        <xdr:cNvPicPr>
          <a:picLocks noChangeAspect="1"/>
        </xdr:cNvPicPr>
      </xdr:nvPicPr>
      <xdr:blipFill>
        <a:blip xmlns:r="http://schemas.openxmlformats.org/officeDocument/2006/relationships" r:embed="rId1"/>
        <a:stretch>
          <a:fillRect/>
        </a:stretch>
      </xdr:blipFill>
      <xdr:spPr>
        <a:xfrm>
          <a:off x="0" y="0"/>
          <a:ext cx="3164205" cy="7905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1703070</xdr:colOff>
      <xdr:row>3</xdr:row>
      <xdr:rowOff>66675</xdr:rowOff>
    </xdr:to>
    <xdr:pic>
      <xdr:nvPicPr>
        <xdr:cNvPr id="2" name="Picture 1">
          <a:extLst>
            <a:ext uri="{FF2B5EF4-FFF2-40B4-BE49-F238E27FC236}">
              <a16:creationId xmlns:a16="http://schemas.microsoft.com/office/drawing/2014/main" id="{4EB4C020-428C-46E3-B0E0-20CB18DFCA03}"/>
            </a:ext>
          </a:extLst>
        </xdr:cNvPr>
        <xdr:cNvPicPr>
          <a:picLocks noChangeAspect="1"/>
        </xdr:cNvPicPr>
      </xdr:nvPicPr>
      <xdr:blipFill>
        <a:blip xmlns:r="http://schemas.openxmlformats.org/officeDocument/2006/relationships" r:embed="rId1"/>
        <a:stretch>
          <a:fillRect/>
        </a:stretch>
      </xdr:blipFill>
      <xdr:spPr>
        <a:xfrm>
          <a:off x="0" y="0"/>
          <a:ext cx="2293620" cy="6381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2354580</xdr:colOff>
      <xdr:row>4</xdr:row>
      <xdr:rowOff>26670</xdr:rowOff>
    </xdr:to>
    <xdr:pic>
      <xdr:nvPicPr>
        <xdr:cNvPr id="2" name="Picture 1">
          <a:extLst>
            <a:ext uri="{FF2B5EF4-FFF2-40B4-BE49-F238E27FC236}">
              <a16:creationId xmlns:a16="http://schemas.microsoft.com/office/drawing/2014/main" id="{5EE1B539-8BF5-4361-BF65-4F759205C833}"/>
            </a:ext>
          </a:extLst>
        </xdr:cNvPr>
        <xdr:cNvPicPr>
          <a:picLocks noChangeAspect="1"/>
        </xdr:cNvPicPr>
      </xdr:nvPicPr>
      <xdr:blipFill>
        <a:blip xmlns:r="http://schemas.openxmlformats.org/officeDocument/2006/relationships" r:embed="rId1"/>
        <a:stretch>
          <a:fillRect/>
        </a:stretch>
      </xdr:blipFill>
      <xdr:spPr>
        <a:xfrm>
          <a:off x="0" y="0"/>
          <a:ext cx="3154680" cy="78867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1983105</xdr:colOff>
      <xdr:row>3</xdr:row>
      <xdr:rowOff>140970</xdr:rowOff>
    </xdr:to>
    <xdr:pic>
      <xdr:nvPicPr>
        <xdr:cNvPr id="2" name="Picture 1">
          <a:extLst>
            <a:ext uri="{FF2B5EF4-FFF2-40B4-BE49-F238E27FC236}">
              <a16:creationId xmlns:a16="http://schemas.microsoft.com/office/drawing/2014/main" id="{E1BB107D-BF9F-4483-ACBD-9197DA44BC7F}"/>
            </a:ext>
          </a:extLst>
        </xdr:cNvPr>
        <xdr:cNvPicPr>
          <a:picLocks noChangeAspect="1"/>
        </xdr:cNvPicPr>
      </xdr:nvPicPr>
      <xdr:blipFill>
        <a:blip xmlns:r="http://schemas.openxmlformats.org/officeDocument/2006/relationships" r:embed="rId1"/>
        <a:stretch>
          <a:fillRect/>
        </a:stretch>
      </xdr:blipFill>
      <xdr:spPr>
        <a:xfrm>
          <a:off x="0" y="0"/>
          <a:ext cx="2678430" cy="71247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LCTT.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KHECOSC.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dtTKKT-98-10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indeconsvn-my.sharepoint.com/https:/d.docs.live.net/nISSEI%20eLECTRIC%20hANOI%20quotation%20form%20Constrexim/SCHED/schedule%20for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Hang%201\Bao%20gia"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YMPI-II-JO.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bkhcmeduvn-my.sharepoint.com/personal/lan_nguyenthu_kientrucviet_vn/Documents/1.%20a%20&#272;&#7841;t/3.HTKT/02.%20Estimate/A.%20Du%20toan%20mau/6.%20DU%20TO&#193;N%20TKCS/Giai%20Doan%20I/5.%20Cap%20dien%20-%20GD1.xlsm"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CAU-CHET.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pwht-my.sharepoint.com/VietHung/Thamkhao/Tinh%20dao%20dap%20aThanh/Dao%20dap%20tuyen%201.xl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C&#199;u%20Ch&#238;%20G&#23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www.kiddefiresystems.com/2009_PRICING/2009%20Controlled%20Price%20Sheets/2009%20R2%20Price%20Sheet%20Revisions/Kidde/Copy%20of%20SYSTEMS_MATRIX_TEST.xls"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A_16CAN.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LVTRIN~1.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Worksheet%20in%20CTHUY-TC-09.dwg"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Bang%20tinh%20Gia%20May-TT0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D\Users\Admin\AppData\Roaming\Microsoft\Excel\EVG%20-%20B&#7842;NG%20T&#205;NH%20&#272;&#416;N%20GI&#193;%2011-2017%20(version%20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dlsconsultant-my.sharepoint.com/personal/duy_tran_dlsconsultant_com/Documents/Project/CJV%201624%20-%20Lumi/11.%20Alu%20glazing/04.%20PTE/1.%20PTE/20240808%20-%20Lumi%20HN%20-%20%20Alu%20and%20Glazing_PTE_V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d.docs.live.net/Dropbox/Dropbox/ECOPARK/Form%20m&#7851;u/FORM%20BOQ%20&#272;I&#7878;N.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d.docs.live.net/Users/Tang%20Dinh%20Dai/Desktop/BOQ_ATG_UP%20DATE.xl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Q3-01-duyet.xl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Book4"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XUONG.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0.%20WORKING/0.%20SWIND/B&#225;o%20gi&#225;%20Ms%20Nh&#224;i/09.%20&#272;&#7879;%20tr&#236;nh%20NOXH%20Tr&#224;ng%20c&#225;t/Nh&#224;%20th&#7847;u%20An%20Th&#7883;nh/07.%20&#272;HTG%20L&#7847;n%207%20ng&#224;y%2003.04.2026.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Nhailt%2006052021\1.%20SWIND\1.%20D&#7921;%20&#225;n\70.%20Minh%20Tri&#7871;t-%20NM%20TQ%2019052026\BG%20C%20Tr&#226;m\BG3_SLAND-KDVN_Don%20thau%20pccc%20nha%20A06%20VER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E:\Nhailt%2006052021\1.%20SWIND\1.%20D&#7921;%20&#225;n\70.%20Minh%20Tri&#7871;t-%20NM%20TQ%2019052026\BG%20C%20Tr&#226;m\BG4_SLAND-KDVN_Don%20thau%20pccc%20nha%20A07%20VE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TDN"/>
      <sheetName val="DLTT"/>
      <sheetName val="BXLDL"/>
      <sheetName val="LCTT"/>
      <sheetName val="SPS"/>
      <sheetName val="PNT-QUOT-#3"/>
      <sheetName val="COAT&amp;WRAP-QIOT-#3"/>
      <sheetName val="BCLCTT"/>
      <sheetName val="6PILE  (돌출)"/>
      <sheetName val="chitimc"/>
      <sheetName val="dtxl"/>
    </sheetNames>
    <sheetDataSet>
      <sheetData sheetId="0"/>
      <sheetData sheetId="1"/>
      <sheetData sheetId="2">
        <row r="3">
          <cell r="B3">
            <v>1</v>
          </cell>
          <cell r="D3">
            <v>0</v>
          </cell>
          <cell r="E3">
            <v>100000000</v>
          </cell>
        </row>
        <row r="4">
          <cell r="B4">
            <v>2</v>
          </cell>
          <cell r="D4">
            <v>0</v>
          </cell>
          <cell r="E4">
            <v>0</v>
          </cell>
        </row>
        <row r="5">
          <cell r="B5">
            <v>2</v>
          </cell>
          <cell r="D5">
            <v>0</v>
          </cell>
          <cell r="E5">
            <v>0</v>
          </cell>
        </row>
        <row r="6">
          <cell r="B6">
            <v>2</v>
          </cell>
          <cell r="D6">
            <v>0</v>
          </cell>
          <cell r="E6">
            <v>0</v>
          </cell>
        </row>
        <row r="7">
          <cell r="B7">
            <v>3</v>
          </cell>
          <cell r="D7">
            <v>0</v>
          </cell>
          <cell r="E7">
            <v>0</v>
          </cell>
        </row>
        <row r="8">
          <cell r="B8">
            <v>4</v>
          </cell>
          <cell r="D8">
            <v>0</v>
          </cell>
          <cell r="E8">
            <v>-100000000</v>
          </cell>
        </row>
        <row r="9">
          <cell r="B9">
            <v>5</v>
          </cell>
          <cell r="D9">
            <v>0</v>
          </cell>
          <cell r="E9">
            <v>-28000000</v>
          </cell>
        </row>
        <row r="10">
          <cell r="B10">
            <v>6</v>
          </cell>
          <cell r="D10">
            <v>0</v>
          </cell>
          <cell r="E10">
            <v>-53098900</v>
          </cell>
        </row>
        <row r="11">
          <cell r="B11">
            <v>7</v>
          </cell>
          <cell r="D11">
            <v>0</v>
          </cell>
          <cell r="E11">
            <v>0</v>
          </cell>
        </row>
        <row r="12">
          <cell r="B12">
            <v>8</v>
          </cell>
          <cell r="D12">
            <v>0</v>
          </cell>
          <cell r="E12">
            <v>0</v>
          </cell>
        </row>
        <row r="13">
          <cell r="D13">
            <v>0</v>
          </cell>
          <cell r="E13">
            <v>100000000</v>
          </cell>
        </row>
        <row r="14">
          <cell r="D14">
            <v>0</v>
          </cell>
          <cell r="E14">
            <v>-181098900</v>
          </cell>
        </row>
        <row r="15">
          <cell r="B15">
            <v>20</v>
          </cell>
          <cell r="D15">
            <v>0</v>
          </cell>
          <cell r="E15">
            <v>0</v>
          </cell>
        </row>
        <row r="16">
          <cell r="D16">
            <v>0</v>
          </cell>
          <cell r="E16">
            <v>0</v>
          </cell>
        </row>
        <row r="17">
          <cell r="B17">
            <v>21</v>
          </cell>
          <cell r="D17">
            <v>0</v>
          </cell>
          <cell r="E17">
            <v>0</v>
          </cell>
        </row>
        <row r="18">
          <cell r="B18">
            <v>21</v>
          </cell>
          <cell r="D18">
            <v>0</v>
          </cell>
          <cell r="E18">
            <v>0</v>
          </cell>
        </row>
        <row r="19">
          <cell r="B19">
            <v>21</v>
          </cell>
          <cell r="D19">
            <v>0</v>
          </cell>
          <cell r="E19">
            <v>0</v>
          </cell>
        </row>
        <row r="20">
          <cell r="B20">
            <v>21</v>
          </cell>
          <cell r="D20">
            <v>0</v>
          </cell>
          <cell r="E20">
            <v>0</v>
          </cell>
        </row>
        <row r="21">
          <cell r="B21">
            <v>21</v>
          </cell>
          <cell r="D21">
            <v>0</v>
          </cell>
          <cell r="E21">
            <v>0</v>
          </cell>
        </row>
        <row r="22">
          <cell r="B22">
            <v>21</v>
          </cell>
          <cell r="D22">
            <v>0</v>
          </cell>
          <cell r="E22">
            <v>0</v>
          </cell>
        </row>
        <row r="23">
          <cell r="B23">
            <v>22</v>
          </cell>
          <cell r="D23">
            <v>0</v>
          </cell>
          <cell r="E23">
            <v>4000000</v>
          </cell>
        </row>
        <row r="24">
          <cell r="B24">
            <v>23</v>
          </cell>
          <cell r="D24">
            <v>0</v>
          </cell>
          <cell r="E24">
            <v>1002819.02</v>
          </cell>
        </row>
        <row r="25">
          <cell r="B25">
            <v>24</v>
          </cell>
          <cell r="D25">
            <v>0</v>
          </cell>
          <cell r="E25">
            <v>0</v>
          </cell>
        </row>
        <row r="26">
          <cell r="B26">
            <v>24</v>
          </cell>
          <cell r="D26">
            <v>0</v>
          </cell>
          <cell r="E26">
            <v>0</v>
          </cell>
        </row>
        <row r="27">
          <cell r="B27">
            <v>24</v>
          </cell>
          <cell r="D27">
            <v>0</v>
          </cell>
          <cell r="E27">
            <v>0</v>
          </cell>
        </row>
        <row r="28">
          <cell r="B28">
            <v>24</v>
          </cell>
          <cell r="D28">
            <v>0</v>
          </cell>
          <cell r="E28">
            <v>0</v>
          </cell>
        </row>
        <row r="29">
          <cell r="B29">
            <v>25</v>
          </cell>
          <cell r="D29">
            <v>0</v>
          </cell>
          <cell r="E29">
            <v>0</v>
          </cell>
        </row>
        <row r="30">
          <cell r="B30">
            <v>25</v>
          </cell>
          <cell r="D30">
            <v>0</v>
          </cell>
          <cell r="E30">
            <v>0</v>
          </cell>
        </row>
        <row r="31">
          <cell r="B31">
            <v>25</v>
          </cell>
          <cell r="D31">
            <v>0</v>
          </cell>
          <cell r="E31">
            <v>0</v>
          </cell>
        </row>
        <row r="32">
          <cell r="B32">
            <v>25</v>
          </cell>
          <cell r="D32">
            <v>0</v>
          </cell>
          <cell r="E32">
            <v>0</v>
          </cell>
        </row>
        <row r="33">
          <cell r="B33">
            <v>25</v>
          </cell>
          <cell r="D33">
            <v>0</v>
          </cell>
          <cell r="E33">
            <v>0</v>
          </cell>
        </row>
        <row r="34">
          <cell r="B34">
            <v>25</v>
          </cell>
          <cell r="D34">
            <v>0</v>
          </cell>
          <cell r="E34">
            <v>0</v>
          </cell>
        </row>
        <row r="35">
          <cell r="B35">
            <v>26</v>
          </cell>
          <cell r="D35">
            <v>0</v>
          </cell>
          <cell r="E35">
            <v>0</v>
          </cell>
        </row>
        <row r="36">
          <cell r="B36">
            <v>26</v>
          </cell>
          <cell r="D36">
            <v>0</v>
          </cell>
          <cell r="E36">
            <v>0</v>
          </cell>
        </row>
        <row r="37">
          <cell r="B37">
            <v>26</v>
          </cell>
          <cell r="D37">
            <v>0</v>
          </cell>
          <cell r="E37">
            <v>0</v>
          </cell>
        </row>
        <row r="38">
          <cell r="B38">
            <v>26</v>
          </cell>
          <cell r="D38">
            <v>0</v>
          </cell>
          <cell r="E38">
            <v>0</v>
          </cell>
        </row>
        <row r="39">
          <cell r="D39">
            <v>0</v>
          </cell>
          <cell r="E39">
            <v>5002819.0199999996</v>
          </cell>
        </row>
        <row r="40">
          <cell r="D40">
            <v>0</v>
          </cell>
          <cell r="E40">
            <v>0</v>
          </cell>
        </row>
        <row r="41">
          <cell r="B41">
            <v>30</v>
          </cell>
          <cell r="D41">
            <v>0</v>
          </cell>
          <cell r="E41">
            <v>0</v>
          </cell>
        </row>
        <row r="42">
          <cell r="D42">
            <v>0</v>
          </cell>
          <cell r="E42">
            <v>0</v>
          </cell>
        </row>
        <row r="43">
          <cell r="B43">
            <v>31</v>
          </cell>
          <cell r="D43">
            <v>0</v>
          </cell>
          <cell r="E43">
            <v>0</v>
          </cell>
        </row>
        <row r="44">
          <cell r="B44">
            <v>32</v>
          </cell>
          <cell r="D44">
            <v>0</v>
          </cell>
          <cell r="E44">
            <v>0</v>
          </cell>
        </row>
        <row r="45">
          <cell r="B45">
            <v>33</v>
          </cell>
          <cell r="D45">
            <v>0</v>
          </cell>
          <cell r="E45">
            <v>0</v>
          </cell>
        </row>
        <row r="46">
          <cell r="B46">
            <v>34</v>
          </cell>
          <cell r="D46">
            <v>0</v>
          </cell>
          <cell r="E46">
            <v>0</v>
          </cell>
        </row>
        <row r="47">
          <cell r="B47">
            <v>35</v>
          </cell>
          <cell r="D47">
            <v>0</v>
          </cell>
          <cell r="E47">
            <v>0</v>
          </cell>
        </row>
        <row r="48">
          <cell r="D48">
            <v>0</v>
          </cell>
          <cell r="E48">
            <v>0</v>
          </cell>
        </row>
        <row r="49">
          <cell r="D49">
            <v>0</v>
          </cell>
          <cell r="E49">
            <v>0</v>
          </cell>
        </row>
        <row r="50">
          <cell r="B50">
            <v>40</v>
          </cell>
        </row>
        <row r="51">
          <cell r="B51">
            <v>50</v>
          </cell>
        </row>
        <row r="52">
          <cell r="B52">
            <v>60</v>
          </cell>
          <cell r="E52">
            <v>196203359</v>
          </cell>
        </row>
        <row r="53">
          <cell r="B53">
            <v>70</v>
          </cell>
          <cell r="E53">
            <v>79057278.019999981</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iaVL"/>
      <sheetName val="GTXL"/>
      <sheetName val="DTCT"/>
      <sheetName val="PTdgct"/>
      <sheetName val="CPTNo"/>
      <sheetName val="Cuoc"/>
      <sheetName val="GiaMay"/>
      <sheetName val="DGNC"/>
      <sheetName val="XXXXXXXX"/>
      <sheetName val="XXXXXXX0"/>
      <sheetName val="PTDG"/>
      <sheetName val="KHE"/>
      <sheetName val="CPV"/>
      <sheetName val="GVL"/>
      <sheetName val="hinhhoc"/>
      <sheetName val="Quantity"/>
      <sheetName val="NC"/>
      <sheetName val="Sheet2"/>
      <sheetName val="KHECOSC"/>
      <sheetName val="Cac Thong So "/>
      <sheetName val="A6"/>
      <sheetName val="DTXL"/>
      <sheetName val="Sheet1"/>
    </sheetNames>
    <sheetDataSet>
      <sheetData sheetId="0">
        <row r="13">
          <cell r="F13">
            <v>887553.90476190473</v>
          </cell>
        </row>
        <row r="14">
          <cell r="F14">
            <v>782553.90476190473</v>
          </cell>
        </row>
        <row r="28">
          <cell r="F28">
            <v>9320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VL"/>
      <sheetName val="nen"/>
      <sheetName val="mat"/>
      <sheetName val="cong"/>
      <sheetName val="vua"/>
      <sheetName val="rph"/>
      <sheetName val="dtoan"/>
      <sheetName val="dtoan -ctiet"/>
      <sheetName val="dt-kphi"/>
      <sheetName val="dt-kphi (2)"/>
      <sheetName val="dt-kphi-ctiet"/>
      <sheetName val="bth-kphi"/>
      <sheetName val="XL4Poppy"/>
      <sheetName val="UNIT"/>
      <sheetName val="Piers of Main Flyover (1)"/>
      <sheetName val="Cot Tru1"/>
      <sheetName val="P3-TanAn-Factored"/>
      <sheetName val="P4-TanAn-Factored"/>
      <sheetName val="00000000"/>
      <sheetName val="COC KHOAN M1"/>
      <sheetName val="COC KHOAN M2"/>
      <sheetName val="COC KHOAN T1"/>
      <sheetName val="COC KHOAN T5"/>
      <sheetName val="COC KHOAN T4"/>
      <sheetName val="COC DONG"/>
      <sheetName val="BANG"/>
      <sheetName val="KluongKm2,4"/>
      <sheetName val="B.cao"/>
      <sheetName val="T.tiet"/>
      <sheetName val="T.N"/>
      <sheetName val="TSCD DUNG CHUNG "/>
      <sheetName val="KHKHAUHAOTSCHUNG"/>
      <sheetName val="TSCDTOAN NHA MAY"/>
      <sheetName val="CPSXTOAN BO SP"/>
      <sheetName val="PBCPCHUNG CHO CAC DTUONG"/>
      <sheetName val="Congty"/>
      <sheetName val="VPPN"/>
      <sheetName val="XN74"/>
      <sheetName val="XN54"/>
      <sheetName val="XN33"/>
      <sheetName val="NK96"/>
      <sheetName val="XL4Test5"/>
      <sheetName val="THKL"/>
      <sheetName val="DPHOIDAT"/>
      <sheetName val="BGVL_03"/>
      <sheetName val="CPVUA_03"/>
      <sheetName val="DGCT_03"/>
      <sheetName val="DT1_03"/>
      <sheetName val="BGVL"/>
      <sheetName val="CPVUA"/>
      <sheetName val="DGCT_02"/>
      <sheetName val="DGCONG_02"/>
      <sheetName val="DGKE_02"/>
      <sheetName val="CTCONG_02"/>
      <sheetName val="DT1_02"/>
      <sheetName val="DTCT_02 _2595"/>
      <sheetName val="DTCT_02"/>
      <sheetName val="00000001"/>
      <sheetName val="00000002"/>
      <sheetName val="Sheet2"/>
      <sheetName val="dn"/>
      <sheetName val="DU TOAN"/>
      <sheetName val="CHI TIET"/>
      <sheetName val="KLnt"/>
      <sheetName val="PHAN TICH"/>
      <sheetName val="YEU TO CONG"/>
      <sheetName val="TD 3DIEM"/>
      <sheetName val="TD 2DIEM"/>
      <sheetName val="Sheet1"/>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olieu"/>
      <sheetName val="VL"/>
      <sheetName val="PLV"/>
      <sheetName val="Dongia"/>
      <sheetName val="DTCTtaluy"/>
      <sheetName val="KLDGTT&lt;120%"/>
      <sheetName val="PL2"/>
      <sheetName val="DTnen"/>
      <sheetName val="PL"/>
      <sheetName val="TH"/>
      <sheetName val="THKL nghiemthu"/>
      <sheetName val="DTCTtaluy (2)"/>
      <sheetName val="KLDGTT&lt;120% (2)"/>
      <sheetName val="TH (2)"/>
      <sheetName val="xxxxxxxx"/>
      <sheetName val="XXXXXXX0"/>
      <sheetName val="10000000"/>
      <sheetName val="XXXXXXX1"/>
      <sheetName val="20000000"/>
      <sheetName val="30000000"/>
      <sheetName val="XN79"/>
      <sheetName val="CTMT"/>
      <sheetName val="may"/>
      <sheetName val="Vatlieu cau"/>
      <sheetName val="cau DS11"/>
      <sheetName val="cau DS12"/>
      <sheetName val="THCDS12"/>
      <sheetName val="dgcau"/>
      <sheetName val="THCDS11"/>
      <sheetName val="DGCT"/>
      <sheetName val="DGCong"/>
      <sheetName val="Vatlieu"/>
      <sheetName val="nhancong"/>
      <sheetName val="KL"/>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
      <sheetName val="Kluong"/>
      <sheetName val="Giatri"/>
      <sheetName val="TO HUNG"/>
      <sheetName val="CONGNHAN NE"/>
      <sheetName val="XINGUYEP"/>
      <sheetName val="TH331"/>
      <sheetName val="dt-iphi"/>
      <sheetName val="Sheet3 (2)"/>
      <sheetName val="ìtoan"/>
      <sheetName val="d-dap47-48"/>
      <sheetName val="md47-48"/>
      <sheetName val="THop47-48"/>
      <sheetName val="d-dap48-49"/>
      <sheetName val="md48-49"/>
      <sheetName val="THop48-49"/>
      <sheetName val="d-dap49-50"/>
      <sheetName val="md49-50"/>
      <sheetName val="THop49-50"/>
      <sheetName val="d-dap50-51"/>
      <sheetName val="md50-51"/>
      <sheetName val="THop50-51"/>
      <sheetName val="d-dap51-52"/>
      <sheetName val="md51-52"/>
      <sheetName val="THop51-52"/>
      <sheetName val="d-dap52-53"/>
      <sheetName val="md52-53"/>
      <sheetName val="THop52-53"/>
      <sheetName val="d-dap53-54"/>
      <sheetName val="md53-54"/>
      <sheetName val="THop53-54"/>
      <sheetName val="d-dap54-55"/>
      <sheetName val="md54-55"/>
      <sheetName val="THop54-55"/>
      <sheetName val="d-dap55-56"/>
      <sheetName val="md55-56"/>
      <sheetName val="THop55-56"/>
      <sheetName val="d-dap56-57"/>
      <sheetName val="md56-57"/>
      <sheetName val="THop56-57"/>
      <sheetName val="d-dap57-58"/>
      <sheetName val="md57-58"/>
      <sheetName val="THop57-58"/>
      <sheetName val="d-dap58-DC"/>
      <sheetName val="md58-DC"/>
      <sheetName val="THop58-DC"/>
      <sheetName val="NHANHRE1"/>
      <sheetName val="NHANHRE2"/>
      <sheetName val="NHANHRE3"/>
      <sheetName val="NHANHRE4"/>
      <sheetName val="NHANHRE5"/>
      <sheetName val="NHANHRE6"/>
      <sheetName val="NHANHRE7"/>
      <sheetName val="mdNHANHRE8"/>
      <sheetName val="ptvl0-1"/>
      <sheetName val="0-1"/>
      <sheetName val="ptvl4-5"/>
      <sheetName val="4-5"/>
      <sheetName val="ptvl3-4"/>
      <sheetName val="3-4"/>
      <sheetName val="ptvl2-3"/>
      <sheetName val="2-3"/>
      <sheetName val="vlcong"/>
      <sheetName val="ptvl1-2"/>
      <sheetName val="1-2"/>
      <sheetName val="Don gia chi tiet"/>
      <sheetName val="Du thau"/>
      <sheetName val="Tro giup"/>
      <sheetName val="rph (2)"/>
      <sheetName val="dap"/>
      <sheetName val="gpmb"/>
      <sheetName val="dt-kphi-iso-tong"/>
      <sheetName val="dt-kphi-iso-ctiet"/>
      <sheetName val="gia"/>
      <sheetName val="PTDG"/>
      <sheetName val="sut&lt;100"/>
      <sheetName val="sut duong"/>
      <sheetName val="sut am"/>
      <sheetName val="bu lun"/>
      <sheetName val="xoi lo chan ke"/>
      <sheetName val="GTXL"/>
      <sheetName val="TDT"/>
      <sheetName val="CRC"/>
      <sheetName val="GIATRI-DAILY"/>
      <sheetName val="NVBH KHAC"/>
      <sheetName val="NVBH HOAN"/>
      <sheetName val="TONKHODAILY"/>
      <sheetName val="gvt"/>
      <sheetName val="ATGT"/>
      <sheetName val="DG-TH"/>
      <sheetName val="Tuong-chan"/>
      <sheetName val="Dau-cong"/>
      <sheetName val="dtoan (4)"/>
      <sheetName val="tmdtu"/>
      <sheetName val="PL tham dinh"/>
      <sheetName val="THDT"/>
      <sheetName val="KSTK"/>
      <sheetName val="DTCT"/>
      <sheetName val="PTVL"/>
      <sheetName val="Bu VC"/>
      <sheetName val="luong"/>
      <sheetName val="40000000"/>
      <sheetName val="50000000"/>
      <sheetName val="60000000"/>
      <sheetName val="70000000"/>
      <sheetName val="80000000"/>
      <sheetName val="90000000"/>
      <sheetName val="a0000000"/>
      <sheetName val="dam"/>
      <sheetName val="Mocantho"/>
      <sheetName val="MoQL91"/>
      <sheetName val="tru"/>
      <sheetName val="dg"/>
      <sheetName val="10mduongsaumo"/>
      <sheetName val="ctt"/>
      <sheetName val="thanmkhao"/>
      <sheetName val="monho"/>
      <sheetName val="HK1"/>
      <sheetName val="HK2"/>
      <sheetName val="CANAM"/>
      <sheetName val="YEUCAU"/>
      <sheetName val="IN_PHIEU"/>
      <sheetName val="BANGKE"/>
      <sheetName val="IN_NX"/>
      <sheetName val="NK_CHUNG"/>
      <sheetName val="DL_KH"/>
      <sheetName val="TH_CNO"/>
      <sheetName val="CD_PSINH"/>
      <sheetName val="CDKT"/>
      <sheetName val="soctiettk"/>
      <sheetName val="Ctietkhach"/>
      <sheetName val="thue_DR"/>
      <sheetName val="thue_DV"/>
      <sheetName val="thue_05"/>
      <sheetName val="tokhai"/>
      <sheetName val="Inthkhach"/>
      <sheetName val="vattu"/>
      <sheetName val="THEKHO"/>
      <sheetName val="cphi"/>
      <sheetName val="GThanh"/>
      <sheetName val="B02"/>
      <sheetName val="B03_LCTT"/>
      <sheetName val="TM_BCTC"/>
      <sheetName val="MVT"/>
      <sheetName val="KHAO_TSCD"/>
      <sheetName val="tam"/>
      <sheetName val="BIA"/>
      <sheetName val="Module1"/>
      <sheetName val="Module2"/>
      <sheetName val="Sheet_x0001_1"/>
      <sheetName val="FPPN"/>
      <sheetName val="CHI_x0000_TIET"/>
      <sheetName val="bao cao ngay 13-02"/>
      <sheetName val="CBG"/>
      <sheetName val="tra-vat-lieu"/>
      <sheetName val="T1"/>
      <sheetName val="T2"/>
      <sheetName val="T3"/>
      <sheetName val="T4"/>
      <sheetName val="T5"/>
      <sheetName val="T6"/>
      <sheetName val="T7"/>
      <sheetName val="T8"/>
      <sheetName val="T9"/>
      <sheetName val="T10"/>
      <sheetName val="T11"/>
      <sheetName val="T12"/>
      <sheetName val="t1.3"/>
      <sheetName val="P3-PanAn-Factored"/>
      <sheetName val="_x0000_Ё_x0000__x0000__x0000__x0000_䀤_x0001__x0000__x0000__x0000__x0000_䀶_x0001__x0000_晦晦晦䀙_x0001__x0000__x0000__x0000__x0000_㿰_x0001_H-_x0000_ਈ_x0000_"/>
      <sheetName val="TT_35NH"/>
      <sheetName val="DGCT_x0006_"/>
      <sheetName val="NhapSl"/>
      <sheetName val="Nluc"/>
      <sheetName val="Tohop"/>
      <sheetName val="KT_Tthan"/>
      <sheetName val="Tra_TTTD"/>
      <sheetName val="LO 65+41B"/>
      <sheetName val="LO 48"/>
      <sheetName val="LO 47A"/>
      <sheetName val="LO 46B"/>
      <sheetName val="LO 45"/>
      <sheetName val="LO 44"/>
      <sheetName val="LO 46A"/>
      <sheetName val="LO 41A"/>
      <sheetName val="LO 66"/>
      <sheetName val="LO 42"/>
      <sheetName val="LO 47B"/>
      <sheetName val="LO 43"/>
      <sheetName val="LO 64"/>
      <sheetName val="LO 50"/>
      <sheetName val="LO 49 B "/>
      <sheetName val="LO 63"/>
      <sheetName val="LO 62"/>
      <sheetName val="LO 49 A"/>
      <sheetName val="LO 61"/>
      <sheetName val="ESTI."/>
      <sheetName val="DI-ESTI"/>
      <sheetName val="tuong"/>
      <sheetName val="Phan tich don gia chi Uet"/>
      <sheetName val="Nhap don gia VL dia _x0003__x0000_uong"/>
      <sheetName val="PTCT"/>
      <sheetName val="GiaVL"/>
      <sheetName val="She_x0000_t9"/>
      <sheetName val="Du toan chi tiet_x0000_coc nuoc"/>
      <sheetName val="sut&lt;1 0"/>
      <sheetName val="SPL4"/>
      <sheetName val="ktduong"/>
      <sheetName val="cu"/>
      <sheetName val="KTcau2004"/>
      <sheetName val="KT2004XL#moi"/>
      <sheetName val="denbu"/>
      <sheetName val="thop"/>
      <sheetName val="He so"/>
      <sheetName val="PL Vua"/>
      <sheetName val="DPD"/>
      <sheetName val="DgDuong"/>
      <sheetName val="dgmo-tru"/>
      <sheetName val="dgdam"/>
      <sheetName val="Dam-Mo-Tru"/>
      <sheetName val="DTDuong"/>
      <sheetName val="GTXLc"/>
      <sheetName val="CPXLk"/>
      <sheetName val="KPTH"/>
      <sheetName val="Bang KL ket cau"/>
      <sheetName val="dv-kphi-cviet"/>
      <sheetName val="bvh-kphi"/>
      <sheetName val="PCCPCHUNG CHO CAC DTUONG"/>
      <sheetName val="Piers of Main Flyower (1)"/>
      <sheetName val="`u lun"/>
      <sheetName val="Du_lieu"/>
      <sheetName val="nhan cong"/>
      <sheetName val="tai"/>
      <sheetName val="hoang"/>
      <sheetName val="hoang (2)"/>
      <sheetName val="hoang (3)"/>
      <sheetName val="IBASE"/>
      <sheetName val="coc duc"/>
      <sheetName val="ctTBA"/>
      <sheetName val="dtct cong"/>
      <sheetName val="ma-pt"/>
      <sheetName val="CHI"/>
      <sheetName val="Nhap don gia VL dia _x0003_"/>
      <sheetName val="Ё_x0000_䀤_x0001__x0000_䀶_x0001__x0000_晦晦晦䀙_x0001__x0000_㿰_x0001_H-_x0000_ਈ_x0000_ꏗ㵰휊䀁_x0001__x0000_尩슏⣵䀂"/>
      <sheetName val="_x0000_????_x0001__x0000__x0000__x0000__x0000_?_x0001_H-_x0000_?_x0000_????_x0001__x0000_????_x0001__x0000__x0000__x0000_"/>
      <sheetName val="Ё"/>
      <sheetName val="?_x0000_?_x0001__x0000_?_x0001__x0000_????_x0001__x0000_?_x0001_H-_x0000_?_x0000_????_x0001__x0000_????"/>
      <sheetName val="Phan tich don gia chi ˆUet"/>
      <sheetName val="?"/>
      <sheetName val="????_x0001_"/>
      <sheetName val="3cau"/>
      <sheetName val="266+623"/>
      <sheetName val="TXL(266+623"/>
      <sheetName val="DDCT"/>
      <sheetName val="M"/>
      <sheetName val="vln"/>
      <sheetName val="IN__x000e_X"/>
      <sheetName val="CHI?TIET"/>
      <sheetName val="Khu xu ly nuoc THiep-XD"/>
      <sheetName val="Box-Girder"/>
      <sheetName val="Số liệu"/>
      <sheetName val="TKKYI"/>
      <sheetName val="TKKYII"/>
      <sheetName val="Tổng hợp theo học sinh"/>
      <sheetName val="XL4Test5 (2)"/>
      <sheetName val="CTC_x000f_NG_02"/>
      <sheetName val="_x0004_GCong"/>
      <sheetName val="NHAP"/>
      <sheetName val="Eodule1"/>
      <sheetName val="coctuatrenda"/>
      <sheetName val="Dbþgia"/>
      <sheetName val="Nhap don gia VL dia _x0003_?uong"/>
      <sheetName val="?Ё????䀤_x0001_????䀶_x0001_?晦晦晦䀙_x0001_????㿰_x0001_H-?ਈ?"/>
      <sheetName val="Ё?䀤_x0001_?䀶_x0001_?晦晦晦䀙_x0001_?㿰_x0001_H-?ਈ?ꏗ㵰휊䀁_x0001_?尩슏⣵䀂"/>
      <sheetName val="?????_x0001_?????_x0001_H-???????_x0001_?????_x0001_???"/>
      <sheetName val="???_x0001_??_x0001_?????_x0001_??_x0001_H-???????_x0001_?????"/>
      <sheetName val="????_x0001_??_x0001_H-???????_x0001_?????_x0001_?"/>
      <sheetName val="0_x0000__x0000_ﱸ͕_x0000__x0004__x0000__x0000__x0000__x0000__x0000__x0000_͕_x0000__x0000__x0000__x0000__x0000__x0000__x0000__x0000_列͕_x0000__x0000__x0013__x0000__x0000__x0000_"/>
      <sheetName val="She"/>
      <sheetName val="TN"/>
      <sheetName val="ND"/>
      <sheetName val="rotoduc"/>
      <sheetName val="Truc"/>
      <sheetName val="roto truc"/>
      <sheetName val="stato"/>
      <sheetName val="Day dt"/>
      <sheetName val="statoday"/>
      <sheetName val="stato tam say"/>
      <sheetName val="Than"/>
      <sheetName val="Stato ep"/>
      <sheetName val="Canh gio"/>
      <sheetName val="Napgio"/>
      <sheetName val="Nap-Hopcuc"/>
      <sheetName val="laprap"/>
      <sheetName val="Cocau"/>
      <sheetName val="Ss Z- GB"/>
      <sheetName val="tonghop"/>
      <sheetName val="Sheet19"/>
      <sheetName val="Sheet18"/>
      <sheetName val="PBCPCHUNG CHO CAC _x0007_{WÑNG"/>
      <sheetName val="Giai trinh"/>
      <sheetName val="GTGT"/>
      <sheetName val="Mua vao TT"/>
      <sheetName val="Mua vao GTGT"/>
      <sheetName val="Bra"/>
      <sheetName val="BC HDon"/>
      <sheetName val="BC HDon Qui"/>
      <sheetName val="KE KHAI HDONG"/>
      <sheetName val="Recovered_Sheet1"/>
      <sheetName val="Recovered_Sheet2"/>
      <sheetName val="md5!-52"/>
      <sheetName val="_x0000_?_x0000__x0000__x0000__x0000_?_x0001__x0000__x0000__x0000__x0000_?_x0001__x0000_????_x0001__x0000__x0000__x0000__x0000_?_x0001_H-_x0000_?_x0000_"/>
      <sheetName val="dt-kphi-ÿÿo-ctiet"/>
      <sheetName val="10mduongsa{ío"/>
      <sheetName val="???????_x0001_?????_x0001_?????_x0001_?????_x0001_H-???"/>
      <sheetName val="She?t9"/>
      <sheetName val="NHTN"/>
      <sheetName val="QLDD"/>
      <sheetName val="Moi truong"/>
      <sheetName val="KHĐ"/>
      <sheetName val="Don gia"/>
      <sheetName val="NVBH(HOAN"/>
      <sheetName val="dt-cphi-ctieT"/>
      <sheetName val="TinhToan"/>
      <sheetName val="fej"/>
      <sheetName val="DT1__x0010_3"/>
      <sheetName val="DGKE_00"/>
      <sheetName val="P4-T`nAn-Factored"/>
      <sheetName val="Thuc thanh"/>
      <sheetName val="[dtTKKT-98-106.xlsၝTHCDS11"/>
      <sheetName val="[dtTKKT-98-106.xls?THCDS11"/>
      <sheetName val="_x0000__x0000__x0000__x0000__x0000__x0000_??_x0000__x0000__x0013__x0000__x0000__x0000__x0000__x0000__x0000__x0000__x0000__x0000__x0000__x0000__x0000__x0000__x0000__x0000__x001f_[dtT"/>
      <sheetName val="CHI TI_x0000__x0000_"/>
      <sheetName val="TD &quot;DIEM"/>
      <sheetName val="CDPS"/>
      <sheetName val="Tuong-ٺ_x0001_an"/>
      <sheetName val="COC KHOAN0T5"/>
      <sheetName val="vua_x0000__x0000__x0000__x0000__x0000__x0000__x0000__x0000__x0000__x0000__x0000_韘࿊_x0000__x0004__x0000__x0000__x0000__x0000__x0000__x0000_酐࿊_x0000__x0000__x0000__x0000__x0000_"/>
      <sheetName val="CPVUE_03"/>
      <sheetName val="S²_x0000__x0000_2"/>
      <sheetName val="_"/>
      <sheetName val="_____x0001_"/>
      <sheetName val="CHI_TIET"/>
      <sheetName val="Nhap don gia VL dia _x0003__uong"/>
      <sheetName val="_Ё____䀤_x0001_____䀶_x0001__晦晦晦䀙_x0001_____㿰_x0001_H-_ਈ_"/>
      <sheetName val="Ё_䀤_x0001__䀶_x0001__晦晦晦䀙_x0001__㿰_x0001_H-_ਈ_ꏗ㵰휊䀁_x0001__尩슏⣵䀂"/>
      <sheetName val="______x0001_______x0001_H-________x0001_______x0001____"/>
      <sheetName val="____x0001____x0001_______x0001____x0001_H-________x0001______"/>
      <sheetName val="_____x0001____x0001_H-________x0001_______x0001__"/>
      <sheetName val="0"/>
      <sheetName val="Du toan chi tiet"/>
      <sheetName val="Piers of Main Flylyer (1)"/>
      <sheetName val="T_x0004_ 3DIEM"/>
      <sheetName val="Rheet10"/>
      <sheetName val="KLD_x0007_TT&lt;120%"/>
      <sheetName val="DG೼�_02"/>
      <sheetName val="INV"/>
      <sheetName val="XXXXXXX2"/>
      <sheetName val="XXXXXXX3"/>
      <sheetName val="XXXXXXX4"/>
      <sheetName val="rph_(2)"/>
      <sheetName val="dtoan_-ctiet"/>
      <sheetName val="NVBH_KHAC"/>
      <sheetName val="NVBH_HOAN"/>
      <sheetName val="sut_duong"/>
      <sheetName val="sut_am"/>
      <sheetName val="bu_lun"/>
      <sheetName val="xoi_lo_chan_ke"/>
      <sheetName val="dtoan_(4)"/>
      <sheetName val="dt-kphi_(2)"/>
      <sheetName val="B_cao"/>
      <sheetName val="T_tiet"/>
      <sheetName val="T_N"/>
      <sheetName val="Piers_of_Main_Flyover_(1)"/>
      <sheetName val="Cot_Tru1"/>
      <sheetName val="COC_KHOAN_M1"/>
      <sheetName val="COC_KHOAN_M2"/>
      <sheetName val="COC_KHOAN_T1"/>
      <sheetName val="COC_KHOAN_T5"/>
      <sheetName val="COC_KHOAN_T4"/>
      <sheetName val="COC_DONG"/>
      <sheetName val="DTCT_02__2595"/>
      <sheetName val="DU_TOAN"/>
      <sheetName val="PHAN_TICH"/>
      <sheetName val="YEU_TO_CONG"/>
      <sheetName val="TD_3DIEM"/>
      <sheetName val="TD_2DIEM"/>
      <sheetName val="TSCD_DUNG_CHUNG_"/>
      <sheetName val="TSCDTOAN_NHA_MAY"/>
      <sheetName val="CPSXTOAN_BO_SP"/>
      <sheetName val="PBCPCHUNG_CHO_CAC_DTUONG"/>
      <sheetName val="THKL_nghiemthu"/>
      <sheetName val="DTCTtaluy_(2)"/>
      <sheetName val="KLDGTT&lt;120%_(2)"/>
      <sheetName val="TH_(2)"/>
      <sheetName val="nhan_cong"/>
      <sheetName val="Sheet3_(2)"/>
      <sheetName val="`u_lun"/>
      <sheetName val="Tong_hopQ48-1"/>
      <sheetName val="Tong_hop_QL48_-_2"/>
      <sheetName val="Tong_hop_QL47"/>
      <sheetName val="Tong_hop_QL48_-_3"/>
      <sheetName val="Chi_tiet_don_gia_khoi_phuc"/>
      <sheetName val="Du_toan_chi_tiet_coc_nuoc"/>
      <sheetName val="Du_toan_chi_tiet_coc"/>
      <sheetName val="Phan_tich_don_gia_chi_tiet"/>
      <sheetName val="Nhap_don_gia_VL_dia_phuong"/>
      <sheetName val="Luong_mot_ngay_cong_xay_lap"/>
      <sheetName val="Luong_mot_ngay_cong_khao_sat"/>
      <sheetName val="TO_HUNG"/>
      <sheetName val="CONGNHAN_NE"/>
      <sheetName val="Vatlieu_cau"/>
      <sheetName val="cau_DS11"/>
      <sheetName val="cau_DS12"/>
      <sheetName val="sut&lt;1_0"/>
      <sheetName val="Khu_xu_ly_nuoc_THiep-XD"/>
      <sheetName val="PL_tham_dinh"/>
      <sheetName val="Bu_VC"/>
      <sheetName val="Pier"/>
      <sheetName val="Pile"/>
      <sheetName val="DEF"/>
      <sheetName val="Sheet3ٺ_x0001_2)"/>
      <sheetName val="T²_x0000__x0000_8-49"/>
      <sheetName val="dt-k0hi (2)"/>
      <sheetName val="DT_x0003_T_02"/>
      <sheetName val="She%t11"/>
      <sheetName val="Nhap don gia VL dia áhuong"/>
      <sheetName val="uong mot ngay cong xay lap"/>
      <sheetName val="NKC"/>
      <sheetName val="SoCaiT"/>
      <sheetName val="THDU"/>
      <sheetName val="MTO REV.2(ARMOR)"/>
      <sheetName val="Nhatkychung"/>
      <sheetName val="S? li?u"/>
      <sheetName val="T?ng h?p theo h?c sinh"/>
      <sheetName val="KHÐ"/>
      <sheetName val="Du toan chi tiet coc juoc"/>
      <sheetName val="Du toan_x0000_chi tiet coc"/>
      <sheetName val="Gca may Buu dien"/>
      <sheetName val="882"/>
      <sheetName val="Giamay"/>
      <sheetName val="DM_GVT"/>
      <sheetName val="May chuyen nganh"/>
      <sheetName val="TT06"/>
      <sheetName val="ptvì0-1"/>
      <sheetName val="________x0001_______x0001_______x0001_______x0001_H-___"/>
      <sheetName val="She_t9"/>
      <sheetName val="dt-kphi_x0010_øÿet"/>
      <sheetName val="Quantity"/>
      <sheetName val="Sheet1 (3)"/>
      <sheetName val="Sheet1 (2)"/>
      <sheetName val="tra_x0000__x0000__x0000__x0000__x0000_±@Z"/>
      <sheetName val="KLDGTT&lt;1ü_x000c__x0000__x0000_(2)"/>
      <sheetName val="Piers of Mai. Flyover (1)"/>
      <sheetName val="DothiP1"/>
      <sheetName val="0000000!"/>
      <sheetName val="PC-summary"/>
      <sheetName val="YE2_x0000__x0000_ CONG"/>
      <sheetName val="???_x0001_??_x0001_?????_x0001_??_x0001_H-???"/>
      <sheetName val="____x0001____x0001_______x0001____x0001_H-___"/>
      <sheetName val="dt-kphi-isoiendo"/>
      <sheetName val="khluong"/>
      <sheetName val="Giathanh1m3BT"/>
      <sheetName val="KL thanh toan-Xuan Dao"/>
      <sheetName val="Don_gia_chi_tiet"/>
      <sheetName val="Du_thau"/>
      <sheetName val="Tro_giup"/>
      <sheetName val="Phan_tich_don_gia_chi_Uet"/>
      <sheetName val="t1_3"/>
      <sheetName val="T2_x0000__x0000_)"/>
      <sheetName val="vua_x0000_韘࿊_x0000__x0004__x0000_酐࿊_x0000_須࿊_x0000__x0004__x0000__x0016_[dtTKKT-98-10"/>
      <sheetName val="ma_pt"/>
      <sheetName val="KLDGTT&lt;1ü_x000c_??(2)"/>
      <sheetName val="S_ li_u"/>
      <sheetName val="T_ng h_p theo h_c sinh"/>
      <sheetName val="KLDGTT&lt;1ü_x000c_"/>
      <sheetName val="tienluong"/>
      <sheetName val="0??ﱸ͕?_x0004_??????͕????????列͕??_x0013_???"/>
      <sheetName val="TM_JCTC"/>
      <sheetName val="bth-ëphi"/>
      <sheetName val="tra"/>
      <sheetName val="COC KH@_x0008__x0000__x0001_T5"/>
      <sheetName val="Load"/>
      <sheetName val="99AP1"/>
      <sheetName val="99AP2"/>
      <sheetName val="99AP3"/>
      <sheetName val="99AP4"/>
      <sheetName val="99AP5"/>
      <sheetName val="99AP6"/>
      <sheetName val="99AP7"/>
      <sheetName val="98AP1"/>
      <sheetName val="98AP2"/>
      <sheetName val="Tuong-?_x0001_an"/>
      <sheetName val="98AP3"/>
      <sheetName val="98AP4"/>
      <sheetName val="98AP5"/>
      <sheetName val="98AP6"/>
      <sheetName val="98AP7"/>
      <sheetName val="97AP1"/>
      <sheetName val="97AP2"/>
      <sheetName val="97AP3"/>
      <sheetName val="97AP4"/>
      <sheetName val="97AP5"/>
      <sheetName val="97AP6"/>
      <sheetName val="97AP7"/>
      <sheetName val="96AP1"/>
      <sheetName val="96AP2"/>
      <sheetName val="96AP3"/>
      <sheetName val="96AP4"/>
      <sheetName val="96AP5"/>
      <sheetName val="96AP6"/>
      <sheetName val="96AP7"/>
      <sheetName val="95AP1"/>
      <sheetName val="95AP2"/>
      <sheetName val="95AP3"/>
      <sheetName val="95AP4"/>
      <sheetName val="95AP5"/>
      <sheetName val="95AP6"/>
      <sheetName val="95AP7"/>
      <sheetName val="94AP1"/>
      <sheetName val="94AP2"/>
      <sheetName val="94AP3"/>
      <sheetName val="94AP4"/>
      <sheetName val="94AP5"/>
      <sheetName val="94AP6"/>
      <sheetName val="94AP7"/>
      <sheetName val="93AP1"/>
      <sheetName val="93AP2"/>
      <sheetName val="93AP3"/>
      <sheetName val="93AP4"/>
      <sheetName val="93AP5"/>
      <sheetName val="93AP6"/>
      <sheetName val="93AP7"/>
      <sheetName val="92AP1"/>
      <sheetName val="92AP2"/>
      <sheetName val="92AP3"/>
      <sheetName val="92AP4"/>
      <sheetName val="92AP5"/>
      <sheetName val="92AP6"/>
      <sheetName val="92AP7"/>
      <sheetName val="91AP1"/>
      <sheetName val="91AP2"/>
      <sheetName val="91AP3"/>
      <sheetName val="91AP4"/>
      <sheetName val="91AP5"/>
      <sheetName val="NC"/>
      <sheetName val="TH_11"/>
      <sheetName val="CUAHANG"/>
      <sheetName val="MAKHACH"/>
      <sheetName val="Klu_x0016_4_x0000_DÀÀFN"/>
      <sheetName val="_?____?_x0001_____?_x0001__????_x0001_____?_x0001_H-_?_"/>
      <sheetName val="?_?_x0001__?_x0001__????_x0001__?_x0001_H-_?_????_x0001__????"/>
      <sheetName val="DT1]03"/>
      <sheetName val="91AP6"/>
      <sheetName val="91AP7"/>
      <sheetName val="90AP1"/>
      <sheetName val="90AP2"/>
      <sheetName val="90AP3"/>
      <sheetName val="90AP4"/>
      <sheetName val="90AP5"/>
      <sheetName val="90AP6"/>
      <sheetName val="90AP7"/>
      <sheetName val="89AP1"/>
      <sheetName val="89AP2"/>
      <sheetName val="89AP3"/>
      <sheetName val="89AP4"/>
      <sheetName val="89AP5"/>
      <sheetName val="89AP6"/>
      <sheetName val="89AP7"/>
      <sheetName val="88AP1"/>
      <sheetName val="88AP2"/>
      <sheetName val="88AP3"/>
      <sheetName val="88AP4"/>
      <sheetName val="88AP5"/>
      <sheetName val="88AP6"/>
      <sheetName val="88AP7"/>
      <sheetName val="87AP1"/>
      <sheetName val="87AP2"/>
      <sheetName val="87AP3"/>
      <sheetName val="87AP4"/>
      <sheetName val="87AP5"/>
      <sheetName val="87AP6"/>
      <sheetName val="87AP7"/>
      <sheetName val="86AP1"/>
      <sheetName val="86AP2"/>
      <sheetName val="86AP3"/>
      <sheetName val="86AP4"/>
      <sheetName val="86AP5"/>
      <sheetName val="86AP6"/>
      <sheetName val="86AP7"/>
      <sheetName val="85AP1"/>
      <sheetName val="85AP2"/>
      <sheetName val="85AP3"/>
      <sheetName val="85AP4"/>
      <sheetName val="85AP5"/>
      <sheetName val="85AP6"/>
      <sheetName val="85AP7"/>
      <sheetName val="84AP1"/>
      <sheetName val="84AP2"/>
      <sheetName val="84AP3"/>
      <sheetName val="84AP4"/>
      <sheetName val="84AP5"/>
      <sheetName val="84AP6"/>
      <sheetName val="84AP7"/>
      <sheetName val="THTIEUHOC"/>
      <sheetName val="THTHCSMau1"/>
      <sheetName val="THCSMAU2"/>
      <sheetName val="KH2A"/>
      <sheetName val="Mau1BTrH"/>
      <sheetName val="Mau2BTrH"/>
      <sheetName val="Mau3BTrH"/>
      <sheetName val="KH1a"/>
      <sheetName val="NGOAINHATRUONG"/>
      <sheetName val="MAU7THCS"/>
      <sheetName val="MAU5THCS"/>
      <sheetName val="MAU6THCS"/>
      <sheetName val="THGV"/>
      <sheetName val="THCSVC"/>
      <sheetName val="CACH NHAP"/>
      <sheetName val="Du toan chi tiet?coc nuoc"/>
      <sheetName val="YE2?? CONG"/>
      <sheetName val="tra?????±@Z"/>
      <sheetName val="vua???????????韘࿊?_x0004_??????酐࿊?????"/>
      <sheetName val="CtVKdam_x0000_Ʀ_x0000__x0000__x0000__x0000__x0000_"/>
      <sheetName val="Bang chiet tinh TBA"/>
      <sheetName val="Ctinh 10kV"/>
      <sheetName val="A6"/>
      <sheetName val="Sheet_x005f_x0001_1"/>
      <sheetName val="CHI_x005f_x0000_TIET"/>
      <sheetName val="KH-Q1,Q2,01"/>
      <sheetName val="MTP"/>
      <sheetName val="Xuly Data"/>
      <sheetName val="DGAT_02"/>
      <sheetName val="PL t"/>
      <sheetName val="Bu VC_x0000__x0000__x0000__x0000__x0000__x0000__x0000_4_x0000__x0001__x0000_龴΅_x0000__x0004__x0000_"/>
      <sheetName val="40000000_x0000_Ή_x0000__x0000__x0000__x0000__x0000__x0000__x0000__x0000__x0000__x0000_ꃬ΅_x0000__x0004__x0000__x0000__x0000__x0000__x0000__x0000_"/>
      <sheetName val="Gia Du Thau "/>
      <sheetName val="_dtTKKT-98-106.xlsၝTHCDS11"/>
      <sheetName val="_dtTKKT-98-106.xls_THCDS11"/>
      <sheetName val="DGKE]02"/>
      <sheetName val="Chiet tinh dz35"/>
      <sheetName val="Luong_mot_ngay_cong_k`ao_sat"/>
      <sheetName val="Luong_x0000_mot ngay cong xay lap"/>
      <sheetName val="dtmkphi-iso-tong"/>
      <sheetName val="TT"/>
      <sheetName val="YE2"/>
      <sheetName val="TOSHIBA-Structure"/>
      <sheetName val="vua?韘࿊?_x0004_?酐࿊?須࿊?_x0004_?_x0016_[dtTKKT-98-10"/>
      <sheetName val="Input"/>
      <sheetName val="INDEX"/>
      <sheetName val="_x0000_Ё_x0000__x0000__x0000__x0000_䀤_x0001__x0000__x0000__x0000__x0000_䀶_x0001__x0000_晦晦晦䀙_x0001__x0000__x0000__x0000_"/>
      <sheetName val="THNVVNN"/>
      <sheetName val="DSTTGTGT"/>
      <sheetName val="KET CHUYEN GIA VON 2005"/>
      <sheetName val="TMTC"/>
      <sheetName val="CHI TIEU"/>
      <sheetName val="KQKD"/>
      <sheetName val="BCDKT"/>
      <sheetName val="T.H CPCT"/>
      <sheetName val="THGÝaT"/>
      <sheetName val="khai  thue"/>
      <sheetName val="C§PS"/>
      <sheetName val="TRUONG "/>
      <sheetName val="KON LONG"/>
      <sheetName val="THUY DIEN"/>
      <sheetName val="LO 5_x0009_"/>
      <sheetName val="hoane (3)"/>
      <sheetName val="0_x0000__x0000_??_x0000__x0004__x0000__x0000__x0000__x0000__x0000__x0000_??_x0000__x0000__x0000__x0000__x0000__x0000__x0000__x0000_??_x0000__x0000__x0013__x0000__x0000__x0000_"/>
      <sheetName val="Sheet3?_x0001_2)"/>
      <sheetName val="NGO MAY"/>
      <sheetName val="NGOC HOI"/>
      <sheetName val="cau 2"/>
      <sheetName val="CAU DAK PSI"/>
      <sheetName val="BT gi¸ thµnh"/>
      <sheetName val="Bill No. 2 - Carpark"/>
      <sheetName val="DG??_02"/>
      <sheetName val="?_x0000_???_x0010_??_x0000__x0004__x0000__x0000__x0000__x0000__x0000__x0000_??_x0000__x0000__x0000__x0000__x0000__x0000__x0000__x0000_??_x0000__x0000__x0006_"/>
      <sheetName val="sat"/>
      <sheetName val="ptvt"/>
      <sheetName val="tra_____±@Z"/>
      <sheetName val="Macro"/>
      <sheetName val="Taux"/>
      <sheetName val="hinhhoc"/>
      <sheetName val="Sheet8_x0006__x0000_Sheet9_x0007__x0000_Sheet10_x0007__x0000_Sheet1"/>
      <sheetName val="Sheet8_x0006__x0000__x0000_Sheet9_x0007__x0000__x0000_Sheet10_x0007__x0000__x0000_She"/>
      <sheetName val="KLDGTT&lt;1ü_x000c___(2)"/>
      <sheetName val="TTDZ22"/>
      <sheetName val="vua_x0000__x0000__x0000__x0000__x0000__x0000__x0000__x0000__x0000__x0010__x0000_韘࿊_x0000__x0004__x0000__x0000__x0000__x0000__x0000__x0000_酐࿊_x0000__x0000__x0000__x0000__x0000_"/>
      <sheetName val="KHAO_TCCD"/>
      <sheetName val="bth-kpha"/>
      <sheetName val="T2??)"/>
      <sheetName val="Du toan?chi tiet coc"/>
      <sheetName val="S2_x0000__x0000_11"/>
      <sheetName val="Tuong-ٺ_x0001_闰⼔"/>
      <sheetName val="[_x001e__x001e__x001e__x001e__x001e__x001e__x001e__x001e__x001e__x001e__x001e__x001e__x001e__x001e__x001e__x001e__x001e__x001e__x001e__x001e__x001e__x001e__x001e__x001e__x001e__x001e__x001e__x001e__x001e_"/>
      <sheetName val="dt,kphi-iso-tong"/>
      <sheetName val="dt-kphi_x000d_iso-ctiet"/>
      <sheetName val="sut8100"/>
      <sheetName val="tra-vat-l)eu"/>
      <sheetName val="DL^KH"/>
      <sheetName val="soctiett+"/>
      <sheetName val="Ctietkh`ch"/>
      <sheetName val="pp1p"/>
      <sheetName val="pp3p_NC"/>
      <sheetName val="pp3p "/>
      <sheetName val="Btra"/>
      <sheetName val="dmvt "/>
      <sheetName val="[dtTKKT-98-106.xl۽_x0000_gvt"/>
      <sheetName val="Luong mot ngay cofg xay lap"/>
      <sheetName val="?Ё????䀤_x0001_????䀶_x0001_?晦晦晦䀙_x0001_????㿰變Ű铌M_x0000__x0000_"/>
      <sheetName val="ULIT"/>
      <sheetName val="THop$7-48"/>
      <sheetName val="SUMMARY_x0000__x0000__x0000__x0000__x0000__x0000__x0000__x0000__x0000__x0001__x0000__x0000__x0000__x0000__x0000__x0000__x0000__x0000__x0000__x0000__x0000_꯼Ŏ_x0000_"/>
      <sheetName val="$ap"/>
      <sheetName val="ND Thu"/>
      <sheetName val="PT"/>
      <sheetName val="ND Chi"/>
      <sheetName val="PC"/>
      <sheetName val="CtVKdam?Ʀ?????"/>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_x001e__x001e__x001e__x001e__x001e__x001e__x001e__x001e__x001e__x001e__x001e__x001e__x001e__x001e__x001e__x001e__x001e__x001e__x001e__x001e__x001e__x001e__x001e__x001e__x001e__x001e__x001e__x001e__x001e__x001e_"/>
      <sheetName val="Tuong-ٺՍ_x0000__x0000_"/>
      <sheetName val="Tuong-ٺ՘_x0000__x0000_"/>
      <sheetName val="Tuong-ٺՍ搘_x0012_"/>
      <sheetName val="?_x0000_?_x0001__x0000_?_x0001__x0000_????_x0001__x0000_?_x0001_H-_x0000_?_x0005_"/>
      <sheetName val="Du toan c`i tiet coc nuoc"/>
      <sheetName val="CHI TI??"/>
      <sheetName val="Du toan chi tiet coc nuoc??????"/>
      <sheetName val="Du toan chi tiet coc nuoc______"/>
      <sheetName val="S²"/>
      <sheetName val="Klu_x0016_4"/>
      <sheetName val="COC KH@_x0008_"/>
      <sheetName val="LO 5 "/>
      <sheetName val="T²"/>
      <sheetName val="GIATRI-聄AILY"/>
      <sheetName val="tra-vet-lieu"/>
      <sheetName val="CtVKdam"/>
      <sheetName val="RCCPCHUNG CHO CAC DTUONG"/>
      <sheetName val="KKKKKKKK"/>
      <sheetName val="dt-kphi_x000a_iso-ctiet"/>
      <sheetName val="tkkhai"/>
      <sheetName val="cp`i"/>
      <sheetName val="CPQL"/>
      <sheetName val="THCPQL"/>
      <sheetName val="Sheet8_x0006_"/>
      <sheetName val="GTXad"/>
      <sheetName val="Nhap_don_gia_VL_dia_uong"/>
      <sheetName val="ESTI_"/>
      <sheetName val="LO_65+41B"/>
      <sheetName val="LO_48"/>
      <sheetName val="LO_47A"/>
      <sheetName val="LO_46B"/>
      <sheetName val="LO_45"/>
      <sheetName val="LO_44"/>
      <sheetName val="KLDGTT&lt;1ü_x000c_??(2_x0005_"/>
      <sheetName val="DGCONGW02"/>
      <sheetName val="[dtTKKT-98-106.xl۽"/>
      <sheetName val="dt-kphi-isn-ctiet"/>
      <sheetName val="COC KHOAN V1"/>
      <sheetName val="S2"/>
      <sheetName val="gia-ca-may"/>
      <sheetName val="Dra_TTTD"/>
      <sheetName val="rph_(2)1"/>
      <sheetName val="dtoan_-ctiet1"/>
      <sheetName val="NVBH_KHAC1"/>
      <sheetName val="NVBH_HOAN1"/>
      <sheetName val="sut_duong1"/>
      <sheetName val="XXXXIXI1"/>
      <sheetName val="Tong hop qL_x0014_8"/>
      <sheetName val="Package1"/>
      <sheetName val="??????????_x0013_???????????????_x001f_[dtT"/>
      <sheetName val="S²??2"/>
      <sheetName val="coc_duc"/>
      <sheetName val="bao_cao_ngay_13-02"/>
      <sheetName val="SUMMARY"/>
      <sheetName val="Daѭ-Mo-Tru"/>
      <sheetName val="?Ё????䀤_x0001_????䀶_x0001_?晦晦晦䀙_x0001_????㿰_x0001_H-?ਈ"/>
      <sheetName val="THop50-5ȱ"/>
      <sheetName val="TinhtaiKCN"/>
      <sheetName val="FPPN_x0000__x0000_ﬄΥ_x0000__x0004__x0000__x0000__x0000__x0000__x0000__x0000_錜Ι_x0000__x0000__x0000__x0000__x0000__x0000__x0000__x0000_㤼Ę_x0000__x0000_ĥ"/>
      <sheetName val="vua_x0000__x0000__x0000__x0000__x0000__x0000__x0000__x0000__x0000__x0000__x0000_??_x0000__x0004__x0000__x0000__x0000__x0000__x0000__x0000_??_x0000__x0000__x0000__x0000__x0000_"/>
      <sheetName val="BU GIA SAT"/>
      <sheetName val="YE2_x0000__x0000_€ CONG"/>
      <sheetName val="tra_x0000__x0000__x0000__x0000__x0000_”±@Z"/>
      <sheetName val="khluonØ"/>
      <sheetName val="__x001e__x001e__x001e__x001e__x001e__x001e__x001e__x001e__x001e__x001e__x001e__x001e__x001e__x001e__x001e__x001e__x001e__x001e__x001e__x001e__x001e__x001e__x001e__x001e__x001e__x001e__x001e__x001e__x001e_"/>
      <sheetName val="XXXXXXX¸"/>
      <sheetName val="XL4Te{t5"/>
      <sheetName val="Du toan chi tiet_coc nuoc"/>
      <sheetName val="0__ﱸ͕__x0004_______͕________列͕___x0013____"/>
      <sheetName val="vua___________韘࿊__x0004_______酐࿊_____"/>
      <sheetName val="P4-TanAn-Nactored"/>
      <sheetName val="sut&lt;1 0_x0005__x0000__x0000_tuong"/>
      <sheetName val="T²??8-49"/>
      <sheetName val="XXXXXX0&quot;"/>
      <sheetName val="DG___02"/>
      <sheetName val="CtVKdam_x0000_?_x0000__x0000__x0000__x0000__x0000_"/>
      <sheetName val="vua_x0000_??_x0000__x0004__x0000_??_x0000_??_x0000__x0004__x0000__x0016_[dtTKKT-98-10"/>
      <sheetName val="Tuong-ٺ_x0000_所_x0002_"/>
      <sheetName val="THDT_x0000__x0000__x0000__x0000__x0017_[dtTKKT-98-106.xls]KST"/>
      <sheetName val="PTCT_x0000__x0000__x0000__x0000__x0017_[dtTKKT-98-106.xls]THD"/>
      <sheetName val="Bu VC_x0000__x0000__x0000__x0018_[dtTKKT-98-106.xls]luo"/>
      <sheetName val="II.1 TH LDat TB PCCC"/>
      <sheetName val="II.2TH LDat VL PCCC"/>
      <sheetName val="II.3 TB VL PCCC"/>
      <sheetName val="II.4 LDat PCCC"/>
      <sheetName val="DG DN"/>
      <sheetName val="VTTB"/>
      <sheetName val="LKVL-CK-HT-GD1"/>
      <sheetName val="TONGKE-HT"/>
      <sheetName val="__________________________H___2"/>
      <sheetName val="vua___________________________2"/>
      <sheetName val="__________________________H___3"/>
      <sheetName val="0_____________________________2"/>
      <sheetName val="vua___________________________3"/>
      <sheetName val="Tai khoan"/>
      <sheetName val="실행철강하도"/>
      <sheetName val="?????_x0010_???_x0004_????????????????????_x0006_"/>
      <sheetName val="40000000______________________2"/>
      <sheetName val="DG೼�__x0000__x0000_"/>
      <sheetName val="DG೼�_က_x0000_"/>
      <sheetName val="?Ё????䀤_x0001_????䀶_x0001_?晦晦晦䀙_x0001_????㿰_x0001_H-?ਈ1"/>
      <sheetName val="vua???????????韘࿊_x0000__x0000_邈ᖧ∤&amp;逼_x0016_镄_x0016__x0000__x0000_ࠉ_x0000_闘"/>
      <sheetName val="vua???????????韘࿊䘭痠ɦꙭń_x0000__x0000_꼠ྉ∤+䌘_x0013_䠠"/>
      <sheetName val="She%t18"/>
      <sheetName val="?_x0000_?_x0001__x0000_?_x0001__x0000_????_x0001__x0000_?_x0001_H-_x0000_?_x0018_"/>
      <sheetName val="She%t1_x0005_"/>
      <sheetName val="BANGMA"/>
      <sheetName val="NK_x0005_"/>
      <sheetName val="kcdz0,4"/>
      <sheetName val="T"/>
      <sheetName val="CUAHAN_x0000_"/>
      <sheetName val="Nluc_x0000__x0000__x0000__x0000__x0018_[dtTKKT-98-106.xls]Toh"/>
      <sheetName val="a0000000_x0000__x0000__x0000__x0000__x001b_[dtTKKT-98-106.xls"/>
      <sheetName val="?Ё????䀤_x0001_????䀶_x0001_?晦晦晦䀙_x0001_???"/>
      <sheetName val="vua_x0000_韘࿊_x0000__x0004__x0000_酐࿊_x0000_須࿊_x0000__x0004__x0000__x0016_　ⷝᎄ_x0000_Ԁ뀙_x0000__x0000_Ԁ_x0000_ꀀ"/>
      <sheetName val="0_x0000__x0000_ﱸ͕_x0000__x0004__x0000__x0000__x0000__x0000__x0000__x0000_͕_x0000__x0000__x0000__x0000__x0000__xdf50__xdc26_ø_x0000_ᤅỷ翷_x0000__x0000__x0000__x0005_"/>
      <sheetName val="SoCai"/>
      <sheetName val="SoCai "/>
      <sheetName val="SoCai`"/>
      <sheetName val="SoCai_x0000_"/>
      <sheetName val="Tong hop qL_x0014_8_x0000_-_x0000_3"/>
      <sheetName val="[dtTKKT-98-106.xlsၝTH䱄㌟쀀ᅨ砋"/>
      <sheetName val="sut&lt;1 0_x0005_"/>
      <sheetName val="Bang tt mot so chi tiet"/>
      <sheetName val="Gioi thieu"/>
      <sheetName val="lam-moi"/>
      <sheetName val="TONG HOP VL-NC"/>
      <sheetName val="dongia (2)"/>
      <sheetName val="thao-go"/>
      <sheetName val="THPDMoi  (2)"/>
      <sheetName val="gtrinh"/>
      <sheetName val="phuluc1"/>
      <sheetName val="TONGKE3p "/>
      <sheetName val="giathanh1"/>
      <sheetName val="TH VL, NC, DDHT Thanhphuoc"/>
      <sheetName val="#REF"/>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Parms"/>
      <sheetName val="SAL"/>
      <sheetName val="SheetÀ"/>
      <sheetName val="TH CTRINH"/>
      <sheetName val="Sum"/>
      <sheetName val="DG೼�_ⴀ⩆"/>
      <sheetName val="DG೼�_䳆"/>
      <sheetName val="DG೼�__x0001__x0000_"/>
      <sheetName val="DG೼�_ⴀ꽆"/>
      <sheetName val="DG೼�_ⴀ"/>
      <sheetName val="DG೼�_w䫪"/>
      <sheetName val="A300-BS"/>
      <sheetName val="A301-IS"/>
      <sheetName val="A315-TB Dec USD"/>
      <sheetName val="A340-List of adj-31.12-USD"/>
      <sheetName val="A311-TB.31.12.10"/>
      <sheetName val="A312-List of adj-31.12-VND"/>
      <sheetName val="A310-List of adj-4.7"/>
      <sheetName val="A309-TB-4.7.10"/>
      <sheetName val="adj by acc-4.7"/>
      <sheetName val="adj by acc-31.12.VND"/>
      <sheetName val="A320-Materiality"/>
      <sheetName val="SUAD"/>
      <sheetName val="TH thiet bi"/>
      <sheetName val="TH vat tu"/>
      <sheetName val="TH may TC"/>
      <sheetName val="Bang phan tich"/>
      <sheetName val="DM Chi phi"/>
      <sheetName val="Bang khoi luong"/>
      <sheetName val="Hang muc trung gian"/>
      <sheetName val="luong06"/>
      <sheetName val="dt-kphi-isoiend_x0000_"/>
      <sheetName val="dt-kphi-isoiend"/>
      <sheetName val="PSIII"/>
      <sheetName val="PSIV"/>
      <sheetName val="Du toan chi tiet coc nuoc_x0000__x0009_㲠ή_x0000__x0004_"/>
      <sheetName val="rph_(2)2"/>
      <sheetName val="KLDGTT&lt;1ü_x000c_?(2)"/>
      <sheetName val="DI_ESTI"/>
      <sheetName val="vua_x0000__x0000__x0000__x0000__x0000__x0000__x0000__x0000__x0000__x0000__x0000_韘࿊_x0000__x0004__x0000__x0000_ԩ_x0000__x0000__x0000_Ȁ_x0000_洀푛梐ኘȀ"/>
      <sheetName val="YET_TO_CONG"/>
      <sheetName val="XXXXXXXm"/>
      <sheetName val="r"/>
      <sheetName val="0_x0000__x0000_ﱸ͕_x0000__x0004__x0000__x0000__x0000__x0000__x0000__x0000_͕_x0000__x0000__x0000__x0000__x0000__x0000_䒰ɬ웬ŉ_x0000__x0000_졨ၰ㛴,"/>
      <sheetName val="0_x0000__x0000_ﱸ͕_x0000__x0004__x0000__x0000__x0000__x0000__x0000__x0000_͕_x0000__x0000__x0000__x0000__x0000__x0000__x0000__x0000_堸ⷘ㔌?諬(迴("/>
      <sheetName val="0_x0000__x0000_ﱸ͕_x0000__x0004__x0000__x0000__x0000__x0000__x0000__x0000_͕_x0000__x0000__x0000__x0000__x0000__x0000__x0000__x0000_畨▰㔬|跼E錄E"/>
      <sheetName val="0_x0000__x0000_ﱸ͕_x0000__x0004__x0000__x0000__x0000__x0000__x0000__x0000_͕_x0000__x0000__x0000__x0000__x0000__x0000__x0000__x0000_挸ᔂ㔬=觬_x0014_軴_x0014_"/>
      <sheetName val="0_x0000__x0000_ﱸ͕_x0000__x0004__x0000__x0000__x0000__x0000__x0000__x0000_͕_x0000__x0000__x0000__x0000__x0000__x0000__x0000__x0000_傘ᤠ㔬6遼_x0016_閄_x0016_"/>
      <sheetName val="0_x0000__x0000_ﱸ͕_x0000__x0004__x0000__x0000__x0000__x0000__x0000__x0000_͕_x0000__x0000__x0000__x0000__x0000__x0000__x0000__x0000_쵠㝠㔬6遼_x0016_閄_x0016_"/>
      <sheetName val="11-00  "/>
      <sheetName val="THDT????_x0017_[dtTKKT-98-106.xls]KST"/>
      <sheetName val="PTCT????_x0017_[dtTKKT-98-106.xls]THD"/>
      <sheetName val="Bu VC???_x0018_[dtTKKT-98-106.xls]luo"/>
      <sheetName val="Raw"/>
      <sheetName val="bang tra"/>
      <sheetName val="0_x0000__x0000_ﱸ͕_x0000__x0004__x0000__x0000__x0000__x0000__x0000__x0000_͕_x0000__x0000__x0000__x0000__x0000__x0000__x0000__x0000_列͕ﾈǠ萹¤ᵼB"/>
      <sheetName val="Eodule`"/>
      <sheetName val="PC-summarm"/>
      <sheetName val="PC-summar_x0000_"/>
      <sheetName val="vua_x0000_韘࿊_x0000__x0004__x0000_酐࿊_x0000_須࿊_x0000__x0004__x0000__x0016_[dtTKKT-98_x0005__x0000__x0000_"/>
      <sheetName val="Notes"/>
      <sheetName val="BG"/>
      <sheetName val="TH kinh phi"/>
      <sheetName val="KLDT DIEN"/>
      <sheetName val="Dinh muc CP KTCB khac"/>
      <sheetName val="TÍNH TOÁN KHỐI LƯỢNG P6"/>
      <sheetName val="FAB별"/>
      <sheetName val="SITE-E"/>
      <sheetName val="기안"/>
      <sheetName val="TSCDTOAN NHA MA§"/>
      <sheetName val="dt-kphi_(2)1"/>
      <sheetName val="Piers_of_Main_Flyover_(1)1"/>
      <sheetName val="Cot_Tru11"/>
      <sheetName val="COC_KHOAN_M11"/>
      <sheetName val="COC_KHOAN_M21"/>
      <sheetName val="COC_KHOAN_T11"/>
      <sheetName val="COC_KHOAN_T51"/>
      <sheetName val="COC_KHOAN_T41"/>
      <sheetName val="COC_DONG1"/>
      <sheetName val="DTCT_02__25951"/>
      <sheetName val="B_cao1"/>
      <sheetName val="T_tiet1"/>
      <sheetName val="T_N1"/>
      <sheetName val="YEU_TO_CONG1"/>
      <sheetName val="TD_3DIEM1"/>
      <sheetName val="TD_2DIEM1"/>
      <sheetName val="THKL_nghiemthu1"/>
      <sheetName val="DTCTtaluy_(2)1"/>
      <sheetName val="KLDGTT&lt;120%_(2)1"/>
      <sheetName val="TH_(2)1"/>
      <sheetName val="DU_TOAN1"/>
      <sheetName val="CHI_TIET1"/>
      <sheetName val="PHAN_TICH1"/>
      <sheetName val="TSCD_DUNG_CHUNG_1"/>
      <sheetName val="TSCDTOAN_NHA_MAY1"/>
      <sheetName val="CPSXTOAN_BO_SP1"/>
      <sheetName val="PBCPCHUNG_CHO_CAC_DTUONG1"/>
      <sheetName val="Vatlieu_cau1"/>
      <sheetName val="cau_DS111"/>
      <sheetName val="cau_DS121"/>
      <sheetName val="Tong_hopQ48-11"/>
      <sheetName val="Tong_hop_QL48_-_21"/>
      <sheetName val="Tong_hop_QL471"/>
      <sheetName val="Tong_hop_QL48_-_31"/>
      <sheetName val="Chi_tiet_don_gia_khoi_phuc1"/>
      <sheetName val="Du_toan_chi_tiet_coc_nuoc1"/>
      <sheetName val="Du_toan_chi_tiet_coc1"/>
      <sheetName val="Phan_tich_don_gia_chi_tiet1"/>
      <sheetName val="Nhap_don_gia_VL_dia_phuong1"/>
      <sheetName val="Luong_mot_ngay_cong_xay_lap1"/>
      <sheetName val="Luong_mot_ngay_cong_khao_sat1"/>
      <sheetName val="Sheet3_(2)1"/>
      <sheetName val="TO_HUNG1"/>
      <sheetName val="CONGNHAN_NE1"/>
      <sheetName val="sut_am1"/>
      <sheetName val="bu_lun1"/>
      <sheetName val="xoi_lo_chan_ke1"/>
      <sheetName val="dtoan_(4)1"/>
      <sheetName val="Don_gia_chi_tiet1"/>
      <sheetName val="Du_thau1"/>
      <sheetName val="Tro_giup1"/>
      <sheetName val="t1_31"/>
      <sheetName val="PL_tham_dinh1"/>
      <sheetName val="Bu_VC1"/>
      <sheetName val="LO_46A"/>
      <sheetName val="LO_41A"/>
      <sheetName val="LO_66"/>
      <sheetName val="LO_42"/>
      <sheetName val="LO_47B"/>
      <sheetName val="LO_43"/>
      <sheetName val="LO_64"/>
      <sheetName val="LO_50"/>
      <sheetName val="LO_49_B_"/>
      <sheetName val="LO_63"/>
      <sheetName val="LO_62"/>
      <sheetName val="LO_49_A"/>
      <sheetName val="LO_61"/>
      <sheetName val="Du_toan_chi_tietcoc_nuoc"/>
      <sheetName val="sut&lt;1_01"/>
      <sheetName val="He_so"/>
      <sheetName val="PL_Vua"/>
      <sheetName val="Bang_KL_ket_cau"/>
      <sheetName val="PCCPCHUNG_CHO_CAC_DTUONG"/>
      <sheetName val="Piers_of_Main_Flyower_(1)"/>
      <sheetName val="`u_lun1"/>
      <sheetName val="nhan_cong1"/>
      <sheetName val="CTCNG_02"/>
      <sheetName val="GCong"/>
      <sheetName val="Số_liệu"/>
      <sheetName val="Tổng_hợp_theo_học_sinh"/>
      <sheetName val="XL4Test5_(2)"/>
      <sheetName val="hoang_(2)"/>
      <sheetName val="hoang_(3)"/>
      <sheetName val="Khu_xu_ly_nuoc_THiep-XD1"/>
      <sheetName val="?????H-?????????"/>
      <sheetName val="dtct_cong"/>
      <sheetName val="Nhap_don_gia_VL_dia_"/>
      <sheetName val="????????H-?????????"/>
      <sheetName val="Phan_tich_don_gia_chi_ˆUet"/>
      <sheetName val="????"/>
      <sheetName val="IN_X"/>
      <sheetName val="LO_5 "/>
      <sheetName val="Piers_of_Main_Flylyer_(1)"/>
      <sheetName val="PBCPCHUNG_CHO_CAC_{WÑNG"/>
      <sheetName val="Giai_trinh"/>
      <sheetName val="Mua_vao_TT"/>
      <sheetName val="Mua_vao_GTGT"/>
      <sheetName val="BC_HDon"/>
      <sheetName val="BC_HDon_Qui"/>
      <sheetName val="KE_KHAI_HDONG"/>
      <sheetName val="[dtTKKT-98-106_xlsၝTHCDS11"/>
      <sheetName val="[dtTKKT-98-106_xls?THCDS11"/>
      <sheetName val="S?_li?u"/>
      <sheetName val="T?ng_h?p_theo_h?c_sinh"/>
      <sheetName val="Nhap_don_gia_VL_dia_?uong"/>
      <sheetName val="?Ё????䀤????䀶?晦晦晦䀙????㿰H-?ਈ?"/>
      <sheetName val="Ё?䀤?䀶?晦晦晦䀙?㿰H-?ਈ?ꏗ㵰휊䀁?尩슏⣵䀂"/>
      <sheetName val="??????????H-???????????????"/>
      <sheetName val="????????????H-????????????"/>
      <sheetName val="??????H-?????????????"/>
      <sheetName val="Thuc_thanh"/>
      <sheetName val="Don_gia"/>
      <sheetName val="Nhap_don_gia_VL_dia_áhuong"/>
      <sheetName val="uong_mot_ngay_cong_xay_lap"/>
      <sheetName val="roto_truc"/>
      <sheetName val="Day_dt"/>
      <sheetName val="stato_tam_say"/>
      <sheetName val="Stato_ep"/>
      <sheetName val="Canh_gio"/>
      <sheetName val="Ss_Z-_GB"/>
      <sheetName val="DT1_3"/>
      <sheetName val="Sheet3ٺ2)"/>
      <sheetName val="Moi_truong"/>
      <sheetName val="????????H-?"/>
      <sheetName val="____"/>
      <sheetName val="??????????????????????H-???"/>
      <sheetName val="Nhap_don_gia_VL_dia__uong"/>
      <sheetName val="_Ё____䀤____䀶_晦晦晦䀙____㿰H-_ਈ_"/>
      <sheetName val="Ё_䀤_䀶_晦晦晦䀙_㿰H-_ਈ_ꏗ㵰휊䀁_尩슏⣵䀂"/>
      <sheetName val="__________H-_______________"/>
      <sheetName val="____________H-____________"/>
      <sheetName val="______H-_____________"/>
      <sheetName val="______________________H-___"/>
      <sheetName val="??[dtT"/>
      <sheetName val="TD_&quot;DIEM"/>
      <sheetName val="T_3DIEM"/>
      <sheetName val="KLDTT&lt;120%"/>
      <sheetName val="Tuong-ٺan"/>
      <sheetName val="Du_toan_chi_tiet"/>
      <sheetName val="dt-k0hi_(2)"/>
      <sheetName val="DTT_02"/>
      <sheetName val="??????????"/>
      <sheetName val="vua????"/>
      <sheetName val="Du_toan_chi_tiet?coc_nuoc"/>
      <sheetName val="CHI_TI"/>
      <sheetName val="COC_KHOAN0T5"/>
      <sheetName val="Du_toan_chi_tiet_coc_juoc"/>
      <sheetName val="Du_toanchi_tiet_coc"/>
      <sheetName val="Gca_may_Buu_dien"/>
      <sheetName val="May_chuyen_nganh"/>
      <sheetName val="TSCDTOAN_NHA_MA§"/>
      <sheetName val="MTO_REV_2(ARMOR)"/>
      <sheetName val="LO_5_"/>
      <sheetName val="Gia_Du_Thau_"/>
      <sheetName val="KLDGTT&lt;1ü(2)"/>
      <sheetName val="vua???????????韘࿊???????酐࿊?????"/>
      <sheetName val="YE2_CONG"/>
      <sheetName val="Sheet1_(3)"/>
      <sheetName val="Sheet1_(2)"/>
      <sheetName val="Piers_of_Mai__Flyover_(1)"/>
      <sheetName val="Ctinh_10kV"/>
      <sheetName val="0??ﱸ͕???????͕????????列͕?????"/>
      <sheetName val="Du_toan_c`i_tiet_coc_nuoc"/>
      <sheetName val="????????????H-???"/>
      <sheetName val="KL_thanh_toan-Xuan_Dao"/>
      <sheetName val="____________H-___"/>
      <sheetName val="KET_CHUYEN_GIA_VON_2005"/>
      <sheetName val="CHI_TIEU"/>
      <sheetName val="T_H_CPCT"/>
      <sheetName val="khai__thue"/>
      <sheetName val="TRUONG_"/>
      <sheetName val="KON_LONG"/>
      <sheetName val="THUY_DIEN"/>
      <sheetName val="NGO_MAY"/>
      <sheetName val="NGOC_HOI"/>
      <sheetName val="cau_2"/>
      <sheetName val="CAU_DAK_PSI"/>
      <sheetName val="BT_gi¸_thµnh"/>
      <sheetName val="KLDGTT&lt;1ü??(2)"/>
      <sheetName val="S__li_u"/>
      <sheetName val="T_ng_h_p_theo_h_c_sinh"/>
      <sheetName val="KLDGTT&lt;1ü"/>
      <sheetName val="Earthwork"/>
      <sheetName val="토공"/>
      <sheetName val="침하계"/>
      <sheetName val="RAB AR&amp;STR"/>
      <sheetName val="Data"/>
      <sheetName val="PTdam"/>
      <sheetName val="THVT"/>
      <sheetName val="MTO REV.0"/>
      <sheetName val="MEP-SUM"/>
      <sheetName val="NOTE"/>
      <sheetName val="DLDTLN"/>
      <sheetName val="IN__x005f_x000e_X"/>
      <sheetName val="DGCT_x005f_x0006_"/>
      <sheetName val="Nhap don gia VL dia _x005f_x0003_"/>
      <sheetName val="KLDGTT&lt;1ü_x005f_x000c_"/>
      <sheetName val="Nhap don gia VL dia _x005f_x0003__x00"/>
      <sheetName val="KLDGTT&lt;1ü_x005f_x000c__x005f_x0000__x005f_x0000_("/>
      <sheetName val="Cước CG"/>
      <sheetName val="gia tri theo phong"/>
      <sheetName val="THAP"/>
      <sheetName val="F4-F7"/>
      <sheetName val="Config"/>
      <sheetName val="Tong du toan"/>
      <sheetName val="NKC6"/>
      <sheetName val="Bentonite"/>
      <sheetName val="BT"/>
      <sheetName val="Khoan"/>
      <sheetName val="Data-KL"/>
      <sheetName val="Date"/>
      <sheetName val="Dia chat"/>
      <sheetName val="Dosauday"/>
      <sheetName val="Rebar (2)"/>
    </sheetNames>
    <sheetDataSet>
      <sheetData sheetId="0" refreshError="1">
        <row r="10">
          <cell r="Q10">
            <v>58000</v>
          </cell>
        </row>
        <row r="12">
          <cell r="Q12">
            <v>54000</v>
          </cell>
        </row>
        <row r="15">
          <cell r="Q15">
            <v>164</v>
          </cell>
        </row>
        <row r="20">
          <cell r="Q20">
            <v>18000</v>
          </cell>
        </row>
        <row r="21">
          <cell r="Q21">
            <v>50000</v>
          </cell>
        </row>
        <row r="23">
          <cell r="Q23">
            <v>4340</v>
          </cell>
        </row>
        <row r="28">
          <cell r="Q28">
            <v>1364000</v>
          </cell>
        </row>
        <row r="30">
          <cell r="Q30">
            <v>3500</v>
          </cell>
        </row>
        <row r="33">
          <cell r="Q33">
            <v>13636</v>
          </cell>
        </row>
        <row r="37">
          <cell r="Q37">
            <v>30000</v>
          </cell>
        </row>
        <row r="40">
          <cell r="Q40">
            <v>4500</v>
          </cell>
        </row>
        <row r="45">
          <cell r="Q45">
            <v>4300</v>
          </cell>
        </row>
        <row r="47">
          <cell r="Q47">
            <v>10500</v>
          </cell>
        </row>
        <row r="48">
          <cell r="Q48">
            <v>2000</v>
          </cell>
        </row>
        <row r="49">
          <cell r="Q49">
            <v>3000</v>
          </cell>
        </row>
        <row r="50">
          <cell r="Q50">
            <v>1200</v>
          </cell>
        </row>
        <row r="51">
          <cell r="Q51">
            <v>1370</v>
          </cell>
        </row>
        <row r="55">
          <cell r="Q55">
            <v>8636.363636363636</v>
          </cell>
        </row>
      </sheetData>
      <sheetData sheetId="1"/>
      <sheetData sheetId="2"/>
      <sheetData sheetId="3"/>
      <sheetData sheetId="4"/>
      <sheetData sheetId="5">
        <row r="10">
          <cell r="Q10">
            <v>58000</v>
          </cell>
        </row>
      </sheetData>
      <sheetData sheetId="6">
        <row r="10">
          <cell r="Q10">
            <v>58000</v>
          </cell>
        </row>
      </sheetData>
      <sheetData sheetId="7">
        <row r="10">
          <cell r="Q10">
            <v>58000</v>
          </cell>
        </row>
      </sheetData>
      <sheetData sheetId="8"/>
      <sheetData sheetId="9" refreshError="1"/>
      <sheetData sheetId="10" refreshError="1"/>
      <sheetData sheetId="11"/>
      <sheetData sheetId="12"/>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sheetData sheetId="132"/>
      <sheetData sheetId="133"/>
      <sheetData sheetId="134"/>
      <sheetData sheetId="135" refreshError="1"/>
      <sheetData sheetId="136" refreshError="1"/>
      <sheetData sheetId="137" refreshError="1"/>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refreshError="1"/>
      <sheetData sheetId="175" refreshError="1"/>
      <sheetData sheetId="176" refreshError="1"/>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sheetData sheetId="194"/>
      <sheetData sheetId="195"/>
      <sheetData sheetId="196">
        <row r="10">
          <cell r="Q10">
            <v>58000</v>
          </cell>
        </row>
      </sheetData>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sheetData sheetId="301"/>
      <sheetData sheetId="302"/>
      <sheetData sheetId="303"/>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sheetData sheetId="328"/>
      <sheetData sheetId="329" refreshError="1"/>
      <sheetData sheetId="330" refreshError="1"/>
      <sheetData sheetId="331"/>
      <sheetData sheetId="332"/>
      <sheetData sheetId="333" refreshError="1"/>
      <sheetData sheetId="334" refreshError="1"/>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refreshError="1"/>
      <sheetData sheetId="354" refreshError="1"/>
      <sheetData sheetId="355"/>
      <sheetData sheetId="356"/>
      <sheetData sheetId="357"/>
      <sheetData sheetId="358" refreshError="1"/>
      <sheetData sheetId="359" refreshError="1"/>
      <sheetData sheetId="360"/>
      <sheetData sheetId="361"/>
      <sheetData sheetId="362"/>
      <sheetData sheetId="363"/>
      <sheetData sheetId="364" refreshError="1"/>
      <sheetData sheetId="365"/>
      <sheetData sheetId="366" refreshError="1"/>
      <sheetData sheetId="367" refreshError="1"/>
      <sheetData sheetId="368"/>
      <sheetData sheetId="369"/>
      <sheetData sheetId="370" refreshError="1"/>
      <sheetData sheetId="371" refreshError="1"/>
      <sheetData sheetId="372" refreshError="1"/>
      <sheetData sheetId="373"/>
      <sheetData sheetId="374" refreshError="1"/>
      <sheetData sheetId="375"/>
      <sheetData sheetId="376" refreshError="1"/>
      <sheetData sheetId="377"/>
      <sheetData sheetId="378"/>
      <sheetData sheetId="379"/>
      <sheetData sheetId="380"/>
      <sheetData sheetId="381"/>
      <sheetData sheetId="382"/>
      <sheetData sheetId="383"/>
      <sheetData sheetId="384" refreshError="1"/>
      <sheetData sheetId="385"/>
      <sheetData sheetId="386" refreshError="1"/>
      <sheetData sheetId="387" refreshError="1"/>
      <sheetData sheetId="388" refreshError="1"/>
      <sheetData sheetId="389" refreshError="1"/>
      <sheetData sheetId="390" refreshError="1"/>
      <sheetData sheetId="391" refreshError="1"/>
      <sheetData sheetId="392" refreshError="1"/>
      <sheetData sheetId="393"/>
      <sheetData sheetId="394" refreshError="1"/>
      <sheetData sheetId="395" refreshError="1"/>
      <sheetData sheetId="396"/>
      <sheetData sheetId="397" refreshError="1"/>
      <sheetData sheetId="398"/>
      <sheetData sheetId="399"/>
      <sheetData sheetId="400" refreshError="1"/>
      <sheetData sheetId="401"/>
      <sheetData sheetId="402"/>
      <sheetData sheetId="403"/>
      <sheetData sheetId="404"/>
      <sheetData sheetId="405" refreshError="1"/>
      <sheetData sheetId="406" refreshError="1"/>
      <sheetData sheetId="407" refreshError="1"/>
      <sheetData sheetId="408" refreshError="1"/>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refreshError="1"/>
      <sheetData sheetId="440" refreshError="1"/>
      <sheetData sheetId="441"/>
      <sheetData sheetId="442"/>
      <sheetData sheetId="443"/>
      <sheetData sheetId="444" refreshError="1"/>
      <sheetData sheetId="445" refreshError="1"/>
      <sheetData sheetId="446" refreshError="1"/>
      <sheetData sheetId="447"/>
      <sheetData sheetId="448" refreshError="1"/>
      <sheetData sheetId="449"/>
      <sheetData sheetId="450" refreshError="1"/>
      <sheetData sheetId="451" refreshError="1"/>
      <sheetData sheetId="452" refreshError="1"/>
      <sheetData sheetId="453"/>
      <sheetData sheetId="454"/>
      <sheetData sheetId="455"/>
      <sheetData sheetId="456" refreshError="1"/>
      <sheetData sheetId="457" refreshError="1"/>
      <sheetData sheetId="458" refreshError="1"/>
      <sheetData sheetId="459" refreshError="1"/>
      <sheetData sheetId="460"/>
      <sheetData sheetId="461" refreshError="1"/>
      <sheetData sheetId="462" refreshError="1"/>
      <sheetData sheetId="463"/>
      <sheetData sheetId="464"/>
      <sheetData sheetId="465" refreshError="1"/>
      <sheetData sheetId="466"/>
      <sheetData sheetId="467"/>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sheetData sheetId="482"/>
      <sheetData sheetId="483"/>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refreshError="1"/>
      <sheetData sheetId="552"/>
      <sheetData sheetId="553" refreshError="1"/>
      <sheetData sheetId="554"/>
      <sheetData sheetId="555"/>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sheetData sheetId="565"/>
      <sheetData sheetId="566" refreshError="1"/>
      <sheetData sheetId="567" refreshError="1"/>
      <sheetData sheetId="568" refreshError="1"/>
      <sheetData sheetId="569" refreshError="1"/>
      <sheetData sheetId="570" refreshError="1"/>
      <sheetData sheetId="571" refreshError="1"/>
      <sheetData sheetId="572"/>
      <sheetData sheetId="573" refreshError="1"/>
      <sheetData sheetId="574" refreshError="1"/>
      <sheetData sheetId="575" refreshError="1"/>
      <sheetData sheetId="576" refreshError="1"/>
      <sheetData sheetId="577"/>
      <sheetData sheetId="578"/>
      <sheetData sheetId="579" refreshError="1"/>
      <sheetData sheetId="580"/>
      <sheetData sheetId="581" refreshError="1"/>
      <sheetData sheetId="582" refreshError="1"/>
      <sheetData sheetId="583"/>
      <sheetData sheetId="584" refreshError="1"/>
      <sheetData sheetId="585" refreshError="1"/>
      <sheetData sheetId="586"/>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sheetData sheetId="598"/>
      <sheetData sheetId="599" refreshError="1"/>
      <sheetData sheetId="600"/>
      <sheetData sheetId="601" refreshError="1"/>
      <sheetData sheetId="602" refreshError="1"/>
      <sheetData sheetId="603" refreshError="1"/>
      <sheetData sheetId="604" refreshError="1"/>
      <sheetData sheetId="605"/>
      <sheetData sheetId="606" refreshError="1"/>
      <sheetData sheetId="607"/>
      <sheetData sheetId="608" refreshError="1"/>
      <sheetData sheetId="609"/>
      <sheetData sheetId="610" refreshError="1"/>
      <sheetData sheetId="611"/>
      <sheetData sheetId="612"/>
      <sheetData sheetId="613"/>
      <sheetData sheetId="614"/>
      <sheetData sheetId="615"/>
      <sheetData sheetId="616"/>
      <sheetData sheetId="617"/>
      <sheetData sheetId="618"/>
      <sheetData sheetId="619"/>
      <sheetData sheetId="620" refreshError="1"/>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efreshError="1"/>
      <sheetData sheetId="662"/>
      <sheetData sheetId="663"/>
      <sheetData sheetId="664"/>
      <sheetData sheetId="665"/>
      <sheetData sheetId="666"/>
      <sheetData sheetId="667"/>
      <sheetData sheetId="668"/>
      <sheetData sheetId="669"/>
      <sheetData sheetId="670"/>
      <sheetData sheetId="671"/>
      <sheetData sheetId="672"/>
      <sheetData sheetId="673" refreshError="1"/>
      <sheetData sheetId="674" refreshError="1"/>
      <sheetData sheetId="675" refreshError="1"/>
      <sheetData sheetId="676"/>
      <sheetData sheetId="677" refreshError="1"/>
      <sheetData sheetId="678" refreshError="1"/>
      <sheetData sheetId="679" refreshError="1"/>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refreshError="1"/>
      <sheetData sheetId="749"/>
      <sheetData sheetId="750"/>
      <sheetData sheetId="75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sheetData sheetId="762" refreshError="1"/>
      <sheetData sheetId="763" refreshError="1"/>
      <sheetData sheetId="764"/>
      <sheetData sheetId="765" refreshError="1"/>
      <sheetData sheetId="766" refreshError="1"/>
      <sheetData sheetId="767"/>
      <sheetData sheetId="768" refreshError="1"/>
      <sheetData sheetId="769" refreshError="1"/>
      <sheetData sheetId="770"/>
      <sheetData sheetId="771"/>
      <sheetData sheetId="772" refreshError="1"/>
      <sheetData sheetId="773" refreshError="1"/>
      <sheetData sheetId="774" refreshError="1"/>
      <sheetData sheetId="775"/>
      <sheetData sheetId="776" refreshError="1"/>
      <sheetData sheetId="777" refreshError="1"/>
      <sheetData sheetId="778" refreshError="1"/>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refreshError="1"/>
      <sheetData sheetId="794"/>
      <sheetData sheetId="795" refreshError="1"/>
      <sheetData sheetId="796"/>
      <sheetData sheetId="797"/>
      <sheetData sheetId="798"/>
      <sheetData sheetId="799"/>
      <sheetData sheetId="800"/>
      <sheetData sheetId="801"/>
      <sheetData sheetId="802"/>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refreshError="1"/>
      <sheetData sheetId="813" refreshError="1"/>
      <sheetData sheetId="814" refreshError="1"/>
      <sheetData sheetId="815"/>
      <sheetData sheetId="816"/>
      <sheetData sheetId="817" refreshError="1"/>
      <sheetData sheetId="818"/>
      <sheetData sheetId="819" refreshError="1"/>
      <sheetData sheetId="820"/>
      <sheetData sheetId="821"/>
      <sheetData sheetId="822" refreshError="1"/>
      <sheetData sheetId="823"/>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sheetData sheetId="836"/>
      <sheetData sheetId="837" refreshError="1"/>
      <sheetData sheetId="838" refreshError="1"/>
      <sheetData sheetId="839"/>
      <sheetData sheetId="840"/>
      <sheetData sheetId="841" refreshError="1"/>
      <sheetData sheetId="842" refreshError="1"/>
      <sheetData sheetId="843" refreshError="1"/>
      <sheetData sheetId="844" refreshError="1"/>
      <sheetData sheetId="845" refreshError="1"/>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refreshError="1"/>
      <sheetData sheetId="866" refreshError="1"/>
      <sheetData sheetId="867" refreshError="1"/>
      <sheetData sheetId="868"/>
      <sheetData sheetId="869" refreshError="1"/>
      <sheetData sheetId="870" refreshError="1"/>
      <sheetData sheetId="871" refreshError="1"/>
      <sheetData sheetId="872" refreshError="1"/>
      <sheetData sheetId="873"/>
      <sheetData sheetId="874"/>
      <sheetData sheetId="875"/>
      <sheetData sheetId="876" refreshError="1"/>
      <sheetData sheetId="877" refreshError="1"/>
      <sheetData sheetId="878"/>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sheetData sheetId="969" refreshError="1"/>
      <sheetData sheetId="970" refreshError="1"/>
      <sheetData sheetId="971"/>
      <sheetData sheetId="972"/>
      <sheetData sheetId="973"/>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sheetData sheetId="984"/>
      <sheetData sheetId="985" refreshError="1"/>
      <sheetData sheetId="986" refreshError="1"/>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sheetData sheetId="1046"/>
      <sheetData sheetId="1047"/>
      <sheetData sheetId="1048"/>
      <sheetData sheetId="1049"/>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sheetData sheetId="1062" refreshError="1"/>
      <sheetData sheetId="1063"/>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sheetData sheetId="1079"/>
      <sheetData sheetId="1080"/>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MONTHS "/>
      <sheetName val="6MONTHS"/>
      <sheetName val="staffsched"/>
      <sheetName val="DETAIL "/>
      <sheetName val="Sum"/>
      <sheetName val="schedule form"/>
      <sheetName val="Sheet1"/>
      <sheetName val="Comparison"/>
      <sheetName val="A .Building  "/>
      <sheetName val="Qty-(Arc )"/>
      <sheetName val="負荷集計（断熱不燃）"/>
      <sheetName val="Sub total"/>
      <sheetName val="gia vt,nc,ma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induct PN (2)"/>
      <sheetName val="Bang tinh gia (2)"/>
      <sheetName val="Vat tu (2)"/>
      <sheetName val="BG "/>
      <sheetName val="Shinduct"/>
      <sheetName val="Bang tinh gia"/>
      <sheetName val="Vat tu"/>
      <sheetName val="Shinduct &amp; Vinaduct"/>
      <sheetName val="Shinduct &amp; Strarduct "/>
      <sheetName val="Shinduct &amp; P69"/>
      <sheetName val=" BG PN "/>
      <sheetName val="BG  HS"/>
      <sheetName val="BG  PN"/>
      <sheetName val="BG P69"/>
    </sheetNames>
    <sheetDataSet>
      <sheetData sheetId="0"/>
      <sheetData sheetId="1"/>
      <sheetData sheetId="2"/>
      <sheetData sheetId="3"/>
      <sheetData sheetId="4"/>
      <sheetData sheetId="5" refreshError="1">
        <row r="6">
          <cell r="J6">
            <v>300954.12</v>
          </cell>
          <cell r="K6">
            <v>437863.08</v>
          </cell>
        </row>
        <row r="7">
          <cell r="J7">
            <v>310636.08</v>
          </cell>
          <cell r="K7">
            <v>439908.72</v>
          </cell>
        </row>
        <row r="8">
          <cell r="J8">
            <v>343545.36</v>
          </cell>
          <cell r="K8">
            <v>444636.24</v>
          </cell>
        </row>
        <row r="9">
          <cell r="J9">
            <v>394545.36</v>
          </cell>
          <cell r="K9">
            <v>471636.24</v>
          </cell>
        </row>
        <row r="10">
          <cell r="J10">
            <v>458544.84</v>
          </cell>
          <cell r="K10">
            <v>527635.56000000006</v>
          </cell>
        </row>
        <row r="39">
          <cell r="J39">
            <v>183613.26</v>
          </cell>
          <cell r="K39">
            <v>219408.6</v>
          </cell>
        </row>
        <row r="40">
          <cell r="J40">
            <v>213408.84</v>
          </cell>
          <cell r="K40">
            <v>258272.4</v>
          </cell>
        </row>
        <row r="41">
          <cell r="J41">
            <v>259136.28</v>
          </cell>
          <cell r="K41">
            <v>316090.8</v>
          </cell>
        </row>
        <row r="42">
          <cell r="J42">
            <v>296036.28000000003</v>
          </cell>
          <cell r="K42">
            <v>363490.8</v>
          </cell>
        </row>
        <row r="43">
          <cell r="J43">
            <v>345635.82</v>
          </cell>
        </row>
      </sheetData>
      <sheetData sheetId="6" refreshError="1">
        <row r="5">
          <cell r="E5">
            <v>102050</v>
          </cell>
          <cell r="J5">
            <v>84090.909090909088</v>
          </cell>
          <cell r="O5">
            <v>85606.060606060608</v>
          </cell>
          <cell r="S5">
            <v>306150</v>
          </cell>
          <cell r="W5">
            <v>50000</v>
          </cell>
        </row>
        <row r="6">
          <cell r="E6">
            <v>122460</v>
          </cell>
          <cell r="J6">
            <v>107575.75757575757</v>
          </cell>
          <cell r="O6">
            <v>101515.15151515151</v>
          </cell>
          <cell r="S6">
            <v>367380</v>
          </cell>
        </row>
        <row r="7">
          <cell r="E7">
            <v>163280</v>
          </cell>
          <cell r="J7">
            <v>135984.84848484848</v>
          </cell>
          <cell r="O7">
            <v>132575.75757575757</v>
          </cell>
        </row>
        <row r="8">
          <cell r="E8">
            <v>204100</v>
          </cell>
          <cell r="J8">
            <v>161363.63636363635</v>
          </cell>
          <cell r="O8">
            <v>162878.78787878787</v>
          </cell>
          <cell r="S8">
            <v>489840</v>
          </cell>
          <cell r="W8">
            <v>10000</v>
          </cell>
        </row>
        <row r="9">
          <cell r="E9">
            <v>244920</v>
          </cell>
          <cell r="J9">
            <v>194696.9696969697</v>
          </cell>
          <cell r="O9">
            <v>196969.69696969696</v>
          </cell>
        </row>
        <row r="10">
          <cell r="E10">
            <v>285740</v>
          </cell>
          <cell r="S10">
            <v>612300</v>
          </cell>
        </row>
        <row r="11">
          <cell r="E11">
            <v>326560</v>
          </cell>
          <cell r="S11">
            <v>734760</v>
          </cell>
        </row>
        <row r="12">
          <cell r="E12">
            <v>408200</v>
          </cell>
          <cell r="S12">
            <v>196250</v>
          </cell>
          <cell r="W12">
            <v>20000</v>
          </cell>
        </row>
        <row r="13">
          <cell r="S13">
            <v>235500</v>
          </cell>
        </row>
        <row r="15">
          <cell r="S15">
            <v>314000</v>
          </cell>
        </row>
      </sheetData>
      <sheetData sheetId="7"/>
      <sheetData sheetId="8"/>
      <sheetData sheetId="9"/>
      <sheetData sheetId="10"/>
      <sheetData sheetId="11"/>
      <sheetData sheetId="12"/>
      <sheetData sheetId="1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RT"/>
      <sheetName val="ESCON"/>
      <sheetName val="MAKER"/>
      <sheetName val="SCOPE"/>
      <sheetName val="BQ-VE"/>
      <sheetName val="BQ"/>
      <sheetName val="PROFIT"/>
      <sheetName val="SUM-PRO"/>
      <sheetName val="SEX"/>
      <sheetName val="DBP-0900"/>
      <sheetName val="Found"/>
      <sheetName val="tifico"/>
      <sheetName val="COVERUSRP"/>
      <sheetName val="SITE"/>
      <sheetName val="ESCOND"/>
      <sheetName val="BQUSRP"/>
      <sheetName val="PERSIAPAN"/>
      <sheetName val="TNH, PAGAR &amp; TURAP"/>
      <sheetName val="EXCAVATOR"/>
      <sheetName val="BODY PAINT &amp; UTILITY"/>
      <sheetName val="LUAR"/>
      <sheetName val="Sheet1"/>
      <sheetName val="F4-F7"/>
      <sheetName val="조명시설"/>
      <sheetName val="실행"/>
      <sheetName val="AC"/>
      <sheetName val="I-KAMAR"/>
      <sheetName val="Cover Daf-2"/>
      <sheetName val="TOSHIBA-Structure"/>
      <sheetName val="SALING"/>
      <sheetName val="Duc_bk"/>
      <sheetName val="Currency Rate"/>
      <sheetName val="name"/>
      <sheetName val="ocean voyage"/>
      <sheetName val="Earthwork"/>
      <sheetName val="Truot_nen"/>
      <sheetName val="Quantity"/>
      <sheetName val="Sbq18"/>
      <sheetName val="RAB AR&amp;STR"/>
      <sheetName val="MTO REV.2(ARMOR)"/>
      <sheetName val="Temp&amp;Site"/>
      <sheetName val="Hệ số"/>
      <sheetName val="Động cơ"/>
      <sheetName val="H.Satuan"/>
      <sheetName val="Cash2"/>
      <sheetName val="Z"/>
      <sheetName val="MTO REV_2_ARMOR_"/>
      <sheetName val="MTP"/>
      <sheetName val="TTTram"/>
      <sheetName val="Sheet2"/>
      <sheetName val="Sheet3"/>
      <sheetName val="Sheet4"/>
      <sheetName val="6MONTHS"/>
      <sheetName val="GIAVLIEU"/>
      <sheetName val="D+W"/>
      <sheetName val="MTO REV_0"/>
      <sheetName val="유림골조"/>
      <sheetName val="係数"/>
      <sheetName val="DTCT"/>
      <sheetName val="SAT-BHN"/>
      <sheetName val="Kolom UT"/>
      <sheetName val="CH"/>
      <sheetName val="Code"/>
      <sheetName val="Cover"/>
      <sheetName val="General"/>
      <sheetName val="VO list"/>
      <sheetName val="I. Mechanical"/>
      <sheetName val="II. Electrical"/>
      <sheetName val="CFS3"/>
      <sheetName val="FitOutConfCentre"/>
      <sheetName val="BQ-E20-02(Rp)"/>
      <sheetName val="gvl"/>
      <sheetName val="NOTE"/>
      <sheetName val="FAB별"/>
      <sheetName val="물량표"/>
      <sheetName val="PS-Labour_M"/>
      <sheetName val="SITE-E"/>
      <sheetName val="入力作成表"/>
      <sheetName val="Buy vs. Lease Car"/>
      <sheetName val="概総括1"/>
      <sheetName val="UPH,BHN,ALT"/>
      <sheetName val="NP-7"/>
      <sheetName val="HSLAIN-LAIN"/>
      <sheetName val="Urai _Resap pengikat"/>
      <sheetName val="Slim 2 cánh &amp; 2 vách"/>
      <sheetName val="Chiet tinh dz35"/>
      <sheetName val="GiaVL"/>
      <sheetName val="Priced BOQ"/>
      <sheetName val="영동(D)"/>
      <sheetName val="電気設備表"/>
      <sheetName val="TỔNG HỢP GIÁ TRỊ"/>
      <sheetName val="Bahan"/>
      <sheetName val="HRG BHN"/>
      <sheetName val="FINISHING"/>
      <sheetName val="villa"/>
      <sheetName val="Elec LG"/>
      <sheetName val="XL4Poppy"/>
      <sheetName val="LKVL-CK-HT-GD1"/>
      <sheetName val="경비2내역"/>
      <sheetName val="목표세부명세"/>
      <sheetName val="dongia (2)"/>
      <sheetName val="INDEX"/>
      <sheetName val="공문"/>
      <sheetName val="차액보증"/>
      <sheetName val="6PILE  (돌출)"/>
      <sheetName val="YMPI-II-JO"/>
      <sheetName val="침하계"/>
      <sheetName val="351BQMCN"/>
      <sheetName val="WT-LIST"/>
      <sheetName val="Budget Code"/>
      <sheetName val="Input"/>
      <sheetName val="날개벽수량표"/>
      <sheetName val="VIN_Index"/>
      <sheetName val="집계표"/>
      <sheetName val="database"/>
      <sheetName val="INFOR-ST"/>
      <sheetName val="DU TOAN BV TKTC"/>
      <sheetName val="입찰안"/>
      <sheetName val="DGchitiet "/>
      <sheetName val="DFA"/>
      <sheetName val="Bill2-Sum-A"/>
      <sheetName val="Bill4-Sum-A"/>
      <sheetName val="Bill5-Sum-A"/>
      <sheetName val="TEMP"/>
      <sheetName val="SORT"/>
      <sheetName val="수량3"/>
      <sheetName val="Alat"/>
      <sheetName val="Analisa Gabungan"/>
      <sheetName val="Div10"/>
      <sheetName val="Div11"/>
      <sheetName val="Div12"/>
      <sheetName val="Div13"/>
      <sheetName val="Div2"/>
      <sheetName val="Div4"/>
      <sheetName val="Div5"/>
      <sheetName val="Div6"/>
      <sheetName val="Div7"/>
      <sheetName val="Div8"/>
      <sheetName val="Div9"/>
      <sheetName val="#REF"/>
      <sheetName val="인사자료총집계"/>
      <sheetName val="Steel"/>
      <sheetName val="264"/>
      <sheetName val="THVT"/>
      <sheetName val="Data"/>
      <sheetName val="KUNGDEVI"/>
      <sheetName val="Cốt thép"/>
      <sheetName val="Civil"/>
      <sheetName val="CTG"/>
      <sheetName val="BAOCHE A"/>
      <sheetName val="Dinh muc 6061"/>
      <sheetName val="CaMay"/>
      <sheetName val="DGiaT"/>
      <sheetName val="DGiaTN"/>
      <sheetName val="TT"/>
      <sheetName val="B"/>
      <sheetName val="RAT"/>
      <sheetName val="cfa"/>
      <sheetName val="PSu"/>
      <sheetName val="BIDDING-SUM"/>
      <sheetName val="예총"/>
      <sheetName val="Nhan cong"/>
      <sheetName val="Thiet bi"/>
      <sheetName val="Vat tu"/>
      <sheetName val="DM.ChiPhi"/>
      <sheetName val="May TC"/>
      <sheetName val="Bang KL"/>
      <sheetName val="TH Kinh phi"/>
      <sheetName val="FD"/>
      <sheetName val="GI"/>
      <sheetName val="EE (3)"/>
      <sheetName val="PAVEMENT"/>
      <sheetName val="TRAFFIC"/>
      <sheetName val="설계내역서"/>
      <sheetName val="Div26 - Elect"/>
      <sheetName val="MTL(AG)"/>
      <sheetName val="TNH,_PAGAR_&amp;_TURAP"/>
      <sheetName val="BODY_PAINT_&amp;_UTILITY"/>
      <sheetName val="Cover_Daf-2"/>
      <sheetName val="Currency_Rate"/>
      <sheetName val="MTO_REV_2(ARMOR)"/>
      <sheetName val="Hệ_số"/>
      <sheetName val="Động_cơ"/>
      <sheetName val="ocean_voyage"/>
      <sheetName val="H_Satuan"/>
      <sheetName val="MTO_REV_2_ARMOR_"/>
      <sheetName val="RAB_AR&amp;STR"/>
      <sheetName val="MTO_REV_0"/>
      <sheetName val="Kolom_UT"/>
      <sheetName val="VO_list"/>
      <sheetName val="I__Mechanical"/>
      <sheetName val="II__Electrical"/>
      <sheetName val="Slim_2_cánh_&amp;_2_vách"/>
      <sheetName val="Buy_vs__Lease_Car"/>
      <sheetName val="Urai__Resap_pengikat"/>
      <sheetName val="TỔNG_HỢP_GIÁ_TRỊ"/>
      <sheetName val="Chiet_tinh_dz35"/>
      <sheetName val="Comps"/>
      <sheetName val="Define finishing"/>
      <sheetName val="학생내역"/>
      <sheetName val="質疑回答書"/>
      <sheetName val="Project Data"/>
      <sheetName val="갑지"/>
      <sheetName val="SP10"/>
      <sheetName val="실행철강하도"/>
      <sheetName val="125x125"/>
      <sheetName val="MAIN GATE HOUSE"/>
      <sheetName val="현장별"/>
      <sheetName val="負荷集計（断熱不燃）"/>
      <sheetName val="VL"/>
      <sheetName val="ND"/>
      <sheetName val="MBW"/>
      <sheetName val="기안"/>
      <sheetName val="D_MUC"/>
      <sheetName val="p"/>
      <sheetName val="매부"/>
      <sheetName val="현관"/>
      <sheetName val="인원"/>
      <sheetName val="Tongke"/>
      <sheetName val="DGG"/>
      <sheetName val="GZ.CT"/>
      <sheetName val="COS 0.0"/>
      <sheetName val="TinhGiaNC"/>
      <sheetName val="VCBo"/>
      <sheetName val="DMCP"/>
      <sheetName val="BocXep"/>
      <sheetName val="TinhGiaMTC"/>
      <sheetName val="TH N.Cong"/>
      <sheetName val="VCThuy"/>
      <sheetName val="SPS"/>
      <sheetName val="tuong"/>
      <sheetName val="GAEYO"/>
      <sheetName val="SUM - THEP MONG"/>
      <sheetName val="HDMV-T10"/>
      <sheetName val="HDMV-T11"/>
      <sheetName val="Measure 1306"/>
      <sheetName val="0"/>
      <sheetName val="Summary - Budget"/>
      <sheetName val="NKC6"/>
      <sheetName val="Chi tiet gia DT"/>
      <sheetName val="Gia DT bo Sung"/>
      <sheetName val="PT gia DT"/>
      <sheetName val="Phan tich vat tu"/>
      <sheetName val="PTgia DT BS"/>
      <sheetName val="Cấu tạo giá"/>
      <sheetName val="cataloge moi"/>
      <sheetName val="ana-alat"/>
      <sheetName val="Isolasi Luar Dalam"/>
      <sheetName val="Isolasi Luar"/>
      <sheetName val="Basic Price"/>
      <sheetName val="Peralatan"/>
      <sheetName val="Bill 1- Prelim"/>
      <sheetName val="Cau tao gia"/>
      <sheetName val="DanhMuc"/>
      <sheetName val="Land Dev't. Ph-1"/>
      <sheetName val="Hac.Lots"/>
      <sheetName val="4-Lane bridge"/>
      <sheetName val="Res.Lots"/>
      <sheetName val="Spine Road"/>
      <sheetName val="MTL$-INTER"/>
      <sheetName val="gia vt"/>
      <sheetName val="1.BILL MOI THAU CAN THUONG"/>
      <sheetName val="IMF Code"/>
      <sheetName val="Rate"/>
      <sheetName val="Config"/>
      <sheetName val="Bill 7-Elec"/>
      <sheetName val="Phu Bai Bridge"/>
      <sheetName val="도로경계단위"/>
      <sheetName val="Annex B"/>
      <sheetName val="DG-TNHC-85"/>
      <sheetName val="MTP1"/>
      <sheetName val="proj"/>
      <sheetName val="CM 22.10"/>
      <sheetName val="Điện Nâu"/>
      <sheetName val="BXLDL"/>
      <sheetName val="NVL"/>
      <sheetName val="A"/>
      <sheetName val="입찰내역 발주처 양식"/>
      <sheetName val="00.Project_List"/>
      <sheetName val="Don gia"/>
      <sheetName val="CTEMCOST"/>
      <sheetName val="Elektrikal"/>
      <sheetName val="Draft"/>
      <sheetName val="Code 07"/>
      <sheetName val="토공"/>
      <sheetName val="Dinh muc CP KTCB khac"/>
      <sheetName val="TH May TC"/>
      <sheetName val="KLDT DIEN"/>
      <sheetName val="PTVT DIEN"/>
      <sheetName val="Thong ke thiet bi"/>
      <sheetName val="TH vat tu"/>
      <sheetName val="N"/>
      <sheetName val="SAP"/>
      <sheetName val="PNT-QUOT-#3"/>
      <sheetName val="COAT&amp;WRAP-QIOT-#3"/>
      <sheetName val="U.P List"/>
      <sheetName val="프랜트면허"/>
      <sheetName val="토목주소"/>
      <sheetName val="노임단가"/>
      <sheetName val="BG"/>
      <sheetName val="LEGEND"/>
      <sheetName val="Gia"/>
      <sheetName val="금융비용"/>
      <sheetName val="TEN CONG TRINH"/>
      <sheetName val="대비"/>
      <sheetName val="음료실행"/>
      <sheetName val="PAD-F"/>
      <sheetName val="Gia VLNCMTC"/>
      <sheetName val="Total"/>
      <sheetName val="DTXD"/>
      <sheetName val="BKL"/>
      <sheetName val="TongHop"/>
      <sheetName val="DATA2"/>
      <sheetName val="Detail"/>
      <sheetName val="TH thiet bi"/>
      <sheetName val="NhanCong"/>
      <sheetName val="Tien do TV"/>
      <sheetName val="QD957"/>
      <sheetName val="CP Du phong"/>
      <sheetName val="THCP Lap dat"/>
      <sheetName val="PCCC"/>
      <sheetName val="THDT goi thau TB"/>
      <sheetName val="Tong hop kinh phi"/>
      <sheetName val="BechLab"/>
      <sheetName val="Rates"/>
      <sheetName val="List"/>
      <sheetName val="bi-mnthly rep Villa"/>
      <sheetName val="Settings"/>
      <sheetName val="LN.HK1"/>
      <sheetName val="PTdam"/>
      <sheetName val="Loose"/>
      <sheetName val="TL&amp;DG"/>
      <sheetName val="삼홍테크"/>
      <sheetName val="STR"/>
      <sheetName val="주식"/>
      <sheetName val="bill 5"/>
      <sheetName val="Prelim"/>
      <sheetName val="KL thanh toan-Xuan Dao"/>
      <sheetName val="Comb"/>
      <sheetName val="Steel_beam"/>
      <sheetName val="Form"/>
      <sheetName val="Cash Flow"/>
      <sheetName val="PY指摘脇だし"/>
      <sheetName val="BIS LIST-NTH 18"/>
      <sheetName val="合成単価作成__BLDG"/>
      <sheetName val="BQMPALOC"/>
      <sheetName val="NHA XUONG"/>
      <sheetName val="Parem"/>
      <sheetName val="개산공사비"/>
      <sheetName val="Ts"/>
      <sheetName val="THCP xay dung"/>
      <sheetName val="Gia ca may XD"/>
      <sheetName val="QD79"/>
      <sheetName val="Main"/>
      <sheetName val="Eng"/>
      <sheetName val="SCHEDULE"/>
      <sheetName val="갑지(추정)"/>
      <sheetName val="Thống kê"/>
      <sheetName val="DKH"/>
      <sheetName val="Material"/>
      <sheetName val="#REF!"/>
      <sheetName val="3"/>
      <sheetName val="7"/>
      <sheetName val="投标材料清单 "/>
      <sheetName val="Bảng tổng hợp giá trị chào thầu"/>
      <sheetName val="工程量计算"/>
      <sheetName val="TH MTC"/>
      <sheetName val="SUMMARY A"/>
      <sheetName val="XREF"/>
      <sheetName val="LS"/>
      <sheetName val="Contents"/>
      <sheetName val="Btra"/>
      <sheetName val="특수선일위대가"/>
      <sheetName val="Kế hoạch bổ sung"/>
      <sheetName val="(Main building) - Type C"/>
      <sheetName val="(Carport) - Type C"/>
      <sheetName val="(Main building) - 4BR"/>
      <sheetName val="(Fence) - Type C"/>
      <sheetName val="(Pool) - Type C"/>
      <sheetName val="(Landscape) - Type C"/>
      <sheetName val="(Pump room) - Type C"/>
      <sheetName val="(Carport) - 4BR"/>
      <sheetName val="(Fence) - 4BR"/>
      <sheetName val="(Pool) - 4BR"/>
      <sheetName val="(Landscape) - 4BR"/>
      <sheetName val="(Pump room) - 4BR"/>
      <sheetName val="Rate Material"/>
      <sheetName val="Infrastructure"/>
      <sheetName val="Data Base"/>
      <sheetName val="Cover (OLD)"/>
      <sheetName val="Estimate"/>
      <sheetName val="대비표"/>
      <sheetName val="HN"/>
      <sheetName val="計算"/>
      <sheetName val="DATA_GIA"/>
      <sheetName val="DATA_NTP"/>
      <sheetName val="DATT"/>
      <sheetName val="DGKL"/>
      <sheetName val="TT DU AN"/>
      <sheetName val="TAMUNG"/>
      <sheetName val="TIENGIULAI"/>
      <sheetName val="ATLĐ"/>
      <sheetName val="BBHT"/>
      <sheetName val="DNTT"/>
      <sheetName val="VAT"/>
      <sheetName val="Ham trong file"/>
      <sheetName val="CVDNTT"/>
      <sheetName val="Section 4"/>
      <sheetName val="Tiến độ công việc"/>
      <sheetName val="Chenh lech vat tu"/>
      <sheetName val="Cash Flow bulanan"/>
      <sheetName val="NEW-PANEL"/>
      <sheetName val="Sheet"/>
      <sheetName val="전기"/>
      <sheetName val="IBASE"/>
      <sheetName val="Tra_bang"/>
      <sheetName val="금융"/>
      <sheetName val="chitimc"/>
      <sheetName val="UNIT PRICE"/>
      <sheetName val="Du thau"/>
      <sheetName val="RATE "/>
      <sheetName val="평3"/>
      <sheetName val="Sub"/>
      <sheetName val="Thép Cột Cũ"/>
      <sheetName val="내역"/>
      <sheetName val="Đon gia"/>
      <sheetName val="BPTC APE"/>
      <sheetName val="4.KH nhan su BCH "/>
      <sheetName val="BC thuc hien NS-CP khac"/>
      <sheetName val="Bldg Brkdown"/>
      <sheetName val="4. Chi tiet khoi luong"/>
      <sheetName val="일위대가"/>
      <sheetName val="DT"/>
      <sheetName val="Thuc thanh"/>
      <sheetName val="Chi tiet cong"/>
      <sheetName val="CD_LC"/>
      <sheetName val="BOQ-M"/>
      <sheetName val="INPUT DATA HERE"/>
      <sheetName val="E-1"/>
      <sheetName val="E-2"/>
      <sheetName val="E-3"/>
      <sheetName val="E-4"/>
      <sheetName val="E-5"/>
      <sheetName val="E-6"/>
      <sheetName val="10a"/>
      <sheetName val="12a"/>
      <sheetName val="13"/>
      <sheetName val="14"/>
      <sheetName val="15a"/>
      <sheetName val="16"/>
      <sheetName val="17"/>
      <sheetName val="18"/>
      <sheetName val="19"/>
      <sheetName val="23"/>
      <sheetName val="24"/>
      <sheetName val="29"/>
      <sheetName val="30a"/>
      <sheetName val="31a"/>
      <sheetName val="32a"/>
      <sheetName val="34a"/>
      <sheetName val="35"/>
      <sheetName val="36a"/>
      <sheetName val="37a"/>
      <sheetName val="38"/>
      <sheetName val="4a"/>
      <sheetName val="5a"/>
      <sheetName val="8a"/>
      <sheetName val="9"/>
      <sheetName val="General Schedule"/>
      <sheetName val="RAB"/>
      <sheetName val="Statprod gab"/>
      <sheetName val="struktur tdk dipakai"/>
      <sheetName val="Rekap"/>
      <sheetName val="H S D"/>
      <sheetName val="Sal"/>
      <sheetName val="Harsat"/>
      <sheetName val="Anal"/>
      <sheetName val="Fak"/>
      <sheetName val="Rek-Tot"/>
      <sheetName val="HSD"/>
      <sheetName val="D7"/>
      <sheetName val="RAPlenk"/>
      <sheetName val="ANALISA"/>
      <sheetName val="8LT 12"/>
      <sheetName val="harga bahan M&amp;E"/>
      <sheetName val="SAT PL"/>
      <sheetName val="Agregat Halus &amp; Kasar"/>
      <sheetName val="rekap mekanikal"/>
      <sheetName val="Sec I ML"/>
      <sheetName val="K210"/>
      <sheetName val="5-ALAT(1)"/>
      <sheetName val="4-Basic Price"/>
      <sheetName val="6-AGREGAT"/>
      <sheetName val="TABEL BAJA"/>
      <sheetName val="ANAL KOEF"/>
      <sheetName val="PEF24_0I_mnpwr"/>
      <sheetName val="PEF25_0I_mnhr"/>
      <sheetName val="Rekapitulasi"/>
      <sheetName val="Sat Bah &amp; Up"/>
      <sheetName val="Rekap Addendum"/>
      <sheetName val="PE-F-42 Rev 01 Manpower"/>
      <sheetName val="Peralatan (2)"/>
      <sheetName val="Daftar Harga Bahan"/>
      <sheetName val="An Biaya Kons.Pek.Kayu &amp; Atap"/>
      <sheetName val="Harga-upah"/>
      <sheetName val="Cover (x)"/>
      <sheetName val="Cor Apt"/>
      <sheetName val="Plumbing"/>
      <sheetName val="TABEL"/>
      <sheetName val="BAG_2"/>
      <sheetName val="G_SUMMARY"/>
      <sheetName val="B D_AHS6"/>
      <sheetName val=" PE-F-42 MR 9 Manpower"/>
      <sheetName val="DAF-4"/>
      <sheetName val="iTEM hARSAT"/>
      <sheetName val="DAFTAR HARGA"/>
      <sheetName val="Bahan "/>
      <sheetName val="Upah"/>
      <sheetName val="K"/>
      <sheetName val="analis standar(8m)"/>
      <sheetName val="analis standar(20m)"/>
      <sheetName val="ANAL BETON"/>
      <sheetName val="Har Sat"/>
      <sheetName val="GRAND TOTAL"/>
      <sheetName val="Sec_I_ML3"/>
      <sheetName val="Kolom_UT3"/>
      <sheetName val="Sec_I_ML"/>
      <sheetName val="Sec_I_ML1"/>
      <sheetName val="Kolom_UT1"/>
      <sheetName val="Sec_I_ML2"/>
      <sheetName val="Kolom_UT2"/>
      <sheetName val="Sec_I_ML4"/>
      <sheetName val="Kolom_UT4"/>
      <sheetName val="Analisa STR"/>
      <sheetName val="schalt"/>
      <sheetName val="schtng"/>
      <sheetName val="schbhn"/>
      <sheetName val="8LT_12"/>
      <sheetName val="Konfirm"/>
      <sheetName val="諸経費"/>
      <sheetName val="清水計算営業税率関連"/>
      <sheetName val="BQ-1"/>
      <sheetName val="LOADDAT"/>
      <sheetName val="RESUME"/>
      <sheetName val="Anggaran"/>
      <sheetName val="Galian batu"/>
      <sheetName val="BREAKDOWN(철거설치)"/>
      <sheetName val="jadw"/>
      <sheetName val="BoQ"/>
      <sheetName val="curve s"/>
      <sheetName val="Harga ME "/>
      <sheetName val="D &amp; W sizes"/>
      <sheetName val="Sch"/>
      <sheetName val="Kihon-Jiko"/>
      <sheetName val="TABEL_BAJA"/>
      <sheetName val="Pipe"/>
      <sheetName val="giathanh1"/>
      <sheetName val="chitiet"/>
      <sheetName val="lam-moi"/>
      <sheetName val="gtrinh"/>
      <sheetName val="thao-go"/>
      <sheetName val="DONGIA"/>
      <sheetName val="TONGKE-HT"/>
      <sheetName val="DG"/>
      <sheetName val="dtxl"/>
      <sheetName val="phuluc1"/>
      <sheetName val="Du_lieu"/>
      <sheetName val="THPDMoi  (2)"/>
      <sheetName val="t-h HA THE"/>
      <sheetName val="CHITIET VL-NC-TT -1p"/>
      <sheetName val="TONG HOP VL-NC TT"/>
      <sheetName val="TNHCHINH"/>
      <sheetName val="TH XL"/>
      <sheetName val="TONGKE3p "/>
      <sheetName val="CHITIET VL-NC"/>
      <sheetName val="VC"/>
      <sheetName val="KH-Q1,Q2,01"/>
      <sheetName val="Tiepdia"/>
      <sheetName val="CHITIET VL-NC-TT-3p"/>
      <sheetName val="TDTKP"/>
      <sheetName val="TDTKP1"/>
      <sheetName val="KPVC-BD "/>
      <sheetName val="VCV-BE-TONG"/>
      <sheetName val="ENG 00"/>
      <sheetName val="doanh thu"/>
      <sheetName val="ThietKe"/>
      <sheetName val="Bang data chi tiet"/>
      <sheetName val="Chi tiet"/>
      <sheetName val="cam"/>
      <sheetName val="96Ki R0_All"/>
      <sheetName val="Inquiry"/>
      <sheetName val="Supplier Master IF"/>
      <sheetName val="내역서"/>
      <sheetName val="BOQ-1"/>
      <sheetName val="GOC"/>
      <sheetName val="S0"/>
      <sheetName val="BAG-2"/>
      <sheetName val="CTG-BT"/>
      <sheetName val="DGG-BT"/>
      <sheetName val="DGG-NCT"/>
      <sheetName val="DGG-NX"/>
      <sheetName val="CTG-NCT"/>
      <sheetName val="CTG-NX"/>
      <sheetName val="Du toan"/>
      <sheetName val="Takeoff"/>
      <sheetName val="bang tien luong"/>
      <sheetName val="HE SO"/>
      <sheetName val="6호기"/>
      <sheetName val="THONG KE CUA"/>
      <sheetName val="DENSITY"/>
      <sheetName val="PE"/>
      <sheetName val="Summary"/>
      <sheetName val="ctTBA"/>
      <sheetName val="phuoc"/>
      <sheetName val="Thanh"/>
      <sheetName val="Tien"/>
      <sheetName val="4"/>
      <sheetName val="Items"/>
      <sheetName val="KL hoan thanh(KC)"/>
      <sheetName val="COT B1-T1(Z-1.1)"/>
      <sheetName val="COT B1-T1(Z-2.1)"/>
      <sheetName val="COT B1-T1(Z1.4)"/>
      <sheetName val="COT B1-T1(Z-2.4)"/>
      <sheetName val="COT B1-T1(Z-3.1)"/>
      <sheetName val="Sheet7"/>
      <sheetName val="TH_CPTB"/>
      <sheetName val="CP Khac cuoc VC"/>
      <sheetName val="DLC DIEN AP"/>
      <sheetName val="SL dau tien"/>
      <sheetName val="HSKVUC"/>
      <sheetName val="MATL"/>
      <sheetName val="CAPVC"/>
      <sheetName val="Khoi luong"/>
      <sheetName val="1. Báo giá chi tiết"/>
      <sheetName val="BOQ_3 CSA"/>
      <sheetName val="SITE DEV,T"/>
      <sheetName val="자바라1"/>
      <sheetName val="RATES G-5"/>
      <sheetName val="해외 연수비용 계산-삭제"/>
      <sheetName val="해외 기술훈련비 (합계)"/>
      <sheetName val="RSB_RATIO"/>
      <sheetName val="Bldg"/>
      <sheetName val="Anal Listrik"/>
      <sheetName val="Sec_I_ML5"/>
      <sheetName val="Daftar_Harga"/>
      <sheetName val="Kolom_UT5"/>
      <sheetName val="Analisa_STR"/>
      <sheetName val="HRG BAHAN &amp; UPAH okk"/>
      <sheetName val="TB"/>
      <sheetName val="Spec ME"/>
      <sheetName val="DAF-5"/>
      <sheetName val="SUM(D2)"/>
      <sheetName val="TOWN"/>
      <sheetName val="Kuantitas &amp; Harga"/>
      <sheetName val="unit weight"/>
      <sheetName val="Analisa HSP"/>
      <sheetName val="COV"/>
      <sheetName val="UR"/>
      <sheetName val="SKEDUL AV-05"/>
      <sheetName val="NET表"/>
      <sheetName val="BQ表"/>
      <sheetName val="3-DIV3"/>
      <sheetName val="datbhn"/>
      <sheetName val="Anls"/>
      <sheetName val="prodalt"/>
      <sheetName val="01A- RAB"/>
      <sheetName val="DESBT"/>
      <sheetName val="Harga"/>
      <sheetName val="85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7">
          <cell r="P7" t="str">
            <v xml:space="preserve">B U D G E T A R Y </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ow r="7">
          <cell r="P7">
            <v>0</v>
          </cell>
        </row>
      </sheetData>
      <sheetData sheetId="64">
        <row r="7">
          <cell r="P7">
            <v>0</v>
          </cell>
        </row>
      </sheetData>
      <sheetData sheetId="65">
        <row r="7">
          <cell r="P7">
            <v>0</v>
          </cell>
        </row>
      </sheetData>
      <sheetData sheetId="66">
        <row r="7">
          <cell r="P7">
            <v>0</v>
          </cell>
        </row>
      </sheetData>
      <sheetData sheetId="67">
        <row r="7">
          <cell r="P7">
            <v>0</v>
          </cell>
        </row>
      </sheetData>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sheetData sheetId="269" refreshError="1"/>
      <sheetData sheetId="270"/>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sheetData sheetId="525"/>
      <sheetData sheetId="526"/>
      <sheetData sheetId="527"/>
      <sheetData sheetId="528"/>
      <sheetData sheetId="529"/>
      <sheetData sheetId="530"/>
      <sheetData sheetId="531"/>
      <sheetData sheetId="532"/>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Ts"/>
      <sheetName val="Bia"/>
      <sheetName val="Bia1"/>
      <sheetName val="TM"/>
      <sheetName val="Bao cao tham tra"/>
      <sheetName val="Tong hop kinh phi"/>
      <sheetName val="DMTL"/>
      <sheetName val="THCP tu van"/>
      <sheetName val="DT man-month"/>
      <sheetName val="Cp chuyen gia"/>
      <sheetName val="Tienluong"/>
      <sheetName val="CPK TV"/>
      <sheetName val="Tien do TV"/>
      <sheetName val="THCP khac"/>
      <sheetName val="THDT goi thau XD"/>
      <sheetName val="CP Du phong"/>
      <sheetName val="THCP xay dung"/>
      <sheetName val="Don gia tong hop"/>
      <sheetName val="Du toan XD"/>
      <sheetName val="Cap"/>
      <sheetName val="hao cap"/>
      <sheetName val="Don gia XD"/>
      <sheetName val="TH vat tu XD"/>
      <sheetName val="Thong ke thep"/>
      <sheetName val="Gia vua XD"/>
      <sheetName val="Gia vat lieu HTXD"/>
      <sheetName val="Nhan cong XD"/>
      <sheetName val="Gia ca may XD"/>
      <sheetName val="Du thau XD"/>
      <sheetName val="Bia2"/>
      <sheetName val="THDT goi thau TB"/>
      <sheetName val="THCP thiet bi"/>
      <sheetName val="CP mua sam TB"/>
      <sheetName val="CP ban quyen CN"/>
      <sheetName val="CP dao tao"/>
      <sheetName val="CP chay thu TB"/>
      <sheetName val="CP Thi nghiem TB"/>
      <sheetName val="THCP Lap dat"/>
      <sheetName val="Du toan LD"/>
      <sheetName val="Don gia LD"/>
      <sheetName val="TH vat tu LD"/>
      <sheetName val="Gia vua LD"/>
      <sheetName val="Gia vat lieu HTLD"/>
      <sheetName val="Nhan cong LD"/>
      <sheetName val="Gia ca may LD"/>
      <sheetName val="Du thau LD"/>
      <sheetName val="Tho lai may"/>
    </sheetNames>
    <sheetDataSet>
      <sheetData sheetId="0">
        <row r="101">
          <cell r="C101">
            <v>0</v>
          </cell>
        </row>
      </sheetData>
      <sheetData sheetId="1">
        <row r="15">
          <cell r="K15">
            <v>1</v>
          </cell>
        </row>
        <row r="16">
          <cell r="M16" t="str">
            <v>$BL$5:$BL$6</v>
          </cell>
        </row>
      </sheetData>
      <sheetData sheetId="2"/>
      <sheetData sheetId="3"/>
      <sheetData sheetId="4"/>
      <sheetData sheetId="5"/>
      <sheetData sheetId="6">
        <row r="8">
          <cell r="F8">
            <v>36200949068.712959</v>
          </cell>
        </row>
      </sheetData>
      <sheetData sheetId="7">
        <row r="67">
          <cell r="D67">
            <v>2.67</v>
          </cell>
        </row>
      </sheetData>
      <sheetData sheetId="8"/>
      <sheetData sheetId="9"/>
      <sheetData sheetId="10"/>
      <sheetData sheetId="11"/>
      <sheetData sheetId="12"/>
      <sheetData sheetId="13"/>
      <sheetData sheetId="14"/>
      <sheetData sheetId="15"/>
      <sheetData sheetId="16">
        <row r="9">
          <cell r="C9">
            <v>41009159124.019417</v>
          </cell>
        </row>
      </sheetData>
      <sheetData sheetId="17">
        <row r="44">
          <cell r="D44" t="e">
            <v>#REF!</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3">
          <cell r="F13">
            <v>0</v>
          </cell>
        </row>
      </sheetData>
      <sheetData sheetId="32">
        <row r="6">
          <cell r="D6">
            <v>0</v>
          </cell>
        </row>
      </sheetData>
      <sheetData sheetId="33"/>
      <sheetData sheetId="34"/>
      <sheetData sheetId="35"/>
      <sheetData sheetId="36"/>
      <sheetData sheetId="37"/>
      <sheetData sheetId="38">
        <row r="24">
          <cell r="D24">
            <v>0</v>
          </cell>
        </row>
      </sheetData>
      <sheetData sheetId="39"/>
      <sheetData sheetId="40"/>
      <sheetData sheetId="41"/>
      <sheetData sheetId="42"/>
      <sheetData sheetId="43"/>
      <sheetData sheetId="44"/>
      <sheetData sheetId="45"/>
      <sheetData sheetId="46"/>
      <sheetData sheetId="4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6"/>
      <sheetName val="THXL"/>
      <sheetName val="XL"/>
      <sheetName val="PTCT"/>
      <sheetName val="FT"/>
      <sheetName val="VL"/>
      <sheetName val="Cuoc"/>
      <sheetName val="KL"/>
      <sheetName val="XL4Poppy"/>
      <sheetName val="Solieu"/>
      <sheetName val="GiaVL"/>
      <sheetName val="tra-vat-lieu"/>
      <sheetName val="DGCT"/>
      <sheetName val="CPTNo"/>
      <sheetName val="DATA"/>
      <sheetName val="Page 3"/>
      <sheetName val="Ceoc"/>
      <sheetName val="gVL"/>
      <sheetName val="Chiet tinh dz35"/>
      <sheetName val="8521"/>
    </sheetNames>
    <sheetDataSet>
      <sheetData sheetId="0">
        <row r="3">
          <cell r="A3">
            <v>2</v>
          </cell>
          <cell r="B3">
            <v>1.55</v>
          </cell>
          <cell r="C3">
            <v>1.64</v>
          </cell>
          <cell r="D3">
            <v>310032</v>
          </cell>
          <cell r="E3">
            <v>326361.59999999998</v>
          </cell>
          <cell r="F3">
            <v>11924</v>
          </cell>
          <cell r="G3">
            <v>12552</v>
          </cell>
        </row>
        <row r="4">
          <cell r="A4">
            <v>2.5</v>
          </cell>
          <cell r="B4">
            <v>1.635</v>
          </cell>
          <cell r="C4">
            <v>1.7349999999999999</v>
          </cell>
          <cell r="D4">
            <v>325454.40000000002</v>
          </cell>
          <cell r="E4">
            <v>343598.39999999997</v>
          </cell>
          <cell r="F4">
            <v>12517</v>
          </cell>
          <cell r="G4">
            <v>13215</v>
          </cell>
        </row>
        <row r="5">
          <cell r="A5">
            <v>2.7</v>
          </cell>
          <cell r="B5">
            <v>1.669</v>
          </cell>
          <cell r="C5">
            <v>1.7730000000000001</v>
          </cell>
          <cell r="D5">
            <v>331623.36000000004</v>
          </cell>
          <cell r="E5">
            <v>350493.12000000005</v>
          </cell>
          <cell r="F5">
            <v>12755</v>
          </cell>
          <cell r="G5">
            <v>13481</v>
          </cell>
        </row>
        <row r="6">
          <cell r="A6">
            <v>3</v>
          </cell>
          <cell r="B6">
            <v>1.72</v>
          </cell>
          <cell r="C6">
            <v>1.83</v>
          </cell>
          <cell r="D6">
            <v>340876.79999999999</v>
          </cell>
          <cell r="E6">
            <v>360835.2</v>
          </cell>
          <cell r="F6">
            <v>13111</v>
          </cell>
          <cell r="G6">
            <v>13878</v>
          </cell>
        </row>
        <row r="7">
          <cell r="A7">
            <v>3.2</v>
          </cell>
          <cell r="B7">
            <v>1.76</v>
          </cell>
          <cell r="C7">
            <v>1.8720000000000001</v>
          </cell>
          <cell r="D7">
            <v>348134.40000000002</v>
          </cell>
          <cell r="E7">
            <v>368455.68000000005</v>
          </cell>
          <cell r="F7">
            <v>13390</v>
          </cell>
          <cell r="G7">
            <v>14171</v>
          </cell>
        </row>
        <row r="8">
          <cell r="A8">
            <v>3.5</v>
          </cell>
          <cell r="B8">
            <v>1.8199999999999998</v>
          </cell>
          <cell r="C8">
            <v>1.9350000000000001</v>
          </cell>
          <cell r="D8">
            <v>359020.79999999999</v>
          </cell>
          <cell r="E8">
            <v>379886.4</v>
          </cell>
          <cell r="F8">
            <v>13808</v>
          </cell>
          <cell r="G8">
            <v>14611</v>
          </cell>
        </row>
        <row r="9">
          <cell r="A9">
            <v>3.7</v>
          </cell>
          <cell r="B9">
            <v>1.8599999999999999</v>
          </cell>
          <cell r="C9">
            <v>1.9770000000000001</v>
          </cell>
          <cell r="D9">
            <v>366278.40000000002</v>
          </cell>
          <cell r="E9">
            <v>387506.88000000006</v>
          </cell>
          <cell r="F9">
            <v>14088</v>
          </cell>
          <cell r="G9">
            <v>14904</v>
          </cell>
        </row>
        <row r="10">
          <cell r="A10">
            <v>4</v>
          </cell>
          <cell r="B10">
            <v>1.92</v>
          </cell>
          <cell r="C10">
            <v>2.04</v>
          </cell>
          <cell r="D10">
            <v>377164.80000000005</v>
          </cell>
          <cell r="E10">
            <v>398937.60000000003</v>
          </cell>
          <cell r="F10">
            <v>14506</v>
          </cell>
          <cell r="G10">
            <v>15344</v>
          </cell>
        </row>
        <row r="11">
          <cell r="A11">
            <v>4.2</v>
          </cell>
          <cell r="B11">
            <v>2.0019999999999998</v>
          </cell>
          <cell r="C11">
            <v>2.13</v>
          </cell>
          <cell r="D11">
            <v>392042.87999999995</v>
          </cell>
          <cell r="E11">
            <v>415267.2</v>
          </cell>
          <cell r="F11">
            <v>15079</v>
          </cell>
          <cell r="G11">
            <v>15972</v>
          </cell>
        </row>
        <row r="12">
          <cell r="A12">
            <v>4.5</v>
          </cell>
          <cell r="B12">
            <v>2.125</v>
          </cell>
          <cell r="C12">
            <v>2.2650000000000001</v>
          </cell>
          <cell r="D12">
            <v>414360.00000000006</v>
          </cell>
          <cell r="E12">
            <v>439761.60000000009</v>
          </cell>
          <cell r="F12">
            <v>15937</v>
          </cell>
          <cell r="G12">
            <v>16914</v>
          </cell>
        </row>
        <row r="13">
          <cell r="A13">
            <v>5</v>
          </cell>
          <cell r="B13">
            <v>2.33</v>
          </cell>
          <cell r="C13">
            <v>2.4900000000000002</v>
          </cell>
          <cell r="D13">
            <v>451555.2</v>
          </cell>
          <cell r="E13">
            <v>480585.60000000009</v>
          </cell>
          <cell r="F13">
            <v>17368</v>
          </cell>
          <cell r="G13">
            <v>18484</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Định hình"/>
      <sheetName val="Đào đắp cống"/>
      <sheetName val="Đào đắp ga"/>
      <sheetName val="KL định hình ga"/>
      <sheetName val="Đào đắp rãnh"/>
      <sheetName val="Bảng tiên lượng GT"/>
      <sheetName val="Bảng tiên lượng TNM"/>
      <sheetName val="Bảng tiên lượng CN"/>
      <sheetName val="Bảng tiên lượng TNT"/>
      <sheetName val="00000000"/>
    </sheetNames>
    <sheetDataSet>
      <sheetData sheetId="0">
        <row r="3">
          <cell r="C3">
            <v>0.25</v>
          </cell>
        </row>
        <row r="4">
          <cell r="C4">
            <v>0.38</v>
          </cell>
        </row>
        <row r="5">
          <cell r="C5">
            <v>0.48</v>
          </cell>
        </row>
        <row r="6">
          <cell r="C6">
            <v>0.6</v>
          </cell>
        </row>
        <row r="7">
          <cell r="C7">
            <v>0.88</v>
          </cell>
        </row>
        <row r="8">
          <cell r="C8">
            <v>1.1499999999999999</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
      <sheetName val="GTXL"/>
      <sheetName val="PCD"/>
      <sheetName val="THKL"/>
      <sheetName val="DTCT"/>
      <sheetName val="DGCT"/>
      <sheetName val="BGVL"/>
      <sheetName val="XM"/>
      <sheetName val="XXXXXXXX"/>
      <sheetName val="XL4Poppy"/>
      <sheetName val="TongHopKLCong"/>
      <sheetName val="THKL nghiemthu"/>
      <sheetName val="THKL ThanhToan"/>
      <sheetName val="Dao HC"/>
      <sheetName val="Dao cap"/>
      <sheetName val="Dap nen K95"/>
      <sheetName val="PhanchiaKLdao"/>
      <sheetName val="Dao dat C3"/>
      <sheetName val="Dao dat C4"/>
      <sheetName val="Dao Da C2"/>
      <sheetName val="Dao Da C3"/>
      <sheetName val="Dao Da C4"/>
      <sheetName val="Km355+00"/>
      <sheetName val="Dao dat cap 3"/>
      <sheetName val="Dao dat cap 4"/>
      <sheetName val="Da cap 4"/>
      <sheetName val="Da cap 3"/>
      <sheetName val="Da cap 2"/>
      <sheetName val="Phanchia KL dao nen"/>
      <sheetName val="Eao Da C2"/>
      <sheetName val="Sheet2"/>
      <sheetName val="TH"/>
      <sheetName val="THBL2"/>
      <sheetName val="Bu CL VL"/>
      <sheetName val="DTXL"/>
      <sheetName val="PTDG"/>
      <sheetName val="Bang.tra"/>
      <sheetName val="MTO REV.0"/>
      <sheetName val="111"/>
      <sheetName val="112"/>
      <sheetName val="311(1)"/>
      <sheetName val="3331"/>
      <sheetName val="511"/>
      <sheetName val="336,334"/>
      <sheetName val="Nợ111"/>
      <sheetName val="531"/>
      <sheetName val="BK thu-chi"/>
      <sheetName val="SổTSCĐ"/>
      <sheetName val="tamungKB"/>
      <sheetName val="khoanchiHC"/>
      <sheetName val="TGNH"/>
      <sheetName val="Sổ chi hoạt động"/>
      <sheetName val="Sheet1"/>
      <sheetName val="Sheet3"/>
      <sheetName val="BKCO111"/>
      <sheetName val="BKCO112"/>
      <sheetName val="BKCO3331"/>
      <sheetName val="BKCO511"/>
      <sheetName val="KHONG"/>
      <sheetName val="BKNỢ 111"/>
      <sheetName val="cu"/>
      <sheetName val="Sheet4"/>
      <sheetName val="CN Khu"/>
      <sheetName val="Kinh nghiem"/>
      <sheetName val="Tai Chinh"/>
      <sheetName val="Lien danh"/>
      <sheetName val="Muc luc"/>
      <sheetName val="DKien"/>
      <sheetName val="HD dang tien hanh"/>
      <sheetName val="Doanh thu"/>
      <sheetName val="Sheet8"/>
      <sheetName val="Sheet9"/>
      <sheetName val="Sheet10"/>
      <sheetName val="Sheet11"/>
      <sheetName val="Sheet12"/>
      <sheetName val="Sheet13"/>
      <sheetName val="Sheet14"/>
      <sheetName val="Sheet15"/>
      <sheetName val="Sheet16"/>
      <sheetName val="XL4Test5"/>
      <sheetName val="T.Tinh"/>
    </sheetNames>
    <sheetDataSet>
      <sheetData sheetId="0" refreshError="1">
        <row r="5">
          <cell r="B5" t="str">
            <v>Baäc thôï</v>
          </cell>
          <cell r="C5" t="str">
            <v>Tieàn löông caàu</v>
          </cell>
          <cell r="D5" t="str">
            <v>Tieàn löông ñöôøng</v>
          </cell>
        </row>
        <row r="6">
          <cell r="B6">
            <v>2</v>
          </cell>
          <cell r="C6">
            <v>12552</v>
          </cell>
          <cell r="D6">
            <v>11924</v>
          </cell>
        </row>
        <row r="7">
          <cell r="B7">
            <v>2.1</v>
          </cell>
          <cell r="C7">
            <v>12685</v>
          </cell>
          <cell r="D7">
            <v>12043</v>
          </cell>
        </row>
        <row r="8">
          <cell r="B8">
            <v>2.2000000000000002</v>
          </cell>
          <cell r="C8">
            <v>12818</v>
          </cell>
          <cell r="D8">
            <v>12162</v>
          </cell>
        </row>
        <row r="9">
          <cell r="B9">
            <v>2.2999999999999998</v>
          </cell>
          <cell r="C9">
            <v>12950</v>
          </cell>
          <cell r="D9">
            <v>12280</v>
          </cell>
        </row>
        <row r="10">
          <cell r="B10">
            <v>2.4</v>
          </cell>
          <cell r="C10">
            <v>13083</v>
          </cell>
          <cell r="D10">
            <v>12399</v>
          </cell>
        </row>
        <row r="11">
          <cell r="B11">
            <v>2.5</v>
          </cell>
          <cell r="C11">
            <v>13215</v>
          </cell>
          <cell r="D11">
            <v>12517</v>
          </cell>
        </row>
        <row r="12">
          <cell r="B12">
            <v>2.6</v>
          </cell>
          <cell r="C12">
            <v>13348</v>
          </cell>
          <cell r="D12">
            <v>12636</v>
          </cell>
        </row>
        <row r="13">
          <cell r="B13">
            <v>2.7</v>
          </cell>
          <cell r="C13">
            <v>13481</v>
          </cell>
          <cell r="D13">
            <v>12755</v>
          </cell>
        </row>
        <row r="14">
          <cell r="B14">
            <v>2.8</v>
          </cell>
          <cell r="C14">
            <v>13613</v>
          </cell>
          <cell r="D14">
            <v>12873</v>
          </cell>
        </row>
        <row r="15">
          <cell r="B15">
            <v>2.9</v>
          </cell>
          <cell r="C15">
            <v>13746</v>
          </cell>
          <cell r="D15">
            <v>12992</v>
          </cell>
        </row>
        <row r="16">
          <cell r="B16">
            <v>3</v>
          </cell>
          <cell r="C16">
            <v>13878</v>
          </cell>
        </row>
        <row r="17">
          <cell r="B17">
            <v>3.1</v>
          </cell>
          <cell r="C17">
            <v>14025</v>
          </cell>
          <cell r="D17">
            <v>13250</v>
          </cell>
        </row>
        <row r="18">
          <cell r="B18">
            <v>3.2</v>
          </cell>
          <cell r="C18">
            <v>14171</v>
          </cell>
          <cell r="D18">
            <v>13390</v>
          </cell>
        </row>
        <row r="19">
          <cell r="B19">
            <v>3.3</v>
          </cell>
          <cell r="C19">
            <v>14318</v>
          </cell>
          <cell r="D19">
            <v>13529</v>
          </cell>
        </row>
        <row r="20">
          <cell r="B20">
            <v>3.4</v>
          </cell>
          <cell r="C20">
            <v>14464</v>
          </cell>
          <cell r="D20">
            <v>13669</v>
          </cell>
        </row>
        <row r="21">
          <cell r="B21">
            <v>3.5</v>
          </cell>
          <cell r="C21">
            <v>14611</v>
          </cell>
          <cell r="D21">
            <v>13808</v>
          </cell>
        </row>
        <row r="22">
          <cell r="B22">
            <v>3.6</v>
          </cell>
          <cell r="C22">
            <v>14758</v>
          </cell>
          <cell r="D22">
            <v>13948</v>
          </cell>
        </row>
        <row r="23">
          <cell r="B23">
            <v>3.7</v>
          </cell>
          <cell r="C23">
            <v>14904</v>
          </cell>
          <cell r="D23">
            <v>14088</v>
          </cell>
        </row>
        <row r="24">
          <cell r="B24">
            <v>3.8</v>
          </cell>
          <cell r="C24">
            <v>15051</v>
          </cell>
          <cell r="D24">
            <v>14227</v>
          </cell>
        </row>
        <row r="25">
          <cell r="B25">
            <v>3.9</v>
          </cell>
          <cell r="C25">
            <v>15197</v>
          </cell>
          <cell r="D25">
            <v>14367</v>
          </cell>
        </row>
        <row r="26">
          <cell r="B26">
            <v>4</v>
          </cell>
          <cell r="C26">
            <v>15344</v>
          </cell>
          <cell r="D26">
            <v>14506</v>
          </cell>
        </row>
        <row r="27">
          <cell r="B27">
            <v>4.0999999999999996</v>
          </cell>
          <cell r="C27">
            <v>15658</v>
          </cell>
          <cell r="D27">
            <v>14792</v>
          </cell>
        </row>
        <row r="28">
          <cell r="B28">
            <v>4.2</v>
          </cell>
          <cell r="C28">
            <v>15972</v>
          </cell>
          <cell r="D28">
            <v>15079</v>
          </cell>
        </row>
        <row r="29">
          <cell r="B29">
            <v>4.3</v>
          </cell>
          <cell r="C29">
            <v>16286</v>
          </cell>
          <cell r="D29">
            <v>15365</v>
          </cell>
        </row>
        <row r="30">
          <cell r="B30">
            <v>4.4000000000000004</v>
          </cell>
          <cell r="C30">
            <v>16600</v>
          </cell>
          <cell r="D30">
            <v>15651</v>
          </cell>
        </row>
        <row r="31">
          <cell r="B31">
            <v>4.5</v>
          </cell>
          <cell r="C31">
            <v>16914</v>
          </cell>
          <cell r="D31">
            <v>15937</v>
          </cell>
        </row>
        <row r="32">
          <cell r="B32">
            <v>4.5999999999999996</v>
          </cell>
          <cell r="C32">
            <v>17228</v>
          </cell>
          <cell r="D32">
            <v>16223</v>
          </cell>
        </row>
        <row r="33">
          <cell r="B33">
            <v>4.7</v>
          </cell>
          <cell r="C33">
            <v>17542</v>
          </cell>
          <cell r="D33">
            <v>16509</v>
          </cell>
        </row>
        <row r="34">
          <cell r="B34">
            <v>4.8</v>
          </cell>
          <cell r="C34">
            <v>17856</v>
          </cell>
          <cell r="D34">
            <v>16795</v>
          </cell>
        </row>
        <row r="35">
          <cell r="B35">
            <v>4.9000000000000004</v>
          </cell>
          <cell r="C35">
            <v>18240</v>
          </cell>
          <cell r="D35">
            <v>17081</v>
          </cell>
        </row>
        <row r="36">
          <cell r="B36">
            <v>5</v>
          </cell>
          <cell r="C36">
            <v>18484</v>
          </cell>
          <cell r="D36">
            <v>17368</v>
          </cell>
        </row>
        <row r="37">
          <cell r="B37">
            <v>5.0999999999999996</v>
          </cell>
          <cell r="C37">
            <v>18875</v>
          </cell>
          <cell r="D37">
            <v>17723</v>
          </cell>
        </row>
        <row r="38">
          <cell r="B38">
            <v>5.2</v>
          </cell>
          <cell r="C38">
            <v>19266</v>
          </cell>
          <cell r="D38">
            <v>18079</v>
          </cell>
        </row>
        <row r="39">
          <cell r="B39">
            <v>5.3</v>
          </cell>
          <cell r="C39">
            <v>19656</v>
          </cell>
          <cell r="D39">
            <v>18435</v>
          </cell>
        </row>
        <row r="40">
          <cell r="B40">
            <v>5.4</v>
          </cell>
          <cell r="C40">
            <v>20047</v>
          </cell>
          <cell r="D40">
            <v>18791</v>
          </cell>
        </row>
        <row r="41">
          <cell r="B41">
            <v>5.5</v>
          </cell>
          <cell r="C41">
            <v>20438</v>
          </cell>
          <cell r="D41">
            <v>19147</v>
          </cell>
        </row>
        <row r="42">
          <cell r="B42">
            <v>5.6</v>
          </cell>
          <cell r="C42">
            <v>20829</v>
          </cell>
          <cell r="D42">
            <v>19503</v>
          </cell>
        </row>
        <row r="43">
          <cell r="B43">
            <v>5.7</v>
          </cell>
          <cell r="C43">
            <v>21220</v>
          </cell>
          <cell r="D43">
            <v>19859</v>
          </cell>
        </row>
        <row r="44">
          <cell r="B44">
            <v>5.8</v>
          </cell>
          <cell r="C44">
            <v>21610</v>
          </cell>
          <cell r="D44">
            <v>20215</v>
          </cell>
        </row>
        <row r="45">
          <cell r="B45">
            <v>5.9</v>
          </cell>
          <cell r="C45">
            <v>22001</v>
          </cell>
          <cell r="D45">
            <v>20571</v>
          </cell>
        </row>
        <row r="46">
          <cell r="B46">
            <v>6</v>
          </cell>
          <cell r="C46">
            <v>22392</v>
          </cell>
          <cell r="D46">
            <v>20927</v>
          </cell>
        </row>
        <row r="47">
          <cell r="B47">
            <v>6.1</v>
          </cell>
          <cell r="C47">
            <v>22867</v>
          </cell>
          <cell r="D47">
            <v>21352</v>
          </cell>
        </row>
        <row r="48">
          <cell r="B48">
            <v>6.2</v>
          </cell>
          <cell r="C48">
            <v>23341</v>
          </cell>
          <cell r="D48">
            <v>21778</v>
          </cell>
        </row>
        <row r="49">
          <cell r="B49">
            <v>6.3</v>
          </cell>
          <cell r="C49">
            <v>23816</v>
          </cell>
          <cell r="D49">
            <v>22204</v>
          </cell>
        </row>
        <row r="50">
          <cell r="B50">
            <v>6.4</v>
          </cell>
          <cell r="C50">
            <v>24290</v>
          </cell>
          <cell r="D50">
            <v>22629</v>
          </cell>
        </row>
        <row r="51">
          <cell r="B51">
            <v>6.5</v>
          </cell>
          <cell r="C51">
            <v>24765</v>
          </cell>
          <cell r="D51">
            <v>23055</v>
          </cell>
        </row>
        <row r="52">
          <cell r="B52">
            <v>6.6</v>
          </cell>
          <cell r="C52">
            <v>25239</v>
          </cell>
          <cell r="D52">
            <v>23481</v>
          </cell>
        </row>
        <row r="53">
          <cell r="B53">
            <v>6.7</v>
          </cell>
          <cell r="C53">
            <v>25714</v>
          </cell>
          <cell r="D53">
            <v>23906</v>
          </cell>
        </row>
        <row r="54">
          <cell r="B54">
            <v>6.8</v>
          </cell>
          <cell r="C54">
            <v>26188</v>
          </cell>
          <cell r="D54">
            <v>24332</v>
          </cell>
        </row>
        <row r="55">
          <cell r="B55">
            <v>6.9</v>
          </cell>
          <cell r="C55">
            <v>26663</v>
          </cell>
          <cell r="D55">
            <v>24758</v>
          </cell>
        </row>
        <row r="56">
          <cell r="B56">
            <v>7</v>
          </cell>
          <cell r="C56">
            <v>27137</v>
          </cell>
          <cell r="D56">
            <v>25183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sheetData sheetId="32"/>
      <sheetData sheetId="33"/>
      <sheetData sheetId="34"/>
      <sheetData sheetId="35"/>
      <sheetData sheetId="36" refreshError="1"/>
      <sheetData sheetId="37" refreshError="1"/>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DUCT_DATA"/>
      <sheetName val=" 60 Range Guard_WORKSHEET"/>
      <sheetName val="60 -Range Guard Price Sheet"/>
      <sheetName val="87 -Wet Chemical Systems"/>
      <sheetName val="DetEst"/>
      <sheetName val="labour"/>
    </sheetNames>
    <sheetDataSet>
      <sheetData sheetId="0">
        <row r="7">
          <cell r="K7">
            <v>0.6</v>
          </cell>
        </row>
      </sheetData>
      <sheetData sheetId="1">
        <row r="7">
          <cell r="K7">
            <v>0.6</v>
          </cell>
        </row>
      </sheetData>
      <sheetData sheetId="2"/>
      <sheetData sheetId="3"/>
      <sheetData sheetId="4" refreshError="1"/>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VT"/>
      <sheetName val="KHOILUONG"/>
      <sheetName val="TKTHEP"/>
      <sheetName val="PTVT"/>
      <sheetName val="THKP"/>
      <sheetName val="VLNCMTC"/>
      <sheetName val="VTQT"/>
      <sheetName val="ketcaucap"/>
      <sheetName val="LM"/>
      <sheetName val="Sheet2"/>
      <sheetName val="A_16CAN"/>
      <sheetName val="List"/>
      <sheetName val="DG"/>
      <sheetName val="Gia"/>
      <sheetName val="Areas"/>
      <sheetName val="Tro giup"/>
      <sheetName val="Sheet1"/>
      <sheetName val="NEW-PANEL"/>
      <sheetName val="data"/>
      <sheetName val="PTDM"/>
      <sheetName val="차액보증"/>
      <sheetName val="SEX"/>
      <sheetName val="경비2내역"/>
      <sheetName val="gvl"/>
      <sheetName val="dg-VTu"/>
      <sheetName val="ELEC"/>
      <sheetName val="GPP"/>
      <sheetName val="GIA uPVC 2017"/>
      <sheetName val="GIA PP-R 2017"/>
      <sheetName val="TH DU TOAN"/>
      <sheetName val="gia vt,nc,may"/>
      <sheetName val="집계표"/>
      <sheetName val="SUNEC-F20300a"/>
      <sheetName val="D_MUC"/>
      <sheetName val="Quantity"/>
      <sheetName val="A_16CAN.XLS"/>
      <sheetName val="\Users\macbook\Documents\Micros"/>
      <sheetName val="\C\Users\macbook\Documents\Micr"/>
      <sheetName val="\C\C\Users\macbook\Documents\Mi"/>
      <sheetName val="[A_16CAN.XLS][A_16CAN.XLS][A_16"/>
      <sheetName val="_Users_macbook_Documents_Micros"/>
      <sheetName val="_C_Users_macbook_Documents_Micr"/>
      <sheetName val="_C_C_Users_macbook_Documents_Mi"/>
      <sheetName val="_A_16CAN.XLS__A_16CAN.XLS__A_16"/>
      <sheetName val="[A_16CAN.XLS]\Users\macbook\Doc"/>
      <sheetName val="[A_16CAN.XLS]\C\Users\macbook\D"/>
      <sheetName val="[A_16CAN.XLS]\C\C\Users\macbook"/>
      <sheetName val="tuong"/>
      <sheetName val="Doi so"/>
      <sheetName val="FAB별"/>
      <sheetName val="Gia "/>
      <sheetName val="Chenh lech vat tu"/>
      <sheetName val="Sheet3"/>
      <sheetName val="gia.2011"/>
      <sheetName val="6MONTHS"/>
      <sheetName val="_A_16CAN.XLS__Users_macbook_Doc"/>
      <sheetName val="_A_16CAN.XLS__C_Users_macbook_D"/>
      <sheetName val="_A_16CAN.XLS__C_C_Users_macbook"/>
      <sheetName val="Floor area_Res1"/>
      <sheetName val="Floor area_Res2&amp;3"/>
      <sheetName val="GVT"/>
      <sheetName val="COVER"/>
      <sheetName val="TOWER 12TON"/>
      <sheetName val="TOWER 10TON"/>
      <sheetName val="CONCRETE"/>
      <sheetName val="I-KAMAR"/>
      <sheetName val="Index Area Wise"/>
      <sheetName val="Tro_giup1"/>
      <sheetName val="GIA_uPVC_20171"/>
      <sheetName val="GIA_PP-R_20171"/>
      <sheetName val="TH_DU_TOAN1"/>
      <sheetName val="gia_vt,nc,may1"/>
      <sheetName val="Gia_1"/>
      <sheetName val="Chenh_lech_vat_tu1"/>
      <sheetName val="A_16CAN_XLS1"/>
      <sheetName val="[A_16CAN_XLS][A_16CAN_XLS][A_11"/>
      <sheetName val="[A_16CAN_XLS]\Users\macbook\Do1"/>
      <sheetName val="[A_16CAN_XLS]\C\Users\macbook\1"/>
      <sheetName val="[A_16CAN_XLS]\C\C\Users\macboo1"/>
      <sheetName val="_A_16CAN_XLS__A_16CAN_XLS__A_11"/>
      <sheetName val="_A_16CAN_XLS__Users_macbook_Do1"/>
      <sheetName val="_A_16CAN_XLS__C_Users_macbook_1"/>
      <sheetName val="_A_16CAN_XLS__C_C_Users_macboo1"/>
      <sheetName val="Floor_area_Res11"/>
      <sheetName val="Floor_area_Res2&amp;31"/>
      <sheetName val="TOWER_12TON1"/>
      <sheetName val="TOWER_10TON1"/>
      <sheetName val="gia_20111"/>
      <sheetName val="Doi_so1"/>
      <sheetName val="Tro_giup"/>
      <sheetName val="GIA_uPVC_2017"/>
      <sheetName val="GIA_PP-R_2017"/>
      <sheetName val="TH_DU_TOAN"/>
      <sheetName val="gia_vt,nc,may"/>
      <sheetName val="Gia_"/>
      <sheetName val="Chenh_lech_vat_tu"/>
      <sheetName val="A_16CAN_XLS"/>
      <sheetName val="[A_16CAN_XLS][A_16CAN_XLS][A_16"/>
      <sheetName val="[A_16CAN_XLS]\Users\macbook\Doc"/>
      <sheetName val="[A_16CAN_XLS]\C\Users\macbook\D"/>
      <sheetName val="[A_16CAN_XLS]\C\C\Users\macbook"/>
      <sheetName val="_A_16CAN_XLS__A_16CAN_XLS__A_16"/>
      <sheetName val="_A_16CAN_XLS__Users_macbook_Doc"/>
      <sheetName val="_A_16CAN_XLS__C_Users_macbook_D"/>
      <sheetName val="_A_16CAN_XLS__C_C_Users_macbook"/>
      <sheetName val="Floor_area_Res1"/>
      <sheetName val="Floor_area_Res2&amp;3"/>
      <sheetName val="TOWER_12TON"/>
      <sheetName val="TOWER_10TON"/>
      <sheetName val="gia_2011"/>
      <sheetName val="Doi_so"/>
      <sheetName val="Sheet5"/>
      <sheetName val="GENERAL REQUIREMENTS"/>
      <sheetName val="실행철강하도"/>
      <sheetName val="총원가계산서(요율)"/>
      <sheetName val="KTCK"/>
      <sheetName val="입찰안"/>
      <sheetName val="BIDDING-SUM"/>
      <sheetName val="Varible"/>
      <sheetName val="INDEX"/>
      <sheetName val="NTC"/>
      <sheetName val="MAIN GATE HOUSE"/>
      <sheetName val="[A_16CAN.XLS][A_16CAN.XLS]\User"/>
      <sheetName val="[A_16CAN.XLS][A_16CAN.XLS]\C\Us"/>
      <sheetName val="[A_16CAN.XLS][A_16CAN.XLS]\C\C\"/>
      <sheetName val="NVL"/>
      <sheetName val="valeurs de base"/>
      <sheetName val="_A_16CAN.XLS__A_16CAN.XLS__User"/>
      <sheetName val="_A_16CAN.XLS__A_16CAN.XLS__C_Us"/>
      <sheetName val="_A_16CAN.XLS__A_16CAN.XLS__C_C_"/>
      <sheetName val="[A_16CAN.XLS][A_16CAN_XLS]\User"/>
      <sheetName val="[A_16CAN.XLS][A_16CAN_XLS]\C\Us"/>
      <sheetName val="[A_16CAN.XLS][A_16CAN_XLS]\C\C\"/>
      <sheetName val="GIAVNX"/>
      <sheetName val="PCCC"/>
      <sheetName val="현장별"/>
      <sheetName val="RAB AR&amp;STR"/>
      <sheetName val="Ts"/>
      <sheetName val="DS-Thuong 6T dau"/>
      <sheetName val="Config"/>
      <sheetName val="IBASE"/>
      <sheetName val="Chênh lệch máy thi công"/>
      <sheetName val="Chênh lệch nhân công"/>
      <sheetName val="Chênh lệch vật liệu"/>
      <sheetName val="갑지"/>
      <sheetName val="FD"/>
      <sheetName val="GI"/>
      <sheetName val="EE (3)"/>
      <sheetName val="PAVEMENT"/>
      <sheetName val="TRAFFIC"/>
      <sheetName val="tifico"/>
      <sheetName val="Bill 1 - Prelim-R1"/>
      <sheetName val="SITE-E"/>
      <sheetName val="Tong du toan"/>
      <sheetName val="BG"/>
      <sheetName val="MASSPROP"/>
      <sheetName val="dghn"/>
      <sheetName val="beam"/>
      <sheetName val="tra-vat-lieu"/>
      <sheetName val="금액내역서"/>
      <sheetName val="유림골조"/>
      <sheetName val="TradeContractWork-R11"/>
      <sheetName val="HẦM CHUNG"/>
      <sheetName val="Planning"/>
      <sheetName val="THONG KE CAU KIEN"/>
      <sheetName val="SCOPE OF WORK"/>
      <sheetName val="CTU-NXK"/>
      <sheetName val="DMUC"/>
      <sheetName val="DMTK"/>
      <sheetName val="toa nha ACV"/>
      <sheetName val="Du thau"/>
      <sheetName val="TH-Dien"/>
      <sheetName val="Tro_giup2"/>
      <sheetName val="GIA_uPVC_20172"/>
      <sheetName val="GIA_PP-R_20172"/>
      <sheetName val="TH_DU_TOAN2"/>
      <sheetName val="A_16CAN_XLS2"/>
      <sheetName val="gia_vt,nc,may2"/>
      <sheetName val="[A_16CAN_XLS][A_16CAN_XLS][A_12"/>
      <sheetName val="_A_16CAN_XLS__A_16CAN_XLS__A_12"/>
      <sheetName val="[A_16CAN_XLS]\Users\macbook\Do2"/>
      <sheetName val="[A_16CAN_XLS]\C\Users\macbook\2"/>
      <sheetName val="[A_16CAN_XLS]\C\C\Users\macboo2"/>
      <sheetName val="Chenh_lech_vat_tu2"/>
      <sheetName val="Gia_2"/>
      <sheetName val="gia_20112"/>
      <sheetName val="Index_Area_Wise"/>
      <sheetName val="valeurs_de_base"/>
      <sheetName val="Doi_so2"/>
      <sheetName val="Floor_area_Res12"/>
      <sheetName val="Floor_area_Res2&amp;32"/>
      <sheetName val="_A_16CAN_XLS__Users_macbook_Do2"/>
      <sheetName val="_A_16CAN_XLS__C_Users_macbook_2"/>
      <sheetName val="_A_16CAN_XLS__C_C_Users_macboo2"/>
      <sheetName val="TOWER_12TON2"/>
      <sheetName val="TOWER_10TON2"/>
      <sheetName val="Girder"/>
      <sheetName val="gia thau-plhd"/>
      <sheetName val="chitietgia"/>
      <sheetName val="kh"/>
      <sheetName val="_A_16CAN.XLS__A_16CAN_XLS__User"/>
      <sheetName val="_A_16CAN.XLS__A_16CAN_XLS__C_Us"/>
      <sheetName val="_A_16CAN.XLS__A_16CAN_XLS__C_C_"/>
    </sheetNames>
    <sheetDataSet>
      <sheetData sheetId="0" refreshError="1">
        <row r="5">
          <cell r="B5" t="str">
            <v>TEÂN VAÄT TÖ - QUI CAÙCH</v>
          </cell>
          <cell r="C5" t="str">
            <v>ÑVT</v>
          </cell>
          <cell r="D5" t="str">
            <v>SOÁ LÖÔÏNG</v>
          </cell>
          <cell r="E5" t="str">
            <v>ÑÔN GIAÙ</v>
          </cell>
          <cell r="F5" t="str">
            <v>THAØNH TIEÀN</v>
          </cell>
          <cell r="G5" t="str">
            <v>GHI CHUÙ</v>
          </cell>
        </row>
        <row r="6">
          <cell r="B6" t="str">
            <v>PHAÀN XAÂY DÖÏNG</v>
          </cell>
        </row>
        <row r="7">
          <cell r="B7" t="str">
            <v>Ñaù 1x2</v>
          </cell>
          <cell r="C7" t="str">
            <v>m3</v>
          </cell>
          <cell r="D7">
            <v>82.005508000000006</v>
          </cell>
          <cell r="E7">
            <v>125000</v>
          </cell>
          <cell r="F7">
            <v>10250689</v>
          </cell>
          <cell r="G7" t="str">
            <v>GIAÙ DÖÏ TOAÙN</v>
          </cell>
        </row>
        <row r="8">
          <cell r="B8" t="str">
            <v>Ñaù 4x6</v>
          </cell>
          <cell r="C8" t="str">
            <v>m3</v>
          </cell>
          <cell r="D8">
            <v>121.05856</v>
          </cell>
          <cell r="E8">
            <v>85000</v>
          </cell>
          <cell r="F8">
            <v>10289978</v>
          </cell>
          <cell r="G8" t="str">
            <v>GIAÙ DÖÏ TOAÙN</v>
          </cell>
        </row>
        <row r="9">
          <cell r="B9" t="str">
            <v>Ñaù mi</v>
          </cell>
          <cell r="C9" t="str">
            <v>Kg</v>
          </cell>
          <cell r="D9">
            <v>3870.9010000000003</v>
          </cell>
          <cell r="E9">
            <v>350</v>
          </cell>
          <cell r="F9">
            <v>1354815</v>
          </cell>
          <cell r="G9" t="str">
            <v>GIAÙ DÖÏ TOAÙN</v>
          </cell>
        </row>
      </sheetData>
      <sheetData sheetId="1">
        <row r="5">
          <cell r="B5" t="str">
            <v>TEÂN VAÄT TÖ - QUI CAÙCH</v>
          </cell>
        </row>
      </sheetData>
      <sheetData sheetId="2"/>
      <sheetData sheetId="3"/>
      <sheetData sheetId="4">
        <row r="5">
          <cell r="B5" t="str">
            <v>TEÂN VAÄT TÖ - QUI CAÙCH</v>
          </cell>
        </row>
      </sheetData>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iaVL"/>
      <sheetName val="GTXL"/>
      <sheetName val="DTCT"/>
      <sheetName val="PTdgct"/>
      <sheetName val="CPTNo"/>
      <sheetName val="Cuoc"/>
      <sheetName val="GiaMay"/>
      <sheetName val="DGNC"/>
      <sheetName val="XXXXXXXX"/>
      <sheetName val="XXXXXXX0"/>
      <sheetName val="DI-ESTI"/>
      <sheetName val="GVL"/>
      <sheetName val="C &amp; G RHS"/>
      <sheetName val="공통가설"/>
      <sheetName val="LVTRIN~1"/>
      <sheetName val="포장복구집계"/>
      <sheetName val="project management"/>
      <sheetName val="변경집계표"/>
      <sheetName val="jobhist"/>
      <sheetName val="Project Brief"/>
      <sheetName val="Loading"/>
      <sheetName val="Check C"/>
      <sheetName val="XL4Poppy"/>
      <sheetName val="T-goc"/>
      <sheetName val="Don gia"/>
      <sheetName val="VL"/>
      <sheetName val="TN"/>
      <sheetName val="ND"/>
      <sheetName val="DG"/>
      <sheetName val="A6,MAY"/>
      <sheetName val="THKPKTNEW"/>
      <sheetName val="6MONTHS"/>
      <sheetName val="Sheet1"/>
    </sheetNames>
    <sheetDataSet>
      <sheetData sheetId="0" refreshError="1">
        <row r="6">
          <cell r="F6">
            <v>174949.25714285712</v>
          </cell>
        </row>
        <row r="20">
          <cell r="F20">
            <v>6545.5763809523805</v>
          </cell>
        </row>
        <row r="22">
          <cell r="F22">
            <v>1160576.3809523811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i-Cao-bars list of diaphragm"/>
      <sheetName val="Qui-Cao-bars list of Style1 PCI"/>
      <sheetName val="Cam-Thuy-DamT"/>
      <sheetName val="Cam-Thuy-Tru P1~P8"/>
      <sheetName val="Sheet1"/>
      <sheetName val="gVL"/>
      <sheetName val="Bia"/>
      <sheetName val="DT chi tiet"/>
      <sheetName val="XL4Poppy"/>
      <sheetName val="ptvt-dg"/>
      <sheetName val="Pier"/>
      <sheetName val="TH Kinh phi"/>
      <sheetName val="List"/>
      <sheetName val="Don gia"/>
      <sheetName val="tonghop"/>
      <sheetName val="KB"/>
      <sheetName val="Sheet2"/>
      <sheetName val="DZ 0.4"/>
      <sheetName val="chitimc"/>
    </sheetNames>
    <sheetDataSet>
      <sheetData sheetId="0" refreshError="1"/>
      <sheetData sheetId="1" refreshError="1"/>
      <sheetData sheetId="2" refreshError="1"/>
      <sheetData sheetId="3" refreshError="1"/>
      <sheetData sheetId="4" refreshError="1">
        <row r="2">
          <cell r="I2">
            <v>6</v>
          </cell>
          <cell r="J2">
            <v>8</v>
          </cell>
          <cell r="K2">
            <v>10</v>
          </cell>
          <cell r="L2">
            <v>12</v>
          </cell>
          <cell r="M2">
            <v>13</v>
          </cell>
          <cell r="N2">
            <v>14</v>
          </cell>
          <cell r="O2">
            <v>16</v>
          </cell>
          <cell r="P2">
            <v>18</v>
          </cell>
          <cell r="Q2">
            <v>19</v>
          </cell>
          <cell r="R2">
            <v>20</v>
          </cell>
          <cell r="S2">
            <v>22</v>
          </cell>
          <cell r="T2">
            <v>23</v>
          </cell>
          <cell r="U2">
            <v>24</v>
          </cell>
          <cell r="V2">
            <v>25</v>
          </cell>
          <cell r="W2">
            <v>26</v>
          </cell>
          <cell r="X2">
            <v>27</v>
          </cell>
          <cell r="Y2">
            <v>30</v>
          </cell>
          <cell r="Z2">
            <v>32</v>
          </cell>
          <cell r="AA2">
            <v>34</v>
          </cell>
          <cell r="AB2">
            <v>35</v>
          </cell>
          <cell r="AC2">
            <v>36</v>
          </cell>
          <cell r="AD2">
            <v>38</v>
          </cell>
          <cell r="AE2">
            <v>40</v>
          </cell>
        </row>
        <row r="3">
          <cell r="I3">
            <v>0.222</v>
          </cell>
          <cell r="J3">
            <v>0.39500000000000002</v>
          </cell>
          <cell r="K3">
            <v>0.61599999999999999</v>
          </cell>
          <cell r="L3">
            <v>0.88800000000000001</v>
          </cell>
          <cell r="M3">
            <v>0.995</v>
          </cell>
          <cell r="N3">
            <v>1.208</v>
          </cell>
          <cell r="O3">
            <v>1.579</v>
          </cell>
          <cell r="P3">
            <v>1.998</v>
          </cell>
          <cell r="Q3">
            <v>2.2250000000000001</v>
          </cell>
          <cell r="R3">
            <v>2.4660000000000002</v>
          </cell>
          <cell r="S3">
            <v>2.984</v>
          </cell>
          <cell r="T3">
            <v>3.26</v>
          </cell>
          <cell r="U3">
            <v>3.5510000000000002</v>
          </cell>
          <cell r="V3">
            <v>3.8540000000000001</v>
          </cell>
          <cell r="W3">
            <v>4.1680000000000001</v>
          </cell>
          <cell r="X3">
            <v>4.8339999999999996</v>
          </cell>
          <cell r="Y3">
            <v>5.5490000000000004</v>
          </cell>
          <cell r="Z3">
            <v>6.3129999999999997</v>
          </cell>
          <cell r="AA3">
            <v>7.13</v>
          </cell>
          <cell r="AB3">
            <v>7.55</v>
          </cell>
          <cell r="AC3">
            <v>7.9909999999999997</v>
          </cell>
          <cell r="AD3">
            <v>8.9</v>
          </cell>
          <cell r="AE3">
            <v>9.8640000000000008</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
    </sheetNames>
    <sheetDataSet>
      <sheetData sheetId="0" refreshError="1">
        <row r="704">
          <cell r="D704">
            <v>290000</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G VAN MỚI"/>
      <sheetName val="BẢNG TÍNH CỬA GIÓ MỚI"/>
      <sheetName val="TINH VT PK VUÔNG"/>
      <sheetName val="TINH VT PK TRON"/>
      <sheetName val="BG TIEU AM"/>
      <sheetName val="Đơn giá theo m2"/>
      <sheetName val="Vat tu tôn"/>
      <sheetName val="VT van"/>
      <sheetName val="VT tiêu âm"/>
      <sheetName val="BG VAN CU"/>
      <sheetName val="Sheet1"/>
    </sheetNames>
    <sheetDataSet>
      <sheetData sheetId="0"/>
      <sheetData sheetId="1"/>
      <sheetData sheetId="2"/>
      <sheetData sheetId="3"/>
      <sheetData sheetId="4"/>
      <sheetData sheetId="5">
        <row r="62">
          <cell r="I62">
            <v>262000</v>
          </cell>
        </row>
      </sheetData>
      <sheetData sheetId="6"/>
      <sheetData sheetId="7"/>
      <sheetData sheetId="8"/>
      <sheetData sheetId="9"/>
      <sheetData sheetId="10"/>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S"/>
      <sheetName val="BILL 01 - PRELIMINARIES"/>
      <sheetName val="Bill 11.2"/>
      <sheetName val="Aluminum doors spec"/>
      <sheetName val="B5.1 rate"/>
    </sheetNames>
    <sheetDataSet>
      <sheetData sheetId="0"/>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SuatDauTu"/>
      <sheetName val="KhoiLuong"/>
      <sheetName val="GFA"/>
      <sheetName val="TONG"/>
      <sheetName val="2.1-Pile"/>
      <sheetName val="3.1-ST-BM"/>
      <sheetName val="3.2-ST-PO"/>
      <sheetName val="3.3-ST-TO"/>
      <sheetName val="4.1-Arch-Basement"/>
      <sheetName val="4.2-Arch-Po"/>
      <sheetName val="4.3-Arch-To"/>
      <sheetName val="4.4-Arch-Unit"/>
      <sheetName val="4.5-External Work"/>
      <sheetName val="5-CoDienSum"/>
      <sheetName val="5.1-Dien"/>
      <sheetName val="5.2-DienNhe"/>
      <sheetName val="5.3-DieuHoa"/>
      <sheetName val="5.4-CapThoat"/>
      <sheetName val="5.5-PCCC"/>
      <sheetName val="5.6-ThangMay"/>
      <sheetName val="6.1-ThietKe"/>
      <sheetName val="DT-ST-BM"/>
      <sheetName val="DT-ST-PO"/>
      <sheetName val="DT-ST-TO"/>
      <sheetName val="DT-Arch-BM"/>
      <sheetName val="DT-Arch-Po"/>
      <sheetName val="DT-Arch-To"/>
      <sheetName val="DT-Arch-Unit"/>
      <sheetName val="PKVTam"/>
      <sheetName val="PKKinhCL"/>
      <sheetName val="PKCuaGo"/>
      <sheetName val="PKCuaThep"/>
      <sheetName val="UnitRateCSA(NonPrint)"/>
      <sheetName val="UnitRateMEP(NonPrint)"/>
    </sheetNames>
    <sheetDataSet>
      <sheetData sheetId="0"/>
      <sheetData sheetId="1"/>
      <sheetData sheetId="2"/>
      <sheetData sheetId="3"/>
      <sheetData sheetId="4"/>
      <sheetData sheetId="5"/>
      <sheetData sheetId="6">
        <row r="6">
          <cell r="D6" t="str">
            <v>Nội dung</v>
          </cell>
          <cell r="I6" t="str">
            <v>Thành tiền</v>
          </cell>
        </row>
        <row r="9">
          <cell r="D9" t="str">
            <v>GHI CHÚ CHUNG</v>
          </cell>
        </row>
        <row r="11">
          <cell r="D11" t="str">
            <v>Nhà thầu được thông báo về chỉ dẫn kỹ thuật, bảng kê vật liệu và bản vẽ cho tất cả những chi tiết liên quan cho hạng mục này của công trình, và nhà thầu phải tuân thủ tất cả những yêu cầu chứa trong hồ sơ, trừ khi có những ghi chú cụ thể trong từng công việc thực hiện.</v>
          </cell>
        </row>
        <row r="12">
          <cell r="D12" t="str">
            <v>Hồ sơ dự thầu phải thể hiện chi tiết vật tư như chiều dày, rộng, cao, sâu, đường kính, chi tiết, thương hiệu của hạng mục trong bảng kê khối lượng kèm theo hồ sơ thiết kế.</v>
          </cell>
        </row>
        <row r="13">
          <cell r="D13" t="str">
            <v>Chủ đầu tư chỉ cung cấp bảng kê khối lượng. Bên dự thầu phải bóc tách khối lượng dựa vào thiết kế của mình và điền/ chèn những khối lượng chi tiết theo cấu trúc của bảng kê khối lượng được cung cấp.</v>
          </cell>
        </row>
        <row r="14">
          <cell r="D14" t="str">
            <v>Tất cả khối lượng được tính trong công trình là khối lượng NET. Việc tính các chi phí hao hụt và hệ số đã được tính toán bao gồm trong đơn giá dự thầu.</v>
          </cell>
        </row>
        <row r="16">
          <cell r="D16" t="str">
            <v>DIV31: CÔNG TÁC ĐẤT</v>
          </cell>
        </row>
        <row r="18">
          <cell r="D18" t="str">
            <v>CÔNG TÁC ĐÀO VÀ LẤP ĐẤT</v>
          </cell>
        </row>
        <row r="19">
          <cell r="D19" t="str">
            <v>Đào đất từ cao độ mặt tự nhiên bao gồm đào lớp gia cố xi măng</v>
          </cell>
        </row>
        <row r="20">
          <cell r="D20" t="str">
            <v>Đào đất  toàn bộ tầng hầm bằng máy</v>
          </cell>
        </row>
        <row r="21">
          <cell r="D21" t="str">
            <v>Đào đất thủ công cho đài cọc, dầm tầng hầm, mương thu nước, hố thu</v>
          </cell>
        </row>
        <row r="22">
          <cell r="D22" t="str">
            <v>Công tác thoát nước</v>
          </cell>
        </row>
        <row r="23">
          <cell r="D23" t="str">
            <v>Công tác lấp đất</v>
          </cell>
        </row>
        <row r="24">
          <cell r="D24" t="str">
            <v>Đắp cát san lấp cho công trình bằng máy đầm 9T</v>
          </cell>
        </row>
        <row r="25">
          <cell r="D25" t="str">
            <v>Bốc và vận chuyển đất thừa</v>
          </cell>
        </row>
        <row r="27">
          <cell r="D27" t="str">
            <v>CÔNG TÁC CHỐNG ĐỠ</v>
          </cell>
        </row>
        <row r="28">
          <cell r="D28" t="str">
            <v>San phẳng và chuẩn bị mặt bằng thi công</v>
          </cell>
        </row>
        <row r="29">
          <cell r="D29" t="str">
            <v>Công tác chống đỡ cho công tác đào đất</v>
          </cell>
        </row>
        <row r="31">
          <cell r="D31" t="str">
            <v>BIỆN PHÁP THI CÔNG</v>
          </cell>
        </row>
        <row r="32">
          <cell r="D32" t="str">
            <v>Đập, xử lý và vận chuyển đầu cọc ra khỏi công trường</v>
          </cell>
        </row>
        <row r="33">
          <cell r="D33" t="str">
            <v>D800</v>
          </cell>
        </row>
        <row r="34">
          <cell r="D34" t="str">
            <v>D1200</v>
          </cell>
        </row>
        <row r="36">
          <cell r="D36" t="str">
            <v>XỬ LÝ ĐẤT</v>
          </cell>
        </row>
        <row r="37">
          <cell r="D37" t="str">
            <v>Thi công chống mối</v>
          </cell>
        </row>
        <row r="38">
          <cell r="D38" t="str">
            <v>Chống mối sàn tầng hầm</v>
          </cell>
        </row>
        <row r="40">
          <cell r="D40" t="str">
            <v>DIV32: CÔNG TÁC CẢI TẠO</v>
          </cell>
        </row>
        <row r="42">
          <cell r="D42" t="str">
            <v>CÔNG TÁC LÀM NỀN</v>
          </cell>
        </row>
        <row r="43">
          <cell r="D43" t="str">
            <v>Cung cấp và đổ bê tông lót</v>
          </cell>
        </row>
        <row r="45">
          <cell r="D45" t="str">
            <v>DIV03: CÔNG TÁC BÊ TÔNG</v>
          </cell>
        </row>
        <row r="47">
          <cell r="D47" t="str">
            <v>CÔNG TÁC VÁN KHUÔN</v>
          </cell>
        </row>
        <row r="48">
          <cell r="D48" t="str">
            <v>Cung cấp, lắp đặt và cố định ván khuôn mặt dựng cho</v>
          </cell>
        </row>
        <row r="49">
          <cell r="D49" t="str">
            <v xml:space="preserve">Dầm giằng móng </v>
          </cell>
        </row>
        <row r="50">
          <cell r="D50" t="str">
            <v>Đài cọc</v>
          </cell>
        </row>
        <row r="51">
          <cell r="D51" t="str">
            <v>Lõi cứng</v>
          </cell>
        </row>
        <row r="52">
          <cell r="D52" t="str">
            <v>Cột</v>
          </cell>
        </row>
        <row r="53">
          <cell r="D53" t="str">
            <v>Vách cứng</v>
          </cell>
        </row>
        <row r="54">
          <cell r="D54" t="str">
            <v>Tường chắn đất</v>
          </cell>
        </row>
        <row r="55">
          <cell r="D55" t="str">
            <v>Vách gia cường</v>
          </cell>
        </row>
        <row r="56">
          <cell r="D56" t="str">
            <v>Tường parapet</v>
          </cell>
        </row>
        <row r="57">
          <cell r="D57" t="str">
            <v xml:space="preserve">Sàn đáy hầm </v>
          </cell>
        </row>
        <row r="58">
          <cell r="D58" t="str">
            <v>Cung cấp, lắp đặt và cố định ván khuôn cạnh bên và đáy cho</v>
          </cell>
        </row>
        <row r="59">
          <cell r="D59" t="str">
            <v>Dầm đỉnh chắn đất</v>
          </cell>
        </row>
        <row r="60">
          <cell r="D60" t="str">
            <v>Dầm nóc hầm</v>
          </cell>
        </row>
        <row r="61">
          <cell r="D61" t="str">
            <v>Sàn nóc hầm</v>
          </cell>
        </row>
        <row r="62">
          <cell r="D62" t="str">
            <v>Thang bộ</v>
          </cell>
        </row>
        <row r="63">
          <cell r="D63" t="str">
            <v>Ram dốc</v>
          </cell>
        </row>
        <row r="64">
          <cell r="D64" t="str">
            <v>Bể nước sinh hoạt</v>
          </cell>
        </row>
        <row r="65">
          <cell r="D65" t="str">
            <v>Bể tự hoại</v>
          </cell>
        </row>
        <row r="66">
          <cell r="D66" t="str">
            <v>Bể cân bằng</v>
          </cell>
        </row>
        <row r="67">
          <cell r="D67" t="str">
            <v>Bể bơi</v>
          </cell>
        </row>
        <row r="68">
          <cell r="D68" t="str">
            <v>Hố bơm</v>
          </cell>
        </row>
        <row r="69">
          <cell r="D69" t="str">
            <v>Hố thăm</v>
          </cell>
        </row>
        <row r="70">
          <cell r="D70" t="str">
            <v>Doghouse</v>
          </cell>
        </row>
        <row r="71">
          <cell r="D71" t="str">
            <v>Mương nước</v>
          </cell>
        </row>
        <row r="72">
          <cell r="D72" t="str">
            <v>Bệ đỡ bê tông</v>
          </cell>
        </row>
        <row r="74">
          <cell r="D74" t="str">
            <v>PHỤ KIỆN BÊ TÔNG</v>
          </cell>
        </row>
        <row r="75">
          <cell r="D75" t="str">
            <v>Cung cấp, lắp đặt và cố định băng cản nước</v>
          </cell>
        </row>
        <row r="76">
          <cell r="D76" t="str">
            <v>Dạng chữ I</v>
          </cell>
        </row>
        <row r="77">
          <cell r="D77" t="str">
            <v>Dạng góc L</v>
          </cell>
        </row>
        <row r="79">
          <cell r="D79" t="str">
            <v>CÔNG TÁC CỐT THÉP</v>
          </cell>
        </row>
        <row r="80">
          <cell r="D80" t="str">
            <v>Cung cấp, lắp đặt và cố định thép</v>
          </cell>
        </row>
        <row r="81">
          <cell r="D81" t="str">
            <v xml:space="preserve">Dầm giằng móng </v>
          </cell>
        </row>
        <row r="82">
          <cell r="D82" t="str">
            <v>Đài cọc</v>
          </cell>
        </row>
        <row r="83">
          <cell r="D83" t="str">
            <v>Lõi cứng</v>
          </cell>
        </row>
        <row r="84">
          <cell r="D84" t="str">
            <v>Cột</v>
          </cell>
        </row>
        <row r="85">
          <cell r="D85" t="str">
            <v>Vách cứng</v>
          </cell>
        </row>
        <row r="86">
          <cell r="D86" t="str">
            <v>Tường chắn đất</v>
          </cell>
        </row>
        <row r="87">
          <cell r="D87" t="str">
            <v>Vách gia cường</v>
          </cell>
        </row>
        <row r="88">
          <cell r="D88" t="str">
            <v>Tường parapet</v>
          </cell>
        </row>
        <row r="89">
          <cell r="D89" t="str">
            <v xml:space="preserve">Sàn đáy hầm </v>
          </cell>
        </row>
        <row r="90">
          <cell r="D90" t="str">
            <v>Dầm đỉnh tường chắn đất</v>
          </cell>
        </row>
        <row r="91">
          <cell r="D91" t="str">
            <v>Dầm treo</v>
          </cell>
        </row>
        <row r="92">
          <cell r="D92" t="str">
            <v>Sàn treo</v>
          </cell>
        </row>
        <row r="93">
          <cell r="D93" t="str">
            <v>Thang bộ</v>
          </cell>
        </row>
        <row r="94">
          <cell r="D94" t="str">
            <v>Ram dốc</v>
          </cell>
        </row>
        <row r="95">
          <cell r="D95" t="str">
            <v>Bể nước sinh hoạt</v>
          </cell>
        </row>
        <row r="96">
          <cell r="D96" t="str">
            <v>Bể tự hoại</v>
          </cell>
        </row>
        <row r="97">
          <cell r="D97" t="str">
            <v>Bể cân bằng</v>
          </cell>
        </row>
        <row r="98">
          <cell r="D98" t="str">
            <v>Hố bơm</v>
          </cell>
        </row>
        <row r="99">
          <cell r="D99" t="str">
            <v>Hố thăm</v>
          </cell>
        </row>
        <row r="100">
          <cell r="D100" t="str">
            <v>Doghouse</v>
          </cell>
        </row>
        <row r="101">
          <cell r="D101" t="str">
            <v>Mương nước</v>
          </cell>
        </row>
        <row r="102">
          <cell r="D102" t="str">
            <v>Bệ bê tông</v>
          </cell>
        </row>
        <row r="104">
          <cell r="D104" t="str">
            <v>CÔNG TÁC BÊ TÔNG KẾT CẤU</v>
          </cell>
        </row>
        <row r="105">
          <cell r="D105" t="str">
            <v>Cung cấp và đổ bê tông</v>
          </cell>
        </row>
        <row r="106">
          <cell r="D106" t="str">
            <v xml:space="preserve">Dầm giằng móng </v>
          </cell>
        </row>
        <row r="107">
          <cell r="D107" t="str">
            <v>Bê tông cấp độ bền B30</v>
          </cell>
        </row>
        <row r="108">
          <cell r="D108" t="str">
            <v>Đài cọc</v>
          </cell>
        </row>
        <row r="109">
          <cell r="D109" t="str">
            <v>Bê tông cấp độ bền B30</v>
          </cell>
        </row>
        <row r="110">
          <cell r="D110" t="str">
            <v>Lõi cứng</v>
          </cell>
        </row>
        <row r="111">
          <cell r="D111" t="str">
            <v>Bê tông cấp độ bền B40</v>
          </cell>
        </row>
        <row r="112">
          <cell r="D112" t="str">
            <v>Cột</v>
          </cell>
        </row>
        <row r="113">
          <cell r="D113" t="str">
            <v>Bê tông cấp độ bền B30</v>
          </cell>
        </row>
        <row r="114">
          <cell r="D114" t="str">
            <v>Vách cứng</v>
          </cell>
        </row>
        <row r="115">
          <cell r="D115" t="str">
            <v>Bê tông cấp độ bền B40</v>
          </cell>
        </row>
        <row r="116">
          <cell r="D116" t="str">
            <v>Tường chắn đất</v>
          </cell>
        </row>
        <row r="117">
          <cell r="D117" t="str">
            <v>Bê tông cấp độ bền B30</v>
          </cell>
        </row>
        <row r="118">
          <cell r="D118" t="str">
            <v>Vách gia cường</v>
          </cell>
        </row>
        <row r="119">
          <cell r="D119" t="str">
            <v>Bê tông cấp độ bền B40</v>
          </cell>
        </row>
        <row r="120">
          <cell r="D120" t="str">
            <v>Tường parapet</v>
          </cell>
        </row>
        <row r="121">
          <cell r="D121" t="str">
            <v>Bê tông cấp độ bền B30</v>
          </cell>
        </row>
        <row r="122">
          <cell r="D122" t="str">
            <v>Bê tông cấp độ bền B20</v>
          </cell>
        </row>
        <row r="123">
          <cell r="D123" t="str">
            <v xml:space="preserve">Sàn đáy hầm </v>
          </cell>
        </row>
        <row r="124">
          <cell r="D124" t="str">
            <v>Bê tông cấp độ bền B30</v>
          </cell>
        </row>
        <row r="125">
          <cell r="D125" t="str">
            <v>Dầm đỉnh tường chắn đất</v>
          </cell>
        </row>
        <row r="126">
          <cell r="D126" t="str">
            <v>Bê tông cấp độ bền B30</v>
          </cell>
        </row>
        <row r="127">
          <cell r="D127" t="str">
            <v>Dầm treo</v>
          </cell>
        </row>
        <row r="128">
          <cell r="D128" t="str">
            <v>Bê tông cấp độ bền B30</v>
          </cell>
        </row>
        <row r="129">
          <cell r="D129" t="str">
            <v>Bê tông cấp độ bền B40</v>
          </cell>
        </row>
        <row r="130">
          <cell r="D130" t="str">
            <v>Sàn treo</v>
          </cell>
        </row>
        <row r="131">
          <cell r="D131" t="str">
            <v>Bê tông cấp độ bền B30</v>
          </cell>
        </row>
        <row r="132">
          <cell r="D132" t="str">
            <v>Bê tông cấp độ bền B40</v>
          </cell>
        </row>
        <row r="133">
          <cell r="D133" t="str">
            <v>Thang bộ</v>
          </cell>
        </row>
        <row r="134">
          <cell r="D134" t="str">
            <v>Bê tông cấp độ bền B30</v>
          </cell>
        </row>
        <row r="135">
          <cell r="D135" t="str">
            <v>Ram dốc</v>
          </cell>
        </row>
        <row r="136">
          <cell r="D136" t="str">
            <v>Bê tông cấp độ bền B30</v>
          </cell>
        </row>
        <row r="137">
          <cell r="D137" t="str">
            <v>Bể nước sinh hoạt</v>
          </cell>
        </row>
        <row r="138">
          <cell r="D138" t="str">
            <v>Bê tông cấp độ bền B30</v>
          </cell>
        </row>
        <row r="139">
          <cell r="D139" t="str">
            <v>Bể tự hoại</v>
          </cell>
        </row>
        <row r="140">
          <cell r="D140" t="str">
            <v>Bê tông cấp độ bền B30</v>
          </cell>
        </row>
        <row r="141">
          <cell r="D141" t="str">
            <v>Bể cân bằng</v>
          </cell>
        </row>
        <row r="142">
          <cell r="D142" t="str">
            <v>Bê tông cấp độ bền B30</v>
          </cell>
        </row>
        <row r="143">
          <cell r="D143" t="str">
            <v>Hố bơm</v>
          </cell>
        </row>
        <row r="144">
          <cell r="D144" t="str">
            <v>Bê tông cấp độ bền B20</v>
          </cell>
        </row>
        <row r="145">
          <cell r="D145" t="str">
            <v>Hố thăm</v>
          </cell>
        </row>
        <row r="146">
          <cell r="D146" t="str">
            <v>Bê tông cấp độ bền B20</v>
          </cell>
        </row>
        <row r="147">
          <cell r="D147" t="str">
            <v>Doghouse</v>
          </cell>
        </row>
        <row r="148">
          <cell r="D148" t="str">
            <v>Bê tông cấp độ bền B20</v>
          </cell>
        </row>
        <row r="149">
          <cell r="D149" t="str">
            <v>Mương nước</v>
          </cell>
        </row>
        <row r="150">
          <cell r="D150" t="str">
            <v>Bê tông cấp độ bền B30</v>
          </cell>
        </row>
        <row r="151">
          <cell r="D151" t="str">
            <v>Bệ bê tông</v>
          </cell>
        </row>
        <row r="152">
          <cell r="D152" t="str">
            <v>Bê tông cấp độ bền B25 (type1)</v>
          </cell>
        </row>
        <row r="153">
          <cell r="D153" t="str">
            <v>Cung cấp, lắp đặt và cố định cho</v>
          </cell>
        </row>
        <row r="154">
          <cell r="D154" t="str">
            <v>Lanh tô, ô văng, bổ trụ, giằng tường, bao gồm ván khuôn, thép và bê tông</v>
          </cell>
        </row>
        <row r="155">
          <cell r="D155" t="str">
            <v>Dự trù cho lỗ mở MEP</v>
          </cell>
        </row>
        <row r="156">
          <cell r="D156" t="str">
            <v>Dự trù lỗ chờ cho ống MEP</v>
          </cell>
        </row>
        <row r="157">
          <cell r="D157" t="str">
            <v>Dự trù cho hố thu</v>
          </cell>
        </row>
        <row r="159">
          <cell r="D159" t="str">
            <v>DIVI07: CÔNG TÁC CHỐNG THẤM CHỐNG NÓNG</v>
          </cell>
        </row>
        <row r="161">
          <cell r="D161" t="str">
            <v>CÔNG TÁC CHỐNG THẤM BẰNG CHẤT LỎNG</v>
          </cell>
        </row>
        <row r="162">
          <cell r="D162" t="str">
            <v>Chống thấm vách và đáy hầm</v>
          </cell>
        </row>
        <row r="164">
          <cell r="D164" t="str">
            <v>HẠNG MỤC BỔ SUNG</v>
          </cell>
        </row>
        <row r="166">
          <cell r="D166" t="str">
            <v>Nhà thầu phải bao gồm phần được nêu dưới đây cho bất kỳ hạng mục công việc nào khác mà không được nêu trong Bảng Khối lượng, nhưng được thể hiện trong các Bản vẽ hoặc được mô tả trong hồ sơ Tiêu chuẩn Kỹ thuật, hoặc được đề cập ở những hồ sơ nào khác có liên quan,  hoặc Nhà thầu nhận thấy đó là yếu tố cần thiết để thực hiện đúng và hoàn thành tốt Công trình Dự án. 
Nếu hạng mục công việc không được báo giá, thì sẽ được xem là đã được bao gồm và được tính trong tổng Giá trị Hợp đồng và sẽ không có bất kỳ yêu cầu thanh toán phát sinh nào từ hạng mục Công việc đó được chấp thuận.</v>
          </cell>
        </row>
        <row r="167">
          <cell r="D167" t="str">
            <v>TỔNG CỘNG (chưa bao gồm VAT)</v>
          </cell>
        </row>
      </sheetData>
      <sheetData sheetId="7">
        <row r="6">
          <cell r="D6" t="str">
            <v>Nội dung</v>
          </cell>
        </row>
        <row r="9">
          <cell r="D9" t="str">
            <v>GHI CHÚ CHUNG</v>
          </cell>
        </row>
        <row r="11">
          <cell r="D11" t="str">
            <v>Nhà thầu được thông báo về chỉ dẫn kỹ thuật, bảng kê vật liệu và bản vẽ cho tất cả những chi tiết liên quan cho hạng mục này của công trình, và nhà thầu phải tuân thủ tất cả những yêu cầu chứa trong hồ sơ, trừ khi có những ghi chú cụ thể trong từng công việc thực hiện.</v>
          </cell>
        </row>
        <row r="12">
          <cell r="D12" t="str">
            <v>Hồ sơ dự thầu phải thể hiện chi tiết vật tư như chiều dày, rộng, cao, sâu, đường kính, chi tiết, thương hiệu của hạng mục trong bảng kê khối lượng kèm theo hồ sơ thiết kế.</v>
          </cell>
        </row>
        <row r="13">
          <cell r="D13" t="str">
            <v>Chủ đầu tư chỉ cung cấp bảng kê khối lượng. Bên dự thầu phải bóc tách khối lượng dựa vào thiết kế của mình và điền/ chèn những khối lượng chi tiết theo cấu trúc của bảng kê khối lượng được cung cấp.</v>
          </cell>
        </row>
        <row r="14">
          <cell r="D14" t="str">
            <v>Tất cả khối lượng được tính trong công trình là khối lượng NET. Việc tính các chi phí hao hụt và hệ số đã được tính toán bao gồm trong đơn giá dự thầu.</v>
          </cell>
        </row>
        <row r="16">
          <cell r="D16" t="str">
            <v>DIV03: CÔNG TÁC BÊ TÔNG</v>
          </cell>
        </row>
        <row r="18">
          <cell r="D18" t="str">
            <v>CÔNG TÁC VÁN KHUÔN VÀ PHỤ KIỆN</v>
          </cell>
        </row>
        <row r="19">
          <cell r="D19" t="str">
            <v>Cung cấp, lắp đặt và cố định ván khuôn mặt dựng cho</v>
          </cell>
        </row>
        <row r="20">
          <cell r="D20" t="str">
            <v>Lõi cứng</v>
          </cell>
        </row>
        <row r="21">
          <cell r="D21" t="str">
            <v>Vách cứng</v>
          </cell>
        </row>
        <row r="22">
          <cell r="D22" t="str">
            <v>Cột</v>
          </cell>
        </row>
        <row r="23">
          <cell r="D23" t="str">
            <v>Tường Parapet</v>
          </cell>
        </row>
        <row r="24">
          <cell r="D24" t="str">
            <v>Cung cấp, lắp đặt và cố định ván khuôn cạnh bên và đáy cho</v>
          </cell>
        </row>
        <row r="25">
          <cell r="D25" t="str">
            <v>Dầm</v>
          </cell>
        </row>
        <row r="26">
          <cell r="D26" t="str">
            <v>Sàn</v>
          </cell>
        </row>
        <row r="27">
          <cell r="D27" t="str">
            <v>Thang bộ</v>
          </cell>
        </row>
        <row r="28">
          <cell r="D28" t="str">
            <v>Bể bơi</v>
          </cell>
        </row>
        <row r="29">
          <cell r="D29" t="str">
            <v>Gờ bê tông</v>
          </cell>
        </row>
        <row r="31">
          <cell r="D31" t="str">
            <v>CÔNG TÁC CỐT THÉP</v>
          </cell>
        </row>
        <row r="32">
          <cell r="D32" t="str">
            <v>Cung cấp, lắp đặt và cố định thép</v>
          </cell>
        </row>
        <row r="33">
          <cell r="D33" t="str">
            <v>Lõi cứng</v>
          </cell>
        </row>
        <row r="34">
          <cell r="D34" t="str">
            <v>Vách cứng</v>
          </cell>
        </row>
        <row r="35">
          <cell r="D35" t="str">
            <v>Cột</v>
          </cell>
        </row>
        <row r="36">
          <cell r="D36" t="str">
            <v>Tường parapet</v>
          </cell>
        </row>
        <row r="37">
          <cell r="D37" t="str">
            <v>Dầm</v>
          </cell>
        </row>
        <row r="38">
          <cell r="D38" t="str">
            <v>Sàn</v>
          </cell>
        </row>
        <row r="39">
          <cell r="D39" t="str">
            <v>Thang bộ</v>
          </cell>
        </row>
        <row r="40">
          <cell r="D40" t="str">
            <v>Bể bơi</v>
          </cell>
        </row>
        <row r="41">
          <cell r="D41" t="str">
            <v>Gờ bê tông</v>
          </cell>
        </row>
        <row r="43">
          <cell r="D43" t="str">
            <v>CÔNG TÁC BÊ TÔNG KẾT CẤU</v>
          </cell>
        </row>
        <row r="44">
          <cell r="D44" t="str">
            <v>Cung cấp và đổ bê tông</v>
          </cell>
        </row>
        <row r="45">
          <cell r="D45" t="str">
            <v>Lõi cứng</v>
          </cell>
        </row>
        <row r="46">
          <cell r="D46" t="str">
            <v>Bê tông cấp độ bền B45</v>
          </cell>
        </row>
        <row r="47">
          <cell r="D47" t="str">
            <v>Vách cứng</v>
          </cell>
        </row>
        <row r="48">
          <cell r="D48" t="str">
            <v>Bê tông cấp độ bền B45</v>
          </cell>
        </row>
        <row r="49">
          <cell r="D49" t="str">
            <v>Cột</v>
          </cell>
        </row>
        <row r="50">
          <cell r="D50" t="str">
            <v>Bê tông cấp độ bền B45</v>
          </cell>
        </row>
        <row r="51">
          <cell r="D51" t="str">
            <v>Tường parapet</v>
          </cell>
        </row>
        <row r="52">
          <cell r="D52" t="str">
            <v>Bê tông cấp độ bền B30</v>
          </cell>
        </row>
        <row r="53">
          <cell r="D53" t="str">
            <v>Dầm</v>
          </cell>
        </row>
        <row r="54">
          <cell r="D54" t="str">
            <v>Bê tông cấp độ bền B30</v>
          </cell>
        </row>
        <row r="55">
          <cell r="D55" t="str">
            <v>Sàn</v>
          </cell>
        </row>
        <row r="56">
          <cell r="D56" t="str">
            <v>Bê tông cấp độ bền B30</v>
          </cell>
        </row>
        <row r="57">
          <cell r="D57" t="str">
            <v>Thang bộ</v>
          </cell>
        </row>
        <row r="58">
          <cell r="D58" t="str">
            <v>Bê tông cấp độ bền B30</v>
          </cell>
        </row>
        <row r="59">
          <cell r="D59" t="str">
            <v>Bể bơi</v>
          </cell>
        </row>
        <row r="61">
          <cell r="D61" t="str">
            <v>Cung cấp, lắp đặt và cố định cho</v>
          </cell>
        </row>
        <row r="62">
          <cell r="D62" t="str">
            <v>Lanh tô, ô văng, bổ trụ, giằng tường, bao gồm ván khuôn, thép và bê tông</v>
          </cell>
        </row>
        <row r="63">
          <cell r="D63" t="str">
            <v>Dự trù cho lỗ mở MEP.</v>
          </cell>
        </row>
        <row r="64">
          <cell r="D64" t="str">
            <v>Dự trù lỗ chờ cho ống MEP.</v>
          </cell>
        </row>
        <row r="65">
          <cell r="D65" t="str">
            <v>Dự trù cho hố thu</v>
          </cell>
        </row>
        <row r="67">
          <cell r="D67" t="str">
            <v>HẠNG MỤC BỔ SUNG</v>
          </cell>
        </row>
        <row r="69">
          <cell r="D69" t="str">
            <v>Nhà thầu phải bao gồm phần được nêu dưới đây cho bất kỳ hạng mục công việc nào khác mà không được nêu trong Bảng Khối lượng, nhưng được thể hiện trong các Bản vẽ hoặc được mô tả trong hồ sơ Tiêu chuẩn Kỹ thuật, hoặc được đề cập ở những hồ sơ nào khác có liên quan,  hoặc Nhà thầu nhận thấy đó là yếu tố cần thiết để thực hiện đúng và hoàn thành tốt Công trình Dự án. 
Nếu hạng mục công việc không được báo giá, thì sẽ được xem là đã được bao gồm và được tính trong tổng Giá trị Hợp đồng và sẽ không có bất kỳ yêu cầu thanh toán phát sinh nào từ hạng mục Công việc đó được chấp thuận.</v>
          </cell>
        </row>
        <row r="70">
          <cell r="D70" t="str">
            <v>TỔNG CỘNG (chưa bao gồm VAT)</v>
          </cell>
        </row>
      </sheetData>
      <sheetData sheetId="8">
        <row r="6">
          <cell r="D6" t="str">
            <v>Nội dung</v>
          </cell>
        </row>
        <row r="9">
          <cell r="D9" t="str">
            <v>GHI CHÚ CHUNG</v>
          </cell>
        </row>
        <row r="11">
          <cell r="D11" t="str">
            <v>Nhà thầu được thông báo về chỉ dẫn kỹ thuật, bảng kê vật liệu và bản vẽ cho tất cả những chi tiết liên quan cho hạng mục này của công trình, và nhà thầu phải tuân thủ tất cả những yêu cầu chứa trong hồ sơ, trừ khi có những ghi chú cụ thể trong từng công việc thực hiện.</v>
          </cell>
        </row>
        <row r="12">
          <cell r="D12" t="str">
            <v>Hồ sơ dự thầu phải thể hiện chi tiết vật tư như chiều dày, rộng, cao, sâu, đường kính, chi tiết, thương hiệu của hạng mục trong bảng kê khối lượng kèm theo hồ sơ thiết kế.</v>
          </cell>
        </row>
        <row r="13">
          <cell r="D13" t="str">
            <v>Chủ đầu tư chỉ cung cấp bảng kê khối lượng. Bên dự thầu phải bóc tách khối lượng dựa vào thiết kế của mình và điền/ chèn những khối lượng chi tiết theo cấu trúc của bảng kê khối lượng được cung cấp.</v>
          </cell>
        </row>
        <row r="14">
          <cell r="D14" t="str">
            <v>Tất cả khối lượng được tính trong công trình là khối lượng NET. Việc tính các chi phí hao hụt và hệ số đã được tính toán bao gồm trong đơn giá dự thầu.</v>
          </cell>
        </row>
        <row r="16">
          <cell r="D16" t="str">
            <v>DIV03: CÔNG TÁC BÊ TÔNG</v>
          </cell>
        </row>
        <row r="18">
          <cell r="D18" t="str">
            <v>CÔNG TÁC VÁN KHUÔN VÀ PHỤ KIỆN</v>
          </cell>
        </row>
        <row r="19">
          <cell r="D19" t="str">
            <v>Cung cấp, lắp đặt và cố định ván khuôn mặt dựng cho</v>
          </cell>
        </row>
        <row r="20">
          <cell r="D20" t="str">
            <v>Lõi cứng</v>
          </cell>
        </row>
        <row r="21">
          <cell r="D21" t="str">
            <v>Vách cứng</v>
          </cell>
        </row>
        <row r="22">
          <cell r="D22" t="str">
            <v>Cột</v>
          </cell>
        </row>
        <row r="23">
          <cell r="D23" t="str">
            <v>Tường Parapet</v>
          </cell>
        </row>
        <row r="24">
          <cell r="D24" t="str">
            <v>Cung cấp, lắp đặt và cố định ván khuôn cạnh bên và đáy cho</v>
          </cell>
        </row>
        <row r="25">
          <cell r="D25" t="str">
            <v>Dầm</v>
          </cell>
        </row>
        <row r="26">
          <cell r="D26" t="str">
            <v>Sàn</v>
          </cell>
        </row>
        <row r="27">
          <cell r="D27" t="str">
            <v>Thang bộ</v>
          </cell>
        </row>
        <row r="28">
          <cell r="D28" t="str">
            <v>Bệ bê tông</v>
          </cell>
        </row>
        <row r="30">
          <cell r="D30" t="str">
            <v>CÔNG TÁC CỐT THÉP</v>
          </cell>
        </row>
        <row r="31">
          <cell r="D31" t="str">
            <v>Cung cấp, lắp đặt và cố định thép</v>
          </cell>
        </row>
        <row r="32">
          <cell r="D32" t="str">
            <v>Lõi cứng</v>
          </cell>
        </row>
        <row r="33">
          <cell r="D33" t="str">
            <v>Vách cứng</v>
          </cell>
        </row>
        <row r="34">
          <cell r="D34" t="str">
            <v>Cột</v>
          </cell>
        </row>
        <row r="35">
          <cell r="D35" t="str">
            <v>Tường parapet</v>
          </cell>
        </row>
        <row r="36">
          <cell r="D36" t="str">
            <v>Dầm</v>
          </cell>
        </row>
        <row r="37">
          <cell r="D37" t="str">
            <v>Sàn</v>
          </cell>
        </row>
        <row r="38">
          <cell r="D38" t="str">
            <v>Thang bộ</v>
          </cell>
        </row>
        <row r="39">
          <cell r="D39" t="str">
            <v>Bể bơi</v>
          </cell>
        </row>
        <row r="40">
          <cell r="D40" t="str">
            <v>Gờ bê tông</v>
          </cell>
        </row>
        <row r="41">
          <cell r="D41" t="str">
            <v xml:space="preserve">Đôn sàn bê tông </v>
          </cell>
        </row>
        <row r="42">
          <cell r="D42" t="str">
            <v>Bệ bê tông</v>
          </cell>
        </row>
        <row r="43">
          <cell r="D43" t="str">
            <v>Fin</v>
          </cell>
        </row>
        <row r="45">
          <cell r="D45" t="str">
            <v>CÔNG TÁC BÊ TÔNG KẾT CẤU</v>
          </cell>
        </row>
        <row r="46">
          <cell r="D46" t="str">
            <v>Cung cấp và đổ bê tông</v>
          </cell>
        </row>
        <row r="47">
          <cell r="D47" t="str">
            <v>Lõi cứng</v>
          </cell>
        </row>
        <row r="48">
          <cell r="D48" t="str">
            <v>Bê tông cấp độ bền B40</v>
          </cell>
        </row>
        <row r="49">
          <cell r="D49" t="str">
            <v>Vách cứng</v>
          </cell>
        </row>
        <row r="50">
          <cell r="D50" t="str">
            <v>Bê tông cấp độ bền B40</v>
          </cell>
        </row>
        <row r="51">
          <cell r="D51" t="str">
            <v>Cột</v>
          </cell>
        </row>
        <row r="52">
          <cell r="D52" t="str">
            <v>Bê tông cấp độ bền B40</v>
          </cell>
        </row>
        <row r="53">
          <cell r="D53" t="str">
            <v>Tường parapet</v>
          </cell>
        </row>
        <row r="54">
          <cell r="D54" t="str">
            <v>Bê tông cấp độ bền B30</v>
          </cell>
        </row>
        <row r="55">
          <cell r="D55" t="str">
            <v>Dầm</v>
          </cell>
        </row>
        <row r="56">
          <cell r="D56" t="str">
            <v>Bê tông cấp độ bền B30</v>
          </cell>
        </row>
        <row r="57">
          <cell r="D57" t="str">
            <v>Sàn</v>
          </cell>
        </row>
        <row r="58">
          <cell r="D58" t="str">
            <v>Bê tông cấp độ bền B30</v>
          </cell>
        </row>
        <row r="59">
          <cell r="D59" t="str">
            <v>Thang bộ</v>
          </cell>
        </row>
        <row r="60">
          <cell r="D60" t="str">
            <v>Bê tông cấp độ bền B30</v>
          </cell>
        </row>
        <row r="62">
          <cell r="D62" t="str">
            <v>Cung cấp, lắp đặt và cố định cho</v>
          </cell>
        </row>
        <row r="63">
          <cell r="D63" t="str">
            <v>Lanh tô, ô văng, bổ trụ, giằng tường, bao gồm ván khuôn, thép và bê tông</v>
          </cell>
        </row>
        <row r="64">
          <cell r="D64" t="str">
            <v>Dự trù cho lỗ mở MEP.</v>
          </cell>
        </row>
        <row r="65">
          <cell r="D65" t="str">
            <v>Dự trù lỗ chờ cho ống MEP.</v>
          </cell>
        </row>
        <row r="66">
          <cell r="D66" t="str">
            <v>Dự trù cho hố thu</v>
          </cell>
        </row>
        <row r="68">
          <cell r="D68" t="str">
            <v>TỔNG CỘNG (chưa bao gồm VAT)</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1">
          <cell r="C1" t="str">
            <v>Dự án Khu căn hộ Cây xanh giữa mây trời (CT03)</v>
          </cell>
        </row>
      </sheetData>
      <sheetData sheetId="3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D"/>
      <sheetName val="GI"/>
      <sheetName val="PAVEMENT"/>
      <sheetName val="FD"/>
      <sheetName val="EE"/>
      <sheetName val="EE (2)"/>
      <sheetName val="EE (3)"/>
      <sheetName val="TRAFFIC"/>
      <sheetName val="MISSCE"/>
      <sheetName val="สรุป"/>
    </sheetNames>
    <sheetDataSet>
      <sheetData sheetId="0" refreshError="1"/>
      <sheetData sheetId="1">
        <row r="53">
          <cell r="I53">
            <v>271036619.91127503</v>
          </cell>
        </row>
      </sheetData>
      <sheetData sheetId="2">
        <row r="55">
          <cell r="I55" t="e">
            <v>#VALUE!</v>
          </cell>
        </row>
      </sheetData>
      <sheetData sheetId="3">
        <row r="55">
          <cell r="I55">
            <v>55055560</v>
          </cell>
        </row>
      </sheetData>
      <sheetData sheetId="4" refreshError="1"/>
      <sheetData sheetId="5" refreshError="1"/>
      <sheetData sheetId="6">
        <row r="54">
          <cell r="I54">
            <v>24664512</v>
          </cell>
        </row>
      </sheetData>
      <sheetData sheetId="7">
        <row r="54">
          <cell r="I54">
            <v>6704559.7616999997</v>
          </cell>
        </row>
      </sheetData>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uc thanh"/>
      <sheetName val="QL1A-QL1A moi"/>
      <sheetName val="C.Bong Lang"/>
      <sheetName val="Vanh dai III (TKKT)"/>
      <sheetName val="SL-NC-MB"/>
      <sheetName val="CX-AD-LC"/>
      <sheetName val="Cau-YBai-Tam"/>
      <sheetName val="XL4Poppy"/>
      <sheetName val="KluongKm2,4"/>
      <sheetName val="B.cao"/>
      <sheetName val="T.tiet"/>
      <sheetName val="T.N"/>
      <sheetName val="00000000"/>
      <sheetName val="VL"/>
      <sheetName val="NHAN CONG"/>
      <sheetName val="MAY"/>
      <sheetName val="VUA"/>
      <sheetName val="DG CAU"/>
      <sheetName val="THOP CAU"/>
      <sheetName val="TLP CAU"/>
      <sheetName val="DAKT1"/>
      <sheetName val="Sheet3"/>
      <sheetName val="XL4Test5"/>
      <sheetName val="XL4Poppy (2)"/>
      <sheetName val="733,14-km238"/>
      <sheetName val="Km237_733,14"/>
      <sheetName val="Km236"/>
      <sheetName val="Km235"/>
      <sheetName val="Km234"/>
      <sheetName val="Km233s,"/>
      <sheetName val="Km232s"/>
      <sheetName val="Km231,"/>
      <sheetName val="Km230"/>
      <sheetName val="Km229s,"/>
      <sheetName val="228_100-229s"/>
      <sheetName val="Km227_838-228_100"/>
      <sheetName val="Km227-227_838s,"/>
      <sheetName val="Km226"/>
      <sheetName val="Km225,"/>
      <sheetName val="Tong KLBS"/>
      <sheetName val="THKLNT(lantruoc)"/>
      <sheetName val="BGThau"/>
      <sheetName val="00000001"/>
      <sheetName val="Sheet1"/>
      <sheetName val="To trinh"/>
      <sheetName val="Sheet2"/>
      <sheetName val="bang2"/>
      <sheetName val="coHoan"/>
      <sheetName val="Congty"/>
      <sheetName val="VPPN"/>
      <sheetName val="XN74"/>
      <sheetName val="XN54"/>
      <sheetName val="XN33"/>
      <sheetName val="NK96"/>
      <sheetName val="solieu"/>
      <sheetName val="PLV"/>
      <sheetName val="Dongia"/>
      <sheetName val="DTCTtaluy"/>
      <sheetName val="KLDGTT&lt;120%"/>
      <sheetName val="PL2"/>
      <sheetName val="DTnen"/>
      <sheetName val="PL"/>
      <sheetName val="TH"/>
      <sheetName val="THKL nghiemthu"/>
      <sheetName val="DTCTtaluy (2)"/>
      <sheetName val="KLDGTT&lt;120% (2)"/>
      <sheetName val="TH (2)"/>
      <sheetName val="xxxxxxxx"/>
      <sheetName val="XXXXXXX0"/>
      <sheetName val="10000000"/>
      <sheetName val="XXXXXXX1"/>
      <sheetName val="20000000"/>
      <sheetName val="30000000"/>
      <sheetName val="KTQT-AFC"/>
      <sheetName val="CLDG"/>
      <sheetName val="CLKL"/>
      <sheetName val="Bang du toan"/>
      <sheetName val="Tonghop"/>
      <sheetName val="Bu gia"/>
      <sheetName val="PT vat tu"/>
      <sheetName val="PTVT"/>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Nam 2001"/>
      <sheetName val="Tang TSCD 98-02"/>
      <sheetName val="BIEN DONG"/>
      <sheetName val="TSCD 2001"/>
      <sheetName val="Quy 1-2002"/>
      <sheetName val="Quy 2-2002"/>
      <sheetName val="Quy 3-2002"/>
      <sheetName val="Quy 4-02"/>
      <sheetName val="ETH"/>
      <sheetName val="1"/>
      <sheetName val="2"/>
      <sheetName val="3"/>
      <sheetName val="4"/>
      <sheetName val="5"/>
      <sheetName val="6"/>
      <sheetName val="7"/>
      <sheetName val="DT1"/>
      <sheetName val="DT2"/>
      <sheetName val="boHoan"/>
      <sheetName val="C.     Lang"/>
      <sheetName val="XN79"/>
      <sheetName val="CTMT"/>
      <sheetName val="QL1A-QL1Q moi"/>
      <sheetName val="DG CAࡕ"/>
      <sheetName val="SL)NC-MB"/>
      <sheetName val="gVL"/>
      <sheetName val="chi tieu HV"/>
      <sheetName val="sx-tt-tk"/>
      <sheetName val="tsach &amp; thu hoi"/>
      <sheetName val="KK than ton   (2)"/>
      <sheetName val="TT cac ho"/>
      <sheetName val="TT trong nganh"/>
      <sheetName val="chi tiet KHM"/>
      <sheetName val="Pham cap"/>
      <sheetName val="DT than"/>
      <sheetName val="Doanh thu"/>
      <sheetName val="gia tri SX"/>
      <sheetName val="Maumoi"/>
      <sheetName val="So Cong nghiep"/>
      <sheetName val="Bia BC"/>
      <sheetName val="TH thanton"/>
      <sheetName val="Dat da thai"/>
      <sheetName val="XNGB-BMD2004"/>
      <sheetName val="GTSX (TT)"/>
      <sheetName val="XNGBQI"/>
      <sheetName val="XNGBQI (2)"/>
      <sheetName val="XNGBQI-04 (2)"/>
      <sheetName val="XNGBQII-04 (2)"/>
      <sheetName val="XNGBQII-04 (3)"/>
      <sheetName val="XNGBQIII-04 (2)"/>
      <sheetName val="XNGBQIII-04 (3)"/>
      <sheetName val="XNGBQIV-04 (2)"/>
      <sheetName val="XNGBQIV-04 (3)"/>
      <sheetName val="XNGBQI-05"/>
      <sheetName val="XNGBQI-05 (02)"/>
      <sheetName val="Gia ban NK bq"/>
      <sheetName val="Sheet19"/>
      <sheetName val="Sheet20"/>
      <sheetName val="Sheet21"/>
      <sheetName val="Sheet22"/>
      <sheetName val="Sheet23"/>
      <sheetName val="Sheet24"/>
      <sheetName val="Sheet25"/>
      <sheetName val="Sheet26"/>
      <sheetName val="Sheet27"/>
      <sheetName val="Sheet28"/>
      <sheetName val="Sheet29"/>
      <sheetName val="Sheet30"/>
      <sheetName val="000000000000"/>
      <sheetName val="100000000000"/>
      <sheetName val="200000000000"/>
      <sheetName val="KluongKm2_x000c_4"/>
      <sheetName val="BDCNH"/>
      <sheetName val="bcdtk"/>
      <sheetName val="BCDKTNH"/>
      <sheetName val="BCDKTTHUE"/>
      <sheetName val="tscd"/>
      <sheetName val="CT doanh thu 2005"/>
      <sheetName val="Dthu 2006 sua"/>
      <sheetName val="Doanh thu gia thanh"/>
      <sheetName val="6 thang 2006"/>
      <sheetName val="Bao cao thue (2)"/>
      <sheetName val="Tong hop CP T10"/>
      <sheetName val="Bao cao thue"/>
      <sheetName val="Thue cong trinh"/>
      <sheetName val="Gia thanh"/>
      <sheetName val="Pke toan"/>
      <sheetName val="Gia thanh cong trinh - Hoa"/>
      <sheetName val="Ke toan thuc hien cong trinh"/>
      <sheetName val="Du kien DT 9 thang de nop"/>
      <sheetName val="TK331D"/>
      <sheetName val="334 d"/>
      <sheetName val="Tojg KLBS"/>
      <sheetName val="Tai khoan"/>
      <sheetName val="MTO REV.0"/>
      <sheetName val="lt-tl"/>
      <sheetName val="px3-tl"/>
      <sheetName val="px1-tl"/>
      <sheetName val="vp-tl"/>
      <sheetName val="px2,tb-tl"/>
      <sheetName val="th-qt"/>
      <sheetName val="bqt"/>
      <sheetName val="tl-khovt"/>
      <sheetName val="dtkhovt"/>
      <sheetName val="Sheet17"/>
      <sheetName val="Sheet18"/>
      <sheetName val="C.   ( Lang"/>
      <sheetName val="DG "/>
      <sheetName val="ɂIEN DONG"/>
      <sheetName val="HK1"/>
      <sheetName val="HK2"/>
      <sheetName val="CANAM"/>
      <sheetName val="XL@Test5"/>
      <sheetName val="Maumo)"/>
      <sheetName val="Tonchop"/>
      <sheetName val="P_x000c_V"/>
      <sheetName val="KH-Q1,Q2,01"/>
      <sheetName val="TTDZ22"/>
      <sheetName val="NCong-Day-Su"/>
      <sheetName val="DG CA?"/>
      <sheetName val="giathanh1"/>
      <sheetName val="KK bo sung"/>
      <sheetName val="NC"/>
      <sheetName val="?IEN DONG"/>
      <sheetName val="¶"/>
      <sheetName val="dmuc"/>
      <sheetName val="BGThau_x0008__x0000__x0000_0000000_x0001__x0006__x0000__x0000_Sheet1_x0008__x0000__x0000_To"/>
      <sheetName val="S`eet12"/>
      <sheetName val="XHXPXXX1"/>
      <sheetName val="0000000!"/>
      <sheetName val="To tri.h"/>
      <sheetName val="cnHoan"/>
      <sheetName val="V_x0010_PN"/>
      <sheetName val="Quy_x0000_2-2002"/>
      <sheetName val="IBASE"/>
      <sheetName val="˜Ünh m÷c"/>
      <sheetName val="Ünh m÷c"/>
      <sheetName val="PTVL"/>
      <sheetName val="bia"/>
      <sheetName val="rotoduc"/>
      <sheetName val="Truc"/>
      <sheetName val="roto truc"/>
      <sheetName val="stato"/>
      <sheetName val="Day dt"/>
      <sheetName val="statoday"/>
      <sheetName val="stato tam say"/>
      <sheetName val="Than"/>
      <sheetName val="Stato ep"/>
      <sheetName val="Canh gio"/>
      <sheetName val="Napgio"/>
      <sheetName val="Nap-Hopcuc"/>
      <sheetName val="laprap"/>
      <sheetName val="Cocau"/>
      <sheetName val="Ss Z- GB"/>
      <sheetName val="Bu gi`"/>
      <sheetName val="NHAN_x0000_CONG"/>
      <sheetName val="tuong"/>
      <sheetName val="Tang TRCD 98-02"/>
      <sheetName val="TSCD 2000"/>
      <sheetName val="S29_x0007__x0000__x0000_S"/>
      <sheetName val="XL4Te3t5"/>
      <sheetName val="DO AM DT"/>
      <sheetName val="Quy"/>
      <sheetName val="S29_x0007_"/>
      <sheetName val="Q3-01-duyet"/>
      <sheetName val="THPDMoi  (2)"/>
      <sheetName val="dongia (2)"/>
      <sheetName val="gtrinh"/>
      <sheetName val="phuluc1"/>
      <sheetName val="TONG HOP VL-NC"/>
      <sheetName val="lam-moi"/>
      <sheetName val="chitiet"/>
      <sheetName val="TONGKE3p "/>
      <sheetName val="TH VL, NC, DDHT Thanhphuoc"/>
      <sheetName val="#REF"/>
      <sheetName val="thao-go"/>
      <sheetName val="DON GIA"/>
      <sheetName val="TONGKE-HT"/>
      <sheetName val="DG"/>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TDT"/>
      <sheetName val="Thuc_thanh"/>
      <sheetName val="QL1A-QL1A_moi"/>
      <sheetName val="C_Bong_Lang"/>
      <sheetName val="Vanh_dai_III_(TKKT)"/>
      <sheetName val="NHAN_CONG"/>
      <sheetName val="DG_CAU"/>
      <sheetName val="THOP_CAU"/>
      <sheetName val="TLP_CAU"/>
      <sheetName val="XL4Poppy_(2)"/>
      <sheetName val="B_cao"/>
      <sheetName val="T_tiet"/>
      <sheetName val="T_N"/>
      <sheetName val="Tong_KLBS"/>
      <sheetName val="To_trinh"/>
      <sheetName val="Bang_du_toan"/>
      <sheetName val="Bu_gia"/>
      <sheetName val="PT_vat_tu"/>
      <sheetName val="Nam_2001"/>
      <sheetName val="Tang_TSCD_98-02"/>
      <sheetName val="BIEN_DONG"/>
      <sheetName val="TSCD_2001"/>
      <sheetName val="Quy_1-2002"/>
      <sheetName val="Quy_2-2002"/>
      <sheetName val="Quy_3-2002"/>
      <sheetName val="Quy_4-02"/>
      <sheetName val="THKL_nghiemthu"/>
      <sheetName val="DTCTtaluy_(2)"/>
      <sheetName val="KLDGTT&lt;120%_(2)"/>
      <sheetName val="TH_(2)"/>
      <sheetName val="C______Lang"/>
      <sheetName val="QL1A-QL1Q_moi"/>
      <sheetName val="KluongKm24"/>
      <sheetName val="DG_CAࡕ"/>
      <sheetName val="chi_tieu_HV"/>
      <sheetName val="tsach_&amp;_thu_hoi"/>
      <sheetName val="KK_than_ton___(2)"/>
      <sheetName val="TT_cac_ho"/>
      <sheetName val="TT_trong_nganh"/>
      <sheetName val="chi_tiet_KHM"/>
      <sheetName val="Pham_cap"/>
      <sheetName val="DT_than"/>
      <sheetName val="Doanh_thu"/>
      <sheetName val="gia_tri_SX"/>
      <sheetName val="So_Cong_nghiep"/>
      <sheetName val="Bia_BC"/>
      <sheetName val="TH_thanton"/>
      <sheetName val="Dat_da_thai"/>
      <sheetName val="GTSX_(TT)"/>
      <sheetName val="XNGBQI_(2)"/>
      <sheetName val="XNGBQI-04_(2)"/>
      <sheetName val="XNGBQII-04_(2)"/>
      <sheetName val="XNGBQII-04_(3)"/>
      <sheetName val="XNGBQIII-04_(2)"/>
      <sheetName val="XNGBQIII-04_(3)"/>
      <sheetName val="XNGBQIV-04_(2)"/>
      <sheetName val="XNGBQIV-04_(3)"/>
      <sheetName val="XNGBQI-05_(02)"/>
      <sheetName val="Gia_ban_NK_bq"/>
      <sheetName val="334_d"/>
      <sheetName val="Tai_khoan"/>
      <sheetName val="CT_doanh_thu_2005"/>
      <sheetName val="Dthu_2006_sua"/>
      <sheetName val="Doanh_thu_gia_thanh"/>
      <sheetName val="6_thang_2006"/>
      <sheetName val="Bao_cao_thue_(2)"/>
      <sheetName val="Tong_hop_CP_T10"/>
      <sheetName val="Bao_cao_thue"/>
      <sheetName val="Thue_cong_trinh"/>
      <sheetName val="Gia_thanh"/>
      <sheetName val="Pke_toan"/>
      <sheetName val="Gia_thanh_cong_trinh_-_Hoa"/>
      <sheetName val="Ke_toan_thuc_hien_cong_trinh"/>
      <sheetName val="Du_kien_DT_9_thang_de_nop"/>
      <sheetName val="DG_"/>
      <sheetName val="PV"/>
      <sheetName val="C____(_Lang"/>
      <sheetName val="Tojg_KLBS"/>
      <sheetName val="MTO_REV_0"/>
      <sheetName val="KK_bo_sung"/>
      <sheetName val="Girder"/>
      <sheetName val="Tendon"/>
      <sheetName val="Bang TK goc"/>
      <sheetName val="DGchitiet "/>
      <sheetName val="Sheetr"/>
      <sheetName val="Km225_838-228_100"/>
      <sheetName val="DG CA_"/>
      <sheetName val="_IEN DONG"/>
      <sheetName val="BGThau_x0008_"/>
      <sheetName val="CHIET TINH TBA"/>
      <sheetName val="XLÿÿest5"/>
      <sheetName val="INV"/>
      <sheetName val="XXXXXXX2"/>
      <sheetName val="XXXXXXX3"/>
      <sheetName val="XXXXXXX4"/>
      <sheetName val="çha tri SX"/>
      <sheetName val="So Conç!îfhiep"/>
      <sheetName val="NHAN"/>
      <sheetName val="CT_x0000_doanh thu 2005"/>
      <sheetName val="data"/>
      <sheetName val="phi"/>
      <sheetName val="tra-vat-lieu"/>
      <sheetName val="XL4@oppy"/>
      <sheetName val="Km&quot;33s,"/>
      <sheetName val="Km227O838-228_100"/>
      <sheetName val="Dang TSCD 98-02"/>
      <sheetName val="dtkhovd"/>
      <sheetName val="CDMT"/>
      <sheetName val="Sêeet9"/>
      <sheetName val="PPVT"/>
      <sheetName val="4_x0004__x0000__x0000_XN54_x0004__x0000__x0000_XN33_x0004__x0000__x0000_NK96_x0006__x0000__x0000_Sheet4"/>
      <sheetName val="DT1????????"/>
      <sheetName val="Quy?2-2002"/>
      <sheetName val="DT1?"/>
      <sheetName val="S29_x0007_??S"/>
      <sheetName val="S29_x0007_?S"/>
      <sheetName val="NEW-PANEL"/>
      <sheetName val="CT"/>
      <sheetName val="ctTBA"/>
      <sheetName val="XNGBQII-_x0010_4 (3)"/>
      <sheetName val="Na2_x0000__x0000_01"/>
      <sheetName val="126"/>
      <sheetName val="127"/>
      <sheetName val="128"/>
      <sheetName val="129"/>
      <sheetName val="130"/>
      <sheetName val="131"/>
      <sheetName val="132"/>
      <sheetName val="133"/>
      <sheetName val="Chart1"/>
      <sheetName val="134"/>
      <sheetName val="135"/>
      <sheetName val="136"/>
      <sheetName val="137"/>
      <sheetName val="138"/>
      <sheetName val="139"/>
      <sheetName val="KHUPHO8"/>
      <sheetName val="THONGKE"/>
      <sheetName val="DI-ESTI"/>
      <sheetName val="CĮ     Lang"/>
      <sheetName val="DO_AM_DT"/>
      <sheetName val="ɂIEN_DONG"/>
      <sheetName val="DG_CA?"/>
      <sheetName val="_x0000__x0000_쫀䃝Z"/>
      <sheetName val="_x0000__x0000__x0000__x0000_¢é@Z_x0000__x000d__x0000__x0004_"/>
      <sheetName val="XNGBQI-01 (02)"/>
      <sheetName val="MTO REV.2(ARMOR)"/>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Quy $-02"/>
      <sheetName val="Km227Э227_838s,"/>
      <sheetName val="ptdg"/>
      <sheetName val="NHAN CWNG"/>
      <sheetName val="M+MC"/>
      <sheetName val="_x0000__x0000_??Z"/>
      <sheetName val="BGThau_x0008__x0000_0000000_x0001__x0006__x0000_Sheet1_x0008__x0000_To dr"/>
      <sheetName val="Hạng mục 2"/>
      <sheetName val="DT1________"/>
      <sheetName val="DT1_"/>
      <sheetName val="S29_x0007___S"/>
      <sheetName val="S29_x0007__S"/>
      <sheetName val="tienluong"/>
      <sheetName val="Na2_x0000__x0000_€01"/>
      <sheetName val="GVL-NC-M"/>
      <sheetName val="Na2"/>
      <sheetName val="4_x0004_"/>
      <sheetName val=""/>
      <sheetName val="Khoi luong"/>
      <sheetName val="_x0000__x0000__x0000__x0000_¢é@Z_x0000__x000a__x0000__x0004_"/>
      <sheetName val="coctuatrenda"/>
      <sheetName val="KTQT-AF_x0003_"/>
      <sheetName val="KLDGT_x0014_&lt;120%"/>
      <sheetName val="Congt9"/>
      <sheetName val="Km227?227_838s,"/>
      <sheetName val="CI     Lang"/>
      <sheetName val="H?ng m?c 2"/>
      <sheetName val="HGCHINGS"/>
      <sheetName val="T11-01"/>
      <sheetName val="T12-01"/>
      <sheetName val="01-02"/>
      <sheetName val="02-02"/>
      <sheetName val="03-02"/>
      <sheetName val="T04-02"/>
      <sheetName val="T05-02"/>
      <sheetName val="T06-T02"/>
      <sheetName val="T07-03"/>
      <sheetName val="T08-03"/>
      <sheetName val="T09-03"/>
      <sheetName val="T10-03"/>
      <sheetName val="T11-03"/>
      <sheetName val="T12-03"/>
      <sheetName val="NPLT01-04"/>
      <sheetName val="NPLT02-04"/>
      <sheetName val="NPLT03-04"/>
      <sheetName val="NPLT04-04"/>
      <sheetName val="NPLT05-04"/>
      <sheetName val="NPLT06-04"/>
      <sheetName val="NPLT07-04"/>
      <sheetName val="NPLT08-04"/>
      <sheetName val="NPLT09-04"/>
      <sheetName val="NPLT10-04"/>
      <sheetName val="NPLT11-04"/>
      <sheetName val="NPLT12-04"/>
      <sheetName val="NXT -T12 B"/>
      <sheetName val="NXT -T01-05"/>
      <sheetName val="NXT-T01-05 B"/>
      <sheetName val="NXT-T02-05"/>
      <sheetName val="NXT-T02-05B"/>
      <sheetName val="NXT-T03-05"/>
      <sheetName val="NXT-T03-05 B"/>
      <sheetName val="NXT -T04-05"/>
      <sheetName val="NXT-T05-05"/>
      <sheetName val="NXT -T06-05"/>
      <sheetName val="NXT -T07-05"/>
      <sheetName val="HGHW3"/>
      <sheetName val="HGHW4"/>
      <sheetName val="HGHW5"/>
      <sheetName val="HGCW6"/>
      <sheetName val="CH1"/>
      <sheetName val="EXP2"/>
      <sheetName val="Exterior Walls Finishes"/>
      <sheetName val="��nh m�c"/>
      <sheetName val="Na2_x0000__x0000_�01"/>
      <sheetName val="S�eet9"/>
      <sheetName val="�ha tri SX"/>
      <sheetName val="So Con�!�fhiep"/>
      <sheetName val="XL��est5"/>
      <sheetName val="_x0000__x0000__x0000__x0000_���@Z_x0000__x000d__x0000__x0004_"/>
      <sheetName val="Tai_khկ_x0000_缀"/>
      <sheetName val="00000003"/>
      <sheetName val="Vong KLBS"/>
      <sheetName val="Pier"/>
      <sheetName val="Pile"/>
      <sheetName val="DTCTtallu"/>
      <sheetName val="CPQL"/>
      <sheetName val="THCPQL"/>
      <sheetName val="Shѥet10"/>
      <sheetName val="Du kien DT 9 thang de fop"/>
      <sheetName val="name"/>
      <sheetName val="DG _x0000__x0000__x0000__x0000__x0000__x0000__x0000__x0000__x0000__x0009__x0000_᲌Ա_x0000__x0004__x0000__x0000__x0000__x0000__x0000__x0000_窰԰_x0000__x0000__x0000__x0000__x0000_"/>
      <sheetName val="Tgng hop CP T10"/>
      <sheetName val="TT_10KV"/>
      <sheetName val="C?     Lang"/>
      <sheetName val="TTTram"/>
      <sheetName val="c`i tiet KHM"/>
      <sheetName val="_x0000__x0000__x0000__x0000_€¢é@Z_x0000__x000d__x0000__x0004_"/>
      <sheetName val="XNGBQIV-02_x0000__x0000_)"/>
      <sheetName val="_x0000__x0000__x0017_[Q3-01-duyet.xls]Maumo)_x0000_?_x0000__x0000__x0000_"/>
      <sheetName val="?IEN_DONG"/>
      <sheetName val="diachi"/>
      <sheetName val="DG_CA_"/>
      <sheetName val="Qheet19"/>
      <sheetName val="THKL nghiamthu"/>
      <sheetName val="Balg du toan"/>
      <sheetName val="Thep-MatCat"/>
      <sheetName val="Kiem-Toan"/>
      <sheetName val="NhapSL"/>
      <sheetName val="BGThau_x0008_??0000000_x0001__x0006_??Sheet1_x0008_??To"/>
      <sheetName val="NHAN?CONG"/>
      <sheetName val="BGThau_x0008_?0000000_x0001__x0006_?Sheet1_x0008_?To dr"/>
      <sheetName val="4_x0004_??XN54_x0004_??XN33_x0004_??NK96_x0006_??Sheet4"/>
      <sheetName val="BGThau_x0008_?0000000_x0001__x0006_?Sheet1_x0008_?To"/>
      <sheetName val="Na2??01"/>
      <sheetName val="4_x0004_?XN54_x0004_?XN33_x0004_?NK96_x0006_?Sheet4"/>
      <sheetName val="CT?doanh thu 2005"/>
      <sheetName val="_x0000__x0000__x0000__x0000__x0000__x0000__x0000__x0000_ (2)"/>
      <sheetName val="CHITIET VL-N_x0003_-TT-3p"/>
      <sheetName val="DG3285"/>
      <sheetName val="KKKKKKKK"/>
      <sheetName val="MTO REV.0_x0000__x0000__x0000__x0000__x0000__x0000__x0000__x0000__x0000__x0009__x0000_쫀Ӛ_x0000__x0004__x0000__x0000__x0000__x0000__x0000__x0000__xdd0c_"/>
      <sheetName val="Km23"/>
      <sheetName val="_x0000__x0001__x0000__x0000__x0000__x0000__x0000__x0000__x0000__x0000__x0000__x0000__x0000__x0002__x0000__x0000__x0000__x0000__x0000__x0000__x0000_Ƥ_x0000_Ő_x0000__x0000__x0000_㋎˴_x0000_"/>
      <sheetName val="??쫀䃝Z"/>
      <sheetName val="????¢é@Z?_x000d_?_x0004_"/>
      <sheetName val="_x0000__x0000__x0000__x0000_���@Z_x0000__x000a__x0000__x0004_"/>
      <sheetName val="SDH TP"/>
      <sheetName val="ɂIEJ DONG"/>
      <sheetName val="Thuc_thanh1"/>
      <sheetName val="QL1A-QL1A_moi1"/>
      <sheetName val="C_Bong_Lang1"/>
      <sheetName val="Vanh_dai_III_(TKKT)1"/>
      <sheetName val="NHAN_CONG1"/>
      <sheetName val="DG_CAU1"/>
      <sheetName val="THOP_CAU1"/>
      <sheetName val="TLP_CAU1"/>
      <sheetName val="XL4Poppy_(2)1"/>
      <sheetName val="Tong_KLBS1"/>
      <sheetName val="To_trinh1"/>
      <sheetName val="B_cao1"/>
      <sheetName val="T_tiet1"/>
      <sheetName val="T_N1"/>
      <sheetName val="Bang_du_toan1"/>
      <sheetName val="Bu_gia1"/>
      <sheetName val="PT_vat_tu1"/>
      <sheetName val="Nam_20011"/>
      <sheetName val="Tang_TSCD_98-021"/>
      <sheetName val="BIEN_DONG1"/>
      <sheetName val="TSCD_20011"/>
      <sheetName val="Quy_1-20021"/>
      <sheetName val="Tonghmp"/>
      <sheetName val="B-B"/>
      <sheetName val="Quy_2-20021"/>
      <sheetName val="Analysis"/>
      <sheetName val="C-C"/>
      <sheetName val="D-D"/>
      <sheetName val="_x0000__x0000__x0000__x0000_€¢é@Z_x0000__x000a__x0000__x0004_"/>
      <sheetName val="KKKKKKKK (2)"/>
      <sheetName val="KKKKKKKK_(2)"/>
      <sheetName val="DG BAU"/>
      <sheetName val="TLP BAU"/>
      <sheetName val="KK uhan uon   (2)"/>
      <sheetName val="So Cong oghiep"/>
      <sheetName val="DSMo (2)"/>
      <sheetName val="DSMo"/>
      <sheetName val="TH Mo"/>
      <sheetName val="21B"/>
      <sheetName val="143"/>
      <sheetName val="141"/>
      <sheetName val="172"/>
      <sheetName val="171"/>
      <sheetName val="170"/>
      <sheetName val="169"/>
      <sheetName val="168"/>
      <sheetName val="167"/>
      <sheetName val="166"/>
      <sheetName val="165"/>
      <sheetName val="164"/>
      <sheetName val="163"/>
      <sheetName val="162"/>
      <sheetName val="161"/>
      <sheetName val="160"/>
      <sheetName val="159"/>
      <sheetName val="158"/>
      <sheetName val="157"/>
      <sheetName val="156"/>
      <sheetName val="155"/>
      <sheetName val="154"/>
      <sheetName val="173"/>
      <sheetName val="152"/>
      <sheetName val="151"/>
      <sheetName val="150"/>
      <sheetName val="149"/>
      <sheetName val="148"/>
      <sheetName val="147"/>
      <sheetName val="146"/>
      <sheetName val="145"/>
      <sheetName val="Quy_3-20021"/>
      <sheetName val="Quy_4-021"/>
      <sheetName val="THKL_nghiemthu1"/>
      <sheetName val="DTCTtaluy_(2)1"/>
      <sheetName val="KLDGTT&lt;120%_(2)1"/>
      <sheetName val="TH_(2)1"/>
      <sheetName val="KH_Q1_Q2_01"/>
      <sheetName val="ThongSo"/>
      <sheetName val="144"/>
      <sheetName val="DG _x0000__x0000__x0000__x0000__x0000__x0000__x0000__x0000__x0000_ _x0000_᲌Ա_x0000__x0004__x0000__x0000__x0000__x0000__x0000__x0000_窰԰_x0000__x0000__x0000__x0000__x0000_"/>
      <sheetName val="[Q3-01-duyet.xlsUboHoan"/>
      <sheetName val="TH (2+"/>
      <sheetName val="100000p0"/>
      <sheetName val="30000:00"/>
      <sheetName val="T.tidt"/>
      <sheetName val="coJoan"/>
      <sheetName val="XN&lt;4"/>
      <sheetName val="CL_x0007_G"/>
      <sheetName val="Tongh$p"/>
      <sheetName val="Tang TSCD 90-02"/>
      <sheetName val="Qy 1-2002"/>
      <sheetName val="Quy 3-2x02"/>
      <sheetName val="C/     Lang"/>
      <sheetName val="Km227_227_838s,"/>
      <sheetName val="Vanh dai II_x0000__x0000__x0000_^ÀÏ"/>
      <sheetName val="142"/>
      <sheetName val="140"/>
      <sheetName val="TH ho"/>
      <sheetName val="TH138-173"/>
      <sheetName val="Du Toan"/>
      <sheetName val="GIAVLIEU"/>
      <sheetName val="NKC"/>
      <sheetName val="C.Bojg Lang"/>
      <sheetName val="Hedging"/>
      <sheetName val="೼_xffff_uc thanh"/>
      <sheetName val="TONGKE1P"/>
      <sheetName val="Km2_x0000__x0000_,"/>
      <sheetName val="mtk_b"/>
      <sheetName val="Km033s,"/>
      <sheetName val="To_tri_h"/>
      <sheetName val="VPN"/>
      <sheetName val="Bu_gi`"/>
      <sheetName val="˜Ünh_m÷c"/>
      <sheetName val="roto_truc"/>
      <sheetName val="Day_dt"/>
      <sheetName val="stato_tam_say"/>
      <sheetName val="Stato_ep"/>
      <sheetName val="Canh_gio"/>
      <sheetName val="Ss_Z-_GB"/>
      <sheetName val="Ünh_m÷c"/>
      <sheetName val="S29S"/>
      <sheetName val="CTdoanh_thu_2005"/>
      <sheetName val="BGThau0000000Sheet1To"/>
      <sheetName val="THPDMoi__(2)"/>
      <sheetName val="dongia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çha_tri_SX"/>
      <sheetName val="So_Conç!îfhiep"/>
      <sheetName val="S29"/>
      <sheetName val="Dang_TSCD_98-02"/>
      <sheetName val="Tang_TRCD_98-02"/>
      <sheetName val="TSCD_2000"/>
      <sheetName val="XNGBQII-4_(3)"/>
      <sheetName val="CHIET_TINH_TBA"/>
      <sheetName val="Bang_TK_goc"/>
      <sheetName val="DGchitiet_"/>
      <sheetName val="4XN54XN33NK96Sheet4"/>
      <sheetName val="_IEN_DONG"/>
      <sheetName val="S29??S"/>
      <sheetName val="S29?S"/>
      <sheetName val="S29__S"/>
      <sheetName val="S29_S"/>
      <sheetName val="NHAN_CWNG"/>
      <sheetName val="MTO_REV_2(ARMOR)"/>
      <sheetName val="CĮ_____Lang"/>
      <sheetName val="BGThau0000000Sheet1To_dr"/>
      <sheetName val="XNGBQI-01_(02)"/>
      <sheetName val="CI_____Lang"/>
      <sheetName val="Du_kien_DT_9_thang_de_fop"/>
      <sheetName val="C______Lang1"/>
      <sheetName val="QL1A-QL1Q_moi1"/>
      <sheetName val="DG_CAࡕ1"/>
      <sheetName val="chi_tieu_HV1"/>
      <sheetName val="tsach_&amp;_thu_hoi1"/>
      <sheetName val="KK_than_ton___(2)1"/>
      <sheetName val="TT_cac_ho1"/>
      <sheetName val="TT_trong_nganh1"/>
      <sheetName val="chi_tiet_KHM1"/>
      <sheetName val="Pham_cap1"/>
      <sheetName val="DT_than1"/>
      <sheetName val="Doanh_thu1"/>
      <sheetName val="gia_tri_SX1"/>
      <sheetName val="So_Cong_nghiep1"/>
      <sheetName val="Bia_BC1"/>
      <sheetName val="TH_thanton1"/>
      <sheetName val="Dat_da_thai1"/>
      <sheetName val="GTSX_(TT)1"/>
      <sheetName val="XNGBQI_(2)1"/>
      <sheetName val="XNGBQI-04_(2)1"/>
      <sheetName val="XNGBQII-04_(2)1"/>
      <sheetName val="XNGBQII-04_(3)1"/>
      <sheetName val="XNGBQIII-04_(2)1"/>
      <sheetName val="XNGBQIII-04_(3)1"/>
      <sheetName val="XNGBQIV-04_(2)1"/>
      <sheetName val="XNGBQIV-04_(3)1"/>
      <sheetName val="XNGBQI-05_(02)1"/>
      <sheetName val="Gia_ban_NK_bq1"/>
      <sheetName val="334_d1"/>
      <sheetName val="DG_1"/>
      <sheetName val="DG_CA?1"/>
      <sheetName val="C____(_Lang1"/>
      <sheetName val="CT_doanh_thu_20051"/>
      <sheetName val="Dthu_2006_sua1"/>
      <sheetName val="XXUXXXX4"/>
      <sheetName val="SheetU"/>
      <sheetName val="TSCD 20U1"/>
      <sheetName val="NXTU-T07-05"/>
      <sheetName val="SILICATE"/>
      <sheetName val="KluongKm2_x005f_x000c_4"/>
      <sheetName val="P_x005f_x000c_V"/>
      <sheetName val="CT Thang Mo"/>
      <sheetName val="CT  PL"/>
      <sheetName val="Gia_GC_Satthep"/>
      <sheetName val="入力"/>
      <sheetName val="Gia VL"/>
      <sheetName val="????¢é@Z?_x000a_?_x0004_"/>
      <sheetName val="XNGBQIV-02??)"/>
      <sheetName val="????Z"/>
      <sheetName val="DG ?????????_x0009_?᲌Ա?_x0004_??????窰԰?????"/>
      <sheetName val="Na2??€01"/>
      <sheetName val="??_x0017_[Q3-01-duyet.xls]Maumo)?????"/>
      <sheetName val="MAIN"/>
      <sheetName val="DG _x0000__x0000__x0000__x0000__x0000__x0000__x0000__x0000__x0000__x0009__x0000_??_x0000__x0004__x0000__x0000__x0000__x0000__x0000__x0000_??_x0000__x0000__x0000__x0000__x0000_"/>
      <sheetName val="DG _x0000__x0000__x0000__x0000__x0000__x0000__x0000__x0000__x0000_ _x0000_??_x0000__x0004__x0000__x0000__x0000__x0000__x0000__x0000_??_x0000__x0000__x0000__x0000__x0000_"/>
      <sheetName val="U_x0007__x0006__x0009_"/>
      <sheetName val="ESTI."/>
      <sheetName val="P. tich"/>
      <sheetName val="SCHU"/>
      <sheetName val="KluongK-2,4"/>
      <sheetName val="[Q3-01-duyet.xls][Q3-01-duyet.x"/>
      <sheetName val="[Q3-01-duyet.xls]30000:00"/>
      <sheetName val="Misc Data"/>
      <sheetName val="MTO REV.0_x0000__x0000__x0000__x0000__x0000__x0000__x0000__x0000__x0000_ _x0000_쫀Ӛ_x0000__x0004__x0000__x0000__x0000__x0000__x0000__x0000__xdd0c_"/>
      <sheetName val="DG ????????? ?᲌Ա?_x0004_??????窰԰?????"/>
      <sheetName val="U_x0007__x0006_ "/>
      <sheetName val="[Q3-01-duyet.xls]C/     Lang"/>
      <sheetName val="_x0000__x0000__x0000__x0000_¢é@Z_x0000_ _x0000__x0004_"/>
      <sheetName val="????¢é@Z? ?_x0004_"/>
      <sheetName val="Tong hop VT-may"/>
      <sheetName val="dtct cong"/>
      <sheetName val="Tai_khկ"/>
      <sheetName val="XNGBQIV-02"/>
      <sheetName val="Vanh dai II"/>
      <sheetName val="Km2"/>
      <sheetName val="KLDGTT&lt;120'"/>
      <sheetName val="KLDGTT&lt;120_"/>
      <sheetName val="BO"/>
      <sheetName val="Doanh_thu_gia_thanh1"/>
      <sheetName val="6_thang_20061"/>
      <sheetName val="COCORI"/>
      <sheetName val="PboCPQ1-03"/>
      <sheetName val="S29_x0007__x0000__x0005_"/>
      <sheetName val="Bao_cao_thue_(2)1"/>
      <sheetName val="Tong_hop_CP_T101"/>
      <sheetName val="Bao_cao_thue1"/>
      <sheetName val="Thue_cong_trinh1"/>
      <sheetName val="Gia_thanh1"/>
      <sheetName val="Pke_toan1"/>
      <sheetName val="Gia_thanh_cong_trinh_-_Hoa1"/>
      <sheetName val="PNT-QUOT-#3"/>
      <sheetName val="COAT&amp;WRAP-QIOT-#3"/>
      <sheetName val="MTO REV.0_x0000__x0000__x0000__x0000__x0000__x0000__x0000__x0000__x0000_剡✙_x0001__x0000_㠀氊鐝ഀ⽟꡷莚_x0000_"/>
      <sheetName val="MTO REV.0_x0000__x0000__x0000__x0000__x0000__x0000__x0000__x0000__x0000_ꁡ뗫亢_x0000_Ԁ鴙_x0000__x0000_Ԁ_x0000_倀"/>
      <sheetName val="MTO REV.0_x0000__x0000__x0000__x0000__x0000__x0000__x0000__x0000__x0000_롡僤刂✙_x0001__x0000_저贘簎븠퀂첓ﰂ"/>
      <sheetName val="MTO REV.0_x0000__x0000__x0000__x0000__x0000__x0000__x0000__x0000__x0000_a㸿렂훤刁괙_x0000__x0000_㠀䬲谌䰜ം"/>
      <sheetName val="MTO REV.0_x0000__x0000__x0000__x0000__x0000__x0000__x0000__x0000__x0000_쁡侇렀ዤ刂_x0000__x0000_倀鬫谘娜ഀ"/>
      <sheetName val="MTO REV.0_x0000__x0000__x0000__x0000__x0000__x0000__x0000__x0000__x0000_a_x0000_ꀀ뎔谝娜瀀榹␀侔_x0000__x0000_ऀ"/>
      <sheetName val="MTO REV.0_x0000__x0000__x0000__x0000__x0000__x0000__x0000__x0000__x0000_剡䈙_x0000__x0000_倀킿㰗ഁꑟࡷ퍉_x0001_"/>
      <sheetName val="MTO REV.0_x0000__x0000__x0000__x0000__x0000__x0000__x0000__x0000__x0000_剡혙_x0000__x0000_䠀_xdce2_氖欝ഀ륟⡵墙_x0000_"/>
      <sheetName val="MTO REV.0_x0000__x0000__x0000__x0000__x0000__x0000__x0000__x0000__x0000_⠴ẅ氀ẅ︀飕ԯ_x0000_缀_x0000__x0000__x0000_鄀"/>
      <sheetName val="MTO REV.0_x0000__x0000__x0000__x0000__x0000__x0000__x0000__x0000__x0000_頴㩾︀櫕ԯ_x0000_缀_x0000__x0000__x0000_儀哧"/>
      <sheetName val="V.0_x0000__x0000__x0000__x0000__x0000__x0000__x0000__x0000__x0000__x0009__x0000_??_x0000__x0004__x0000__x0000__x0000__x0000__x0000__x0000_??_x0000__x0000__x0000__x0000__x0000_"/>
      <sheetName val="MTO REV.0_x0000__x0000__x0000__x0000__x0000__x0000__x0000__x0000__x0000_큡ጊ혂_x0000__x0000_퉊ᰐ쬱琂㼶䰖"/>
      <sheetName val="NHATKYC"/>
      <sheetName val="BGThau_x005f_x0008_"/>
      <sheetName val="V_x005f_x0010_PN"/>
      <sheetName val="S29_x005f_x0007_"/>
      <sheetName val="S29_x005f_x0007___S"/>
      <sheetName val="S29_x005f_x0007__S"/>
      <sheetName val="_x0000__x0000__x0000__x0000__x0000__x0000__x0000__x0000__(2)"/>
      <sheetName val="Ke_toan_thuc_hien_cong_trinh1"/>
      <sheetName val="Du_kien_DT_9_thang_de_nop1"/>
      <sheetName val="Tojg_KLBS1"/>
      <sheetName val="Tai_khoan1"/>
      <sheetName val="MTO_REV_01"/>
      <sheetName val="ɂIEN_DONG1"/>
      <sheetName val="KK_bo_sung1"/>
      <sheetName val="?_x0001_???????????_x0002_???????Ƥ?Ő???㋎˴?"/>
      <sheetName val="30000_00"/>
      <sheetName val="BGThau_x0008___0000000_x0001__x0006___Sheet1_x0008___To"/>
      <sheetName val="MAKH"/>
      <sheetName val="DT-detail"/>
      <sheetName val="Function"/>
      <sheetName val="M"/>
      <sheetName val="V.0_x0000__x0000__x0000__x0000__x0000__x0000__x0000__x0000__x0000_ _x0000_??_x0000__x0004__x0000__x0000__x0000__x0000__x0000__x0000_??_x0000__x0000__x0000__x0000__x0000_"/>
      <sheetName val="NHAP"/>
      <sheetName val="MTO REV.0_x0000__x0000__x0000__x0000__x0000__x0000__x0000__x0000__x0000_a_x0000_⠀䰋눠䠀쀯ꖍ_x0000__x0000_ऀ"/>
      <sheetName val="MTO REV.0_x0000__x0000__x0000__x0000__x0000__x0000__x0000__x0000__x0000_a_x0000_퀀沞㰘昝瀂熊辏_x0000__x0000_ऀ"/>
      <sheetName val="A6"/>
      <sheetName val="Tickmarks"/>
      <sheetName val="MTO REV.0_x0000__x0000__x0000__x0000__x0000__x0000__x0000__x0000__x0000__x0009__x0000_쫀Ӛ_x0000__x0004__x0000__x0000_︾Ö_x0000__x0000_২"/>
      <sheetName val="XN²_x0000__x0000_-05 (02)"/>
      <sheetName val="GiaVL"/>
      <sheetName val="breakdown"/>
      <sheetName val="????€¢é@Z?_x000d_?_x0004_"/>
      <sheetName val="???????? (2)"/>
      <sheetName val="Na2??�01"/>
      <sheetName val="????���@Z?_x000d_?_x0004_"/>
      <sheetName val="Tai_khկ?缀"/>
      <sheetName val="????€¢é@Z?_x000a_?_x0004_"/>
      <sheetName val="????���@Z?_x000a_?_x0004_"/>
      <sheetName val="V.0"/>
      <sheetName val="PHU LUC2"/>
      <sheetName val="VANKHUON"/>
      <sheetName val="MTO REV.0_x0000__x0000__x0000__x0000__x0000__x0000__x0000__x0000__x0000__x0009__x0000_쫀Ӛ_x0000__x0004__x0000__x0000__x0000__x0000__x0000__x0000_�"/>
      <sheetName val="BGThau_x0008__x0000__x0000_0000"/>
      <sheetName val="4_x0004__x0000__x0000_XN54_x000"/>
      <sheetName val="_x0000__x0000__x0000__x0000_¢é"/>
      <sheetName val="BGThau_x0008__x0000_0000000_x00"/>
      <sheetName val="_x0000__x0000__x0000__x0000_€¢é"/>
      <sheetName val="_x0000__x0000___Z"/>
      <sheetName val="C_     Lang"/>
      <sheetName val="H_ng m_c 2"/>
      <sheetName val="_x0000__x0001__x0000__x0000__x0"/>
      <sheetName val="_x0000__x0000__x0017__Q3-01-duy"/>
      <sheetName val="BGThau_x0008___0000000_x0001__x"/>
      <sheetName val="4_x0004___XN54_x0004___XN33_x00"/>
      <sheetName val="Na2__01"/>
      <sheetName val="CT_doanh thu 2005"/>
      <sheetName val="__쫀䃝Z"/>
      <sheetName val="____¢é@Z__x000d___x0004_"/>
      <sheetName val="Na2__€01"/>
      <sheetName val="Vanh dai II_x0000__x0000__x000"/>
      <sheetName val="MTO REV.0_x0000__x0000__x0000__"/>
      <sheetName val="4_x0004__x0000_XN54_x0004__x000"/>
      <sheetName val="BGThau_x0008__0000000_x0001__x0"/>
      <sheetName val="4_x0004__XN54_x0004__XN33_x0004"/>
      <sheetName val="_Q3-01-duyet.xlsUboHoan"/>
      <sheetName val="_x0000__x0000__x0000__x0000__x0"/>
      <sheetName val="_Q3-01-duyet.xls_30000_00"/>
      <sheetName val="[Q3-01-duyet.xls]_Q3_01_duyet_2"/>
      <sheetName val="[Q3-01-duyet.xls]_Q3_01_duyet_3"/>
      <sheetName val="DGCT"/>
      <sheetName val="Dầm -4.7m"/>
      <sheetName val="SCOPE OF WORK"/>
      <sheetName val="Summary"/>
      <sheetName val="D_MUC"/>
      <sheetName val="개산공사비"/>
      <sheetName val="HESO"/>
      <sheetName val="TOTAL SUMMARY"/>
      <sheetName val="Hat5mm&lt;3%"/>
      <sheetName val="INPUT"/>
      <sheetName val="Thiet Bi"/>
      <sheetName val="Km227_838-228_!00"/>
      <sheetName val="Hạng_mục_2"/>
      <sheetName val="FAB별"/>
      <sheetName val="THKP"/>
      <sheetName val="FD"/>
      <sheetName val="GI"/>
      <sheetName val="EE (3)"/>
      <sheetName val="PAVEMENT"/>
      <sheetName val="TRAFFIC"/>
      <sheetName val="DGG"/>
      <sheetName val="Div26 - Elect"/>
      <sheetName val="MBW"/>
      <sheetName val="Utilities"/>
      <sheetName val="Civil_B1"/>
      <sheetName val="Civil_B4"/>
      <sheetName val="Duc_bk"/>
      <sheetName val="실행철강하도"/>
      <sheetName val="Quantity"/>
      <sheetName val="MTO REV.0_x0000__x0000__x0000__x0000__x0000__x0000__x0000__x0000__x0000_ _x0000_쫀Ӛ_x0000__x0004__x0000__x0000_︾Ö_x0000__x0000_২"/>
      <sheetName val="MTO REV.0_x0000__x0000__x0000__x0000__x0000__x0000__x0000__x0000__x0000_ _x0000_쫀Ӛ_x0000__x0004__x0000__x0000__x0000__x0000__x0000__x0000_�"/>
      <sheetName val="thermal and moisture protection"/>
      <sheetName val="XN²"/>
      <sheetName val="4_x005f_x0004_"/>
      <sheetName val="TABLE"/>
      <sheetName val="MTO REV.0?????????_x0009_?쫀Ӛ?_x0004_??????_xdd0c_"/>
      <sheetName val="Km2??,"/>
      <sheetName val="MTO REV.0????????? ?쫀Ӛ?_x0004_??????_xdd0c_"/>
      <sheetName val="Archi"/>
      <sheetName val="DI_ESTI"/>
      <sheetName val="個案9411"/>
      <sheetName val="Analisa Upah &amp; Bahan Plum"/>
      <sheetName val="諸経費"/>
      <sheetName val="清水計算営業税率関連"/>
      <sheetName val="SiteWorks"/>
      <sheetName val="Bang gia NC "/>
      <sheetName val="HS_957"/>
      <sheetName val="??_x0005__x0000__x0000_"/>
      <sheetName val="??ꙭ&gt;_x0000_"/>
      <sheetName val="??_x0005__x0000_-"/>
      <sheetName val="??_x0005__x0000_m"/>
      <sheetName val="2.1 受電設備棟"/>
      <sheetName val="2.2 受・防火水槽"/>
      <sheetName val="2.3 排水処理設備棟"/>
      <sheetName val="2.4 倉庫棟"/>
      <sheetName val="2.5 守衛棟"/>
      <sheetName val="Comparison"/>
      <sheetName val="NKC6"/>
      <sheetName val="General"/>
      <sheetName val="Quy_x005f_x0000_2-2002"/>
      <sheetName val="BGThau_x005f_x0008__x005f_x0000__x005f_x0000_0000"/>
      <sheetName val="S29_x005f_x0007__x005f_x0000__x005f_x0000_S"/>
      <sheetName val="XNGBQII-_x005f_x0010_4 (3)"/>
      <sheetName val="Tra_bang"/>
      <sheetName val="BGThau_x0008__0000000_x0001__x0006__Sheet1_x0008__To dr"/>
      <sheetName val="4_x0004___XN54_x0004___XN33_x0004___NK96_x0006___Sheet4"/>
      <sheetName val="BGThau_x0008__0000000_x0001__x0006__Sheet1_x0008__To"/>
      <sheetName val="4_x0004__XN54_x0004__XN33_x0004__NK96_x0006__Sheet4"/>
      <sheetName val="____¢é@Z____x0004_"/>
      <sheetName val="HS"/>
      <sheetName val="Gia vat tu"/>
      <sheetName val="BIDDING-SUM"/>
      <sheetName val="手动计画"/>
      <sheetName val="D &amp; W sizes"/>
      <sheetName val="_x0000__x0000__x0000__x0000_€¢é@Z_x0000_ _x0000__x0004_"/>
      <sheetName val="_x0000__x0000__x0000__x0000_���@Z_x0000_ _x0000__x0004_"/>
      <sheetName val="MTO REV.0_x0000__x0000__x0000__x0000__x0000__x0000__x0000__x0000__x0000_ _x0000_쫀Ӛ_x0000__x0004__x0000__x0000__x0000__x0000__x0000__x0000_?"/>
      <sheetName val="��n0_x0000__x0003__x0000_"/>
      <sheetName val="��nက_x0000_ꀀꌩ쌀"/>
      <sheetName val="��n0"/>
      <sheetName val="��nက"/>
      <sheetName val="Brief"/>
      <sheetName val="Tables"/>
      <sheetName val="DLCoso"/>
      <sheetName val="TOSHIBA-Structure"/>
      <sheetName val="H.Satuan"/>
      <sheetName val="NHATKY"/>
      <sheetName val="KLDGDT&lt;120%_(2)"/>
      <sheetName val="11\_x0000__x0000__x0000__x0000__x0000__x0000__x0000_è_x0000_O_x0000__x0001__x0000_???_x0000_B_x0000_?_x0000_^_x0000__x0002__x0000_d_x0000__x0001_"/>
      <sheetName val="TTDZ2в"/>
      <sheetName val="Scheme B Estimate "/>
      <sheetName val="Thue c塅䕃⹌塅Erinh"/>
      <sheetName val="11\"/>
      <sheetName val="GIATRITIEUCHUAN"/>
      <sheetName val="??_x0005__x0000_à"/>
      <sheetName val="SDD"/>
      <sheetName val="DT-chi tiet"/>
      <sheetName val="TONGQT"/>
      <sheetName val="TT_35"/>
      <sheetName val="DC_Q.7125"/>
      <sheetName val="THKL_nghiemthuÐ"/>
      <sheetName val="Bajg TK goc"/>
      <sheetName val="CT35"/>
      <sheetName val="DO_AM_DT1"/>
      <sheetName val="gia_x0000_tri SX"/>
      <sheetName val="Quy_0-02"/>
      <sheetName val="_x0000__x0000__x0000__x0002__x0000_힨˱-98-10_x0002__x0000__x0000__x0000_鰘˙Luong _x0002__x0000__x0000__x0000__x0000__x0000_"/>
      <sheetName val="GT"/>
      <sheetName val="MTO REV.0_x0000__x0000__x0000__x0000__x0000__x0000__x0000__x0000__x0000__x0009__x0000_쫀Ӛ_x0000__x0004__x0000__x0000__x0000__x0000__x0000_栀斩"/>
      <sheetName val="MTO REV.0_x0000__x0000__x0000__x0000__x0000__x0000__x0000__x0000__x0000__x0009__x0000_쫀Ӛ_x0000__x0004__x0000__x0000__x0000__x0000__x0000_砀좷"/>
      <sheetName val="_x0000__x0001__x0000__x0000__x0000__x0000__x0000__x0000__x0000__x0000__x0000__x0000__x0000__x0002__x0000__x0000__x0000__x0000__x0000__x0000__x0000_?_x0000_O_x0000__x0000__x0000_???_x0000_"/>
      <sheetName val="??nh m?c"/>
      <sheetName val="Na2_x0000__x0000_?01"/>
      <sheetName val="S?eet9"/>
      <sheetName val="?ha tri SX"/>
      <sheetName val="So Con?!?fhiep"/>
      <sheetName val="XL??est5"/>
      <sheetName val="_x0000__x0000__x0000__x0000_???@Z_x0000__x000d__x0000__x0004_"/>
      <sheetName val="Tai_kh?_x0000_?"/>
      <sheetName val="_x0000__x0000__x0000__x0000_???@Z_x0000__x000a__x0000__x0004_"/>
      <sheetName val="MTO REV.0_x0000__x0000__x0000__x0000__x0000__x0000__x0000__x0000__x0000__x0009__x0000_??_x0000__x0004__x0000__x0000__x0000__x0000__x0000__x0000_?"/>
      <sheetName val="MTO REV.0_x0000__x0000__x0000__x0000__x0000__x0000__x0000__x0000__x0000__x0009__x0000_쫀Ӛ_x0000__x0004__x0000__x0000__x0000_1_x0000_럁"/>
      <sheetName val="MTO REV.0_x0000__x0000__x0000__x0000__x0000__x0000__x0000__x0000__x0000_ _x0000_쫀Ӛ_x0000__x0004__x0000__x0000__x0000__x0000__x0000_栀斩"/>
      <sheetName val="MTO REV.0_x0000__x0000__x0000__x0000__x0000__x0000__x0000__x0000__x0000_ _x0000_쫀Ӛ_x0000__x0004__x0000__x0000__x0000__x0000__x0000_砀좷"/>
      <sheetName val="MTO REV.0_x0000__x0000__x0000__x0000__x0000__x0000__x0000__x0000__x0000_ _x0000_??_x0000__x0004__x0000__x0000__x0000__x0000__x0000__x0000_?"/>
      <sheetName val="MTO REV.0_x0000__x0000__x0000__x0000__x0000__x0000__x0000__x0000__x0000_ _x0000_쫀Ӛ_x0000__x0004__x0000__x0000__x0000_1_x0000_럁"/>
      <sheetName val="nc-m"/>
      <sheetName val="Ten Vat tu"/>
      <sheetName val="THKL_nghiemthu_x0010_"/>
      <sheetName val="DLNS"/>
      <sheetName val="sat"/>
      <sheetName val="Ctinh 10kV"/>
      <sheetName val="��nh 仆_x0000_"/>
      <sheetName val="BenLuc"/>
      <sheetName val="2_x0000__x0000_-BMD2004"/>
      <sheetName val="??﹧濕ԯ"/>
      <sheetName val="Pil_x0005_"/>
      <sheetName val="Gia_thanh_x0005_"/>
      <sheetName val="4_x0004__x0000_XN54_x0004__x0000_XN33_x0004__x0000_NK96_x0006__x0000_Sheet_x0005_"/>
      <sheetName val="GEN REQ"/>
      <sheetName val="SD and START UP"/>
      <sheetName val="DT1_x005f_x0000__x005f_x0000__x005f_x0000__x005f_x0000_"/>
      <sheetName val="BGThau___0000000____Sheet1____2"/>
      <sheetName val="6호기"/>
      <sheetName val="D1000"/>
      <sheetName val="D1500 LOẠI 1"/>
      <sheetName val="D1500 LOẠI 2"/>
      <sheetName val="D1500 LOẠI 3"/>
      <sheetName val="HH Bê tông cọc"/>
      <sheetName val="DTCT"/>
      <sheetName val="TVLIEU"/>
      <sheetName val="VIN_Index"/>
      <sheetName val="ptdg-duong"/>
      <sheetName val="TH vat tu"/>
      <sheetName val="Subsidiary Calculation"/>
      <sheetName val="MTL$-INTER"/>
    </sheetNames>
    <sheetDataSet>
      <sheetData sheetId="0" refreshError="1">
        <row r="29">
          <cell r="E29">
            <v>9566000</v>
          </cell>
        </row>
      </sheetData>
      <sheetData sheetId="1"/>
      <sheetData sheetId="2"/>
      <sheetData sheetId="3"/>
      <sheetData sheetId="4"/>
      <sheetData sheetId="5" refreshError="1"/>
      <sheetData sheetId="6"/>
      <sheetData sheetId="7"/>
      <sheetData sheetId="8"/>
      <sheetData sheetId="9">
        <row r="29">
          <cell r="E29">
            <v>1.0064143450228789</v>
          </cell>
        </row>
      </sheetData>
      <sheetData sheetId="10"/>
      <sheetData sheetId="11"/>
      <sheetData sheetId="12">
        <row r="29">
          <cell r="E29">
            <v>63460.659999999996</v>
          </cell>
        </row>
      </sheetData>
      <sheetData sheetId="13">
        <row r="29">
          <cell r="E29">
            <v>1.0064143450228789</v>
          </cell>
        </row>
      </sheetData>
      <sheetData sheetId="14"/>
      <sheetData sheetId="15"/>
      <sheetData sheetId="16"/>
      <sheetData sheetId="17"/>
      <sheetData sheetId="18"/>
      <sheetData sheetId="19">
        <row r="29">
          <cell r="E29">
            <v>1.0064143450228789</v>
          </cell>
        </row>
      </sheetData>
      <sheetData sheetId="20"/>
      <sheetData sheetId="21">
        <row r="29">
          <cell r="E29">
            <v>9566000</v>
          </cell>
        </row>
      </sheetData>
      <sheetData sheetId="22"/>
      <sheetData sheetId="23"/>
      <sheetData sheetId="24">
        <row r="29">
          <cell r="E29">
            <v>1.0064143450228789</v>
          </cell>
        </row>
      </sheetData>
      <sheetData sheetId="25"/>
      <sheetData sheetId="26"/>
      <sheetData sheetId="27"/>
      <sheetData sheetId="28"/>
      <sheetData sheetId="29"/>
      <sheetData sheetId="30">
        <row r="29">
          <cell r="E29">
            <v>1.0064143450228789</v>
          </cell>
        </row>
      </sheetData>
      <sheetData sheetId="31">
        <row r="29">
          <cell r="E29">
            <v>63460.659999999996</v>
          </cell>
        </row>
      </sheetData>
      <sheetData sheetId="32">
        <row r="29">
          <cell r="E29">
            <v>1.0064143450228789</v>
          </cell>
        </row>
      </sheetData>
      <sheetData sheetId="33"/>
      <sheetData sheetId="34"/>
      <sheetData sheetId="35"/>
      <sheetData sheetId="36"/>
      <sheetData sheetId="37"/>
      <sheetData sheetId="38"/>
      <sheetData sheetId="39">
        <row r="29">
          <cell r="E29">
            <v>63460.659999999996</v>
          </cell>
        </row>
      </sheetData>
      <sheetData sheetId="40"/>
      <sheetData sheetId="41"/>
      <sheetData sheetId="42">
        <row r="29">
          <cell r="E29">
            <v>1.0064143450228789</v>
          </cell>
        </row>
      </sheetData>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sheetData sheetId="69"/>
      <sheetData sheetId="70"/>
      <sheetData sheetId="71"/>
      <sheetData sheetId="72"/>
      <sheetData sheetId="73"/>
      <sheetData sheetId="74"/>
      <sheetData sheetId="75"/>
      <sheetData sheetId="76"/>
      <sheetData sheetId="77"/>
      <sheetData sheetId="78"/>
      <sheetData sheetId="79">
        <row r="29">
          <cell r="E29">
            <v>1.0064143450228789</v>
          </cell>
        </row>
      </sheetData>
      <sheetData sheetId="80"/>
      <sheetData sheetId="81"/>
      <sheetData sheetId="82"/>
      <sheetData sheetId="83"/>
      <sheetData sheetId="84"/>
      <sheetData sheetId="85"/>
      <sheetData sheetId="86"/>
      <sheetData sheetId="87"/>
      <sheetData sheetId="88"/>
      <sheetData sheetId="89"/>
      <sheetData sheetId="90"/>
      <sheetData sheetId="91"/>
      <sheetData sheetId="92">
        <row r="29">
          <cell r="E29">
            <v>1.0064143450228789</v>
          </cell>
        </row>
      </sheetData>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ow r="29">
          <cell r="E29">
            <v>1.0064143450228789</v>
          </cell>
        </row>
      </sheetData>
      <sheetData sheetId="108"/>
      <sheetData sheetId="109"/>
      <sheetData sheetId="110"/>
      <sheetData sheetId="111">
        <row r="29">
          <cell r="E29">
            <v>1.0064143450228789</v>
          </cell>
        </row>
      </sheetData>
      <sheetData sheetId="112"/>
      <sheetData sheetId="113"/>
      <sheetData sheetId="114" refreshError="1"/>
      <sheetData sheetId="115" refreshError="1"/>
      <sheetData sheetId="116" refreshError="1"/>
      <sheetData sheetId="117" refreshError="1"/>
      <sheetData sheetId="118"/>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sheetData sheetId="187" refreshError="1"/>
      <sheetData sheetId="188" refreshError="1"/>
      <sheetData sheetId="189"/>
      <sheetData sheetId="190"/>
      <sheetData sheetId="191"/>
      <sheetData sheetId="192"/>
      <sheetData sheetId="193"/>
      <sheetData sheetId="194"/>
      <sheetData sheetId="195"/>
      <sheetData sheetId="196"/>
      <sheetData sheetId="197"/>
      <sheetData sheetId="198"/>
      <sheetData sheetId="199"/>
      <sheetData sheetId="200"/>
      <sheetData sheetId="201" refreshError="1"/>
      <sheetData sheetId="202"/>
      <sheetData sheetId="203" refreshError="1"/>
      <sheetData sheetId="204" refreshError="1"/>
      <sheetData sheetId="205" refreshError="1"/>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refreshError="1"/>
      <sheetData sheetId="228"/>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refreshError="1"/>
      <sheetData sheetId="251"/>
      <sheetData sheetId="252"/>
      <sheetData sheetId="253" refreshError="1"/>
      <sheetData sheetId="254"/>
      <sheetData sheetId="255" refreshError="1"/>
      <sheetData sheetId="256"/>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sheetData sheetId="376" refreshError="1"/>
      <sheetData sheetId="377"/>
      <sheetData sheetId="378"/>
      <sheetData sheetId="379"/>
      <sheetData sheetId="380"/>
      <sheetData sheetId="381"/>
      <sheetData sheetId="382"/>
      <sheetData sheetId="383"/>
      <sheetData sheetId="384"/>
      <sheetData sheetId="385"/>
      <sheetData sheetId="386" refreshError="1"/>
      <sheetData sheetId="387" refreshError="1"/>
      <sheetData sheetId="388" refreshError="1"/>
      <sheetData sheetId="389"/>
      <sheetData sheetId="390"/>
      <sheetData sheetId="391"/>
      <sheetData sheetId="392"/>
      <sheetData sheetId="393"/>
      <sheetData sheetId="394" refreshError="1"/>
      <sheetData sheetId="395" refreshError="1"/>
      <sheetData sheetId="396" refreshError="1"/>
      <sheetData sheetId="397"/>
      <sheetData sheetId="398"/>
      <sheetData sheetId="399"/>
      <sheetData sheetId="400"/>
      <sheetData sheetId="401"/>
      <sheetData sheetId="402"/>
      <sheetData sheetId="403" refreshError="1"/>
      <sheetData sheetId="404" refreshError="1"/>
      <sheetData sheetId="405" refreshError="1"/>
      <sheetData sheetId="406"/>
      <sheetData sheetId="407" refreshError="1"/>
      <sheetData sheetId="408"/>
      <sheetData sheetId="409"/>
      <sheetData sheetId="410"/>
      <sheetData sheetId="411"/>
      <sheetData sheetId="412"/>
      <sheetData sheetId="413"/>
      <sheetData sheetId="414"/>
      <sheetData sheetId="415"/>
      <sheetData sheetId="416" refreshError="1"/>
      <sheetData sheetId="417"/>
      <sheetData sheetId="418"/>
      <sheetData sheetId="419"/>
      <sheetData sheetId="420"/>
      <sheetData sheetId="421"/>
      <sheetData sheetId="422"/>
      <sheetData sheetId="423"/>
      <sheetData sheetId="424"/>
      <sheetData sheetId="425" refreshError="1"/>
      <sheetData sheetId="426" refreshError="1"/>
      <sheetData sheetId="427" refreshError="1"/>
      <sheetData sheetId="428" refreshError="1"/>
      <sheetData sheetId="429" refreshError="1"/>
      <sheetData sheetId="430"/>
      <sheetData sheetId="431" refreshError="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refreshError="1"/>
      <sheetData sheetId="458" refreshError="1"/>
      <sheetData sheetId="459" refreshError="1"/>
      <sheetData sheetId="460"/>
      <sheetData sheetId="461" refreshError="1"/>
      <sheetData sheetId="462" refreshError="1"/>
      <sheetData sheetId="463" refreshError="1"/>
      <sheetData sheetId="464"/>
      <sheetData sheetId="465"/>
      <sheetData sheetId="466" refreshError="1"/>
      <sheetData sheetId="467" refreshError="1"/>
      <sheetData sheetId="468"/>
      <sheetData sheetId="469"/>
      <sheetData sheetId="470" refreshError="1"/>
      <sheetData sheetId="471"/>
      <sheetData sheetId="472" refreshError="1"/>
      <sheetData sheetId="473" refreshError="1"/>
      <sheetData sheetId="474" refreshError="1"/>
      <sheetData sheetId="475"/>
      <sheetData sheetId="476"/>
      <sheetData sheetId="477" refreshError="1"/>
      <sheetData sheetId="478"/>
      <sheetData sheetId="479" refreshError="1"/>
      <sheetData sheetId="480" refreshError="1"/>
      <sheetData sheetId="481" refreshError="1"/>
      <sheetData sheetId="482" refreshError="1"/>
      <sheetData sheetId="483" refreshError="1"/>
      <sheetData sheetId="484"/>
      <sheetData sheetId="485" refreshError="1"/>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refreshError="1"/>
      <sheetData sheetId="528"/>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sheetData sheetId="538"/>
      <sheetData sheetId="539" refreshError="1"/>
      <sheetData sheetId="540"/>
      <sheetData sheetId="541"/>
      <sheetData sheetId="542" refreshError="1"/>
      <sheetData sheetId="543"/>
      <sheetData sheetId="544" refreshError="1"/>
      <sheetData sheetId="545" refreshError="1"/>
      <sheetData sheetId="546"/>
      <sheetData sheetId="547"/>
      <sheetData sheetId="548" refreshError="1"/>
      <sheetData sheetId="549" refreshError="1"/>
      <sheetData sheetId="550" refreshError="1"/>
      <sheetData sheetId="551" refreshError="1"/>
      <sheetData sheetId="552" refreshError="1"/>
      <sheetData sheetId="553" refreshError="1"/>
      <sheetData sheetId="554" refreshError="1"/>
      <sheetData sheetId="555"/>
      <sheetData sheetId="556" refreshError="1"/>
      <sheetData sheetId="557" refreshError="1"/>
      <sheetData sheetId="558" refreshError="1"/>
      <sheetData sheetId="559" refreshError="1"/>
      <sheetData sheetId="560" refreshError="1"/>
      <sheetData sheetId="561"/>
      <sheetData sheetId="562" refreshError="1"/>
      <sheetData sheetId="563"/>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refreshError="1"/>
      <sheetData sheetId="580"/>
      <sheetData sheetId="581"/>
      <sheetData sheetId="582"/>
      <sheetData sheetId="583"/>
      <sheetData sheetId="584" refreshError="1"/>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refreshError="1"/>
      <sheetData sheetId="611" refreshError="1"/>
      <sheetData sheetId="612" refreshError="1"/>
      <sheetData sheetId="613" refreshError="1"/>
      <sheetData sheetId="614" refreshError="1"/>
      <sheetData sheetId="615" refreshError="1"/>
      <sheetData sheetId="616"/>
      <sheetData sheetId="617" refreshError="1"/>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sheetData sheetId="664"/>
      <sheetData sheetId="665" refreshError="1"/>
      <sheetData sheetId="666"/>
      <sheetData sheetId="667"/>
      <sheetData sheetId="668"/>
      <sheetData sheetId="669"/>
      <sheetData sheetId="670"/>
      <sheetData sheetId="671"/>
      <sheetData sheetId="672"/>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sheetData sheetId="682"/>
      <sheetData sheetId="683"/>
      <sheetData sheetId="684"/>
      <sheetData sheetId="685" refreshError="1"/>
      <sheetData sheetId="686" refreshError="1"/>
      <sheetData sheetId="687" refreshError="1"/>
      <sheetData sheetId="688"/>
      <sheetData sheetId="689"/>
      <sheetData sheetId="690" refreshError="1"/>
      <sheetData sheetId="691" refreshError="1"/>
      <sheetData sheetId="692"/>
      <sheetData sheetId="693" refreshError="1"/>
      <sheetData sheetId="694"/>
      <sheetData sheetId="695" refreshError="1"/>
      <sheetData sheetId="696" refreshError="1"/>
      <sheetData sheetId="697" refreshError="1"/>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refreshError="1"/>
      <sheetData sheetId="780" refreshError="1"/>
      <sheetData sheetId="781" refreshError="1"/>
      <sheetData sheetId="782" refreshError="1"/>
      <sheetData sheetId="783" refreshError="1"/>
      <sheetData sheetId="784" refreshError="1"/>
      <sheetData sheetId="785" refreshError="1"/>
      <sheetData sheetId="786"/>
      <sheetData sheetId="787"/>
      <sheetData sheetId="788"/>
      <sheetData sheetId="789" refreshError="1"/>
      <sheetData sheetId="790" refreshError="1"/>
      <sheetData sheetId="791" refreshError="1"/>
      <sheetData sheetId="792" refreshError="1"/>
      <sheetData sheetId="793" refreshError="1"/>
      <sheetData sheetId="794"/>
      <sheetData sheetId="795" refreshError="1"/>
      <sheetData sheetId="796" refreshError="1"/>
      <sheetData sheetId="797" refreshError="1"/>
      <sheetData sheetId="798" refreshError="1"/>
      <sheetData sheetId="799" refreshError="1"/>
      <sheetData sheetId="800" refreshError="1"/>
      <sheetData sheetId="801"/>
      <sheetData sheetId="802" refreshError="1"/>
      <sheetData sheetId="803" refreshError="1"/>
      <sheetData sheetId="804"/>
      <sheetData sheetId="805" refreshError="1"/>
      <sheetData sheetId="806"/>
      <sheetData sheetId="807" refreshError="1"/>
      <sheetData sheetId="808" refreshError="1"/>
      <sheetData sheetId="809" refreshError="1"/>
      <sheetData sheetId="810" refreshError="1"/>
      <sheetData sheetId="811"/>
      <sheetData sheetId="812" refreshError="1"/>
      <sheetData sheetId="813" refreshError="1"/>
      <sheetData sheetId="814" refreshError="1"/>
      <sheetData sheetId="815" refreshError="1"/>
      <sheetData sheetId="816" refreshError="1"/>
      <sheetData sheetId="817"/>
      <sheetData sheetId="818" refreshError="1"/>
      <sheetData sheetId="819"/>
      <sheetData sheetId="820"/>
      <sheetData sheetId="821" refreshError="1"/>
      <sheetData sheetId="822" refreshError="1"/>
      <sheetData sheetId="823"/>
      <sheetData sheetId="824"/>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sheetData sheetId="878" refreshError="1"/>
      <sheetData sheetId="879" refreshError="1"/>
      <sheetData sheetId="880"/>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sheetData sheetId="1019"/>
      <sheetData sheetId="1020"/>
      <sheetData sheetId="1021"/>
      <sheetData sheetId="1022"/>
      <sheetData sheetId="1023"/>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sheetData sheetId="1056" refreshError="1"/>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mes"/>
      <sheetName val="Detailed Analysis for Breakdown"/>
      <sheetName val="Cash Flow (2)"/>
      <sheetName val="Cash Flow"/>
      <sheetName val="Phu tam"/>
      <sheetName val="Rate &amp; Price"/>
      <sheetName val="Discount"/>
      <sheetName val="Summary of Bid Price"/>
      <sheetName val="Summary of Bid Price (Viet)"/>
      <sheetName val="KL &amp; don gia chinh"/>
      <sheetName val="Sheet1"/>
      <sheetName val="Sheet2"/>
      <sheetName val="Sheet3"/>
      <sheetName val="Sheet10"/>
      <sheetName val="Sheet9"/>
      <sheetName val="~         "/>
      <sheetName val="dg"/>
      <sheetName val="dtct cong"/>
      <sheetName val="Doi so"/>
    </sheetNames>
    <sheetDataSet>
      <sheetData sheetId="0" refreshError="1">
        <row r="6">
          <cell r="D6">
            <v>0.09</v>
          </cell>
        </row>
        <row r="8">
          <cell r="D8">
            <v>0.4</v>
          </cell>
        </row>
        <row r="9">
          <cell r="D9">
            <v>0.6</v>
          </cell>
        </row>
        <row r="10">
          <cell r="D10">
            <v>157806572000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refreshError="1"/>
      <sheetData sheetId="14" refreshError="1"/>
      <sheetData sheetId="15"/>
      <sheetData sheetId="16" refreshError="1"/>
      <sheetData sheetId="17" refreshError="1"/>
      <sheetData sheetId="1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_MUC"/>
      <sheetName val="PTVT"/>
      <sheetName val="KL"/>
      <sheetName val="Sheet2"/>
      <sheetName val="Sheet1"/>
      <sheetName val="VLNCMTC"/>
      <sheetName val="TKTHEP"/>
      <sheetName val="THVT"/>
      <sheetName val="THEPHINH"/>
      <sheetName val="TKP"/>
      <sheetName val="Gia VLNCMTC"/>
      <sheetName val="Section"/>
      <sheetName val="gvl"/>
      <sheetName val="HS"/>
      <sheetName val="BIDDING-SUM"/>
      <sheetName val="LEGEND"/>
      <sheetName val="Gia vat tu"/>
      <sheetName val="Earthworks"/>
      <sheetName val="TH-XL"/>
      <sheetName val="Gia_VLNCMTC"/>
      <sheetName val="dongia"/>
      <sheetName val="DTCT"/>
      <sheetName val="Scheme B Estimate "/>
      <sheetName val="gtrinh"/>
      <sheetName val="BAG-2"/>
      <sheetName val="125x125"/>
      <sheetName val="Define finishing"/>
      <sheetName val="07_Themal"/>
      <sheetName val="dtct cong"/>
      <sheetName val="Khoi luong"/>
      <sheetName val="p"/>
      <sheetName val="TH khoi luong"/>
      <sheetName val="Sheet3"/>
      <sheetName val="Data"/>
      <sheetName val="실행철강하도"/>
      <sheetName val="Parem"/>
      <sheetName val="Goc CC"/>
      <sheetName val="Sum"/>
      <sheetName val="Page 1"/>
      <sheetName val="GAEYO"/>
      <sheetName val="chiettinh"/>
      <sheetName val="mavl"/>
      <sheetName val="SUMMARY"/>
      <sheetName val="MTC"/>
      <sheetName val="VCV-BE-TONG"/>
      <sheetName val="Bang TH"/>
      <sheetName val="Shelves"/>
      <sheetName val="tra_vat_lieu"/>
      <sheetName val="Comb"/>
      <sheetName val="Dim"/>
      <sheetName val="Main_Mech"/>
      <sheetName val="Sub_Mech"/>
      <sheetName val="新规"/>
      <sheetName val="PRICE C"/>
      <sheetName val="単価表"/>
      <sheetName val="諸経費"/>
      <sheetName val="清水計算営業税率関連"/>
      <sheetName val="個案9411"/>
      <sheetName val="PRICE E"/>
      <sheetName val="tong du toan"/>
      <sheetName val="vttt"/>
      <sheetName val="DHKK"/>
      <sheetName val="금액내역서"/>
      <sheetName val="General"/>
      <sheetName val="NKC6"/>
      <sheetName val="YTD ret"/>
      <sheetName val="Gia_VLNCMTC2"/>
      <sheetName val="Gia_vat_tu1"/>
      <sheetName val="Scheme_B_Estimate_1"/>
      <sheetName val="Page_11"/>
      <sheetName val="Khoi_Luong1"/>
      <sheetName val="TH_khoi_luong1"/>
      <sheetName val="Define_finishing1"/>
      <sheetName val="dtct_cong1"/>
      <sheetName val="PRICE_C1"/>
      <sheetName val="Goc_CC1"/>
      <sheetName val="Bang_TH1"/>
      <sheetName val="tong_du_toan1"/>
      <sheetName val="Gia_VLNCMTC1"/>
      <sheetName val="Gia_vat_tu"/>
      <sheetName val="Scheme_B_Estimate_"/>
      <sheetName val="Page_1"/>
      <sheetName val="Khoi_Luong"/>
      <sheetName val="TH_khoi_luong"/>
      <sheetName val="Define_finishing"/>
      <sheetName val="dtct_cong"/>
      <sheetName val="PRICE_C"/>
      <sheetName val="Goc_CC"/>
      <sheetName val="Bang_TH"/>
      <sheetName val="tong_du_toan"/>
      <sheetName val="Analysis Rate"/>
      <sheetName val="tra-vat-lieu"/>
      <sheetName val="ESTI."/>
      <sheetName val="DI-ESTI"/>
      <sheetName val="M 67"/>
      <sheetName val="Thuc thanh"/>
      <sheetName val="개산공사비"/>
      <sheetName val="Bill 02 INF"/>
      <sheetName val="기안"/>
      <sheetName val="날개벽수량표"/>
      <sheetName val="INPUT"/>
      <sheetName val="CONSOIDATE 4"/>
      <sheetName val="CONSOIDATE 2"/>
      <sheetName val="1CT-CAUTHANG-TT-T13(TRIU)&lt;16&gt;16"/>
      <sheetName val="3,CT-CAUTHANG-T23-24&gt;50"/>
      <sheetName val="Villa A"/>
      <sheetName val="조명시설"/>
      <sheetName val="Chi tiet"/>
      <sheetName val="PHU LUC2"/>
      <sheetName val="갑지"/>
      <sheetName val="BMDT_01_VTU"/>
      <sheetName val="TinhGiaNC"/>
      <sheetName val="Thiet Bi"/>
      <sheetName val="C-850R0.XLS"/>
      <sheetName val="tra VL"/>
      <sheetName val="FAB별"/>
      <sheetName val="TTTram"/>
      <sheetName val="電気設備表"/>
      <sheetName val="出図表"/>
      <sheetName val="TOTAL"/>
      <sheetName val="sat"/>
      <sheetName val="Buy vs. Lease Car"/>
      <sheetName val="Bảng mã VT"/>
      <sheetName val="표지어음"/>
      <sheetName val="TMCHL 5-21 TÒA M"/>
      <sheetName val="Ts"/>
      <sheetName val="Config"/>
      <sheetName val="Names"/>
      <sheetName val="ma-pt"/>
      <sheetName val="DG"/>
      <sheetName val="XUONG"/>
      <sheetName val="첨부1"/>
      <sheetName val="Thoat nuoc"/>
      <sheetName val="IBASE"/>
      <sheetName val="UNIT PRICE"/>
      <sheetName val="Tai khoan"/>
      <sheetName val="dghn"/>
      <sheetName val="mong"/>
      <sheetName val="계수시트"/>
      <sheetName val="입찰안"/>
      <sheetName val="CTG"/>
      <sheetName val="4641"/>
      <sheetName val="Danh mục"/>
      <sheetName val="HESO"/>
      <sheetName val="TOTAL SUMMARY"/>
      <sheetName val="TH-XLap"/>
      <sheetName val="Xay lapduongR3"/>
      <sheetName val="2Piling"/>
      <sheetName val="Gia "/>
      <sheetName val="ketcaucap"/>
      <sheetName val="f-pm-04-12-03A-AWPH6-LD"/>
      <sheetName val="TOYO"/>
      <sheetName val="TTH04"/>
      <sheetName val="TK-DT"/>
    </sheetNames>
    <sheetDataSet>
      <sheetData sheetId="0" refreshError="1">
        <row r="1">
          <cell r="B1" t="str">
            <v>BAÛNG PHAÂN TÍCH VAÄT TÖ</v>
          </cell>
        </row>
        <row r="3">
          <cell r="C3">
            <v>36447</v>
          </cell>
        </row>
        <row r="6">
          <cell r="A6" t="str">
            <v>MHÑG</v>
          </cell>
          <cell r="B6" t="str">
            <v>MHÑM</v>
          </cell>
          <cell r="C6" t="str">
            <v>TEÂN COÂNG VIEÄC _ DIEÃN GIAÕI</v>
          </cell>
          <cell r="D6" t="str">
            <v>ÑVT</v>
          </cell>
          <cell r="E6" t="str">
            <v>KHOÁI</v>
          </cell>
          <cell r="F6" t="str">
            <v>HAO  PHÍ</v>
          </cell>
          <cell r="G6" t="str">
            <v>ÑVT</v>
          </cell>
          <cell r="H6" t="str">
            <v>ÑÒNH MÖÙC</v>
          </cell>
          <cell r="I6" t="str">
            <v>SOÁ LÖÔÏNG</v>
          </cell>
          <cell r="K6" t="str">
            <v>ÑÔN GIAÙ</v>
          </cell>
        </row>
        <row r="7">
          <cell r="E7" t="str">
            <v>LÖÔÏNG</v>
          </cell>
          <cell r="K7" t="str">
            <v>VL</v>
          </cell>
          <cell r="L7" t="str">
            <v>NC</v>
          </cell>
          <cell r="M7" t="str">
            <v>MTC</v>
          </cell>
        </row>
        <row r="8">
          <cell r="A8" t="str">
            <v>BC.2212</v>
          </cell>
          <cell r="B8" t="str">
            <v>BC.2212</v>
          </cell>
          <cell r="C8" t="str">
            <v>San saân baõi, ñaát caáp II ñeå laøm baõi ñuùc coïc &lt;=70m</v>
          </cell>
          <cell r="D8" t="str">
            <v>100m3</v>
          </cell>
          <cell r="E8">
            <v>1</v>
          </cell>
          <cell r="F8" t="str">
            <v>Maùy uûi &lt;=75CV</v>
          </cell>
          <cell r="G8" t="str">
            <v>ca</v>
          </cell>
          <cell r="H8">
            <v>0.55600000000000005</v>
          </cell>
          <cell r="I8">
            <v>0.55600000000000005</v>
          </cell>
          <cell r="J8">
            <v>482033</v>
          </cell>
          <cell r="K8">
            <v>0</v>
          </cell>
          <cell r="L8">
            <v>0</v>
          </cell>
          <cell r="M8">
            <v>268010</v>
          </cell>
        </row>
        <row r="9">
          <cell r="A9" t="str">
            <v>AB.1122</v>
          </cell>
          <cell r="B9" t="str">
            <v>AB.1122</v>
          </cell>
          <cell r="C9" t="str">
            <v>Doïn maët baèng chuaån bò thi coâng</v>
          </cell>
          <cell r="D9" t="str">
            <v>100m2</v>
          </cell>
          <cell r="E9">
            <v>1</v>
          </cell>
          <cell r="F9" t="str">
            <v>NC 3/7</v>
          </cell>
          <cell r="G9" t="str">
            <v>coâng</v>
          </cell>
          <cell r="H9">
            <v>2.65</v>
          </cell>
          <cell r="I9">
            <v>2.65</v>
          </cell>
          <cell r="J9">
            <v>12354.87</v>
          </cell>
          <cell r="K9">
            <v>0</v>
          </cell>
          <cell r="L9">
            <v>33485</v>
          </cell>
        </row>
        <row r="10">
          <cell r="A10" t="str">
            <v>HA.1312</v>
          </cell>
          <cell r="B10" t="str">
            <v>HA.1312</v>
          </cell>
          <cell r="C10" t="str">
            <v>Beâtoâng neàn ñaù 1x2 maùc 150 laøm maët baèng ñuùc</v>
          </cell>
          <cell r="D10" t="str">
            <v>m3</v>
          </cell>
          <cell r="E10">
            <v>1</v>
          </cell>
          <cell r="F10" t="str">
            <v xml:space="preserve">Xi maêng PC 30 </v>
          </cell>
          <cell r="G10" t="str">
            <v>Kg</v>
          </cell>
          <cell r="H10">
            <v>288.02499999999998</v>
          </cell>
          <cell r="I10">
            <v>288.02499999999998</v>
          </cell>
          <cell r="J10">
            <v>880</v>
          </cell>
          <cell r="K10">
            <v>407942</v>
          </cell>
          <cell r="L10">
            <v>19613</v>
          </cell>
          <cell r="M10">
            <v>12480</v>
          </cell>
        </row>
        <row r="11">
          <cell r="F11" t="str">
            <v>Caùt vaøng</v>
          </cell>
          <cell r="G11" t="str">
            <v>m3</v>
          </cell>
          <cell r="H11">
            <v>0.505</v>
          </cell>
          <cell r="I11">
            <v>0.505</v>
          </cell>
          <cell r="J11">
            <v>47000</v>
          </cell>
        </row>
        <row r="12">
          <cell r="F12" t="str">
            <v>Ñaù 1x2</v>
          </cell>
          <cell r="G12" t="str">
            <v>m3</v>
          </cell>
          <cell r="H12">
            <v>0.91300000000000003</v>
          </cell>
          <cell r="I12">
            <v>0.91300000000000003</v>
          </cell>
          <cell r="J12">
            <v>125000</v>
          </cell>
        </row>
        <row r="13">
          <cell r="F13" t="str">
            <v>Nöôùc</v>
          </cell>
          <cell r="G13" t="str">
            <v>Lít</v>
          </cell>
          <cell r="H13">
            <v>189.625</v>
          </cell>
          <cell r="I13">
            <v>189.625</v>
          </cell>
          <cell r="J13">
            <v>2.5</v>
          </cell>
        </row>
        <row r="14">
          <cell r="F14" t="str">
            <v>Vaät lieäu khaùc</v>
          </cell>
          <cell r="G14" t="str">
            <v>ñoàng</v>
          </cell>
          <cell r="H14">
            <v>0.01</v>
          </cell>
          <cell r="I14">
            <v>3917.9606250000002</v>
          </cell>
          <cell r="J14">
            <v>1</v>
          </cell>
        </row>
        <row r="15">
          <cell r="F15" t="str">
            <v>NC 3/7</v>
          </cell>
          <cell r="G15" t="str">
            <v>coâng</v>
          </cell>
          <cell r="H15">
            <v>1.58</v>
          </cell>
          <cell r="I15">
            <v>1.58</v>
          </cell>
          <cell r="J15">
            <v>12354.87</v>
          </cell>
        </row>
        <row r="16">
          <cell r="F16" t="str">
            <v>Maùy troän 250l</v>
          </cell>
          <cell r="G16" t="str">
            <v>ca</v>
          </cell>
          <cell r="H16">
            <v>9.5000000000000001E-2</v>
          </cell>
          <cell r="I16">
            <v>9.5000000000000001E-2</v>
          </cell>
          <cell r="J16">
            <v>96272</v>
          </cell>
        </row>
        <row r="17">
          <cell r="F17" t="str">
            <v>Maùy ñaàm baøn 1KW</v>
          </cell>
          <cell r="G17" t="str">
            <v>ca</v>
          </cell>
          <cell r="H17">
            <v>8.8999999999999996E-2</v>
          </cell>
          <cell r="I17">
            <v>8.8999999999999996E-2</v>
          </cell>
          <cell r="J17">
            <v>32525</v>
          </cell>
        </row>
        <row r="18">
          <cell r="A18" t="str">
            <v>HA.1111</v>
          </cell>
          <cell r="B18" t="str">
            <v>HA.1111</v>
          </cell>
          <cell r="C18" t="str">
            <v>Beâtoâng  ñaù 4x6 maùc 100 loùt</v>
          </cell>
          <cell r="D18" t="str">
            <v>m3</v>
          </cell>
          <cell r="E18">
            <v>1</v>
          </cell>
          <cell r="F18" t="str">
            <v xml:space="preserve">Xi maêng PC 30 </v>
          </cell>
          <cell r="G18" t="str">
            <v>Kg</v>
          </cell>
          <cell r="H18">
            <v>199.875</v>
          </cell>
          <cell r="I18">
            <v>199.875</v>
          </cell>
          <cell r="J18">
            <v>880</v>
          </cell>
          <cell r="K18">
            <v>306641</v>
          </cell>
          <cell r="L18">
            <v>20481</v>
          </cell>
          <cell r="M18">
            <v>12041</v>
          </cell>
        </row>
        <row r="19">
          <cell r="F19" t="str">
            <v>Caùt vaøng</v>
          </cell>
          <cell r="G19" t="str">
            <v>m3</v>
          </cell>
          <cell r="H19">
            <v>0.52900000000000003</v>
          </cell>
          <cell r="I19">
            <v>0.52900000000000003</v>
          </cell>
          <cell r="J19">
            <v>47000</v>
          </cell>
        </row>
        <row r="20">
          <cell r="F20" t="str">
            <v>Ñaù 4x6</v>
          </cell>
          <cell r="G20" t="str">
            <v>m3</v>
          </cell>
          <cell r="H20">
            <v>0.93200000000000005</v>
          </cell>
          <cell r="I20">
            <v>0.93200000000000005</v>
          </cell>
          <cell r="J20">
            <v>98000</v>
          </cell>
        </row>
        <row r="21">
          <cell r="F21" t="str">
            <v>Nöôùc</v>
          </cell>
          <cell r="G21" t="str">
            <v>Lít</v>
          </cell>
          <cell r="H21">
            <v>169.125</v>
          </cell>
          <cell r="I21">
            <v>169.125</v>
          </cell>
          <cell r="J21">
            <v>2.5</v>
          </cell>
        </row>
        <row r="22">
          <cell r="F22" t="str">
            <v>NC 3/7</v>
          </cell>
          <cell r="G22" t="str">
            <v>coâng</v>
          </cell>
          <cell r="H22">
            <v>1.65</v>
          </cell>
          <cell r="I22">
            <v>1.65</v>
          </cell>
          <cell r="J22">
            <v>12354.87</v>
          </cell>
        </row>
        <row r="23">
          <cell r="F23" t="str">
            <v>Maùy troän 250l</v>
          </cell>
          <cell r="G23" t="str">
            <v>ca</v>
          </cell>
          <cell r="H23">
            <v>9.5000000000000001E-2</v>
          </cell>
          <cell r="I23">
            <v>9.5000000000000001E-2</v>
          </cell>
          <cell r="J23">
            <v>96272</v>
          </cell>
        </row>
        <row r="24">
          <cell r="F24" t="str">
            <v>Maùy ñaàm baøn 1KW</v>
          </cell>
          <cell r="G24" t="str">
            <v>ca</v>
          </cell>
          <cell r="H24">
            <v>8.8999999999999996E-2</v>
          </cell>
          <cell r="I24">
            <v>8.8999999999999996E-2</v>
          </cell>
          <cell r="J24">
            <v>32525</v>
          </cell>
        </row>
        <row r="25">
          <cell r="A25" t="str">
            <v>HA.1313</v>
          </cell>
          <cell r="B25" t="str">
            <v>HA.1313</v>
          </cell>
          <cell r="C25" t="str">
            <v>Beâtoâng neàn ñaù 1x2 maùc 200 laøm maët baèng ñuùc</v>
          </cell>
          <cell r="D25" t="str">
            <v>m3</v>
          </cell>
          <cell r="E25">
            <v>1</v>
          </cell>
          <cell r="F25" t="str">
            <v xml:space="preserve">Xi maêng PC 30 </v>
          </cell>
          <cell r="G25" t="str">
            <v>Kg</v>
          </cell>
          <cell r="H25">
            <v>350.55</v>
          </cell>
          <cell r="I25">
            <v>350.55</v>
          </cell>
          <cell r="J25">
            <v>880</v>
          </cell>
          <cell r="K25">
            <v>461834</v>
          </cell>
          <cell r="L25">
            <v>19613</v>
          </cell>
          <cell r="M25">
            <v>12480</v>
          </cell>
        </row>
        <row r="26">
          <cell r="F26" t="str">
            <v>Caùt vaøng</v>
          </cell>
          <cell r="G26" t="str">
            <v>m3</v>
          </cell>
          <cell r="H26">
            <v>0.48099999999999998</v>
          </cell>
          <cell r="I26">
            <v>0.48099999999999998</v>
          </cell>
          <cell r="J26">
            <v>47000</v>
          </cell>
        </row>
        <row r="27">
          <cell r="F27" t="str">
            <v>Ñaù 1x2</v>
          </cell>
          <cell r="G27" t="str">
            <v>m3</v>
          </cell>
          <cell r="H27">
            <v>0.9</v>
          </cell>
          <cell r="I27">
            <v>0.9</v>
          </cell>
          <cell r="J27">
            <v>125000</v>
          </cell>
        </row>
        <row r="28">
          <cell r="F28" t="str">
            <v>Nöôùc</v>
          </cell>
          <cell r="G28" t="str">
            <v>Lít</v>
          </cell>
          <cell r="H28">
            <v>189.625</v>
          </cell>
          <cell r="I28">
            <v>189.625</v>
          </cell>
          <cell r="J28">
            <v>2.5</v>
          </cell>
        </row>
        <row r="29">
          <cell r="F29" t="str">
            <v>Vaät lieäu khaùc</v>
          </cell>
          <cell r="G29" t="str">
            <v>ñoàng</v>
          </cell>
          <cell r="H29">
            <v>0.01</v>
          </cell>
          <cell r="I29">
            <v>4440.6506250000002</v>
          </cell>
          <cell r="J29">
            <v>1</v>
          </cell>
        </row>
        <row r="30">
          <cell r="F30" t="str">
            <v>NC 3/7</v>
          </cell>
          <cell r="G30" t="str">
            <v>coâng</v>
          </cell>
          <cell r="H30">
            <v>1.58</v>
          </cell>
          <cell r="I30">
            <v>1.58</v>
          </cell>
          <cell r="J30">
            <v>12354.87</v>
          </cell>
        </row>
        <row r="31">
          <cell r="F31" t="str">
            <v>Maùy troän 250l</v>
          </cell>
          <cell r="G31" t="str">
            <v>ca</v>
          </cell>
          <cell r="H31">
            <v>9.5000000000000001E-2</v>
          </cell>
          <cell r="I31">
            <v>9.5000000000000001E-2</v>
          </cell>
          <cell r="J31">
            <v>96272</v>
          </cell>
        </row>
        <row r="32">
          <cell r="F32" t="str">
            <v>Maùy ñaàm baøn 1KW</v>
          </cell>
          <cell r="G32" t="str">
            <v>ca</v>
          </cell>
          <cell r="H32">
            <v>8.8999999999999996E-2</v>
          </cell>
          <cell r="I32">
            <v>8.8999999999999996E-2</v>
          </cell>
          <cell r="J32">
            <v>32525</v>
          </cell>
        </row>
        <row r="33">
          <cell r="A33" t="str">
            <v>HA.1314</v>
          </cell>
          <cell r="B33" t="str">
            <v>HA.1314</v>
          </cell>
          <cell r="C33" t="str">
            <v>Beâtoâng neàn ñaù 1x2 maùc 250 laøm maët baèng ñuùc</v>
          </cell>
          <cell r="D33" t="str">
            <v>m3</v>
          </cell>
          <cell r="E33">
            <v>1</v>
          </cell>
          <cell r="F33" t="str">
            <v xml:space="preserve">Xi maêng PC 30 </v>
          </cell>
          <cell r="G33" t="str">
            <v>Kg</v>
          </cell>
          <cell r="H33">
            <v>350.55</v>
          </cell>
          <cell r="I33">
            <v>350.55</v>
          </cell>
          <cell r="J33">
            <v>880</v>
          </cell>
          <cell r="K33">
            <v>517539</v>
          </cell>
          <cell r="L33">
            <v>19613</v>
          </cell>
          <cell r="M33">
            <v>12480</v>
          </cell>
        </row>
        <row r="34">
          <cell r="F34" t="str">
            <v>Caùt vaøng</v>
          </cell>
          <cell r="G34" t="str">
            <v>m3</v>
          </cell>
          <cell r="H34">
            <v>0.48099999999999998</v>
          </cell>
          <cell r="I34">
            <v>0.48099999999999998</v>
          </cell>
          <cell r="J34">
            <v>47000</v>
          </cell>
        </row>
        <row r="35">
          <cell r="F35" t="str">
            <v>Ñaù 1x2</v>
          </cell>
          <cell r="G35" t="str">
            <v>m3</v>
          </cell>
          <cell r="H35">
            <v>0.9</v>
          </cell>
          <cell r="I35">
            <v>0.9</v>
          </cell>
          <cell r="J35">
            <v>125000</v>
          </cell>
        </row>
        <row r="36">
          <cell r="F36" t="str">
            <v>Nöôùc</v>
          </cell>
          <cell r="G36" t="str">
            <v>Lít</v>
          </cell>
          <cell r="H36">
            <v>189.625</v>
          </cell>
          <cell r="I36">
            <v>189.625</v>
          </cell>
          <cell r="J36">
            <v>2.5</v>
          </cell>
        </row>
        <row r="37">
          <cell r="F37" t="str">
            <v>Vaät lieäu khaùc</v>
          </cell>
          <cell r="G37" t="str">
            <v>ñoàng</v>
          </cell>
          <cell r="H37">
            <v>0.01</v>
          </cell>
          <cell r="I37">
            <v>4440.6506250000002</v>
          </cell>
          <cell r="J37">
            <v>1</v>
          </cell>
        </row>
        <row r="38">
          <cell r="F38" t="str">
            <v>NC 3/7</v>
          </cell>
          <cell r="G38" t="str">
            <v>coâng</v>
          </cell>
          <cell r="H38">
            <v>1.58</v>
          </cell>
          <cell r="I38">
            <v>1.58</v>
          </cell>
          <cell r="J38">
            <v>12354.87</v>
          </cell>
        </row>
        <row r="39">
          <cell r="F39" t="str">
            <v>Maùy troän 250l</v>
          </cell>
          <cell r="G39" t="str">
            <v>ca</v>
          </cell>
          <cell r="H39">
            <v>9.5000000000000001E-2</v>
          </cell>
          <cell r="I39">
            <v>9.5000000000000001E-2</v>
          </cell>
          <cell r="J39">
            <v>96272</v>
          </cell>
        </row>
        <row r="40">
          <cell r="F40" t="str">
            <v>Maùy ñaàm baøn 1KW</v>
          </cell>
          <cell r="G40" t="str">
            <v>ca</v>
          </cell>
          <cell r="H40">
            <v>8.8999999999999996E-2</v>
          </cell>
          <cell r="I40">
            <v>8.8999999999999996E-2</v>
          </cell>
          <cell r="J40">
            <v>32525</v>
          </cell>
        </row>
        <row r="41">
          <cell r="A41" t="str">
            <v>KQ.6110</v>
          </cell>
          <cell r="B41" t="str">
            <v>KQ.6110</v>
          </cell>
          <cell r="C41" t="str">
            <v>GCLÑ + thaùo gôõ coáppha theùp caùc CKÑS</v>
          </cell>
          <cell r="D41" t="str">
            <v>100m2</v>
          </cell>
          <cell r="E41">
            <v>1</v>
          </cell>
          <cell r="F41" t="str">
            <v>Theùp taám coáppha</v>
          </cell>
          <cell r="G41" t="str">
            <v>Kg</v>
          </cell>
          <cell r="H41">
            <v>17.27</v>
          </cell>
          <cell r="I41">
            <v>17.27</v>
          </cell>
          <cell r="J41">
            <v>4350</v>
          </cell>
          <cell r="K41">
            <v>160693</v>
          </cell>
          <cell r="L41">
            <v>429681</v>
          </cell>
          <cell r="M41">
            <v>61367</v>
          </cell>
        </row>
        <row r="42">
          <cell r="F42" t="str">
            <v>Theùp hình coáppha</v>
          </cell>
          <cell r="G42" t="str">
            <v>Kg</v>
          </cell>
          <cell r="H42">
            <v>16.28</v>
          </cell>
          <cell r="I42">
            <v>16.28</v>
          </cell>
          <cell r="J42">
            <v>4450</v>
          </cell>
        </row>
        <row r="43">
          <cell r="F43" t="str">
            <v>Que haøn coáppha</v>
          </cell>
          <cell r="G43" t="str">
            <v>Kg</v>
          </cell>
          <cell r="H43">
            <v>1.9</v>
          </cell>
          <cell r="I43">
            <v>1.9</v>
          </cell>
          <cell r="J43">
            <v>10000</v>
          </cell>
        </row>
        <row r="44">
          <cell r="F44" t="str">
            <v>Vaät lieäu khaùc coáppha</v>
          </cell>
          <cell r="G44" t="str">
            <v>ñoàng</v>
          </cell>
          <cell r="H44">
            <v>0.05</v>
          </cell>
          <cell r="I44">
            <v>8328.5249999999996</v>
          </cell>
          <cell r="J44">
            <v>1</v>
          </cell>
        </row>
        <row r="45">
          <cell r="F45" t="str">
            <v>NC 4/7 coáppha</v>
          </cell>
          <cell r="G45" t="str">
            <v>coâng</v>
          </cell>
          <cell r="H45">
            <v>31.76</v>
          </cell>
          <cell r="I45">
            <v>31.76</v>
          </cell>
          <cell r="J45" t="e">
            <v>#N/A</v>
          </cell>
        </row>
        <row r="46">
          <cell r="F46" t="str">
            <v>Maùy haøn 23KW coáppha</v>
          </cell>
          <cell r="G46" t="str">
            <v>ca</v>
          </cell>
          <cell r="H46">
            <v>0.69</v>
          </cell>
          <cell r="I46">
            <v>0.69</v>
          </cell>
          <cell r="J46" t="e">
            <v>#N/A</v>
          </cell>
        </row>
        <row r="47">
          <cell r="F47" t="str">
            <v>Maùy khaùc coáppha</v>
          </cell>
          <cell r="G47" t="str">
            <v>ñoàng</v>
          </cell>
          <cell r="H47">
            <v>0.15</v>
          </cell>
          <cell r="I47" t="e">
            <v>#N/A</v>
          </cell>
          <cell r="J47" t="e">
            <v>#N/A</v>
          </cell>
        </row>
        <row r="48">
          <cell r="A48" t="str">
            <v>IB.2211</v>
          </cell>
          <cell r="B48" t="str">
            <v>IB.2211</v>
          </cell>
          <cell r="C48" t="str">
            <v>SXLD theùp coïc BTÑS F &lt;=10</v>
          </cell>
          <cell r="D48" t="str">
            <v>Taán</v>
          </cell>
          <cell r="E48">
            <v>1</v>
          </cell>
          <cell r="G48">
            <v>0</v>
          </cell>
          <cell r="J48">
            <v>0</v>
          </cell>
          <cell r="K48">
            <v>4142094</v>
          </cell>
          <cell r="L48">
            <v>184837</v>
          </cell>
          <cell r="M48">
            <v>15916</v>
          </cell>
        </row>
        <row r="49">
          <cell r="C49" t="str">
            <v>Theùp troøn F 6</v>
          </cell>
          <cell r="D49" t="str">
            <v>Kg</v>
          </cell>
          <cell r="E49">
            <v>1</v>
          </cell>
          <cell r="F49" t="str">
            <v>Theùp troøn F 6</v>
          </cell>
          <cell r="G49" t="str">
            <v>Kg</v>
          </cell>
          <cell r="H49">
            <v>1.0049999999999999</v>
          </cell>
          <cell r="I49">
            <v>1.0049999999999999</v>
          </cell>
          <cell r="J49">
            <v>3720</v>
          </cell>
        </row>
        <row r="50">
          <cell r="F50" t="str">
            <v>Keõm buoäc</v>
          </cell>
          <cell r="G50" t="str">
            <v>Kg</v>
          </cell>
          <cell r="H50">
            <v>21.42</v>
          </cell>
          <cell r="I50">
            <v>21.42</v>
          </cell>
          <cell r="J50">
            <v>5300</v>
          </cell>
        </row>
        <row r="51">
          <cell r="F51" t="str">
            <v>NC 3.5/7</v>
          </cell>
          <cell r="G51" t="str">
            <v>coâng</v>
          </cell>
          <cell r="H51">
            <v>14.25</v>
          </cell>
          <cell r="I51">
            <v>14.25</v>
          </cell>
          <cell r="J51">
            <v>12964.99</v>
          </cell>
        </row>
        <row r="52">
          <cell r="F52" t="str">
            <v>Maùy caét uoán</v>
          </cell>
          <cell r="G52" t="str">
            <v>ca</v>
          </cell>
          <cell r="H52">
            <v>0.4</v>
          </cell>
          <cell r="I52">
            <v>0.4</v>
          </cell>
          <cell r="J52">
            <v>39789</v>
          </cell>
        </row>
        <row r="53">
          <cell r="A53" t="str">
            <v>IB.2221</v>
          </cell>
          <cell r="B53" t="str">
            <v>IB.2221</v>
          </cell>
          <cell r="C53" t="str">
            <v>SXLD theùp coïc BTÑS F &lt;=18</v>
          </cell>
          <cell r="D53" t="str">
            <v>Taán</v>
          </cell>
          <cell r="E53">
            <v>1</v>
          </cell>
          <cell r="F53" t="str">
            <v>Keõm buoäc</v>
          </cell>
          <cell r="G53" t="str">
            <v>Kg</v>
          </cell>
          <cell r="H53">
            <v>14.28</v>
          </cell>
          <cell r="I53">
            <v>14.28</v>
          </cell>
          <cell r="J53">
            <v>5300</v>
          </cell>
          <cell r="K53">
            <v>4295356</v>
          </cell>
          <cell r="L53">
            <v>101433</v>
          </cell>
          <cell r="M53">
            <v>100356</v>
          </cell>
        </row>
        <row r="54">
          <cell r="C54" t="str">
            <v>Theùp troøn F 12</v>
          </cell>
          <cell r="D54" t="str">
            <v>Kg</v>
          </cell>
          <cell r="E54">
            <v>1</v>
          </cell>
          <cell r="F54" t="str">
            <v>Theùp troøn F 12</v>
          </cell>
          <cell r="G54" t="str">
            <v>Kg</v>
          </cell>
          <cell r="H54">
            <v>1.02</v>
          </cell>
          <cell r="I54">
            <v>1.02</v>
          </cell>
          <cell r="J54">
            <v>4000</v>
          </cell>
        </row>
        <row r="55">
          <cell r="C55" t="str">
            <v>Theùp troøn F 16</v>
          </cell>
          <cell r="D55" t="str">
            <v>Kg</v>
          </cell>
          <cell r="E55">
            <v>1</v>
          </cell>
          <cell r="F55" t="str">
            <v>Theùp troøn F 16</v>
          </cell>
          <cell r="G55" t="str">
            <v>Kg</v>
          </cell>
          <cell r="H55">
            <v>1.02</v>
          </cell>
          <cell r="I55">
            <v>1.02</v>
          </cell>
          <cell r="J55">
            <v>4000</v>
          </cell>
        </row>
        <row r="56">
          <cell r="C56" t="str">
            <v>Theùp troøn F 18</v>
          </cell>
          <cell r="D56" t="str">
            <v>Kg</v>
          </cell>
          <cell r="E56">
            <v>1</v>
          </cell>
          <cell r="F56" t="str">
            <v>Theùp troøn F 18</v>
          </cell>
          <cell r="G56" t="str">
            <v>Kg</v>
          </cell>
          <cell r="H56">
            <v>1.02</v>
          </cell>
          <cell r="I56">
            <v>1.02</v>
          </cell>
          <cell r="J56">
            <v>4000</v>
          </cell>
        </row>
        <row r="57">
          <cell r="F57" t="str">
            <v>Que haøn</v>
          </cell>
          <cell r="G57" t="str">
            <v>Kg</v>
          </cell>
          <cell r="H57">
            <v>4.7</v>
          </cell>
          <cell r="I57">
            <v>4.7</v>
          </cell>
          <cell r="J57">
            <v>10000</v>
          </cell>
        </row>
        <row r="58">
          <cell r="F58" t="str">
            <v>NC 3.7/7</v>
          </cell>
          <cell r="G58" t="str">
            <v>coâng</v>
          </cell>
          <cell r="H58">
            <v>7.82</v>
          </cell>
          <cell r="I58">
            <v>7.82</v>
          </cell>
          <cell r="J58">
            <v>13209.03</v>
          </cell>
        </row>
        <row r="59">
          <cell r="F59" t="str">
            <v>Maùy haøn 23KW</v>
          </cell>
          <cell r="G59" t="str">
            <v>ca</v>
          </cell>
          <cell r="H59">
            <v>1.133</v>
          </cell>
          <cell r="I59">
            <v>1.133</v>
          </cell>
          <cell r="J59">
            <v>77338</v>
          </cell>
        </row>
        <row r="60">
          <cell r="F60" t="str">
            <v>Maùy caét uoán</v>
          </cell>
          <cell r="G60" t="str">
            <v>ca</v>
          </cell>
          <cell r="H60">
            <v>0.32</v>
          </cell>
          <cell r="I60">
            <v>0.32</v>
          </cell>
          <cell r="J60">
            <v>39789</v>
          </cell>
        </row>
        <row r="61">
          <cell r="A61" t="str">
            <v>IB.2231</v>
          </cell>
          <cell r="B61" t="str">
            <v>IB.2231</v>
          </cell>
          <cell r="C61" t="str">
            <v>SXLD theùp coïc BTÑS F &gt;18</v>
          </cell>
          <cell r="D61" t="str">
            <v>Taán</v>
          </cell>
          <cell r="E61">
            <v>1</v>
          </cell>
          <cell r="F61" t="str">
            <v>Keõm buoäc</v>
          </cell>
          <cell r="G61" t="str">
            <v>Kg</v>
          </cell>
          <cell r="H61">
            <v>14.28</v>
          </cell>
          <cell r="I61">
            <v>14.28</v>
          </cell>
          <cell r="J61">
            <v>5300</v>
          </cell>
          <cell r="K61">
            <v>4295356</v>
          </cell>
          <cell r="L61">
            <v>97153</v>
          </cell>
          <cell r="M61">
            <v>90896</v>
          </cell>
        </row>
        <row r="62">
          <cell r="C62" t="str">
            <v>Theùp troøn F 20</v>
          </cell>
          <cell r="D62" t="str">
            <v>Kg</v>
          </cell>
          <cell r="E62">
            <v>1</v>
          </cell>
          <cell r="F62" t="str">
            <v>Theùp troøn F 20</v>
          </cell>
          <cell r="G62" t="str">
            <v>Kg</v>
          </cell>
          <cell r="H62">
            <v>1.02</v>
          </cell>
          <cell r="I62">
            <v>1.02</v>
          </cell>
          <cell r="J62">
            <v>4350</v>
          </cell>
        </row>
        <row r="63">
          <cell r="F63" t="str">
            <v>Que haøn</v>
          </cell>
          <cell r="G63" t="str">
            <v>Kg</v>
          </cell>
          <cell r="H63">
            <v>4.7</v>
          </cell>
          <cell r="I63">
            <v>4.7</v>
          </cell>
          <cell r="J63">
            <v>10000</v>
          </cell>
        </row>
        <row r="64">
          <cell r="F64" t="str">
            <v>NC 3.7/7</v>
          </cell>
          <cell r="G64" t="str">
            <v>coâng</v>
          </cell>
          <cell r="H64">
            <v>7.49</v>
          </cell>
          <cell r="I64">
            <v>7.49</v>
          </cell>
          <cell r="J64">
            <v>13209.03</v>
          </cell>
        </row>
        <row r="65">
          <cell r="F65" t="str">
            <v>Maùy haøn 23KW</v>
          </cell>
          <cell r="G65" t="str">
            <v>ca</v>
          </cell>
          <cell r="H65">
            <v>1.093</v>
          </cell>
          <cell r="I65">
            <v>1.093</v>
          </cell>
          <cell r="J65">
            <v>77338</v>
          </cell>
        </row>
        <row r="66">
          <cell r="F66" t="str">
            <v>Maùy caét uoán</v>
          </cell>
          <cell r="G66" t="str">
            <v>ca</v>
          </cell>
          <cell r="H66">
            <v>0.16</v>
          </cell>
          <cell r="I66">
            <v>0.16</v>
          </cell>
          <cell r="J66">
            <v>39789</v>
          </cell>
        </row>
        <row r="67">
          <cell r="A67" t="str">
            <v>HG.2415</v>
          </cell>
          <cell r="B67" t="str">
            <v>HG.2415</v>
          </cell>
          <cell r="C67" t="str">
            <v>Beâtoâng töôi ñaù 1x2 maùc 300 + phuï gia ÑKN</v>
          </cell>
          <cell r="D67" t="str">
            <v>m3</v>
          </cell>
          <cell r="E67">
            <v>1</v>
          </cell>
          <cell r="F67" t="str">
            <v>Vöõa BTTP ñaù 1x2 #300 + phuï gia ÑKN</v>
          </cell>
          <cell r="G67" t="str">
            <v>m3</v>
          </cell>
          <cell r="H67">
            <v>1.0149999999999999</v>
          </cell>
          <cell r="I67">
            <v>1.0149999999999999</v>
          </cell>
          <cell r="J67">
            <v>677273</v>
          </cell>
          <cell r="K67">
            <v>553235</v>
          </cell>
          <cell r="L67">
            <v>46549</v>
          </cell>
          <cell r="M67">
            <v>15005</v>
          </cell>
        </row>
        <row r="68">
          <cell r="F68" t="str">
            <v>Vaät lieäu khaùc</v>
          </cell>
          <cell r="G68" t="str">
            <v>ñoàng</v>
          </cell>
          <cell r="H68">
            <v>5.0000000000000001E-3</v>
          </cell>
          <cell r="I68">
            <v>3437.1604750000001</v>
          </cell>
          <cell r="J68">
            <v>1</v>
          </cell>
        </row>
        <row r="69">
          <cell r="F69" t="str">
            <v>NC 3/7</v>
          </cell>
          <cell r="G69" t="str">
            <v>coâng</v>
          </cell>
          <cell r="H69">
            <v>3.75</v>
          </cell>
          <cell r="I69">
            <v>3.75</v>
          </cell>
          <cell r="J69">
            <v>12354.87</v>
          </cell>
        </row>
        <row r="70">
          <cell r="F70" t="str">
            <v>Maùy ñaàm duøi 1.5KW</v>
          </cell>
          <cell r="G70" t="str">
            <v>ca</v>
          </cell>
          <cell r="H70">
            <v>0.12</v>
          </cell>
          <cell r="I70">
            <v>0.12</v>
          </cell>
          <cell r="J70">
            <v>37456</v>
          </cell>
        </row>
        <row r="71">
          <cell r="F71" t="str">
            <v>Maùy khaùc</v>
          </cell>
          <cell r="G71" t="str">
            <v>ñoàng</v>
          </cell>
          <cell r="H71">
            <v>0.1</v>
          </cell>
          <cell r="I71">
            <v>449.47200000000004</v>
          </cell>
          <cell r="J71">
            <v>1</v>
          </cell>
        </row>
        <row r="72">
          <cell r="A72" t="str">
            <v>YG.15040</v>
          </cell>
          <cell r="B72" t="str">
            <v>YG.15040</v>
          </cell>
          <cell r="C72" t="str">
            <v>Boác xeáp caáu kieän (TL&lt;2Taán)</v>
          </cell>
          <cell r="D72" t="str">
            <v>10Taán</v>
          </cell>
          <cell r="E72">
            <v>1</v>
          </cell>
          <cell r="F72" t="str">
            <v>NC 3.5/7</v>
          </cell>
          <cell r="G72" t="str">
            <v>coâng</v>
          </cell>
          <cell r="H72">
            <v>7.0000000000000007E-2</v>
          </cell>
          <cell r="I72">
            <v>7.0000000000000007E-2</v>
          </cell>
          <cell r="J72">
            <v>12964.99</v>
          </cell>
          <cell r="K72">
            <v>0</v>
          </cell>
          <cell r="L72">
            <v>908</v>
          </cell>
          <cell r="M72">
            <v>28820</v>
          </cell>
        </row>
        <row r="73">
          <cell r="F73" t="str">
            <v>Caàn caåu 16T</v>
          </cell>
          <cell r="G73" t="str">
            <v>ca</v>
          </cell>
          <cell r="H73">
            <v>3.5000000000000003E-2</v>
          </cell>
          <cell r="I73">
            <v>3.5000000000000003E-2</v>
          </cell>
          <cell r="J73" t="e">
            <v>#N/A</v>
          </cell>
        </row>
        <row r="74">
          <cell r="A74" t="str">
            <v>NA.1410</v>
          </cell>
          <cell r="B74" t="str">
            <v>NA.1410</v>
          </cell>
          <cell r="C74" t="str">
            <v>Saûn xuaát daàm töôøng theùp hình</v>
          </cell>
          <cell r="D74" t="str">
            <v>Taán</v>
          </cell>
          <cell r="E74">
            <v>1</v>
          </cell>
          <cell r="F74" t="str">
            <v>Theùp hình</v>
          </cell>
          <cell r="G74" t="str">
            <v>Kg</v>
          </cell>
          <cell r="H74">
            <v>811.43</v>
          </cell>
          <cell r="I74">
            <v>811.43</v>
          </cell>
          <cell r="J74">
            <v>3900</v>
          </cell>
          <cell r="K74">
            <v>4801588</v>
          </cell>
          <cell r="L74">
            <v>483053</v>
          </cell>
          <cell r="M74">
            <v>488825</v>
          </cell>
        </row>
        <row r="75">
          <cell r="F75" t="str">
            <v>Theùp taám</v>
          </cell>
          <cell r="G75" t="str">
            <v>Kg</v>
          </cell>
          <cell r="H75">
            <v>218.78</v>
          </cell>
          <cell r="I75">
            <v>218.78</v>
          </cell>
          <cell r="J75">
            <v>4350</v>
          </cell>
        </row>
        <row r="76">
          <cell r="F76" t="str">
            <v>Que haøn</v>
          </cell>
          <cell r="G76" t="str">
            <v>Kg</v>
          </cell>
          <cell r="H76">
            <v>28.22</v>
          </cell>
          <cell r="I76">
            <v>28.22</v>
          </cell>
          <cell r="J76">
            <v>10000</v>
          </cell>
        </row>
        <row r="77">
          <cell r="F77" t="str">
            <v>OÂxy</v>
          </cell>
          <cell r="G77" t="str">
            <v>chai</v>
          </cell>
          <cell r="H77">
            <v>1.6</v>
          </cell>
          <cell r="I77">
            <v>1.6</v>
          </cell>
          <cell r="J77">
            <v>34200</v>
          </cell>
        </row>
        <row r="78">
          <cell r="F78" t="str">
            <v>Ñaát ñeøn</v>
          </cell>
          <cell r="G78" t="str">
            <v>Kg</v>
          </cell>
          <cell r="H78">
            <v>7.2</v>
          </cell>
          <cell r="I78">
            <v>7.2</v>
          </cell>
          <cell r="J78">
            <v>7200</v>
          </cell>
        </row>
        <row r="79">
          <cell r="F79" t="str">
            <v>NC 4/7</v>
          </cell>
          <cell r="G79" t="str">
            <v>coâng</v>
          </cell>
          <cell r="H79">
            <v>35.704999999999998</v>
          </cell>
          <cell r="I79">
            <v>35.704999999999998</v>
          </cell>
          <cell r="J79">
            <v>13575.1</v>
          </cell>
        </row>
        <row r="80">
          <cell r="F80" t="str">
            <v>Maùy haøn 23KW</v>
          </cell>
          <cell r="G80" t="str">
            <v>ca</v>
          </cell>
          <cell r="H80">
            <v>4.5</v>
          </cell>
          <cell r="I80">
            <v>4.5</v>
          </cell>
          <cell r="J80">
            <v>77338</v>
          </cell>
        </row>
        <row r="81">
          <cell r="F81" t="str">
            <v>Maùy khoan 4.5KW</v>
          </cell>
          <cell r="G81" t="str">
            <v>ca</v>
          </cell>
          <cell r="H81">
            <v>0.5</v>
          </cell>
          <cell r="I81">
            <v>0.5</v>
          </cell>
          <cell r="J81">
            <v>72334</v>
          </cell>
        </row>
        <row r="82">
          <cell r="A82" t="str">
            <v>RB.1114</v>
          </cell>
          <cell r="B82" t="str">
            <v>RB.1114</v>
          </cell>
          <cell r="C82" t="str">
            <v>Laùng neàn coù ÑM d2cm VXM75 &lt;4m</v>
          </cell>
          <cell r="D82" t="str">
            <v>m2</v>
          </cell>
          <cell r="E82">
            <v>1</v>
          </cell>
          <cell r="F82" t="str">
            <v xml:space="preserve">Xi maêng PC 30 </v>
          </cell>
          <cell r="G82" t="str">
            <v>Kg</v>
          </cell>
          <cell r="H82">
            <v>8.3010000000000002</v>
          </cell>
          <cell r="I82">
            <v>8.3010000000000002</v>
          </cell>
          <cell r="J82">
            <v>880</v>
          </cell>
          <cell r="K82">
            <v>8261</v>
          </cell>
          <cell r="L82">
            <v>1201</v>
          </cell>
          <cell r="M82">
            <v>136</v>
          </cell>
        </row>
        <row r="83">
          <cell r="F83" t="str">
            <v>Caùt mòn</v>
          </cell>
          <cell r="G83" t="str">
            <v>m3</v>
          </cell>
          <cell r="H83">
            <v>2.7E-2</v>
          </cell>
          <cell r="I83">
            <v>2.7E-2</v>
          </cell>
          <cell r="J83">
            <v>47000</v>
          </cell>
        </row>
        <row r="84">
          <cell r="F84" t="str">
            <v>Nöôùc</v>
          </cell>
          <cell r="G84" t="str">
            <v>Lít</v>
          </cell>
          <cell r="H84">
            <v>6.5</v>
          </cell>
          <cell r="I84">
            <v>6.5</v>
          </cell>
          <cell r="J84">
            <v>2.5</v>
          </cell>
        </row>
        <row r="85">
          <cell r="F85" t="str">
            <v>NC 3.7/7</v>
          </cell>
          <cell r="G85" t="str">
            <v>coâng</v>
          </cell>
          <cell r="H85">
            <v>0.1016</v>
          </cell>
          <cell r="I85">
            <v>0.1016</v>
          </cell>
          <cell r="J85">
            <v>13209.03</v>
          </cell>
        </row>
        <row r="86">
          <cell r="F86" t="str">
            <v>Maùy troän 250l</v>
          </cell>
          <cell r="G86" t="str">
            <v>ca</v>
          </cell>
          <cell r="H86">
            <v>3.0000000000000001E-3</v>
          </cell>
          <cell r="I86">
            <v>3.0000000000000001E-3</v>
          </cell>
          <cell r="J86">
            <v>96272</v>
          </cell>
        </row>
        <row r="87">
          <cell r="A87" t="str">
            <v>RB.1125</v>
          </cell>
          <cell r="B87" t="str">
            <v>RB.1125</v>
          </cell>
          <cell r="C87" t="str">
            <v>Laùng neàn coù ÑM d2cm VXM75 &lt;4m</v>
          </cell>
          <cell r="D87" t="str">
            <v>m2</v>
          </cell>
          <cell r="E87">
            <v>1</v>
          </cell>
          <cell r="F87" t="str">
            <v xml:space="preserve">Xi maêng PC 30 </v>
          </cell>
          <cell r="G87" t="str">
            <v>Kg</v>
          </cell>
          <cell r="H87">
            <v>10.55</v>
          </cell>
          <cell r="I87">
            <v>10.55</v>
          </cell>
          <cell r="J87">
            <v>880</v>
          </cell>
          <cell r="K87">
            <v>10228</v>
          </cell>
          <cell r="L87">
            <v>1341</v>
          </cell>
          <cell r="M87">
            <v>245</v>
          </cell>
        </row>
        <row r="88">
          <cell r="F88" t="str">
            <v>Caùt mòn</v>
          </cell>
          <cell r="G88" t="str">
            <v>m3</v>
          </cell>
          <cell r="H88">
            <v>2.5999999999999999E-2</v>
          </cell>
          <cell r="I88">
            <v>2.5999999999999999E-2</v>
          </cell>
          <cell r="J88">
            <v>47000</v>
          </cell>
        </row>
        <row r="89">
          <cell r="F89" t="str">
            <v>Nöôùc</v>
          </cell>
          <cell r="G89" t="str">
            <v>Lít</v>
          </cell>
          <cell r="H89">
            <v>6.5</v>
          </cell>
          <cell r="I89">
            <v>6.5</v>
          </cell>
          <cell r="J89">
            <v>2.5</v>
          </cell>
        </row>
        <row r="90">
          <cell r="F90" t="str">
            <v>NC 3.7/7</v>
          </cell>
          <cell r="G90" t="str">
            <v>coâng</v>
          </cell>
          <cell r="H90">
            <v>0.1016</v>
          </cell>
          <cell r="I90">
            <v>0.1016</v>
          </cell>
          <cell r="J90">
            <v>13209.03</v>
          </cell>
        </row>
        <row r="91">
          <cell r="F91" t="str">
            <v>Maùy troän 250l</v>
          </cell>
          <cell r="G91" t="str">
            <v>ca</v>
          </cell>
          <cell r="H91">
            <v>3.0000000000000001E-3</v>
          </cell>
          <cell r="I91">
            <v>3.0000000000000001E-3</v>
          </cell>
          <cell r="J91">
            <v>96272</v>
          </cell>
        </row>
        <row r="92">
          <cell r="A92" t="str">
            <v>RB.2145</v>
          </cell>
          <cell r="B92" t="str">
            <v>RB.2145</v>
          </cell>
          <cell r="C92" t="str">
            <v>Laùng neàn saân troáng &amp; væa heø taïo doác XM100</v>
          </cell>
          <cell r="D92" t="str">
            <v>m2</v>
          </cell>
          <cell r="E92">
            <v>1</v>
          </cell>
          <cell r="F92" t="str">
            <v xml:space="preserve">Xi maêng PC 30 </v>
          </cell>
          <cell r="G92" t="str">
            <v>Kg</v>
          </cell>
          <cell r="H92">
            <v>14.65</v>
          </cell>
          <cell r="I92">
            <v>14.65</v>
          </cell>
          <cell r="J92">
            <v>880</v>
          </cell>
          <cell r="K92">
            <v>14211</v>
          </cell>
          <cell r="L92">
            <v>1781</v>
          </cell>
          <cell r="M92">
            <v>136</v>
          </cell>
        </row>
        <row r="93">
          <cell r="F93" t="str">
            <v>Caùt mòn</v>
          </cell>
          <cell r="G93" t="str">
            <v>m3</v>
          </cell>
          <cell r="H93">
            <v>0.04</v>
          </cell>
          <cell r="I93">
            <v>0.04</v>
          </cell>
          <cell r="J93">
            <v>47000</v>
          </cell>
        </row>
        <row r="94">
          <cell r="F94" t="str">
            <v>Nöôùc</v>
          </cell>
          <cell r="G94" t="str">
            <v>Lít</v>
          </cell>
          <cell r="H94">
            <v>9.1</v>
          </cell>
          <cell r="I94">
            <v>9.1</v>
          </cell>
          <cell r="J94">
            <v>2.5</v>
          </cell>
        </row>
        <row r="95">
          <cell r="F95" t="str">
            <v>NC 3.7/7</v>
          </cell>
          <cell r="G95" t="str">
            <v>coâng</v>
          </cell>
          <cell r="H95">
            <v>0.13</v>
          </cell>
          <cell r="I95">
            <v>0.13</v>
          </cell>
          <cell r="J95">
            <v>13209.03</v>
          </cell>
        </row>
        <row r="96">
          <cell r="F96" t="str">
            <v>Maùy troän 250l</v>
          </cell>
          <cell r="G96" t="str">
            <v>ca</v>
          </cell>
          <cell r="H96">
            <v>3.0000000000000001E-3</v>
          </cell>
          <cell r="I96">
            <v>3.0000000000000001E-3</v>
          </cell>
          <cell r="J96">
            <v>96272</v>
          </cell>
        </row>
        <row r="106">
          <cell r="A106" t="str">
            <v>RD.1010a</v>
          </cell>
          <cell r="B106" t="str">
            <v>RD.1010a</v>
          </cell>
          <cell r="C106" t="str">
            <v>Beâ toâng ñaù mi löôùi theùp choáng thaám</v>
          </cell>
          <cell r="D106" t="str">
            <v>m2</v>
          </cell>
          <cell r="E106">
            <v>1</v>
          </cell>
          <cell r="F106" t="str">
            <v>Ñaù mi</v>
          </cell>
          <cell r="G106" t="str">
            <v>Kg</v>
          </cell>
          <cell r="H106">
            <v>30</v>
          </cell>
          <cell r="I106">
            <v>30</v>
          </cell>
          <cell r="J106">
            <v>500</v>
          </cell>
          <cell r="K106">
            <v>42225</v>
          </cell>
          <cell r="L106">
            <v>5412</v>
          </cell>
          <cell r="M106">
            <v>136</v>
          </cell>
        </row>
        <row r="107">
          <cell r="F107" t="str">
            <v xml:space="preserve">Xi maêng PC 30 </v>
          </cell>
          <cell r="G107" t="str">
            <v>Kg</v>
          </cell>
          <cell r="H107">
            <v>9.4</v>
          </cell>
          <cell r="I107">
            <v>9.4</v>
          </cell>
          <cell r="J107">
            <v>880</v>
          </cell>
        </row>
        <row r="108">
          <cell r="F108" t="str">
            <v>Neïp goã</v>
          </cell>
          <cell r="G108" t="str">
            <v>md</v>
          </cell>
          <cell r="H108">
            <v>0.5</v>
          </cell>
          <cell r="I108">
            <v>0.5</v>
          </cell>
        </row>
        <row r="109">
          <cell r="F109" t="str">
            <v>Ñinh caùc loaïi</v>
          </cell>
          <cell r="G109" t="str">
            <v>Kg</v>
          </cell>
          <cell r="H109">
            <v>0.03</v>
          </cell>
          <cell r="I109">
            <v>0.03</v>
          </cell>
        </row>
        <row r="110">
          <cell r="F110" t="str">
            <v>Caùt mòn</v>
          </cell>
          <cell r="G110" t="str">
            <v>m3</v>
          </cell>
          <cell r="H110">
            <v>2.7E-2</v>
          </cell>
          <cell r="I110">
            <v>2.7E-2</v>
          </cell>
          <cell r="J110">
            <v>47000</v>
          </cell>
        </row>
        <row r="111">
          <cell r="F111" t="str">
            <v>Nöôùc</v>
          </cell>
          <cell r="G111" t="str">
            <v>Lít</v>
          </cell>
          <cell r="H111">
            <v>6.5</v>
          </cell>
          <cell r="I111">
            <v>6.5</v>
          </cell>
          <cell r="J111">
            <v>2.5</v>
          </cell>
        </row>
        <row r="112">
          <cell r="F112" t="str">
            <v>Löôùi theùp 1 li choáng thaám</v>
          </cell>
          <cell r="G112" t="str">
            <v>m2</v>
          </cell>
          <cell r="H112">
            <v>1.1499999999999999</v>
          </cell>
          <cell r="I112">
            <v>1.1499999999999999</v>
          </cell>
          <cell r="J112">
            <v>12000</v>
          </cell>
        </row>
        <row r="113">
          <cell r="F113" t="str">
            <v>NC 4/7</v>
          </cell>
          <cell r="G113" t="str">
            <v>coâng</v>
          </cell>
          <cell r="H113">
            <v>0.4</v>
          </cell>
          <cell r="I113">
            <v>0.4</v>
          </cell>
          <cell r="J113">
            <v>13575.1</v>
          </cell>
        </row>
        <row r="114">
          <cell r="F114" t="str">
            <v>Maùy troän 80l</v>
          </cell>
          <cell r="G114" t="str">
            <v>ca</v>
          </cell>
          <cell r="H114">
            <v>3.0000000000000001E-3</v>
          </cell>
          <cell r="I114">
            <v>3.0000000000000001E-3</v>
          </cell>
          <cell r="J114">
            <v>45294</v>
          </cell>
        </row>
        <row r="115">
          <cell r="A115" t="str">
            <v>RA.1125</v>
          </cell>
          <cell r="B115" t="str">
            <v>RA.1125</v>
          </cell>
          <cell r="C115" t="str">
            <v>Laùng neàn khoângù ÑM d2cm VXM75 &lt;4m</v>
          </cell>
          <cell r="D115" t="str">
            <v>m2</v>
          </cell>
          <cell r="E115">
            <v>1</v>
          </cell>
          <cell r="F115" t="str">
            <v xml:space="preserve">Xi maêng PC 30 </v>
          </cell>
          <cell r="G115" t="str">
            <v>Kg</v>
          </cell>
          <cell r="H115">
            <v>10.55</v>
          </cell>
          <cell r="I115">
            <v>10.55</v>
          </cell>
          <cell r="J115">
            <v>880</v>
          </cell>
          <cell r="K115">
            <v>9957</v>
          </cell>
          <cell r="L115">
            <v>1029</v>
          </cell>
          <cell r="M115">
            <v>245</v>
          </cell>
        </row>
        <row r="116">
          <cell r="F116" t="str">
            <v>Caùt mòn</v>
          </cell>
          <cell r="G116" t="str">
            <v>m3</v>
          </cell>
          <cell r="H116">
            <v>2.5999999999999999E-2</v>
          </cell>
          <cell r="I116">
            <v>2.5999999999999999E-2</v>
          </cell>
          <cell r="J116">
            <v>47000</v>
          </cell>
        </row>
        <row r="117">
          <cell r="F117" t="str">
            <v>Nöôùc</v>
          </cell>
          <cell r="G117" t="str">
            <v>Lít</v>
          </cell>
          <cell r="H117">
            <v>6.5</v>
          </cell>
          <cell r="I117">
            <v>6.5</v>
          </cell>
          <cell r="J117">
            <v>2.5</v>
          </cell>
        </row>
        <row r="118">
          <cell r="F118" t="str">
            <v>NC 3.7/7</v>
          </cell>
          <cell r="G118" t="str">
            <v>coâng</v>
          </cell>
          <cell r="H118">
            <v>0.1016</v>
          </cell>
          <cell r="I118">
            <v>0.1016</v>
          </cell>
          <cell r="J118">
            <v>13209.03</v>
          </cell>
        </row>
        <row r="119">
          <cell r="F119" t="str">
            <v>Maùy troän 250l</v>
          </cell>
          <cell r="G119" t="str">
            <v>ca</v>
          </cell>
          <cell r="H119">
            <v>3.0000000000000001E-3</v>
          </cell>
          <cell r="I119">
            <v>3.0000000000000001E-3</v>
          </cell>
          <cell r="J119">
            <v>96272</v>
          </cell>
        </row>
        <row r="120">
          <cell r="A120" t="str">
            <v>CF.1223</v>
          </cell>
          <cell r="B120" t="str">
            <v>CF.1223</v>
          </cell>
          <cell r="C120" t="str">
            <v>EÙp tröôùc coïc BTCT 25x25cm,  L=12m, ñaát C2</v>
          </cell>
          <cell r="D120" t="str">
            <v>100m</v>
          </cell>
          <cell r="E120">
            <v>1</v>
          </cell>
          <cell r="F120" t="str">
            <v>Coïc BT 25x25</v>
          </cell>
          <cell r="G120" t="str">
            <v>md</v>
          </cell>
          <cell r="H120">
            <v>101</v>
          </cell>
          <cell r="I120">
            <v>101</v>
          </cell>
          <cell r="J120">
            <v>130000</v>
          </cell>
          <cell r="K120">
            <v>13465320</v>
          </cell>
          <cell r="L120">
            <v>202528</v>
          </cell>
          <cell r="M120">
            <v>2687158</v>
          </cell>
        </row>
        <row r="121">
          <cell r="F121" t="str">
            <v>Vaät lieäu khaùc</v>
          </cell>
          <cell r="G121" t="str">
            <v>ñoàng</v>
          </cell>
          <cell r="H121">
            <v>0.01</v>
          </cell>
          <cell r="I121">
            <v>131300</v>
          </cell>
          <cell r="J121">
            <v>1</v>
          </cell>
        </row>
        <row r="122">
          <cell r="F122" t="str">
            <v>NC 3.7/7</v>
          </cell>
          <cell r="G122" t="str">
            <v>coâng</v>
          </cell>
          <cell r="H122">
            <v>15.35</v>
          </cell>
          <cell r="I122">
            <v>15.35</v>
          </cell>
          <cell r="J122">
            <v>13209.03</v>
          </cell>
        </row>
        <row r="123">
          <cell r="F123" t="str">
            <v>Maùy eùp coïc 100T</v>
          </cell>
          <cell r="G123" t="str">
            <v>ca</v>
          </cell>
          <cell r="H123">
            <v>3.05</v>
          </cell>
          <cell r="I123">
            <v>3.05</v>
          </cell>
          <cell r="J123">
            <v>324456</v>
          </cell>
        </row>
        <row r="124">
          <cell r="F124" t="str">
            <v>Caàn caåu 10T</v>
          </cell>
          <cell r="G124" t="str">
            <v>ca</v>
          </cell>
          <cell r="H124">
            <v>3.05</v>
          </cell>
          <cell r="I124">
            <v>3.05</v>
          </cell>
          <cell r="J124">
            <v>615511</v>
          </cell>
        </row>
        <row r="125">
          <cell r="F125" t="str">
            <v>Maùy khaùc</v>
          </cell>
          <cell r="G125" t="str">
            <v>ñoàng</v>
          </cell>
          <cell r="H125">
            <v>0.03</v>
          </cell>
          <cell r="I125">
            <v>86006.980499999991</v>
          </cell>
          <cell r="J125">
            <v>1</v>
          </cell>
        </row>
        <row r="126">
          <cell r="A126" t="str">
            <v>CF.1223a</v>
          </cell>
          <cell r="B126" t="str">
            <v>CF.1223a</v>
          </cell>
          <cell r="C126" t="str">
            <v>EÙp tröôùc coïc BTCT 25x25cm,  L=12m, ñaát C2</v>
          </cell>
          <cell r="D126" t="str">
            <v>100m</v>
          </cell>
          <cell r="E126">
            <v>1</v>
          </cell>
          <cell r="F126" t="str">
            <v>Coïc BT 25x25</v>
          </cell>
          <cell r="G126" t="str">
            <v>md</v>
          </cell>
          <cell r="H126">
            <v>101</v>
          </cell>
          <cell r="I126">
            <v>101</v>
          </cell>
          <cell r="J126">
            <v>130000</v>
          </cell>
          <cell r="K126">
            <v>13465320</v>
          </cell>
          <cell r="L126">
            <v>212654.40000000002</v>
          </cell>
          <cell r="M126">
            <v>2821515.9</v>
          </cell>
        </row>
        <row r="127">
          <cell r="C127" t="str">
            <v>(coù eùp aâm baèng coïc daãn)</v>
          </cell>
          <cell r="F127" t="str">
            <v>Vaät lieäu khaùc</v>
          </cell>
          <cell r="G127" t="str">
            <v>ñoàng</v>
          </cell>
          <cell r="H127">
            <v>0.01</v>
          </cell>
          <cell r="I127">
            <v>131300</v>
          </cell>
          <cell r="J127">
            <v>1</v>
          </cell>
        </row>
        <row r="128">
          <cell r="F128" t="str">
            <v>NC 3.7/7</v>
          </cell>
          <cell r="G128" t="str">
            <v>coâng</v>
          </cell>
          <cell r="H128">
            <v>15.35</v>
          </cell>
          <cell r="I128">
            <v>15.35</v>
          </cell>
          <cell r="J128">
            <v>13209.03</v>
          </cell>
        </row>
        <row r="129">
          <cell r="F129" t="str">
            <v>Maùy eùp coïc 100T</v>
          </cell>
          <cell r="G129" t="str">
            <v>ca</v>
          </cell>
          <cell r="H129">
            <v>3.05</v>
          </cell>
          <cell r="I129">
            <v>3.05</v>
          </cell>
          <cell r="J129">
            <v>324456</v>
          </cell>
        </row>
        <row r="130">
          <cell r="F130" t="str">
            <v>Caàn caåu 10T</v>
          </cell>
          <cell r="G130" t="str">
            <v>ca</v>
          </cell>
          <cell r="H130">
            <v>3.05</v>
          </cell>
          <cell r="I130">
            <v>3.05</v>
          </cell>
          <cell r="J130">
            <v>615511</v>
          </cell>
        </row>
        <row r="131">
          <cell r="F131" t="str">
            <v>Maùy khaùc</v>
          </cell>
          <cell r="G131" t="str">
            <v>ñoàng</v>
          </cell>
          <cell r="H131">
            <v>0.03</v>
          </cell>
          <cell r="I131">
            <v>86006.980499999991</v>
          </cell>
          <cell r="J131">
            <v>1</v>
          </cell>
        </row>
        <row r="132">
          <cell r="A132" t="str">
            <v>AE.1113</v>
          </cell>
          <cell r="B132" t="str">
            <v>AE.1113</v>
          </cell>
          <cell r="C132" t="str">
            <v>Ñoán caây döøa ÑK 40cm</v>
          </cell>
          <cell r="D132" t="str">
            <v>caây</v>
          </cell>
          <cell r="E132">
            <v>1</v>
          </cell>
          <cell r="F132" t="str">
            <v>NC 3/7</v>
          </cell>
          <cell r="G132" t="str">
            <v>coâng</v>
          </cell>
          <cell r="H132">
            <v>0.49</v>
          </cell>
          <cell r="I132">
            <v>0.49</v>
          </cell>
          <cell r="J132">
            <v>12354.87</v>
          </cell>
          <cell r="K132">
            <v>0</v>
          </cell>
          <cell r="L132">
            <v>6082</v>
          </cell>
          <cell r="M132">
            <v>0</v>
          </cell>
        </row>
        <row r="133">
          <cell r="A133" t="str">
            <v>AE.1213</v>
          </cell>
          <cell r="B133" t="str">
            <v>AE.1213</v>
          </cell>
          <cell r="C133" t="str">
            <v>Ñaøo goác caây döøa vaø caùc caây troàng</v>
          </cell>
          <cell r="D133" t="str">
            <v>goác</v>
          </cell>
          <cell r="E133">
            <v>1</v>
          </cell>
          <cell r="F133" t="str">
            <v>NC 3/7</v>
          </cell>
          <cell r="G133" t="str">
            <v>coâng</v>
          </cell>
          <cell r="H133">
            <v>0.7</v>
          </cell>
          <cell r="I133">
            <v>0.7</v>
          </cell>
          <cell r="J133">
            <v>12354.87</v>
          </cell>
          <cell r="K133">
            <v>0</v>
          </cell>
          <cell r="L133">
            <v>8689</v>
          </cell>
          <cell r="M133">
            <v>0</v>
          </cell>
        </row>
        <row r="134">
          <cell r="A134" t="str">
            <v>AG.1111</v>
          </cell>
          <cell r="B134" t="str">
            <v>AG.1111</v>
          </cell>
          <cell r="C134" t="str">
            <v>Phaù töôøng vaø moùng gaïch nhaø ñaõ giaõi toûa coøn boû laïi</v>
          </cell>
          <cell r="D134" t="str">
            <v>m3</v>
          </cell>
          <cell r="E134">
            <v>1</v>
          </cell>
          <cell r="F134" t="str">
            <v>NC 3.5/7</v>
          </cell>
          <cell r="G134" t="str">
            <v>coâng</v>
          </cell>
          <cell r="H134">
            <v>1.21</v>
          </cell>
          <cell r="I134">
            <v>1.21</v>
          </cell>
          <cell r="J134">
            <v>12964.99</v>
          </cell>
          <cell r="K134">
            <v>0</v>
          </cell>
          <cell r="L134">
            <v>15695</v>
          </cell>
          <cell r="M134">
            <v>0</v>
          </cell>
        </row>
        <row r="135">
          <cell r="A135" t="str">
            <v>BC.2112</v>
          </cell>
          <cell r="B135" t="str">
            <v>BC.2112</v>
          </cell>
          <cell r="C135" t="str">
            <v>San gaït taïo phaüng maët baèng thi coâng</v>
          </cell>
          <cell r="D135" t="str">
            <v>100m3</v>
          </cell>
          <cell r="E135">
            <v>1</v>
          </cell>
          <cell r="F135" t="str">
            <v>Maùy uûi &lt;=75CV</v>
          </cell>
          <cell r="G135" t="str">
            <v>ca</v>
          </cell>
          <cell r="H135">
            <v>0.44400000000000001</v>
          </cell>
          <cell r="I135">
            <v>0.44400000000000001</v>
          </cell>
          <cell r="J135">
            <v>482033</v>
          </cell>
          <cell r="K135">
            <v>0</v>
          </cell>
          <cell r="L135">
            <v>0</v>
          </cell>
          <cell r="M135">
            <v>214023</v>
          </cell>
        </row>
        <row r="136">
          <cell r="A136" t="str">
            <v>BJ.1432</v>
          </cell>
          <cell r="B136" t="str">
            <v>BJ.1432</v>
          </cell>
          <cell r="C136" t="str">
            <v>Vaän chuyeån raùc, goác caây treân maët baèng thi coâng</v>
          </cell>
          <cell r="D136" t="str">
            <v>100m3</v>
          </cell>
          <cell r="E136">
            <v>1</v>
          </cell>
          <cell r="F136" t="str">
            <v>OÂtoâ 10 T</v>
          </cell>
          <cell r="G136" t="str">
            <v>ca</v>
          </cell>
          <cell r="H136">
            <v>0.19800000000000001</v>
          </cell>
          <cell r="I136">
            <v>0.19800000000000001</v>
          </cell>
          <cell r="J136">
            <v>525740</v>
          </cell>
          <cell r="K136">
            <v>0</v>
          </cell>
          <cell r="L136">
            <v>0</v>
          </cell>
          <cell r="M136">
            <v>104097</v>
          </cell>
        </row>
        <row r="137">
          <cell r="A137" t="str">
            <v>12.1.03*5%</v>
          </cell>
          <cell r="B137" t="str">
            <v>12.1.03*5%</v>
          </cell>
          <cell r="C137" t="str">
            <v>Xaùc ñònh vò trí, toïa ñoä, cao ñoä caùc ñieåm</v>
          </cell>
          <cell r="D137" t="str">
            <v>10 ñieåm</v>
          </cell>
          <cell r="E137">
            <v>1</v>
          </cell>
          <cell r="F137" t="str">
            <v>Maùy traéc ñaïc</v>
          </cell>
          <cell r="G137" t="str">
            <v>ca</v>
          </cell>
          <cell r="H137">
            <v>0.15</v>
          </cell>
          <cell r="I137">
            <v>0.15</v>
          </cell>
          <cell r="J137">
            <v>200000</v>
          </cell>
          <cell r="K137">
            <v>0</v>
          </cell>
          <cell r="L137">
            <v>14722</v>
          </cell>
          <cell r="M137">
            <v>0</v>
          </cell>
        </row>
        <row r="138">
          <cell r="F138" t="str">
            <v>NC 4/7</v>
          </cell>
          <cell r="G138" t="str">
            <v>coâng</v>
          </cell>
          <cell r="H138">
            <v>0.5</v>
          </cell>
          <cell r="I138">
            <v>0.5</v>
          </cell>
          <cell r="J138">
            <v>13575.1</v>
          </cell>
        </row>
        <row r="139">
          <cell r="A139" t="str">
            <v>AH.5003</v>
          </cell>
          <cell r="B139" t="str">
            <v>AH.5003</v>
          </cell>
          <cell r="C139" t="str">
            <v>Ñaäp BTCT ñaàu coïc tính bình quaân 0.5m/coïc</v>
          </cell>
          <cell r="D139" t="str">
            <v>m3</v>
          </cell>
          <cell r="E139">
            <v>1</v>
          </cell>
          <cell r="F139" t="str">
            <v>NC 3.5/7</v>
          </cell>
          <cell r="G139" t="str">
            <v>coâng</v>
          </cell>
          <cell r="H139">
            <v>6</v>
          </cell>
          <cell r="I139">
            <v>6</v>
          </cell>
          <cell r="J139">
            <v>12964.99</v>
          </cell>
          <cell r="L139">
            <v>77826</v>
          </cell>
        </row>
        <row r="140">
          <cell r="A140" t="str">
            <v>BA.1442</v>
          </cell>
          <cell r="B140" t="str">
            <v>BA.1442</v>
          </cell>
          <cell r="C140" t="str">
            <v>Ñaøo ñaát caáp II moùng roäng &gt;1m, saâu&gt;1m</v>
          </cell>
          <cell r="D140" t="str">
            <v>m3</v>
          </cell>
          <cell r="E140">
            <v>1</v>
          </cell>
          <cell r="F140" t="str">
            <v>NC 2.7/7</v>
          </cell>
          <cell r="G140" t="str">
            <v>coâng</v>
          </cell>
          <cell r="H140">
            <v>1.04</v>
          </cell>
          <cell r="I140">
            <v>1.04</v>
          </cell>
          <cell r="J140">
            <v>12011.68</v>
          </cell>
          <cell r="L140">
            <v>12583</v>
          </cell>
        </row>
        <row r="141">
          <cell r="A141" t="str">
            <v>BA.1312</v>
          </cell>
          <cell r="B141" t="str">
            <v>BA.1312</v>
          </cell>
          <cell r="C141" t="str">
            <v>Ñaøo ñaát moùng baêng, R&lt;3m, H&lt;1m, ñaát C II</v>
          </cell>
          <cell r="D141" t="str">
            <v>m3</v>
          </cell>
          <cell r="E141">
            <v>1</v>
          </cell>
          <cell r="F141" t="str">
            <v>NC 2.7/7</v>
          </cell>
          <cell r="G141" t="str">
            <v>coâng</v>
          </cell>
          <cell r="H141">
            <v>0.82</v>
          </cell>
          <cell r="I141">
            <v>0.82</v>
          </cell>
          <cell r="J141">
            <v>12011.68</v>
          </cell>
          <cell r="L141">
            <v>9921</v>
          </cell>
        </row>
        <row r="142">
          <cell r="A142" t="str">
            <v>BA.1532</v>
          </cell>
          <cell r="B142" t="str">
            <v>BA.1532</v>
          </cell>
          <cell r="C142" t="str">
            <v>Ñaøo ñaát caáp II, saâu &gt;2m caùc beå ngaàm:</v>
          </cell>
          <cell r="D142" t="str">
            <v>m3</v>
          </cell>
          <cell r="E142">
            <v>1</v>
          </cell>
          <cell r="F142" t="str">
            <v>NC 2.7/7</v>
          </cell>
          <cell r="G142" t="str">
            <v>coâng</v>
          </cell>
          <cell r="H142">
            <v>1</v>
          </cell>
          <cell r="I142">
            <v>1</v>
          </cell>
          <cell r="J142">
            <v>12011.68</v>
          </cell>
          <cell r="L142">
            <v>12099</v>
          </cell>
        </row>
        <row r="143">
          <cell r="A143" t="str">
            <v>BJ.1132</v>
          </cell>
          <cell r="B143" t="str">
            <v>BJ.1132</v>
          </cell>
          <cell r="C143" t="str">
            <v>Ñoùng vaây baèng cöø theùp choáng saït lôõ ñaát vaø troâi cöø:</v>
          </cell>
          <cell r="D143" t="str">
            <v>m2</v>
          </cell>
          <cell r="E143">
            <v>1</v>
          </cell>
          <cell r="F143" t="str">
            <v>Cöø vaây vaùn theùp</v>
          </cell>
          <cell r="G143" t="str">
            <v>m2</v>
          </cell>
          <cell r="H143">
            <v>10</v>
          </cell>
          <cell r="I143">
            <v>10</v>
          </cell>
          <cell r="J143">
            <v>35000</v>
          </cell>
          <cell r="M143">
            <v>178752</v>
          </cell>
        </row>
        <row r="144">
          <cell r="B144" t="str">
            <v>SR</v>
          </cell>
          <cell r="F144" t="str">
            <v>Vaät lieäu khaùc</v>
          </cell>
          <cell r="G144" t="str">
            <v>ñoàng</v>
          </cell>
          <cell r="H144">
            <v>0.01</v>
          </cell>
          <cell r="I144">
            <v>3500</v>
          </cell>
          <cell r="J144">
            <v>1</v>
          </cell>
        </row>
        <row r="145">
          <cell r="F145" t="str">
            <v>NC 4/7</v>
          </cell>
          <cell r="G145" t="str">
            <v>coâng</v>
          </cell>
          <cell r="H145">
            <v>0.46799999999999997</v>
          </cell>
          <cell r="I145">
            <v>0.46799999999999997</v>
          </cell>
          <cell r="J145">
            <v>13575.1</v>
          </cell>
        </row>
        <row r="146">
          <cell r="F146" t="str">
            <v>Maùy ñoùng coïc 1.2T</v>
          </cell>
          <cell r="G146" t="str">
            <v>ca</v>
          </cell>
          <cell r="H146">
            <v>0.23399999999999999</v>
          </cell>
          <cell r="I146">
            <v>0.23399999999999999</v>
          </cell>
          <cell r="J146" t="e">
            <v>#N/A</v>
          </cell>
        </row>
        <row r="147">
          <cell r="F147" t="str">
            <v>Maùy khaùc</v>
          </cell>
          <cell r="G147" t="str">
            <v>ñoàng</v>
          </cell>
          <cell r="H147">
            <v>0.02</v>
          </cell>
          <cell r="I147" t="e">
            <v>#N/A</v>
          </cell>
          <cell r="J147">
            <v>1</v>
          </cell>
        </row>
        <row r="148">
          <cell r="A148" t="str">
            <v>BA.1104</v>
          </cell>
          <cell r="B148" t="str">
            <v>BA.1104</v>
          </cell>
          <cell r="C148" t="str">
            <v>Xuùc ñaát sình, ñaát thöøa leân xe oâtoâ</v>
          </cell>
          <cell r="D148" t="str">
            <v>m3</v>
          </cell>
          <cell r="E148">
            <v>1</v>
          </cell>
          <cell r="F148" t="str">
            <v>NC 2.7/7</v>
          </cell>
          <cell r="G148" t="str">
            <v>coâng</v>
          </cell>
          <cell r="H148">
            <v>1.43</v>
          </cell>
          <cell r="I148">
            <v>1.43</v>
          </cell>
          <cell r="J148">
            <v>12011.68</v>
          </cell>
          <cell r="K148">
            <v>0</v>
          </cell>
          <cell r="L148">
            <v>17302</v>
          </cell>
          <cell r="M148">
            <v>0</v>
          </cell>
        </row>
        <row r="149">
          <cell r="A149" t="str">
            <v>BJ.1132</v>
          </cell>
          <cell r="B149" t="str">
            <v>BJ.1132</v>
          </cell>
          <cell r="C149" t="str">
            <v>Chuyeån ñaát sình, buøn nhaõo ñi ñoã xa 1000m, oâtoâ</v>
          </cell>
          <cell r="D149" t="str">
            <v>100m3</v>
          </cell>
          <cell r="E149">
            <v>1</v>
          </cell>
          <cell r="F149" t="str">
            <v>OÂtoâ 10 T</v>
          </cell>
          <cell r="G149" t="str">
            <v>ca</v>
          </cell>
          <cell r="H149">
            <v>0.34</v>
          </cell>
          <cell r="I149">
            <v>0.34</v>
          </cell>
          <cell r="J149">
            <v>525740</v>
          </cell>
          <cell r="K149">
            <v>0</v>
          </cell>
          <cell r="L149">
            <v>0</v>
          </cell>
          <cell r="M149">
            <v>178752</v>
          </cell>
        </row>
        <row r="150">
          <cell r="A150" t="str">
            <v>BB.1411</v>
          </cell>
          <cell r="B150" t="str">
            <v>BB.1411</v>
          </cell>
          <cell r="C150" t="str">
            <v>Ñaép caùt neàn nhaø töôùi nöôùc ñaàm kyõ (thuû coâng)</v>
          </cell>
          <cell r="D150" t="str">
            <v>m3</v>
          </cell>
          <cell r="E150">
            <v>1</v>
          </cell>
          <cell r="F150" t="str">
            <v>Caùt neàn</v>
          </cell>
          <cell r="G150" t="str">
            <v>m3</v>
          </cell>
          <cell r="H150">
            <v>1.22</v>
          </cell>
          <cell r="I150">
            <v>1.22</v>
          </cell>
          <cell r="J150">
            <v>47000</v>
          </cell>
          <cell r="K150">
            <v>49776</v>
          </cell>
          <cell r="L150">
            <v>6775</v>
          </cell>
          <cell r="M150">
            <v>0</v>
          </cell>
        </row>
        <row r="151">
          <cell r="F151" t="str">
            <v>Vaät lieäu khaùc</v>
          </cell>
          <cell r="G151" t="str">
            <v>ñoàng</v>
          </cell>
          <cell r="H151">
            <v>0.02</v>
          </cell>
          <cell r="I151">
            <v>1146.8</v>
          </cell>
          <cell r="J151">
            <v>1</v>
          </cell>
        </row>
        <row r="152">
          <cell r="F152" t="str">
            <v>NC 2.7/7</v>
          </cell>
          <cell r="G152" t="str">
            <v>coâng</v>
          </cell>
          <cell r="H152">
            <v>0.56000000000000005</v>
          </cell>
          <cell r="I152">
            <v>0.56000000000000005</v>
          </cell>
          <cell r="J152">
            <v>12011.68</v>
          </cell>
        </row>
        <row r="153">
          <cell r="A153" t="str">
            <v>HA.1213</v>
          </cell>
          <cell r="B153" t="str">
            <v>HA.1213</v>
          </cell>
          <cell r="C153" t="str">
            <v>Beâtoâng ñaù 1x2 maùc 200 loùt</v>
          </cell>
          <cell r="D153" t="str">
            <v>m3</v>
          </cell>
          <cell r="E153">
            <v>1</v>
          </cell>
          <cell r="F153" t="str">
            <v xml:space="preserve">Xi maêng PC 30 </v>
          </cell>
          <cell r="G153" t="str">
            <v>Kg</v>
          </cell>
          <cell r="H153">
            <v>350.55</v>
          </cell>
          <cell r="I153">
            <v>350.55</v>
          </cell>
          <cell r="J153">
            <v>880</v>
          </cell>
          <cell r="K153">
            <v>461834</v>
          </cell>
          <cell r="L153">
            <v>20357</v>
          </cell>
          <cell r="M153">
            <v>12480</v>
          </cell>
        </row>
        <row r="154">
          <cell r="F154" t="str">
            <v>Caùt vaøng</v>
          </cell>
          <cell r="G154" t="str">
            <v>m3</v>
          </cell>
          <cell r="H154">
            <v>0.48099999999999998</v>
          </cell>
          <cell r="I154">
            <v>0.48099999999999998</v>
          </cell>
          <cell r="J154">
            <v>47000</v>
          </cell>
        </row>
        <row r="155">
          <cell r="F155" t="str">
            <v>Ñaù 1x2</v>
          </cell>
          <cell r="G155" t="str">
            <v>m3</v>
          </cell>
          <cell r="H155">
            <v>0.9</v>
          </cell>
          <cell r="I155">
            <v>0.9</v>
          </cell>
          <cell r="J155">
            <v>125000</v>
          </cell>
        </row>
        <row r="156">
          <cell r="F156" t="str">
            <v>Nöôùc</v>
          </cell>
          <cell r="G156" t="str">
            <v>Lít</v>
          </cell>
          <cell r="H156">
            <v>189.625</v>
          </cell>
          <cell r="I156">
            <v>189.625</v>
          </cell>
          <cell r="J156">
            <v>2.5</v>
          </cell>
        </row>
        <row r="157">
          <cell r="F157" t="str">
            <v>Vaät lieäu khaùc</v>
          </cell>
          <cell r="G157" t="str">
            <v>ñoàng</v>
          </cell>
          <cell r="H157">
            <v>0.01</v>
          </cell>
          <cell r="I157">
            <v>4440.6506250000002</v>
          </cell>
          <cell r="J157">
            <v>1</v>
          </cell>
        </row>
        <row r="158">
          <cell r="F158" t="str">
            <v>NC 3/7</v>
          </cell>
          <cell r="G158" t="str">
            <v>coâng</v>
          </cell>
          <cell r="H158">
            <v>1.64</v>
          </cell>
          <cell r="I158">
            <v>1.64</v>
          </cell>
          <cell r="J158">
            <v>12354.87</v>
          </cell>
        </row>
        <row r="159">
          <cell r="F159" t="str">
            <v>Maùy troän 250L</v>
          </cell>
          <cell r="G159" t="str">
            <v>ca</v>
          </cell>
          <cell r="H159">
            <v>9.5000000000000001E-2</v>
          </cell>
          <cell r="I159">
            <v>9.5000000000000001E-2</v>
          </cell>
          <cell r="J159">
            <v>96272</v>
          </cell>
        </row>
        <row r="160">
          <cell r="F160" t="str">
            <v>Maùy ñaàm duøi 1.5KW</v>
          </cell>
          <cell r="G160" t="str">
            <v>ca</v>
          </cell>
          <cell r="H160">
            <v>8.8999999999999996E-2</v>
          </cell>
          <cell r="I160">
            <v>8.8999999999999996E-2</v>
          </cell>
          <cell r="J160">
            <v>37456</v>
          </cell>
        </row>
        <row r="161">
          <cell r="A161" t="str">
            <v>HC.1214</v>
          </cell>
          <cell r="B161" t="str">
            <v>HC.1210</v>
          </cell>
          <cell r="C161" t="str">
            <v>Beâtoâng ñaù 1x2 maùc 250 ñuùc ñaøi moùng (BT töôi)</v>
          </cell>
          <cell r="D161" t="str">
            <v>m3</v>
          </cell>
          <cell r="E161">
            <v>1</v>
          </cell>
          <cell r="F161" t="str">
            <v>Vöõa BTTP ñaù 1x2 #250 + phuï gia ÑKN</v>
          </cell>
          <cell r="G161" t="str">
            <v>m3</v>
          </cell>
          <cell r="H161">
            <v>1.0149999999999999</v>
          </cell>
          <cell r="I161">
            <v>1.0149999999999999</v>
          </cell>
          <cell r="J161">
            <v>677273</v>
          </cell>
          <cell r="K161">
            <v>546052</v>
          </cell>
          <cell r="L161">
            <v>7857</v>
          </cell>
          <cell r="M161">
            <v>51139</v>
          </cell>
        </row>
        <row r="162">
          <cell r="F162" t="str">
            <v>Vaät lieäu khaùc</v>
          </cell>
          <cell r="G162" t="str">
            <v>ñoàng</v>
          </cell>
          <cell r="H162">
            <v>0.01</v>
          </cell>
          <cell r="I162">
            <v>6874.3209500000003</v>
          </cell>
          <cell r="J162">
            <v>1</v>
          </cell>
        </row>
        <row r="163">
          <cell r="F163" t="str">
            <v>NC 3/7</v>
          </cell>
          <cell r="G163" t="str">
            <v>coâng</v>
          </cell>
          <cell r="H163">
            <v>0.63300000000000001</v>
          </cell>
          <cell r="I163">
            <v>0.63300000000000001</v>
          </cell>
          <cell r="J163">
            <v>12354.87</v>
          </cell>
        </row>
        <row r="164">
          <cell r="F164" t="str">
            <v>Maùy bôm BT 50m3/h</v>
          </cell>
          <cell r="G164" t="str">
            <v>ca</v>
          </cell>
          <cell r="H164">
            <v>3.3000000000000002E-2</v>
          </cell>
          <cell r="I164">
            <v>3.3000000000000002E-2</v>
          </cell>
          <cell r="J164">
            <v>1433318</v>
          </cell>
        </row>
        <row r="165">
          <cell r="F165" t="str">
            <v>Maùy ñaàm duøi 1.5KW</v>
          </cell>
          <cell r="G165" t="str">
            <v>ca</v>
          </cell>
          <cell r="H165">
            <v>8.8999999999999996E-2</v>
          </cell>
          <cell r="I165">
            <v>8.8999999999999996E-2</v>
          </cell>
          <cell r="J165">
            <v>37456</v>
          </cell>
        </row>
        <row r="166">
          <cell r="F166" t="str">
            <v>Maùy khaùc</v>
          </cell>
          <cell r="G166" t="str">
            <v>ñoàng</v>
          </cell>
          <cell r="H166">
            <v>0.01</v>
          </cell>
          <cell r="I166">
            <v>506.33078</v>
          </cell>
          <cell r="J166">
            <v>1</v>
          </cell>
        </row>
        <row r="167">
          <cell r="A167" t="str">
            <v>HA.2313</v>
          </cell>
          <cell r="B167" t="str">
            <v>HA.2313</v>
          </cell>
          <cell r="C167" t="str">
            <v>Beâtoâng ñaù 1x2 maùc 200 ñuùc coå moùng</v>
          </cell>
          <cell r="D167" t="str">
            <v>m3</v>
          </cell>
          <cell r="E167">
            <v>1</v>
          </cell>
          <cell r="F167" t="str">
            <v xml:space="preserve">Xi maêng PC 30 </v>
          </cell>
          <cell r="G167" t="str">
            <v>Kg</v>
          </cell>
          <cell r="H167">
            <v>350.55</v>
          </cell>
          <cell r="I167">
            <v>350.55</v>
          </cell>
          <cell r="J167">
            <v>880</v>
          </cell>
          <cell r="K167">
            <v>505054</v>
          </cell>
          <cell r="L167">
            <v>58370</v>
          </cell>
          <cell r="M167">
            <v>15888</v>
          </cell>
        </row>
        <row r="168">
          <cell r="F168" t="str">
            <v>Caùt vaøng</v>
          </cell>
          <cell r="G168" t="str">
            <v>m3</v>
          </cell>
          <cell r="H168">
            <v>0.48099999999999998</v>
          </cell>
          <cell r="I168">
            <v>0.48099999999999998</v>
          </cell>
          <cell r="J168">
            <v>47000</v>
          </cell>
        </row>
        <row r="169">
          <cell r="F169" t="str">
            <v>Ñaù 1x2</v>
          </cell>
          <cell r="G169" t="str">
            <v>m3</v>
          </cell>
          <cell r="H169">
            <v>0.9</v>
          </cell>
          <cell r="I169">
            <v>0.9</v>
          </cell>
          <cell r="J169">
            <v>125000</v>
          </cell>
        </row>
        <row r="170">
          <cell r="F170" t="str">
            <v>Nöôùc</v>
          </cell>
          <cell r="G170" t="str">
            <v>Lít</v>
          </cell>
          <cell r="H170">
            <v>189.625</v>
          </cell>
          <cell r="I170">
            <v>189.625</v>
          </cell>
          <cell r="J170">
            <v>2.5</v>
          </cell>
        </row>
        <row r="171">
          <cell r="F171" t="str">
            <v>Goã vaùn coáppha</v>
          </cell>
          <cell r="G171" t="str">
            <v>m3</v>
          </cell>
          <cell r="H171">
            <v>0.02</v>
          </cell>
          <cell r="I171">
            <v>0.02</v>
          </cell>
          <cell r="J171">
            <v>2100000</v>
          </cell>
        </row>
        <row r="172">
          <cell r="F172" t="str">
            <v>Ñinh caùc loaïi</v>
          </cell>
          <cell r="G172" t="str">
            <v>Kg</v>
          </cell>
          <cell r="H172">
            <v>4.8000000000000001E-2</v>
          </cell>
          <cell r="I172">
            <v>4.8000000000000001E-2</v>
          </cell>
          <cell r="J172">
            <v>5300</v>
          </cell>
        </row>
        <row r="173">
          <cell r="F173" t="str">
            <v>Ñinh ñóa</v>
          </cell>
          <cell r="G173" t="str">
            <v>caùi</v>
          </cell>
          <cell r="H173">
            <v>0.35199999999999998</v>
          </cell>
          <cell r="I173">
            <v>0.35199999999999998</v>
          </cell>
          <cell r="J173">
            <v>1500</v>
          </cell>
        </row>
        <row r="174">
          <cell r="F174" t="str">
            <v>Vaät lieäu khaùc</v>
          </cell>
          <cell r="G174" t="str">
            <v>ñoàng</v>
          </cell>
          <cell r="H174">
            <v>0.01</v>
          </cell>
          <cell r="I174">
            <v>4868.4746250000007</v>
          </cell>
          <cell r="J174">
            <v>1</v>
          </cell>
        </row>
        <row r="175">
          <cell r="F175" t="str">
            <v>NC 3.5/7</v>
          </cell>
          <cell r="G175" t="str">
            <v>coâng</v>
          </cell>
          <cell r="H175">
            <v>4.5</v>
          </cell>
          <cell r="I175">
            <v>4.5</v>
          </cell>
          <cell r="J175">
            <v>12964.99</v>
          </cell>
        </row>
        <row r="176">
          <cell r="F176" t="str">
            <v>Maùy troän 250L</v>
          </cell>
          <cell r="G176" t="str">
            <v>ca</v>
          </cell>
          <cell r="H176">
            <v>9.5000000000000001E-2</v>
          </cell>
          <cell r="I176">
            <v>9.5000000000000001E-2</v>
          </cell>
          <cell r="J176">
            <v>96272</v>
          </cell>
        </row>
        <row r="177">
          <cell r="F177" t="str">
            <v>Maùy ñaàm duøi 1.5KW</v>
          </cell>
          <cell r="G177" t="str">
            <v>ca</v>
          </cell>
          <cell r="H177">
            <v>0.18</v>
          </cell>
          <cell r="I177">
            <v>0.18</v>
          </cell>
          <cell r="J177">
            <v>37456</v>
          </cell>
        </row>
        <row r="178">
          <cell r="A178" t="str">
            <v>HA.2314</v>
          </cell>
          <cell r="B178" t="str">
            <v>HA.2314</v>
          </cell>
          <cell r="C178" t="str">
            <v>Beâtoâng ñaù 1x2 maùc 250 ñuùc coå moùng</v>
          </cell>
          <cell r="D178" t="str">
            <v>m3</v>
          </cell>
          <cell r="E178">
            <v>1</v>
          </cell>
          <cell r="F178" t="str">
            <v xml:space="preserve">Xi maêng PC 30 </v>
          </cell>
          <cell r="G178" t="str">
            <v>Kg</v>
          </cell>
          <cell r="H178">
            <v>415.125</v>
          </cell>
          <cell r="I178">
            <v>415.125</v>
          </cell>
          <cell r="J178">
            <v>880</v>
          </cell>
          <cell r="K178">
            <v>560759</v>
          </cell>
          <cell r="L178">
            <v>58370</v>
          </cell>
          <cell r="M178">
            <v>15888</v>
          </cell>
        </row>
        <row r="179">
          <cell r="F179" t="str">
            <v>Caùt vaøng</v>
          </cell>
          <cell r="G179" t="str">
            <v>m3</v>
          </cell>
          <cell r="H179">
            <v>0.45500000000000002</v>
          </cell>
          <cell r="I179">
            <v>0.45500000000000002</v>
          </cell>
          <cell r="J179">
            <v>47000</v>
          </cell>
        </row>
        <row r="180">
          <cell r="F180" t="str">
            <v>Ñaù 1x2</v>
          </cell>
          <cell r="G180" t="str">
            <v>m3</v>
          </cell>
          <cell r="H180">
            <v>0.88700000000000001</v>
          </cell>
          <cell r="I180">
            <v>0.88700000000000001</v>
          </cell>
          <cell r="J180">
            <v>125000</v>
          </cell>
        </row>
        <row r="181">
          <cell r="F181" t="str">
            <v>Nöôùc</v>
          </cell>
          <cell r="G181" t="str">
            <v>Lít</v>
          </cell>
          <cell r="H181">
            <v>189.625</v>
          </cell>
          <cell r="I181">
            <v>189.625</v>
          </cell>
          <cell r="J181">
            <v>2.5</v>
          </cell>
        </row>
        <row r="182">
          <cell r="F182" t="str">
            <v>Goã vaùn coáppha</v>
          </cell>
          <cell r="G182" t="str">
            <v>m3</v>
          </cell>
          <cell r="H182">
            <v>0.02</v>
          </cell>
          <cell r="I182">
            <v>0.02</v>
          </cell>
          <cell r="J182">
            <v>2100000</v>
          </cell>
        </row>
        <row r="183">
          <cell r="F183" t="str">
            <v>Ñinh caùc loaïi</v>
          </cell>
          <cell r="G183" t="str">
            <v>Kg</v>
          </cell>
          <cell r="H183">
            <v>4.8000000000000001E-2</v>
          </cell>
          <cell r="I183">
            <v>4.8000000000000001E-2</v>
          </cell>
          <cell r="J183">
            <v>5300</v>
          </cell>
        </row>
        <row r="184">
          <cell r="F184" t="str">
            <v>Ñinh ñóa</v>
          </cell>
          <cell r="G184" t="str">
            <v>caùi</v>
          </cell>
          <cell r="H184">
            <v>0.35199999999999998</v>
          </cell>
          <cell r="I184">
            <v>0.35199999999999998</v>
          </cell>
          <cell r="J184">
            <v>1500</v>
          </cell>
        </row>
        <row r="185">
          <cell r="F185" t="str">
            <v>Vaät lieäu khaùc</v>
          </cell>
          <cell r="G185" t="str">
            <v>ñoàng</v>
          </cell>
          <cell r="H185">
            <v>0.01</v>
          </cell>
          <cell r="I185">
            <v>5408.2646250000007</v>
          </cell>
          <cell r="J185">
            <v>1</v>
          </cell>
        </row>
        <row r="186">
          <cell r="F186" t="str">
            <v>NC 3.5/7</v>
          </cell>
          <cell r="G186" t="str">
            <v>coâng</v>
          </cell>
          <cell r="H186">
            <v>4.5</v>
          </cell>
          <cell r="I186">
            <v>4.5</v>
          </cell>
          <cell r="J186">
            <v>12964.99</v>
          </cell>
        </row>
        <row r="187">
          <cell r="F187" t="str">
            <v>Maùy troän 250L</v>
          </cell>
          <cell r="G187" t="str">
            <v>ca</v>
          </cell>
          <cell r="H187">
            <v>9.5000000000000001E-2</v>
          </cell>
          <cell r="I187">
            <v>9.5000000000000001E-2</v>
          </cell>
          <cell r="J187">
            <v>96272</v>
          </cell>
        </row>
        <row r="188">
          <cell r="F188" t="str">
            <v>Maùy ñaàm duøi 1.5KW</v>
          </cell>
          <cell r="G188" t="str">
            <v>ca</v>
          </cell>
          <cell r="H188">
            <v>0.18</v>
          </cell>
          <cell r="I188">
            <v>0.18</v>
          </cell>
          <cell r="J188">
            <v>37456</v>
          </cell>
        </row>
        <row r="189">
          <cell r="A189" t="str">
            <v>HA.2324</v>
          </cell>
          <cell r="B189" t="str">
            <v>HA.2324</v>
          </cell>
          <cell r="C189" t="str">
            <v>Beâtoâng ñaù 1x2 maùc 250 ñuùc coå moùng</v>
          </cell>
          <cell r="D189" t="str">
            <v>m3</v>
          </cell>
          <cell r="E189">
            <v>1</v>
          </cell>
          <cell r="F189" t="str">
            <v xml:space="preserve">Xi maêng PC 30 </v>
          </cell>
          <cell r="G189" t="str">
            <v>Kg</v>
          </cell>
          <cell r="H189">
            <v>415.125</v>
          </cell>
          <cell r="I189">
            <v>415.125</v>
          </cell>
          <cell r="J189">
            <v>880</v>
          </cell>
          <cell r="K189">
            <v>560759</v>
          </cell>
          <cell r="L189">
            <v>62520</v>
          </cell>
          <cell r="M189">
            <v>21882</v>
          </cell>
        </row>
        <row r="190">
          <cell r="F190" t="str">
            <v>Caùt vaøng</v>
          </cell>
          <cell r="G190" t="str">
            <v>m3</v>
          </cell>
          <cell r="H190">
            <v>0.45500000000000002</v>
          </cell>
          <cell r="I190">
            <v>0.45500000000000002</v>
          </cell>
          <cell r="J190">
            <v>47000</v>
          </cell>
        </row>
        <row r="191">
          <cell r="F191" t="str">
            <v>Ñaù 1x2</v>
          </cell>
          <cell r="G191" t="str">
            <v>m3</v>
          </cell>
          <cell r="H191">
            <v>0.88700000000000001</v>
          </cell>
          <cell r="I191">
            <v>0.88700000000000001</v>
          </cell>
          <cell r="J191">
            <v>125000</v>
          </cell>
        </row>
        <row r="192">
          <cell r="F192" t="str">
            <v>Nöôùc</v>
          </cell>
          <cell r="G192" t="str">
            <v>Lít</v>
          </cell>
          <cell r="H192">
            <v>189.625</v>
          </cell>
          <cell r="I192">
            <v>189.625</v>
          </cell>
          <cell r="J192">
            <v>2.5</v>
          </cell>
        </row>
        <row r="193">
          <cell r="F193" t="str">
            <v>Goã vaùn coáppha</v>
          </cell>
          <cell r="G193" t="str">
            <v>m3</v>
          </cell>
          <cell r="H193">
            <v>0.02</v>
          </cell>
          <cell r="I193">
            <v>0.02</v>
          </cell>
          <cell r="J193">
            <v>2100000</v>
          </cell>
        </row>
        <row r="194">
          <cell r="F194" t="str">
            <v>Ñinh caùc loaïi</v>
          </cell>
          <cell r="G194" t="str">
            <v>Kg</v>
          </cell>
          <cell r="H194">
            <v>4.8000000000000001E-2</v>
          </cell>
          <cell r="I194">
            <v>4.8000000000000001E-2</v>
          </cell>
          <cell r="J194">
            <v>5300</v>
          </cell>
        </row>
        <row r="195">
          <cell r="F195" t="str">
            <v>Ñinh ñóa</v>
          </cell>
          <cell r="G195" t="str">
            <v>caùi</v>
          </cell>
          <cell r="H195">
            <v>0.35199999999999998</v>
          </cell>
          <cell r="I195">
            <v>0.35199999999999998</v>
          </cell>
          <cell r="J195">
            <v>1500</v>
          </cell>
        </row>
        <row r="196">
          <cell r="F196" t="str">
            <v>Vaät lieäu khaùc</v>
          </cell>
          <cell r="G196" t="str">
            <v>ñoàng</v>
          </cell>
          <cell r="H196">
            <v>0.01</v>
          </cell>
          <cell r="I196">
            <v>5408.2646250000007</v>
          </cell>
          <cell r="J196">
            <v>1</v>
          </cell>
        </row>
        <row r="197">
          <cell r="F197" t="str">
            <v>NC 3.5/7</v>
          </cell>
          <cell r="G197" t="str">
            <v>coâng</v>
          </cell>
          <cell r="H197">
            <v>4.82</v>
          </cell>
          <cell r="I197">
            <v>4.82</v>
          </cell>
          <cell r="J197">
            <v>12964.99</v>
          </cell>
        </row>
        <row r="198">
          <cell r="F198" t="str">
            <v>Maùy troän 250L</v>
          </cell>
          <cell r="G198" t="str">
            <v>ca</v>
          </cell>
          <cell r="H198">
            <v>9.5000000000000001E-2</v>
          </cell>
          <cell r="I198">
            <v>9.5000000000000001E-2</v>
          </cell>
          <cell r="J198">
            <v>96272</v>
          </cell>
        </row>
        <row r="199">
          <cell r="F199" t="str">
            <v>Maùy ñaàm duøi 1.5KW</v>
          </cell>
          <cell r="G199" t="str">
            <v>ca</v>
          </cell>
          <cell r="H199">
            <v>0.18</v>
          </cell>
          <cell r="I199">
            <v>0.18</v>
          </cell>
          <cell r="J199">
            <v>37456</v>
          </cell>
        </row>
        <row r="200">
          <cell r="F200" t="str">
            <v>Maùy vaän thaêng 0.8T</v>
          </cell>
          <cell r="G200" t="str">
            <v>ca</v>
          </cell>
          <cell r="H200">
            <v>0.11</v>
          </cell>
          <cell r="I200">
            <v>0.11</v>
          </cell>
          <cell r="J200">
            <v>90447</v>
          </cell>
        </row>
        <row r="201">
          <cell r="A201" t="str">
            <v>HC.2114</v>
          </cell>
          <cell r="B201" t="str">
            <v>HC.2110</v>
          </cell>
          <cell r="C201" t="str">
            <v>Beâtoâng ñaù 1x2 maùc 250 ñuùc caùc beå ngaàm (BT töôi)</v>
          </cell>
          <cell r="D201" t="str">
            <v>m3</v>
          </cell>
          <cell r="E201">
            <v>1</v>
          </cell>
          <cell r="F201" t="str">
            <v>Vöõa BTTP ñaù 1x2 #250 + phuï gia ÑKN</v>
          </cell>
          <cell r="G201" t="str">
            <v>m3</v>
          </cell>
          <cell r="H201">
            <v>1.0149999999999999</v>
          </cell>
          <cell r="I201">
            <v>1.0149999999999999</v>
          </cell>
          <cell r="J201">
            <v>677273</v>
          </cell>
          <cell r="K201">
            <v>658864</v>
          </cell>
          <cell r="L201">
            <v>33206</v>
          </cell>
          <cell r="M201">
            <v>54581</v>
          </cell>
        </row>
        <row r="202">
          <cell r="F202" t="str">
            <v>Goã vaùn coáppha</v>
          </cell>
          <cell r="G202" t="str">
            <v>m3</v>
          </cell>
          <cell r="H202">
            <v>4.9000000000000002E-2</v>
          </cell>
          <cell r="I202">
            <v>4.9000000000000002E-2</v>
          </cell>
          <cell r="J202">
            <v>2100000</v>
          </cell>
        </row>
        <row r="203">
          <cell r="F203" t="str">
            <v>Ñinh caùc loaïi</v>
          </cell>
          <cell r="G203" t="str">
            <v>Kg</v>
          </cell>
          <cell r="H203">
            <v>0.19900000000000001</v>
          </cell>
          <cell r="I203">
            <v>0.19900000000000001</v>
          </cell>
          <cell r="J203">
            <v>5300</v>
          </cell>
        </row>
        <row r="204">
          <cell r="F204" t="str">
            <v>Ñinh ñóa</v>
          </cell>
          <cell r="G204" t="str">
            <v>caùi</v>
          </cell>
          <cell r="H204">
            <v>0.871</v>
          </cell>
          <cell r="I204">
            <v>0.871</v>
          </cell>
          <cell r="J204">
            <v>1500</v>
          </cell>
        </row>
        <row r="205">
          <cell r="F205" t="str">
            <v>Vaät lieäu khaùc</v>
          </cell>
          <cell r="G205" t="str">
            <v>ñoàng</v>
          </cell>
          <cell r="H205">
            <v>0.02</v>
          </cell>
          <cell r="I205">
            <v>15853.865899999999</v>
          </cell>
          <cell r="J205">
            <v>1</v>
          </cell>
        </row>
        <row r="206">
          <cell r="F206" t="str">
            <v>NC 3.5/7</v>
          </cell>
          <cell r="G206" t="str">
            <v>coâng</v>
          </cell>
          <cell r="H206">
            <v>2.56</v>
          </cell>
          <cell r="I206">
            <v>2.56</v>
          </cell>
          <cell r="J206">
            <v>12964.99</v>
          </cell>
        </row>
        <row r="207">
          <cell r="F207" t="str">
            <v>Maùy bôm BT 50m3/h</v>
          </cell>
          <cell r="G207" t="str">
            <v>ca</v>
          </cell>
          <cell r="H207">
            <v>3.3000000000000002E-2</v>
          </cell>
          <cell r="I207">
            <v>3.3000000000000002E-2</v>
          </cell>
          <cell r="J207">
            <v>1433318</v>
          </cell>
        </row>
        <row r="208">
          <cell r="F208" t="str">
            <v>Maùy ñaàm duøi 1.5KW</v>
          </cell>
          <cell r="G208" t="str">
            <v>ca</v>
          </cell>
          <cell r="H208">
            <v>0.18</v>
          </cell>
          <cell r="I208">
            <v>0.18</v>
          </cell>
          <cell r="J208">
            <v>37456</v>
          </cell>
        </row>
        <row r="209">
          <cell r="F209" t="str">
            <v>Maùy khaùc</v>
          </cell>
          <cell r="G209" t="str">
            <v>ñoàng</v>
          </cell>
          <cell r="H209">
            <v>0.01</v>
          </cell>
          <cell r="I209">
            <v>540.41574000000003</v>
          </cell>
          <cell r="J209">
            <v>1</v>
          </cell>
        </row>
        <row r="210">
          <cell r="A210" t="str">
            <v>HC.2124</v>
          </cell>
          <cell r="B210" t="str">
            <v>HC.2120</v>
          </cell>
          <cell r="C210" t="str">
            <v>Beâtoâng ñaù 1x2 maùc 250 ñuùc caàu thang &gt;4m (BT töôi)</v>
          </cell>
          <cell r="D210" t="str">
            <v>m3</v>
          </cell>
          <cell r="E210">
            <v>1</v>
          </cell>
          <cell r="F210" t="str">
            <v>Vöõa BTTP ñaù 1x2 #250 + phuï gia ÑKN</v>
          </cell>
          <cell r="G210" t="str">
            <v>m3</v>
          </cell>
          <cell r="H210">
            <v>1.0149999999999999</v>
          </cell>
          <cell r="I210">
            <v>1.0149999999999999</v>
          </cell>
          <cell r="J210">
            <v>677273</v>
          </cell>
          <cell r="K210">
            <v>658864</v>
          </cell>
          <cell r="L210">
            <v>41767</v>
          </cell>
          <cell r="M210">
            <v>54581</v>
          </cell>
        </row>
        <row r="211">
          <cell r="F211" t="str">
            <v>Goã vaùn coáppha</v>
          </cell>
          <cell r="G211" t="str">
            <v>m3</v>
          </cell>
          <cell r="H211">
            <v>4.9000000000000002E-2</v>
          </cell>
          <cell r="I211">
            <v>4.9000000000000002E-2</v>
          </cell>
          <cell r="J211">
            <v>2100000</v>
          </cell>
        </row>
        <row r="212">
          <cell r="F212" t="str">
            <v>Ñinh caùc loaïi</v>
          </cell>
          <cell r="G212" t="str">
            <v>Kg</v>
          </cell>
          <cell r="H212">
            <v>0.19900000000000001</v>
          </cell>
          <cell r="I212">
            <v>0.19900000000000001</v>
          </cell>
          <cell r="J212">
            <v>5300</v>
          </cell>
        </row>
        <row r="213">
          <cell r="F213" t="str">
            <v>Ñinh ñóa</v>
          </cell>
          <cell r="G213" t="str">
            <v>caùi</v>
          </cell>
          <cell r="H213">
            <v>0.871</v>
          </cell>
          <cell r="I213">
            <v>0.871</v>
          </cell>
          <cell r="J213">
            <v>1500</v>
          </cell>
        </row>
        <row r="214">
          <cell r="F214" t="str">
            <v>Vaät lieäu khaùc</v>
          </cell>
          <cell r="G214" t="str">
            <v>ñoàng</v>
          </cell>
          <cell r="H214">
            <v>0.02</v>
          </cell>
          <cell r="I214">
            <v>15853.865899999999</v>
          </cell>
          <cell r="J214">
            <v>1</v>
          </cell>
        </row>
        <row r="215">
          <cell r="F215" t="str">
            <v>NC 3.5/7</v>
          </cell>
          <cell r="G215" t="str">
            <v>coâng</v>
          </cell>
          <cell r="H215">
            <v>3.22</v>
          </cell>
          <cell r="I215">
            <v>3.22</v>
          </cell>
          <cell r="J215">
            <v>12964.99</v>
          </cell>
        </row>
        <row r="216">
          <cell r="F216" t="str">
            <v>Maùy bôm BT 50m3/h</v>
          </cell>
          <cell r="G216" t="str">
            <v>ca</v>
          </cell>
          <cell r="H216">
            <v>3.3000000000000002E-2</v>
          </cell>
          <cell r="I216">
            <v>3.3000000000000002E-2</v>
          </cell>
          <cell r="J216">
            <v>1433318</v>
          </cell>
        </row>
        <row r="217">
          <cell r="F217" t="str">
            <v>Maùy ñaàm duøi 1.5KW</v>
          </cell>
          <cell r="G217" t="str">
            <v>ca</v>
          </cell>
          <cell r="H217">
            <v>0.18</v>
          </cell>
          <cell r="I217">
            <v>0.18</v>
          </cell>
          <cell r="J217">
            <v>37456</v>
          </cell>
        </row>
        <row r="218">
          <cell r="F218" t="str">
            <v>Maùy khaùc</v>
          </cell>
          <cell r="G218" t="str">
            <v>ñoàng</v>
          </cell>
          <cell r="H218">
            <v>0.01</v>
          </cell>
          <cell r="I218">
            <v>540.41574000000003</v>
          </cell>
          <cell r="J218">
            <v>1</v>
          </cell>
        </row>
        <row r="219">
          <cell r="A219" t="str">
            <v>HC.3114</v>
          </cell>
          <cell r="B219" t="str">
            <v>HC.3110</v>
          </cell>
          <cell r="C219" t="str">
            <v>Beâtoâng ñaù 1x2 maùc 250 ñuùc daàm moùng (BT töôi)</v>
          </cell>
          <cell r="D219" t="str">
            <v>m3</v>
          </cell>
          <cell r="E219">
            <v>1</v>
          </cell>
          <cell r="F219" t="str">
            <v>Vöõa BTTP ñaù 1x2 #250 + phuï gia ÑKN</v>
          </cell>
          <cell r="G219" t="str">
            <v>m3</v>
          </cell>
          <cell r="H219">
            <v>1.0149999999999999</v>
          </cell>
          <cell r="I219">
            <v>1.0149999999999999</v>
          </cell>
          <cell r="J219">
            <v>677273</v>
          </cell>
          <cell r="K219">
            <v>546052</v>
          </cell>
          <cell r="L219">
            <v>33206</v>
          </cell>
          <cell r="M219">
            <v>54581</v>
          </cell>
        </row>
        <row r="220">
          <cell r="F220" t="str">
            <v>Vaät lieäu khaùc</v>
          </cell>
          <cell r="G220" t="str">
            <v>ñoàng</v>
          </cell>
          <cell r="H220">
            <v>0.01</v>
          </cell>
          <cell r="I220">
            <v>6874.3209499999994</v>
          </cell>
          <cell r="J220">
            <v>1</v>
          </cell>
        </row>
        <row r="221">
          <cell r="F221" t="str">
            <v>NC 3.5/7</v>
          </cell>
          <cell r="G221" t="str">
            <v>coâng</v>
          </cell>
          <cell r="H221">
            <v>2.56</v>
          </cell>
          <cell r="I221">
            <v>2.56</v>
          </cell>
          <cell r="J221">
            <v>12964.99</v>
          </cell>
        </row>
        <row r="222">
          <cell r="F222" t="str">
            <v>Maùy bôm BT 50m3/h</v>
          </cell>
          <cell r="G222" t="str">
            <v>ca</v>
          </cell>
          <cell r="H222">
            <v>3.3000000000000002E-2</v>
          </cell>
          <cell r="I222">
            <v>3.3000000000000002E-2</v>
          </cell>
          <cell r="J222">
            <v>1433318</v>
          </cell>
        </row>
        <row r="223">
          <cell r="F223" t="str">
            <v>Maùy ñaàm duøi 1.5KW</v>
          </cell>
          <cell r="G223" t="str">
            <v>ca</v>
          </cell>
          <cell r="H223">
            <v>0.18</v>
          </cell>
          <cell r="I223">
            <v>0.18</v>
          </cell>
          <cell r="J223">
            <v>37456</v>
          </cell>
        </row>
        <row r="224">
          <cell r="F224" t="str">
            <v>Maùy khaùc</v>
          </cell>
          <cell r="G224" t="str">
            <v>ñoàng</v>
          </cell>
          <cell r="H224">
            <v>0.01</v>
          </cell>
          <cell r="I224">
            <v>540.41574000000003</v>
          </cell>
          <cell r="J224">
            <v>1</v>
          </cell>
        </row>
        <row r="225">
          <cell r="A225" t="str">
            <v>HC.3214</v>
          </cell>
          <cell r="B225" t="str">
            <v>HC.3210</v>
          </cell>
          <cell r="C225" t="str">
            <v>Beâtoâng ñaù 1x2 maùc 250 ñuùc saøn, maùi (BT töôi)</v>
          </cell>
          <cell r="D225" t="str">
            <v>m3</v>
          </cell>
          <cell r="E225">
            <v>1</v>
          </cell>
          <cell r="F225" t="str">
            <v>Vöõa BTTP ñaù 1x2 #250 + phuï gia ÑKN</v>
          </cell>
          <cell r="G225" t="str">
            <v>m3</v>
          </cell>
          <cell r="H225">
            <v>1.0149999999999999</v>
          </cell>
          <cell r="I225">
            <v>1.0149999999999999</v>
          </cell>
          <cell r="J225">
            <v>677273</v>
          </cell>
          <cell r="K225">
            <v>546052</v>
          </cell>
          <cell r="L225">
            <v>20494</v>
          </cell>
          <cell r="M225">
            <v>54581</v>
          </cell>
        </row>
        <row r="226">
          <cell r="F226" t="str">
            <v>Vaät lieäu khaùc</v>
          </cell>
          <cell r="G226" t="str">
            <v>ñoàng</v>
          </cell>
          <cell r="H226">
            <v>0.01</v>
          </cell>
          <cell r="I226">
            <v>6874.3209499999994</v>
          </cell>
          <cell r="J226">
            <v>1</v>
          </cell>
        </row>
        <row r="227">
          <cell r="F227" t="str">
            <v>NC 3.5/7</v>
          </cell>
          <cell r="G227" t="str">
            <v>coâng</v>
          </cell>
          <cell r="H227">
            <v>1.58</v>
          </cell>
          <cell r="I227">
            <v>1.58</v>
          </cell>
          <cell r="J227">
            <v>12964.99</v>
          </cell>
        </row>
        <row r="228">
          <cell r="F228" t="str">
            <v>Maùy bôm BT 50m3/h</v>
          </cell>
          <cell r="G228" t="str">
            <v>ca</v>
          </cell>
          <cell r="H228">
            <v>3.3000000000000002E-2</v>
          </cell>
          <cell r="I228">
            <v>3.3000000000000002E-2</v>
          </cell>
          <cell r="J228">
            <v>1433318</v>
          </cell>
        </row>
        <row r="229">
          <cell r="F229" t="str">
            <v>Maùy ñaàm duøi 1.5KW</v>
          </cell>
          <cell r="G229" t="str">
            <v>ca</v>
          </cell>
          <cell r="H229">
            <v>0.18</v>
          </cell>
          <cell r="I229">
            <v>0.18</v>
          </cell>
          <cell r="J229">
            <v>37456</v>
          </cell>
        </row>
        <row r="230">
          <cell r="F230" t="str">
            <v>Maùy khaùc</v>
          </cell>
          <cell r="G230" t="str">
            <v>ñoàng</v>
          </cell>
          <cell r="H230">
            <v>0.01</v>
          </cell>
          <cell r="I230">
            <v>540.41574000000003</v>
          </cell>
          <cell r="J230">
            <v>1</v>
          </cell>
        </row>
        <row r="231">
          <cell r="A231" t="str">
            <v>KB.2110</v>
          </cell>
          <cell r="B231" t="str">
            <v>KB.2110</v>
          </cell>
          <cell r="C231" t="str">
            <v>GCLÑ coáppha theùp coät, daàm, giaèng, töôøng</v>
          </cell>
          <cell r="D231" t="str">
            <v>100m2</v>
          </cell>
          <cell r="E231">
            <v>1</v>
          </cell>
          <cell r="F231" t="str">
            <v>Theùp taám coáppha</v>
          </cell>
          <cell r="G231" t="str">
            <v>Kg</v>
          </cell>
          <cell r="H231">
            <v>51.81</v>
          </cell>
          <cell r="I231">
            <v>51.81</v>
          </cell>
          <cell r="J231">
            <v>4350</v>
          </cell>
          <cell r="K231">
            <v>1335479</v>
          </cell>
          <cell r="L231">
            <v>517890</v>
          </cell>
          <cell r="M231">
            <v>133408.04999999999</v>
          </cell>
        </row>
        <row r="232">
          <cell r="F232" t="str">
            <v>Theùp hình coáppha</v>
          </cell>
          <cell r="G232" t="str">
            <v>Kg</v>
          </cell>
          <cell r="H232">
            <v>48.84</v>
          </cell>
          <cell r="I232">
            <v>48.84</v>
          </cell>
          <cell r="J232">
            <v>4450</v>
          </cell>
        </row>
        <row r="233">
          <cell r="F233" t="str">
            <v>Goã vaùn coáppha</v>
          </cell>
          <cell r="G233" t="str">
            <v>m3</v>
          </cell>
          <cell r="H233">
            <v>0.496</v>
          </cell>
          <cell r="I233">
            <v>0.496</v>
          </cell>
          <cell r="J233">
            <v>2100000</v>
          </cell>
        </row>
        <row r="234">
          <cell r="F234" t="str">
            <v>Que haøn coáppha</v>
          </cell>
          <cell r="G234" t="str">
            <v>Kg</v>
          </cell>
          <cell r="H234">
            <v>5.6</v>
          </cell>
          <cell r="I234">
            <v>5.6</v>
          </cell>
          <cell r="J234">
            <v>10000</v>
          </cell>
        </row>
        <row r="235">
          <cell r="F235" t="str">
            <v>Vaät lieäu khaùc coáppha</v>
          </cell>
          <cell r="G235" t="str">
            <v>ñoàng</v>
          </cell>
          <cell r="H235">
            <v>0.05</v>
          </cell>
          <cell r="I235">
            <v>77015.574999999997</v>
          </cell>
          <cell r="J235">
            <v>1</v>
          </cell>
        </row>
        <row r="236">
          <cell r="F236" t="str">
            <v>NC 4/7 coáppha</v>
          </cell>
          <cell r="G236" t="str">
            <v>coâng</v>
          </cell>
          <cell r="H236">
            <v>38.28</v>
          </cell>
          <cell r="I236">
            <v>38.28</v>
          </cell>
          <cell r="J236" t="e">
            <v>#N/A</v>
          </cell>
        </row>
        <row r="237">
          <cell r="F237" t="str">
            <v>Maùy haøn 23KW coáppha</v>
          </cell>
          <cell r="G237" t="str">
            <v>ca</v>
          </cell>
          <cell r="H237">
            <v>1.5</v>
          </cell>
          <cell r="I237">
            <v>1.5</v>
          </cell>
          <cell r="J237" t="e">
            <v>#N/A</v>
          </cell>
        </row>
        <row r="238">
          <cell r="F238" t="str">
            <v>Maùy khaùc coáppha</v>
          </cell>
          <cell r="G238" t="str">
            <v>ñoàng</v>
          </cell>
          <cell r="H238">
            <v>0.15</v>
          </cell>
          <cell r="I238" t="e">
            <v>#N/A</v>
          </cell>
          <cell r="J238" t="e">
            <v>#N/A</v>
          </cell>
        </row>
        <row r="239">
          <cell r="A239" t="str">
            <v>IA.1120</v>
          </cell>
          <cell r="B239" t="str">
            <v>IA.1120</v>
          </cell>
          <cell r="C239" t="str">
            <v>GCLÑ theùp moùng 10&lt; F &lt;=18</v>
          </cell>
          <cell r="D239" t="str">
            <v>Taán</v>
          </cell>
          <cell r="E239">
            <v>1</v>
          </cell>
          <cell r="F239" t="str">
            <v>Keõm buoäc</v>
          </cell>
          <cell r="G239" t="str">
            <v>Kg</v>
          </cell>
          <cell r="H239">
            <v>21.42</v>
          </cell>
          <cell r="I239">
            <v>21.42</v>
          </cell>
          <cell r="J239">
            <v>5300</v>
          </cell>
          <cell r="K239">
            <v>4294948</v>
          </cell>
          <cell r="L239">
            <v>108178</v>
          </cell>
          <cell r="M239">
            <v>99351</v>
          </cell>
        </row>
        <row r="240">
          <cell r="C240" t="str">
            <v xml:space="preserve">   Trong ñoù:   * F 12</v>
          </cell>
          <cell r="D240" t="str">
            <v>Kg</v>
          </cell>
          <cell r="E240">
            <v>1</v>
          </cell>
          <cell r="F240" t="str">
            <v>Theùp troøn F 12</v>
          </cell>
          <cell r="G240" t="str">
            <v>Kg</v>
          </cell>
          <cell r="H240">
            <v>1005</v>
          </cell>
          <cell r="I240">
            <v>1.0049999999999999</v>
          </cell>
          <cell r="J240">
            <v>4000</v>
          </cell>
        </row>
        <row r="241">
          <cell r="C241" t="str">
            <v xml:space="preserve">                     * F 14</v>
          </cell>
          <cell r="D241" t="str">
            <v>Kg</v>
          </cell>
          <cell r="E241">
            <v>1</v>
          </cell>
          <cell r="F241" t="str">
            <v>Theùp troøn F 14</v>
          </cell>
          <cell r="G241" t="str">
            <v>Kg</v>
          </cell>
          <cell r="H241">
            <v>1005</v>
          </cell>
          <cell r="I241">
            <v>1.0049999999999999</v>
          </cell>
          <cell r="J241">
            <v>4000</v>
          </cell>
        </row>
        <row r="242">
          <cell r="C242" t="str">
            <v xml:space="preserve">                     * F 16</v>
          </cell>
          <cell r="D242" t="str">
            <v>Kg</v>
          </cell>
          <cell r="E242">
            <v>1</v>
          </cell>
          <cell r="F242" t="str">
            <v>Theùp troøn F 16</v>
          </cell>
          <cell r="G242" t="str">
            <v>Kg</v>
          </cell>
          <cell r="H242">
            <v>1005</v>
          </cell>
          <cell r="I242">
            <v>1.0049999999999999</v>
          </cell>
          <cell r="J242">
            <v>4000</v>
          </cell>
        </row>
        <row r="243">
          <cell r="C243" t="str">
            <v xml:space="preserve">                     * F 18</v>
          </cell>
          <cell r="D243" t="str">
            <v>Kg</v>
          </cell>
          <cell r="E243">
            <v>1</v>
          </cell>
          <cell r="F243" t="str">
            <v>Theùp troøn F 18</v>
          </cell>
          <cell r="G243" t="str">
            <v>Kg</v>
          </cell>
          <cell r="H243">
            <v>1005</v>
          </cell>
          <cell r="I243">
            <v>1.0049999999999999</v>
          </cell>
          <cell r="J243">
            <v>4000</v>
          </cell>
        </row>
        <row r="244">
          <cell r="F244" t="str">
            <v>Que haøn</v>
          </cell>
          <cell r="G244" t="str">
            <v>Kg</v>
          </cell>
          <cell r="H244">
            <v>4.6399999999999997</v>
          </cell>
          <cell r="I244">
            <v>4.6399999999999997</v>
          </cell>
          <cell r="J244">
            <v>10000</v>
          </cell>
        </row>
        <row r="245">
          <cell r="F245" t="str">
            <v>NC 3.5/7</v>
          </cell>
          <cell r="G245" t="str">
            <v>coâng</v>
          </cell>
          <cell r="H245">
            <v>8.34</v>
          </cell>
          <cell r="I245">
            <v>8.34</v>
          </cell>
          <cell r="J245">
            <v>12964.99</v>
          </cell>
        </row>
        <row r="246">
          <cell r="F246" t="str">
            <v>Maùy haøn 23KW</v>
          </cell>
          <cell r="G246" t="str">
            <v>ca</v>
          </cell>
          <cell r="H246">
            <v>1.1200000000000001</v>
          </cell>
          <cell r="I246">
            <v>1.1200000000000001</v>
          </cell>
          <cell r="J246">
            <v>77338</v>
          </cell>
        </row>
        <row r="247">
          <cell r="F247" t="str">
            <v>Maùy caét uoán</v>
          </cell>
          <cell r="G247" t="str">
            <v>ca</v>
          </cell>
          <cell r="H247">
            <v>0.32</v>
          </cell>
          <cell r="I247">
            <v>0.32</v>
          </cell>
          <cell r="J247">
            <v>39789</v>
          </cell>
        </row>
        <row r="248">
          <cell r="A248" t="str">
            <v>IA.2111</v>
          </cell>
          <cell r="B248" t="str">
            <v>IA.2111</v>
          </cell>
          <cell r="C248" t="str">
            <v>GCLÑ theùp caùc hoá ngaàm F &lt;=10</v>
          </cell>
          <cell r="D248" t="str">
            <v>Taán</v>
          </cell>
          <cell r="E248">
            <v>1</v>
          </cell>
          <cell r="F248" t="str">
            <v>Keõm buoäc</v>
          </cell>
          <cell r="G248" t="str">
            <v>Kg</v>
          </cell>
          <cell r="H248">
            <v>21.42</v>
          </cell>
          <cell r="I248">
            <v>21.42</v>
          </cell>
          <cell r="J248">
            <v>5300</v>
          </cell>
          <cell r="K248">
            <v>4142094</v>
          </cell>
          <cell r="L248">
            <v>179834</v>
          </cell>
          <cell r="M248">
            <v>15916</v>
          </cell>
        </row>
        <row r="249">
          <cell r="C249" t="str">
            <v xml:space="preserve">   Trong ñoù:   * F 6</v>
          </cell>
          <cell r="D249" t="str">
            <v>Kg</v>
          </cell>
          <cell r="E249">
            <v>1</v>
          </cell>
          <cell r="F249" t="str">
            <v>Theùp troøn F 6</v>
          </cell>
          <cell r="G249" t="str">
            <v>Kg</v>
          </cell>
          <cell r="H249">
            <v>1005</v>
          </cell>
          <cell r="I249">
            <v>1.0049999999999999</v>
          </cell>
          <cell r="J249">
            <v>3720</v>
          </cell>
        </row>
        <row r="250">
          <cell r="C250" t="str">
            <v xml:space="preserve">                     * F 8</v>
          </cell>
          <cell r="D250" t="str">
            <v>Kg</v>
          </cell>
          <cell r="E250">
            <v>1</v>
          </cell>
          <cell r="F250" t="str">
            <v>Theùp troøn F 8</v>
          </cell>
          <cell r="G250" t="str">
            <v>Kg</v>
          </cell>
          <cell r="H250">
            <v>1005</v>
          </cell>
          <cell r="I250">
            <v>1.0049999999999999</v>
          </cell>
          <cell r="J250">
            <v>4000</v>
          </cell>
        </row>
        <row r="251">
          <cell r="C251" t="str">
            <v xml:space="preserve">                     * F 10</v>
          </cell>
          <cell r="D251" t="str">
            <v>Kg</v>
          </cell>
          <cell r="E251">
            <v>1</v>
          </cell>
          <cell r="F251" t="str">
            <v>Theùp troøn F 10</v>
          </cell>
          <cell r="G251" t="str">
            <v>Kg</v>
          </cell>
          <cell r="H251">
            <v>1005</v>
          </cell>
          <cell r="I251">
            <v>1.0049999999999999</v>
          </cell>
          <cell r="J251">
            <v>4000</v>
          </cell>
        </row>
        <row r="252">
          <cell r="F252" t="str">
            <v>NC 3.7/7</v>
          </cell>
          <cell r="G252" t="str">
            <v>coâng</v>
          </cell>
          <cell r="H252">
            <v>13.63</v>
          </cell>
          <cell r="I252">
            <v>13.63</v>
          </cell>
          <cell r="J252">
            <v>13209.03</v>
          </cell>
        </row>
        <row r="253">
          <cell r="F253" t="str">
            <v>Maùy caét uoán</v>
          </cell>
          <cell r="G253" t="str">
            <v>ca</v>
          </cell>
          <cell r="H253">
            <v>0.4</v>
          </cell>
          <cell r="I253">
            <v>0.4</v>
          </cell>
          <cell r="J253">
            <v>39789</v>
          </cell>
        </row>
        <row r="254">
          <cell r="A254" t="str">
            <v>IA.2121</v>
          </cell>
          <cell r="B254" t="str">
            <v>IA.2121</v>
          </cell>
          <cell r="C254" t="str">
            <v>GCLÑ theùp caùc hoá ngaàm 10&lt; F &lt;=18</v>
          </cell>
          <cell r="D254" t="str">
            <v>Taán</v>
          </cell>
          <cell r="E254">
            <v>1</v>
          </cell>
          <cell r="F254" t="str">
            <v>Keõm buoäc</v>
          </cell>
          <cell r="G254" t="str">
            <v>Kg</v>
          </cell>
          <cell r="H254">
            <v>14.28</v>
          </cell>
          <cell r="I254">
            <v>14.28</v>
          </cell>
          <cell r="J254">
            <v>5300</v>
          </cell>
          <cell r="K254">
            <v>4294948</v>
          </cell>
          <cell r="L254">
            <v>147377</v>
          </cell>
          <cell r="M254">
            <v>99351</v>
          </cell>
        </row>
        <row r="255">
          <cell r="C255" t="str">
            <v xml:space="preserve">   Trong ñoù:   * F 12</v>
          </cell>
          <cell r="D255" t="str">
            <v>Kg</v>
          </cell>
          <cell r="E255">
            <v>1</v>
          </cell>
          <cell r="F255" t="str">
            <v>Theùp troøn F 12</v>
          </cell>
          <cell r="G255" t="str">
            <v>Kg</v>
          </cell>
          <cell r="H255">
            <v>1020</v>
          </cell>
          <cell r="I255">
            <v>1.02</v>
          </cell>
          <cell r="J255">
            <v>4000</v>
          </cell>
        </row>
        <row r="256">
          <cell r="C256" t="str">
            <v xml:space="preserve">                     * F 14</v>
          </cell>
          <cell r="D256" t="str">
            <v>Kg</v>
          </cell>
          <cell r="E256">
            <v>1</v>
          </cell>
          <cell r="F256" t="str">
            <v>Theùp troøn F 14</v>
          </cell>
          <cell r="G256" t="str">
            <v>Kg</v>
          </cell>
          <cell r="H256">
            <v>1020</v>
          </cell>
          <cell r="I256">
            <v>1.02</v>
          </cell>
          <cell r="J256">
            <v>4000</v>
          </cell>
        </row>
        <row r="257">
          <cell r="C257" t="str">
            <v xml:space="preserve">                     * F 16</v>
          </cell>
          <cell r="D257" t="str">
            <v>Kg</v>
          </cell>
          <cell r="E257">
            <v>1</v>
          </cell>
          <cell r="F257" t="str">
            <v>Theùp troøn F 16</v>
          </cell>
          <cell r="G257" t="str">
            <v>Kg</v>
          </cell>
          <cell r="H257">
            <v>1020</v>
          </cell>
          <cell r="I257">
            <v>1.02</v>
          </cell>
          <cell r="J257">
            <v>4000</v>
          </cell>
        </row>
        <row r="258">
          <cell r="C258" t="str">
            <v xml:space="preserve">                     * F 18</v>
          </cell>
          <cell r="D258" t="str">
            <v>Kg</v>
          </cell>
          <cell r="E258">
            <v>1</v>
          </cell>
          <cell r="F258" t="str">
            <v>Theùp troøn F 18</v>
          </cell>
          <cell r="G258" t="str">
            <v>Kg</v>
          </cell>
          <cell r="H258">
            <v>1020</v>
          </cell>
          <cell r="I258">
            <v>1.02</v>
          </cell>
          <cell r="J258">
            <v>4000</v>
          </cell>
        </row>
        <row r="259">
          <cell r="F259" t="str">
            <v>Que haøn</v>
          </cell>
          <cell r="G259" t="str">
            <v>Kg</v>
          </cell>
          <cell r="H259">
            <v>4.6399999999999997</v>
          </cell>
          <cell r="I259">
            <v>4.6399999999999997</v>
          </cell>
          <cell r="J259">
            <v>10000</v>
          </cell>
        </row>
        <row r="260">
          <cell r="F260" t="str">
            <v>NC 3.7/7</v>
          </cell>
          <cell r="G260" t="str">
            <v>coâng</v>
          </cell>
          <cell r="H260">
            <v>11.17</v>
          </cell>
          <cell r="I260">
            <v>11.17</v>
          </cell>
          <cell r="J260">
            <v>13209.03</v>
          </cell>
        </row>
        <row r="261">
          <cell r="F261" t="str">
            <v>Maùy haøn 23KW</v>
          </cell>
          <cell r="G261" t="str">
            <v>ca</v>
          </cell>
          <cell r="H261">
            <v>1.1200000000000001</v>
          </cell>
          <cell r="I261">
            <v>1.1200000000000001</v>
          </cell>
          <cell r="J261">
            <v>77338</v>
          </cell>
        </row>
        <row r="262">
          <cell r="F262" t="str">
            <v>Maùy caét uoán</v>
          </cell>
          <cell r="G262" t="str">
            <v>ca</v>
          </cell>
          <cell r="H262">
            <v>0.32</v>
          </cell>
          <cell r="I262">
            <v>0.32</v>
          </cell>
          <cell r="J262">
            <v>39789</v>
          </cell>
        </row>
        <row r="263">
          <cell r="A263" t="str">
            <v>IA.2131</v>
          </cell>
          <cell r="B263" t="str">
            <v>IA.2131</v>
          </cell>
          <cell r="C263" t="str">
            <v>GCLÑ theùp caùc hoá ngaàm F &gt;18</v>
          </cell>
          <cell r="D263" t="str">
            <v>Taán</v>
          </cell>
          <cell r="E263">
            <v>1</v>
          </cell>
          <cell r="F263" t="str">
            <v>Keõm buoäc</v>
          </cell>
          <cell r="G263" t="str">
            <v>Kg</v>
          </cell>
          <cell r="H263">
            <v>14.28</v>
          </cell>
          <cell r="I263">
            <v>14.28</v>
          </cell>
          <cell r="J263">
            <v>5300</v>
          </cell>
          <cell r="K263">
            <v>4299436</v>
          </cell>
          <cell r="L263">
            <v>120065</v>
          </cell>
          <cell r="M263">
            <v>104585</v>
          </cell>
        </row>
        <row r="264">
          <cell r="C264" t="str">
            <v xml:space="preserve">   Trong ñoù:   * F 20</v>
          </cell>
          <cell r="D264" t="str">
            <v>Kg</v>
          </cell>
          <cell r="E264">
            <v>1</v>
          </cell>
          <cell r="F264" t="str">
            <v>Theùp troøn F 20</v>
          </cell>
          <cell r="G264" t="str">
            <v>Kg</v>
          </cell>
          <cell r="H264">
            <v>1020</v>
          </cell>
          <cell r="I264">
            <v>1.02</v>
          </cell>
          <cell r="J264">
            <v>4350</v>
          </cell>
        </row>
        <row r="265">
          <cell r="C265" t="str">
            <v xml:space="preserve">                     * F 22</v>
          </cell>
          <cell r="D265" t="str">
            <v>Kg</v>
          </cell>
          <cell r="E265">
            <v>1</v>
          </cell>
          <cell r="F265" t="str">
            <v>Theùp troøn F 22</v>
          </cell>
          <cell r="G265" t="str">
            <v>Kg</v>
          </cell>
          <cell r="H265">
            <v>1020</v>
          </cell>
          <cell r="I265">
            <v>1.02</v>
          </cell>
          <cell r="J265">
            <v>4350</v>
          </cell>
        </row>
        <row r="266">
          <cell r="C266" t="str">
            <v xml:space="preserve">                     * F 25</v>
          </cell>
          <cell r="D266" t="str">
            <v>Kg</v>
          </cell>
          <cell r="E266">
            <v>1</v>
          </cell>
          <cell r="F266" t="str">
            <v>Theùp troøn F 25</v>
          </cell>
          <cell r="G266" t="str">
            <v>Kg</v>
          </cell>
          <cell r="H266">
            <v>1020</v>
          </cell>
          <cell r="I266">
            <v>1.02</v>
          </cell>
          <cell r="J266">
            <v>4350</v>
          </cell>
        </row>
        <row r="267">
          <cell r="F267" t="str">
            <v>Que haøn</v>
          </cell>
          <cell r="G267" t="str">
            <v>Kg</v>
          </cell>
          <cell r="H267">
            <v>5.3</v>
          </cell>
          <cell r="I267">
            <v>5.3</v>
          </cell>
          <cell r="J267">
            <v>10000</v>
          </cell>
        </row>
        <row r="268">
          <cell r="F268" t="str">
            <v>NC 3.7/7</v>
          </cell>
          <cell r="G268" t="str">
            <v>coâng</v>
          </cell>
          <cell r="H268">
            <v>9.1</v>
          </cell>
          <cell r="I268">
            <v>9.1</v>
          </cell>
          <cell r="J268">
            <v>13209.03</v>
          </cell>
        </row>
        <row r="269">
          <cell r="F269" t="str">
            <v>Maùy haøn 23KW</v>
          </cell>
          <cell r="G269" t="str">
            <v>ca</v>
          </cell>
          <cell r="H269">
            <v>1.27</v>
          </cell>
          <cell r="I269">
            <v>1.27</v>
          </cell>
          <cell r="J269">
            <v>77338</v>
          </cell>
        </row>
        <row r="270">
          <cell r="F270" t="str">
            <v>Maùy caét uoán</v>
          </cell>
          <cell r="G270" t="str">
            <v>ca</v>
          </cell>
          <cell r="H270">
            <v>0.16</v>
          </cell>
          <cell r="I270">
            <v>0.16</v>
          </cell>
          <cell r="J270">
            <v>39789</v>
          </cell>
        </row>
        <row r="271">
          <cell r="A271" t="str">
            <v>IA.2211</v>
          </cell>
          <cell r="B271" t="str">
            <v>IA.2211</v>
          </cell>
          <cell r="C271" t="str">
            <v>GCLÑ theùp coå moùng F &lt;=10</v>
          </cell>
          <cell r="D271" t="str">
            <v>Taán</v>
          </cell>
          <cell r="E271">
            <v>1</v>
          </cell>
          <cell r="F271" t="str">
            <v>Keõm buoäc</v>
          </cell>
          <cell r="G271" t="str">
            <v>Kg</v>
          </cell>
          <cell r="H271">
            <v>21.42</v>
          </cell>
          <cell r="I271">
            <v>21.42</v>
          </cell>
          <cell r="J271">
            <v>5300</v>
          </cell>
          <cell r="K271">
            <v>4142094</v>
          </cell>
          <cell r="L271">
            <v>196327</v>
          </cell>
          <cell r="M271">
            <v>15916</v>
          </cell>
        </row>
        <row r="272">
          <cell r="C272" t="str">
            <v xml:space="preserve">   Trong ñoù:   * F 6</v>
          </cell>
          <cell r="D272" t="str">
            <v>Kg</v>
          </cell>
          <cell r="E272">
            <v>1</v>
          </cell>
          <cell r="F272" t="str">
            <v>Theùp troøn F 6</v>
          </cell>
          <cell r="G272" t="str">
            <v>Kg</v>
          </cell>
          <cell r="H272">
            <v>1005</v>
          </cell>
          <cell r="I272">
            <v>1.0049999999999999</v>
          </cell>
          <cell r="J272">
            <v>3720</v>
          </cell>
        </row>
        <row r="273">
          <cell r="C273" t="str">
            <v xml:space="preserve">                     * F 8</v>
          </cell>
          <cell r="D273" t="str">
            <v>Kg</v>
          </cell>
          <cell r="E273">
            <v>1</v>
          </cell>
          <cell r="F273" t="str">
            <v>Theùp troøn F 8</v>
          </cell>
          <cell r="G273" t="str">
            <v>Kg</v>
          </cell>
          <cell r="H273">
            <v>1005</v>
          </cell>
          <cell r="I273">
            <v>1.0049999999999999</v>
          </cell>
          <cell r="J273">
            <v>4000</v>
          </cell>
        </row>
        <row r="274">
          <cell r="C274" t="str">
            <v xml:space="preserve">                     * F 10</v>
          </cell>
          <cell r="D274" t="str">
            <v>Kg</v>
          </cell>
          <cell r="E274">
            <v>1</v>
          </cell>
          <cell r="F274" t="str">
            <v>Theùp troøn F 10</v>
          </cell>
          <cell r="G274" t="str">
            <v>Kg</v>
          </cell>
          <cell r="H274">
            <v>1005</v>
          </cell>
          <cell r="I274">
            <v>1.0049999999999999</v>
          </cell>
          <cell r="J274">
            <v>4000</v>
          </cell>
        </row>
        <row r="275">
          <cell r="F275" t="str">
            <v>NC 3.7/7</v>
          </cell>
          <cell r="G275" t="str">
            <v>coâng</v>
          </cell>
          <cell r="H275">
            <v>14.88</v>
          </cell>
          <cell r="I275">
            <v>14.88</v>
          </cell>
          <cell r="J275">
            <v>13209.03</v>
          </cell>
        </row>
        <row r="276">
          <cell r="F276" t="str">
            <v>Maùy caét uoán</v>
          </cell>
          <cell r="G276" t="str">
            <v>ca</v>
          </cell>
          <cell r="H276">
            <v>0.4</v>
          </cell>
          <cell r="I276">
            <v>0.4</v>
          </cell>
          <cell r="J276">
            <v>39789</v>
          </cell>
        </row>
        <row r="277">
          <cell r="A277" t="str">
            <v>IA.2221</v>
          </cell>
          <cell r="B277" t="str">
            <v>IA.2221</v>
          </cell>
          <cell r="C277" t="str">
            <v>GCLÑ theùp coå moùng 10&lt; F &lt;=18</v>
          </cell>
          <cell r="D277" t="str">
            <v>Taán</v>
          </cell>
          <cell r="E277">
            <v>1</v>
          </cell>
          <cell r="F277" t="str">
            <v>Keõm buoäc</v>
          </cell>
          <cell r="G277" t="str">
            <v>Kg</v>
          </cell>
          <cell r="H277">
            <v>14.28</v>
          </cell>
          <cell r="I277">
            <v>14.28</v>
          </cell>
          <cell r="J277">
            <v>5300</v>
          </cell>
          <cell r="K277">
            <v>4296172</v>
          </cell>
          <cell r="L277">
            <v>132204</v>
          </cell>
          <cell r="M277">
            <v>102444</v>
          </cell>
        </row>
        <row r="278">
          <cell r="C278" t="str">
            <v xml:space="preserve">   Trong ñoù:   * F 12</v>
          </cell>
          <cell r="D278" t="str">
            <v>Kg</v>
          </cell>
          <cell r="E278">
            <v>1</v>
          </cell>
          <cell r="F278" t="str">
            <v>Theùp troøn F 12</v>
          </cell>
          <cell r="G278" t="str">
            <v>Kg</v>
          </cell>
          <cell r="H278">
            <v>1020</v>
          </cell>
          <cell r="I278">
            <v>1.02</v>
          </cell>
          <cell r="J278">
            <v>4000</v>
          </cell>
        </row>
        <row r="279">
          <cell r="C279" t="str">
            <v xml:space="preserve">                     * F 14</v>
          </cell>
          <cell r="D279" t="str">
            <v>Kg</v>
          </cell>
          <cell r="E279">
            <v>1</v>
          </cell>
          <cell r="F279" t="str">
            <v>Theùp troøn F 14</v>
          </cell>
          <cell r="G279" t="str">
            <v>Kg</v>
          </cell>
          <cell r="H279">
            <v>1020</v>
          </cell>
          <cell r="I279">
            <v>1.02</v>
          </cell>
          <cell r="J279">
            <v>4000</v>
          </cell>
        </row>
        <row r="280">
          <cell r="C280" t="str">
            <v xml:space="preserve">                     * F 16</v>
          </cell>
          <cell r="D280" t="str">
            <v>Kg</v>
          </cell>
          <cell r="E280">
            <v>1</v>
          </cell>
          <cell r="F280" t="str">
            <v>Theùp troøn F 16</v>
          </cell>
          <cell r="G280" t="str">
            <v>Kg</v>
          </cell>
          <cell r="H280">
            <v>1020</v>
          </cell>
          <cell r="I280">
            <v>1.02</v>
          </cell>
          <cell r="J280">
            <v>4000</v>
          </cell>
        </row>
        <row r="281">
          <cell r="C281" t="str">
            <v xml:space="preserve">                     * F 18</v>
          </cell>
          <cell r="D281" t="str">
            <v>Kg</v>
          </cell>
          <cell r="E281">
            <v>1</v>
          </cell>
          <cell r="F281" t="str">
            <v>Theùp troøn F 18</v>
          </cell>
          <cell r="G281" t="str">
            <v>Kg</v>
          </cell>
          <cell r="H281">
            <v>1020</v>
          </cell>
          <cell r="I281">
            <v>1.02</v>
          </cell>
          <cell r="J281">
            <v>4000</v>
          </cell>
        </row>
        <row r="282">
          <cell r="F282" t="str">
            <v>Que haøn</v>
          </cell>
          <cell r="G282" t="str">
            <v>Kg</v>
          </cell>
          <cell r="H282">
            <v>4.82</v>
          </cell>
          <cell r="I282">
            <v>4.82</v>
          </cell>
          <cell r="J282">
            <v>10000</v>
          </cell>
        </row>
        <row r="283">
          <cell r="F283" t="str">
            <v>NC 3.7/7</v>
          </cell>
          <cell r="G283" t="str">
            <v>coâng</v>
          </cell>
          <cell r="H283">
            <v>10.02</v>
          </cell>
          <cell r="I283">
            <v>10.02</v>
          </cell>
          <cell r="J283">
            <v>13209.03</v>
          </cell>
        </row>
        <row r="284">
          <cell r="F284" t="str">
            <v>Maùy haøn 23KW</v>
          </cell>
          <cell r="G284" t="str">
            <v>ca</v>
          </cell>
          <cell r="H284">
            <v>1.1599999999999999</v>
          </cell>
          <cell r="I284">
            <v>1.1599999999999999</v>
          </cell>
          <cell r="J284">
            <v>77338</v>
          </cell>
        </row>
        <row r="285">
          <cell r="F285" t="str">
            <v>Maùy caét uoán</v>
          </cell>
          <cell r="G285" t="str">
            <v>ca</v>
          </cell>
          <cell r="H285">
            <v>0.32</v>
          </cell>
          <cell r="I285">
            <v>0.32</v>
          </cell>
          <cell r="J285">
            <v>39789</v>
          </cell>
        </row>
        <row r="286">
          <cell r="A286" t="str">
            <v>IA.2231</v>
          </cell>
          <cell r="B286" t="str">
            <v>IA.2231</v>
          </cell>
          <cell r="C286" t="str">
            <v>GCLÑ theùp coå moùng F &gt;18</v>
          </cell>
          <cell r="D286" t="str">
            <v>Taán</v>
          </cell>
          <cell r="E286">
            <v>1</v>
          </cell>
          <cell r="F286" t="str">
            <v>Keõm buoäc</v>
          </cell>
          <cell r="G286" t="str">
            <v>Kg</v>
          </cell>
          <cell r="H286">
            <v>14.28</v>
          </cell>
          <cell r="I286">
            <v>14.28</v>
          </cell>
          <cell r="J286">
            <v>5300</v>
          </cell>
          <cell r="K286">
            <v>4305556</v>
          </cell>
          <cell r="L286">
            <v>111885</v>
          </cell>
          <cell r="M286">
            <v>121600</v>
          </cell>
        </row>
        <row r="287">
          <cell r="C287" t="str">
            <v xml:space="preserve">   Trong ñoù:   * F 20</v>
          </cell>
          <cell r="D287" t="str">
            <v>Kg</v>
          </cell>
          <cell r="E287">
            <v>1</v>
          </cell>
          <cell r="F287" t="str">
            <v>Theùp troøn F 20</v>
          </cell>
          <cell r="G287" t="str">
            <v>Kg</v>
          </cell>
          <cell r="H287">
            <v>1020</v>
          </cell>
          <cell r="I287">
            <v>1.02</v>
          </cell>
          <cell r="J287">
            <v>4350</v>
          </cell>
        </row>
        <row r="288">
          <cell r="C288" t="str">
            <v xml:space="preserve">                     * F 22</v>
          </cell>
          <cell r="D288" t="str">
            <v>Kg</v>
          </cell>
          <cell r="E288">
            <v>1</v>
          </cell>
          <cell r="F288" t="str">
            <v>Theùp troøn F 22</v>
          </cell>
          <cell r="G288" t="str">
            <v>Kg</v>
          </cell>
          <cell r="H288">
            <v>1020</v>
          </cell>
          <cell r="I288">
            <v>1.02</v>
          </cell>
          <cell r="J288">
            <v>4350</v>
          </cell>
        </row>
        <row r="289">
          <cell r="C289" t="str">
            <v xml:space="preserve">                     * F 25</v>
          </cell>
          <cell r="D289" t="str">
            <v>Kg</v>
          </cell>
          <cell r="E289">
            <v>1</v>
          </cell>
          <cell r="F289" t="str">
            <v>Theùp troøn F 25</v>
          </cell>
          <cell r="G289" t="str">
            <v>Kg</v>
          </cell>
          <cell r="H289">
            <v>1020</v>
          </cell>
          <cell r="I289">
            <v>1.02</v>
          </cell>
          <cell r="J289">
            <v>4350</v>
          </cell>
        </row>
        <row r="290">
          <cell r="F290" t="str">
            <v>Que haøn</v>
          </cell>
          <cell r="G290" t="str">
            <v>Kg</v>
          </cell>
          <cell r="H290">
            <v>6.2</v>
          </cell>
          <cell r="I290">
            <v>6.2</v>
          </cell>
          <cell r="J290">
            <v>10000</v>
          </cell>
        </row>
        <row r="291">
          <cell r="F291" t="str">
            <v>NC 3.7/7</v>
          </cell>
          <cell r="G291" t="str">
            <v>coâng</v>
          </cell>
          <cell r="H291">
            <v>8.48</v>
          </cell>
          <cell r="I291">
            <v>8.48</v>
          </cell>
          <cell r="J291">
            <v>13209.03</v>
          </cell>
        </row>
        <row r="292">
          <cell r="F292" t="str">
            <v>Maùy haøn 23KW</v>
          </cell>
          <cell r="G292" t="str">
            <v>ca</v>
          </cell>
          <cell r="H292">
            <v>1.49</v>
          </cell>
          <cell r="I292">
            <v>1.49</v>
          </cell>
          <cell r="J292">
            <v>77338</v>
          </cell>
        </row>
        <row r="293">
          <cell r="F293" t="str">
            <v>Maùy caét uoán</v>
          </cell>
          <cell r="G293" t="str">
            <v>ca</v>
          </cell>
          <cell r="H293">
            <v>0.16</v>
          </cell>
          <cell r="I293">
            <v>0.16</v>
          </cell>
          <cell r="J293">
            <v>39789</v>
          </cell>
        </row>
        <row r="294">
          <cell r="A294" t="str">
            <v>IA.2311</v>
          </cell>
          <cell r="B294" t="str">
            <v>IA.2311</v>
          </cell>
          <cell r="C294" t="str">
            <v>GCLÑ theùp daàm F &lt;=10</v>
          </cell>
          <cell r="D294" t="str">
            <v>Taán</v>
          </cell>
          <cell r="E294">
            <v>1</v>
          </cell>
          <cell r="F294" t="str">
            <v>Keõm buoäc</v>
          </cell>
          <cell r="G294" t="str">
            <v>Kg</v>
          </cell>
          <cell r="H294">
            <v>21.42</v>
          </cell>
          <cell r="I294">
            <v>21.42</v>
          </cell>
          <cell r="J294">
            <v>5300</v>
          </cell>
          <cell r="K294">
            <v>4142094</v>
          </cell>
          <cell r="L294">
            <v>213743</v>
          </cell>
          <cell r="M294">
            <v>15916</v>
          </cell>
        </row>
        <row r="295">
          <cell r="C295" t="str">
            <v xml:space="preserve">   Trong ñoù:   * F 6</v>
          </cell>
          <cell r="D295" t="str">
            <v>Kg</v>
          </cell>
          <cell r="E295">
            <v>1</v>
          </cell>
          <cell r="F295" t="str">
            <v>Theùp troøn F 6</v>
          </cell>
          <cell r="G295" t="str">
            <v>Kg</v>
          </cell>
          <cell r="H295">
            <v>1005</v>
          </cell>
          <cell r="I295">
            <v>1.0049999999999999</v>
          </cell>
          <cell r="J295">
            <v>3720</v>
          </cell>
        </row>
        <row r="296">
          <cell r="C296" t="str">
            <v xml:space="preserve">                     * F 8</v>
          </cell>
          <cell r="D296" t="str">
            <v>Kg</v>
          </cell>
          <cell r="E296">
            <v>1</v>
          </cell>
          <cell r="F296" t="str">
            <v>Theùp troøn F 8</v>
          </cell>
          <cell r="G296" t="str">
            <v>Kg</v>
          </cell>
          <cell r="H296">
            <v>1005</v>
          </cell>
          <cell r="I296">
            <v>1.0049999999999999</v>
          </cell>
          <cell r="J296">
            <v>4000</v>
          </cell>
        </row>
        <row r="297">
          <cell r="C297" t="str">
            <v xml:space="preserve">                     * F 10</v>
          </cell>
          <cell r="D297" t="str">
            <v>Kg</v>
          </cell>
          <cell r="E297">
            <v>1</v>
          </cell>
          <cell r="F297" t="str">
            <v>Theùp troøn F 10</v>
          </cell>
          <cell r="G297" t="str">
            <v>Kg</v>
          </cell>
          <cell r="H297">
            <v>1005</v>
          </cell>
          <cell r="I297">
            <v>1.0049999999999999</v>
          </cell>
          <cell r="J297">
            <v>4000</v>
          </cell>
        </row>
        <row r="298">
          <cell r="F298" t="str">
            <v>NC 3.7/7</v>
          </cell>
          <cell r="G298" t="str">
            <v>coâng</v>
          </cell>
          <cell r="H298">
            <v>16.2</v>
          </cell>
          <cell r="I298">
            <v>16.2</v>
          </cell>
          <cell r="J298">
            <v>13209.03</v>
          </cell>
        </row>
        <row r="299">
          <cell r="F299" t="str">
            <v>Maùy caét uoán</v>
          </cell>
          <cell r="G299" t="str">
            <v>ca</v>
          </cell>
          <cell r="H299">
            <v>0.4</v>
          </cell>
          <cell r="I299">
            <v>0.4</v>
          </cell>
          <cell r="J299">
            <v>39789</v>
          </cell>
        </row>
        <row r="300">
          <cell r="A300" t="str">
            <v>IA.2312</v>
          </cell>
          <cell r="B300" t="str">
            <v>IA.2312</v>
          </cell>
          <cell r="C300" t="str">
            <v>GCLÑ theùp daàm F &lt;=10 H&gt;4m</v>
          </cell>
          <cell r="D300" t="str">
            <v>Taán</v>
          </cell>
          <cell r="E300">
            <v>1</v>
          </cell>
          <cell r="F300" t="str">
            <v>Keõm buoäc</v>
          </cell>
          <cell r="G300" t="str">
            <v>Kg</v>
          </cell>
          <cell r="H300">
            <v>21.42</v>
          </cell>
          <cell r="I300">
            <v>21.42</v>
          </cell>
          <cell r="J300">
            <v>5300</v>
          </cell>
          <cell r="K300">
            <v>4142094</v>
          </cell>
          <cell r="L300">
            <v>218625</v>
          </cell>
          <cell r="M300">
            <v>18096</v>
          </cell>
        </row>
        <row r="301">
          <cell r="C301" t="str">
            <v xml:space="preserve">   Trong ñoù:   * F 6</v>
          </cell>
          <cell r="D301" t="str">
            <v>Kg</v>
          </cell>
          <cell r="E301">
            <v>1</v>
          </cell>
          <cell r="F301" t="str">
            <v>Theùp troøn F 6</v>
          </cell>
          <cell r="G301" t="str">
            <v>Kg</v>
          </cell>
          <cell r="H301">
            <v>1005</v>
          </cell>
          <cell r="I301">
            <v>1.0049999999999999</v>
          </cell>
          <cell r="J301">
            <v>3720</v>
          </cell>
        </row>
        <row r="302">
          <cell r="C302" t="str">
            <v xml:space="preserve">                     * F 8</v>
          </cell>
          <cell r="D302" t="str">
            <v>Kg</v>
          </cell>
          <cell r="E302">
            <v>1</v>
          </cell>
          <cell r="F302" t="str">
            <v>Theùp troøn F 8</v>
          </cell>
          <cell r="G302" t="str">
            <v>Kg</v>
          </cell>
          <cell r="H302">
            <v>1005</v>
          </cell>
          <cell r="I302">
            <v>1.0049999999999999</v>
          </cell>
          <cell r="J302">
            <v>4000</v>
          </cell>
        </row>
        <row r="303">
          <cell r="C303" t="str">
            <v xml:space="preserve">                     * F 10</v>
          </cell>
          <cell r="D303" t="str">
            <v>Kg</v>
          </cell>
          <cell r="E303">
            <v>1</v>
          </cell>
          <cell r="F303" t="str">
            <v>Theùp troøn F 10</v>
          </cell>
          <cell r="G303" t="str">
            <v>Kg</v>
          </cell>
          <cell r="H303">
            <v>1005</v>
          </cell>
          <cell r="I303">
            <v>1.0049999999999999</v>
          </cell>
          <cell r="J303">
            <v>4000</v>
          </cell>
        </row>
        <row r="304">
          <cell r="F304" t="str">
            <v>NC 3.7/7</v>
          </cell>
          <cell r="G304" t="str">
            <v>coâng</v>
          </cell>
          <cell r="H304">
            <v>16.57</v>
          </cell>
          <cell r="I304">
            <v>16.57</v>
          </cell>
          <cell r="J304">
            <v>13209.03</v>
          </cell>
        </row>
        <row r="305">
          <cell r="F305" t="str">
            <v>Maùy caét uoán</v>
          </cell>
          <cell r="G305" t="str">
            <v>ca</v>
          </cell>
          <cell r="H305">
            <v>0.4</v>
          </cell>
          <cell r="I305">
            <v>0.4</v>
          </cell>
          <cell r="J305">
            <v>39789</v>
          </cell>
        </row>
        <row r="306">
          <cell r="F306" t="str">
            <v>Maùy vaän thaêng 0.8T</v>
          </cell>
          <cell r="G306" t="str">
            <v>ca</v>
          </cell>
          <cell r="H306">
            <v>0.04</v>
          </cell>
          <cell r="I306">
            <v>0.04</v>
          </cell>
          <cell r="J306">
            <v>90447</v>
          </cell>
        </row>
        <row r="307">
          <cell r="A307" t="str">
            <v>IA.2321</v>
          </cell>
          <cell r="B307" t="str">
            <v>IA.2321</v>
          </cell>
          <cell r="C307" t="str">
            <v>GCLÑ theùp daàm 10&lt; F &lt;=18</v>
          </cell>
          <cell r="D307" t="str">
            <v>Taán</v>
          </cell>
          <cell r="E307">
            <v>1</v>
          </cell>
          <cell r="F307" t="str">
            <v>Keõm buoäc</v>
          </cell>
          <cell r="G307" t="str">
            <v>Kg</v>
          </cell>
          <cell r="H307">
            <v>14.28</v>
          </cell>
          <cell r="I307">
            <v>14.28</v>
          </cell>
          <cell r="J307">
            <v>5300</v>
          </cell>
          <cell r="K307">
            <v>4295356</v>
          </cell>
          <cell r="L307">
            <v>132468</v>
          </cell>
          <cell r="M307">
            <v>100356</v>
          </cell>
        </row>
        <row r="308">
          <cell r="C308" t="str">
            <v xml:space="preserve">   Trong ñoù:   * F 12</v>
          </cell>
          <cell r="D308" t="str">
            <v>Kg</v>
          </cell>
          <cell r="E308">
            <v>1</v>
          </cell>
          <cell r="F308" t="str">
            <v>Theùp troøn F 12</v>
          </cell>
          <cell r="G308" t="str">
            <v>Kg</v>
          </cell>
          <cell r="H308">
            <v>1020</v>
          </cell>
          <cell r="I308">
            <v>1.02</v>
          </cell>
          <cell r="J308">
            <v>4000</v>
          </cell>
        </row>
        <row r="309">
          <cell r="C309" t="str">
            <v xml:space="preserve">                     * F 14</v>
          </cell>
          <cell r="D309" t="str">
            <v>Kg</v>
          </cell>
          <cell r="E309">
            <v>1</v>
          </cell>
          <cell r="F309" t="str">
            <v>Theùp troøn F 14</v>
          </cell>
          <cell r="G309" t="str">
            <v>Kg</v>
          </cell>
          <cell r="H309">
            <v>1020</v>
          </cell>
          <cell r="I309">
            <v>1.02</v>
          </cell>
          <cell r="J309">
            <v>4000</v>
          </cell>
        </row>
        <row r="310">
          <cell r="C310" t="str">
            <v xml:space="preserve">                     * F 16</v>
          </cell>
          <cell r="D310" t="str">
            <v>Kg</v>
          </cell>
          <cell r="E310">
            <v>1</v>
          </cell>
          <cell r="F310" t="str">
            <v>Theùp troøn F 16</v>
          </cell>
          <cell r="G310" t="str">
            <v>Kg</v>
          </cell>
          <cell r="H310">
            <v>1020</v>
          </cell>
          <cell r="I310">
            <v>1.02</v>
          </cell>
          <cell r="J310">
            <v>4000</v>
          </cell>
        </row>
        <row r="311">
          <cell r="C311" t="str">
            <v xml:space="preserve">                     * F 18</v>
          </cell>
          <cell r="D311" t="str">
            <v>Kg</v>
          </cell>
          <cell r="E311">
            <v>1</v>
          </cell>
          <cell r="F311" t="str">
            <v>Theùp troøn F 18</v>
          </cell>
          <cell r="G311" t="str">
            <v>Kg</v>
          </cell>
          <cell r="H311">
            <v>1020</v>
          </cell>
          <cell r="I311">
            <v>1.02</v>
          </cell>
          <cell r="J311">
            <v>4000</v>
          </cell>
        </row>
        <row r="312">
          <cell r="F312" t="str">
            <v>Que haøn</v>
          </cell>
          <cell r="G312" t="str">
            <v>Kg</v>
          </cell>
          <cell r="H312">
            <v>4.7</v>
          </cell>
          <cell r="I312">
            <v>4.7</v>
          </cell>
          <cell r="J312">
            <v>10000</v>
          </cell>
        </row>
        <row r="313">
          <cell r="F313" t="str">
            <v>NC 3.7/7</v>
          </cell>
          <cell r="G313" t="str">
            <v>coâng</v>
          </cell>
          <cell r="H313">
            <v>10.039999999999999</v>
          </cell>
          <cell r="I313">
            <v>10.039999999999999</v>
          </cell>
          <cell r="J313">
            <v>13209.03</v>
          </cell>
        </row>
        <row r="314">
          <cell r="F314" t="str">
            <v>Maùy haøn 23KW</v>
          </cell>
          <cell r="G314" t="str">
            <v>ca</v>
          </cell>
          <cell r="H314">
            <v>1.133</v>
          </cell>
          <cell r="I314">
            <v>1.133</v>
          </cell>
          <cell r="J314">
            <v>77338</v>
          </cell>
        </row>
        <row r="315">
          <cell r="F315" t="str">
            <v>Maùy caét uoán</v>
          </cell>
          <cell r="G315" t="str">
            <v>ca</v>
          </cell>
          <cell r="H315">
            <v>0.32</v>
          </cell>
          <cell r="I315">
            <v>0.32</v>
          </cell>
          <cell r="J315">
            <v>39789</v>
          </cell>
        </row>
        <row r="316">
          <cell r="A316" t="str">
            <v>IA.2322</v>
          </cell>
          <cell r="B316" t="str">
            <v>IA.2322</v>
          </cell>
          <cell r="C316" t="str">
            <v>GCLÑ theùp daàm 10&lt; F &lt;=18 H&gt;4m</v>
          </cell>
          <cell r="D316" t="str">
            <v>Taán</v>
          </cell>
          <cell r="E316">
            <v>1</v>
          </cell>
          <cell r="F316" t="str">
            <v>Keõm buoäc</v>
          </cell>
          <cell r="G316" t="str">
            <v>Kg</v>
          </cell>
          <cell r="H316">
            <v>14.28</v>
          </cell>
          <cell r="I316">
            <v>14.28</v>
          </cell>
          <cell r="J316">
            <v>5300</v>
          </cell>
          <cell r="K316">
            <v>4295365</v>
          </cell>
          <cell r="L316">
            <v>137350</v>
          </cell>
          <cell r="M316">
            <v>102536</v>
          </cell>
        </row>
        <row r="317">
          <cell r="C317" t="str">
            <v xml:space="preserve">   Trong ñoù:   * F 12</v>
          </cell>
          <cell r="D317" t="str">
            <v>Kg</v>
          </cell>
          <cell r="E317">
            <v>1</v>
          </cell>
          <cell r="F317" t="str">
            <v>Theùp troøn F 12</v>
          </cell>
          <cell r="G317" t="str">
            <v>Kg</v>
          </cell>
          <cell r="H317">
            <v>1020</v>
          </cell>
          <cell r="I317">
            <v>1.02</v>
          </cell>
          <cell r="J317">
            <v>4000</v>
          </cell>
        </row>
        <row r="318">
          <cell r="C318" t="str">
            <v xml:space="preserve">                     * F 14</v>
          </cell>
          <cell r="D318" t="str">
            <v>Kg</v>
          </cell>
          <cell r="E318">
            <v>1</v>
          </cell>
          <cell r="F318" t="str">
            <v>Theùp troøn F 14</v>
          </cell>
          <cell r="G318" t="str">
            <v>Kg</v>
          </cell>
          <cell r="H318">
            <v>1020</v>
          </cell>
          <cell r="I318">
            <v>1.02</v>
          </cell>
          <cell r="J318">
            <v>4000</v>
          </cell>
        </row>
        <row r="319">
          <cell r="C319" t="str">
            <v xml:space="preserve">                     * F 16</v>
          </cell>
          <cell r="D319" t="str">
            <v>Kg</v>
          </cell>
          <cell r="E319">
            <v>1</v>
          </cell>
          <cell r="F319" t="str">
            <v>Theùp troøn F 16</v>
          </cell>
          <cell r="G319" t="str">
            <v>Kg</v>
          </cell>
          <cell r="H319">
            <v>1020</v>
          </cell>
          <cell r="I319">
            <v>1.02</v>
          </cell>
          <cell r="J319">
            <v>4000</v>
          </cell>
        </row>
        <row r="320">
          <cell r="C320" t="str">
            <v xml:space="preserve">                     * F 18</v>
          </cell>
          <cell r="D320" t="str">
            <v>Kg</v>
          </cell>
          <cell r="E320">
            <v>1</v>
          </cell>
          <cell r="F320" t="str">
            <v>Theùp troøn F 18</v>
          </cell>
          <cell r="G320" t="str">
            <v>Kg</v>
          </cell>
          <cell r="H320">
            <v>1020</v>
          </cell>
          <cell r="I320">
            <v>1.02</v>
          </cell>
          <cell r="J320">
            <v>4000</v>
          </cell>
        </row>
        <row r="321">
          <cell r="F321" t="str">
            <v>Que haøn</v>
          </cell>
          <cell r="G321" t="str">
            <v>Kg</v>
          </cell>
          <cell r="H321">
            <v>4.7</v>
          </cell>
          <cell r="I321">
            <v>4.7</v>
          </cell>
          <cell r="J321">
            <v>10000</v>
          </cell>
        </row>
        <row r="322">
          <cell r="F322" t="str">
            <v>NC 3.7/7</v>
          </cell>
          <cell r="G322" t="str">
            <v>coâng</v>
          </cell>
          <cell r="H322">
            <v>10.039999999999999</v>
          </cell>
          <cell r="I322">
            <v>10.039999999999999</v>
          </cell>
          <cell r="J322">
            <v>13209.03</v>
          </cell>
        </row>
        <row r="323">
          <cell r="F323" t="str">
            <v>Maùy haøn 23KW</v>
          </cell>
          <cell r="G323" t="str">
            <v>ca</v>
          </cell>
          <cell r="H323">
            <v>1.133</v>
          </cell>
          <cell r="I323">
            <v>1.133</v>
          </cell>
          <cell r="J323">
            <v>77338</v>
          </cell>
        </row>
        <row r="324">
          <cell r="F324" t="str">
            <v>Maùy caét uoán</v>
          </cell>
          <cell r="G324" t="str">
            <v>ca</v>
          </cell>
          <cell r="H324">
            <v>0.32</v>
          </cell>
          <cell r="I324">
            <v>0.32</v>
          </cell>
          <cell r="J324">
            <v>39789</v>
          </cell>
        </row>
        <row r="325">
          <cell r="F325" t="str">
            <v>Maùy vaän thaêng 0.8T</v>
          </cell>
          <cell r="G325" t="str">
            <v>ca</v>
          </cell>
          <cell r="H325">
            <v>0.04</v>
          </cell>
          <cell r="I325">
            <v>0.04</v>
          </cell>
          <cell r="J325">
            <v>90447</v>
          </cell>
        </row>
        <row r="326">
          <cell r="A326" t="str">
            <v>IA.2331</v>
          </cell>
          <cell r="B326" t="str">
            <v>IA.2331</v>
          </cell>
          <cell r="C326" t="str">
            <v>GCLÑ theùp daàm F &gt;18 H&lt;4m</v>
          </cell>
          <cell r="D326" t="str">
            <v>Taán</v>
          </cell>
          <cell r="E326">
            <v>1</v>
          </cell>
          <cell r="F326" t="str">
            <v>Keõm buoäc</v>
          </cell>
          <cell r="G326" t="str">
            <v>Kg</v>
          </cell>
          <cell r="H326">
            <v>14.28</v>
          </cell>
          <cell r="I326">
            <v>14.28</v>
          </cell>
          <cell r="J326">
            <v>5300</v>
          </cell>
          <cell r="K326">
            <v>4304482</v>
          </cell>
          <cell r="L326">
            <v>120065</v>
          </cell>
          <cell r="M326">
            <v>118970</v>
          </cell>
        </row>
        <row r="327">
          <cell r="C327" t="str">
            <v xml:space="preserve">   Trong ñoù:   * F 20</v>
          </cell>
          <cell r="D327" t="str">
            <v>Kg</v>
          </cell>
          <cell r="E327">
            <v>1</v>
          </cell>
          <cell r="F327" t="str">
            <v>Theùp troøn F 20</v>
          </cell>
          <cell r="G327" t="str">
            <v>Kg</v>
          </cell>
          <cell r="H327">
            <v>1020</v>
          </cell>
          <cell r="I327">
            <v>1.02</v>
          </cell>
          <cell r="J327">
            <v>4350</v>
          </cell>
        </row>
        <row r="328">
          <cell r="C328" t="str">
            <v xml:space="preserve">                     * F 22</v>
          </cell>
          <cell r="D328" t="str">
            <v>Kg</v>
          </cell>
          <cell r="E328">
            <v>1</v>
          </cell>
          <cell r="F328" t="str">
            <v>Theùp troøn F 22</v>
          </cell>
          <cell r="G328" t="str">
            <v>Kg</v>
          </cell>
          <cell r="H328">
            <v>1020</v>
          </cell>
          <cell r="I328">
            <v>1.02</v>
          </cell>
          <cell r="J328">
            <v>4350</v>
          </cell>
        </row>
        <row r="329">
          <cell r="C329" t="str">
            <v xml:space="preserve">                     * F 25</v>
          </cell>
          <cell r="D329" t="str">
            <v>Kg</v>
          </cell>
          <cell r="E329">
            <v>1</v>
          </cell>
          <cell r="F329" t="str">
            <v>Theùp troøn F 25</v>
          </cell>
          <cell r="G329" t="str">
            <v>Kg</v>
          </cell>
          <cell r="H329">
            <v>1020</v>
          </cell>
          <cell r="I329">
            <v>1.02</v>
          </cell>
          <cell r="J329">
            <v>4350</v>
          </cell>
        </row>
        <row r="330">
          <cell r="F330" t="str">
            <v>Que haøn</v>
          </cell>
          <cell r="G330" t="str">
            <v>Kg</v>
          </cell>
          <cell r="H330">
            <v>6.0419999999999998</v>
          </cell>
          <cell r="I330">
            <v>6.0419999999999998</v>
          </cell>
          <cell r="J330">
            <v>10000</v>
          </cell>
        </row>
        <row r="331">
          <cell r="F331" t="str">
            <v>NC 3.7/7</v>
          </cell>
          <cell r="G331" t="str">
            <v>coâng</v>
          </cell>
          <cell r="H331">
            <v>9.1</v>
          </cell>
          <cell r="I331">
            <v>9.1</v>
          </cell>
          <cell r="J331">
            <v>13209.03</v>
          </cell>
        </row>
        <row r="332">
          <cell r="F332" t="str">
            <v>Maùy haøn 23KW</v>
          </cell>
          <cell r="G332" t="str">
            <v>ca</v>
          </cell>
          <cell r="H332">
            <v>1.456</v>
          </cell>
          <cell r="I332">
            <v>1.456</v>
          </cell>
          <cell r="J332">
            <v>77338</v>
          </cell>
        </row>
        <row r="333">
          <cell r="F333" t="str">
            <v>Maùy caét uoán</v>
          </cell>
          <cell r="G333" t="str">
            <v>ca</v>
          </cell>
          <cell r="H333">
            <v>0.16</v>
          </cell>
          <cell r="I333">
            <v>0.16</v>
          </cell>
          <cell r="J333">
            <v>39789</v>
          </cell>
        </row>
        <row r="334">
          <cell r="A334" t="str">
            <v>IA.2332</v>
          </cell>
          <cell r="B334" t="str">
            <v>IA.2332</v>
          </cell>
          <cell r="C334" t="str">
            <v>GCLÑ theùp daàm F &gt;18 H&gt;4m</v>
          </cell>
          <cell r="D334" t="str">
            <v>Taán</v>
          </cell>
          <cell r="E334">
            <v>1</v>
          </cell>
          <cell r="F334" t="str">
            <v>Keõm buoäc</v>
          </cell>
          <cell r="G334" t="str">
            <v>Kg</v>
          </cell>
          <cell r="H334">
            <v>14.28</v>
          </cell>
          <cell r="I334">
            <v>14.28</v>
          </cell>
          <cell r="J334">
            <v>5300</v>
          </cell>
          <cell r="K334">
            <v>4304482</v>
          </cell>
          <cell r="L334">
            <v>120989</v>
          </cell>
          <cell r="M334">
            <v>121150</v>
          </cell>
        </row>
        <row r="335">
          <cell r="C335" t="str">
            <v xml:space="preserve">   Trong ñoù:   * F 20</v>
          </cell>
          <cell r="D335" t="str">
            <v>Kg</v>
          </cell>
          <cell r="E335">
            <v>1</v>
          </cell>
          <cell r="F335" t="str">
            <v>Theùp troøn F 20</v>
          </cell>
          <cell r="G335" t="str">
            <v>Kg</v>
          </cell>
          <cell r="H335">
            <v>1020</v>
          </cell>
          <cell r="I335">
            <v>1.02</v>
          </cell>
          <cell r="J335">
            <v>4350</v>
          </cell>
        </row>
        <row r="336">
          <cell r="C336" t="str">
            <v xml:space="preserve">                     * F 22</v>
          </cell>
          <cell r="D336" t="str">
            <v>Kg</v>
          </cell>
          <cell r="E336">
            <v>1</v>
          </cell>
          <cell r="F336" t="str">
            <v>Theùp troøn F 22</v>
          </cell>
          <cell r="G336" t="str">
            <v>Kg</v>
          </cell>
          <cell r="H336">
            <v>1020</v>
          </cell>
          <cell r="I336">
            <v>1.02</v>
          </cell>
          <cell r="J336">
            <v>4350</v>
          </cell>
        </row>
        <row r="337">
          <cell r="C337" t="str">
            <v xml:space="preserve">                     * F 25</v>
          </cell>
          <cell r="D337" t="str">
            <v>Kg</v>
          </cell>
          <cell r="E337">
            <v>1</v>
          </cell>
          <cell r="F337" t="str">
            <v>Theùp troøn F 25</v>
          </cell>
          <cell r="G337" t="str">
            <v>Kg</v>
          </cell>
          <cell r="H337">
            <v>1020</v>
          </cell>
          <cell r="I337">
            <v>1.02</v>
          </cell>
          <cell r="J337">
            <v>4350</v>
          </cell>
        </row>
        <row r="338">
          <cell r="F338" t="str">
            <v>Que haøn</v>
          </cell>
          <cell r="G338" t="str">
            <v>Kg</v>
          </cell>
          <cell r="H338">
            <v>6.0419999999999998</v>
          </cell>
          <cell r="I338">
            <v>6.0419999999999998</v>
          </cell>
          <cell r="J338">
            <v>10000</v>
          </cell>
        </row>
        <row r="339">
          <cell r="F339" t="str">
            <v>NC 3.7/7</v>
          </cell>
          <cell r="G339" t="str">
            <v>coâng</v>
          </cell>
          <cell r="H339">
            <v>9.17</v>
          </cell>
          <cell r="I339">
            <v>9.17</v>
          </cell>
          <cell r="J339">
            <v>13209.03</v>
          </cell>
        </row>
        <row r="340">
          <cell r="F340" t="str">
            <v>Maùy haøn 23KW</v>
          </cell>
          <cell r="G340" t="str">
            <v>ca</v>
          </cell>
          <cell r="H340">
            <v>1.456</v>
          </cell>
          <cell r="I340">
            <v>1.456</v>
          </cell>
          <cell r="J340">
            <v>77338</v>
          </cell>
        </row>
        <row r="341">
          <cell r="F341" t="str">
            <v>Maùy caét uoán</v>
          </cell>
          <cell r="G341" t="str">
            <v>ca</v>
          </cell>
          <cell r="H341">
            <v>0.16</v>
          </cell>
          <cell r="I341">
            <v>0.16</v>
          </cell>
          <cell r="J341">
            <v>39789</v>
          </cell>
        </row>
        <row r="342">
          <cell r="F342" t="str">
            <v>Maùy vaän thaêng 0.8T</v>
          </cell>
          <cell r="G342" t="str">
            <v>ca</v>
          </cell>
          <cell r="H342">
            <v>0.04</v>
          </cell>
          <cell r="I342">
            <v>0.04</v>
          </cell>
          <cell r="J342">
            <v>90447</v>
          </cell>
        </row>
        <row r="343">
          <cell r="A343" t="str">
            <v>IA.2411</v>
          </cell>
          <cell r="B343" t="str">
            <v>IA.2411</v>
          </cell>
          <cell r="C343" t="str">
            <v>GCLÑ theùp maùi ñoùn F &lt;=10 H&lt;4m</v>
          </cell>
          <cell r="D343" t="str">
            <v>Taán</v>
          </cell>
          <cell r="E343">
            <v>1</v>
          </cell>
          <cell r="F343" t="str">
            <v>Keõm buoäc</v>
          </cell>
          <cell r="G343" t="str">
            <v>Kg</v>
          </cell>
          <cell r="H343">
            <v>21.42</v>
          </cell>
          <cell r="I343">
            <v>21.42</v>
          </cell>
          <cell r="J343">
            <v>5300</v>
          </cell>
          <cell r="K343">
            <v>4142094</v>
          </cell>
          <cell r="L343">
            <v>286574</v>
          </cell>
          <cell r="M343">
            <v>15916</v>
          </cell>
        </row>
        <row r="344">
          <cell r="C344" t="str">
            <v xml:space="preserve">   Trong ñoù:   * F 6</v>
          </cell>
          <cell r="D344" t="str">
            <v>Kg</v>
          </cell>
          <cell r="E344">
            <v>1</v>
          </cell>
          <cell r="F344" t="str">
            <v>Theùp troøn F 6</v>
          </cell>
          <cell r="G344" t="str">
            <v>Kg</v>
          </cell>
          <cell r="H344">
            <v>1005</v>
          </cell>
          <cell r="I344">
            <v>1.0049999999999999</v>
          </cell>
          <cell r="J344">
            <v>3720</v>
          </cell>
        </row>
        <row r="345">
          <cell r="C345" t="str">
            <v xml:space="preserve">                     * F 8</v>
          </cell>
          <cell r="D345" t="str">
            <v>Kg</v>
          </cell>
          <cell r="E345">
            <v>1</v>
          </cell>
          <cell r="F345" t="str">
            <v>Theùp troøn F 8</v>
          </cell>
          <cell r="G345" t="str">
            <v>Kg</v>
          </cell>
          <cell r="H345">
            <v>1005</v>
          </cell>
          <cell r="I345">
            <v>1.0049999999999999</v>
          </cell>
          <cell r="J345">
            <v>4000</v>
          </cell>
        </row>
        <row r="346">
          <cell r="C346" t="str">
            <v xml:space="preserve">                     * F 10</v>
          </cell>
          <cell r="D346" t="str">
            <v>Kg</v>
          </cell>
          <cell r="E346">
            <v>1</v>
          </cell>
          <cell r="F346" t="str">
            <v>Theùp troøn F 10</v>
          </cell>
          <cell r="G346" t="str">
            <v>Kg</v>
          </cell>
          <cell r="H346">
            <v>1005</v>
          </cell>
          <cell r="I346">
            <v>1.0049999999999999</v>
          </cell>
          <cell r="J346">
            <v>4000</v>
          </cell>
        </row>
        <row r="347">
          <cell r="F347" t="str">
            <v>NC 3.7/7</v>
          </cell>
          <cell r="G347" t="str">
            <v>coâng</v>
          </cell>
          <cell r="H347">
            <v>21.72</v>
          </cell>
          <cell r="I347">
            <v>21.72</v>
          </cell>
          <cell r="J347">
            <v>13209.03</v>
          </cell>
        </row>
        <row r="348">
          <cell r="F348" t="str">
            <v>Maùy caét uoán</v>
          </cell>
          <cell r="G348" t="str">
            <v>ca</v>
          </cell>
          <cell r="H348">
            <v>0.4</v>
          </cell>
          <cell r="I348">
            <v>0.4</v>
          </cell>
          <cell r="J348">
            <v>39789</v>
          </cell>
        </row>
        <row r="349">
          <cell r="A349" t="str">
            <v>IA.2421</v>
          </cell>
          <cell r="B349" t="str">
            <v>IA.2421</v>
          </cell>
          <cell r="C349" t="str">
            <v>GCLÑ theùp maùi ñoùn 10&lt;F &lt;=18 H&lt;4m</v>
          </cell>
          <cell r="D349" t="str">
            <v>Taán</v>
          </cell>
          <cell r="E349">
            <v>1</v>
          </cell>
          <cell r="F349" t="str">
            <v>Keõm buoäc</v>
          </cell>
          <cell r="G349" t="str">
            <v>Kg</v>
          </cell>
          <cell r="H349">
            <v>14.28</v>
          </cell>
          <cell r="I349">
            <v>14.28</v>
          </cell>
          <cell r="J349">
            <v>5300</v>
          </cell>
          <cell r="K349">
            <v>4294792</v>
          </cell>
          <cell r="L349">
            <v>272192</v>
          </cell>
          <cell r="M349">
            <v>99583</v>
          </cell>
        </row>
        <row r="350">
          <cell r="C350" t="str">
            <v xml:space="preserve">   Trong ñoù:   * F 12</v>
          </cell>
          <cell r="D350" t="str">
            <v>Kg</v>
          </cell>
          <cell r="E350">
            <v>1</v>
          </cell>
          <cell r="F350" t="str">
            <v>Theùp troøn F 12</v>
          </cell>
          <cell r="G350" t="str">
            <v>Kg</v>
          </cell>
          <cell r="H350">
            <v>1020</v>
          </cell>
          <cell r="I350">
            <v>1.02</v>
          </cell>
          <cell r="J350">
            <v>4000</v>
          </cell>
        </row>
        <row r="351">
          <cell r="C351" t="str">
            <v xml:space="preserve">                     * F 14</v>
          </cell>
          <cell r="D351" t="str">
            <v>Kg</v>
          </cell>
          <cell r="E351">
            <v>1</v>
          </cell>
          <cell r="F351" t="str">
            <v>Theùp troøn F 14</v>
          </cell>
          <cell r="G351" t="str">
            <v>Kg</v>
          </cell>
          <cell r="H351">
            <v>1020</v>
          </cell>
          <cell r="I351">
            <v>1.02</v>
          </cell>
          <cell r="J351">
            <v>4000</v>
          </cell>
        </row>
        <row r="352">
          <cell r="C352" t="str">
            <v xml:space="preserve">                     * F 16</v>
          </cell>
          <cell r="D352" t="str">
            <v>Kg</v>
          </cell>
          <cell r="E352">
            <v>1</v>
          </cell>
          <cell r="F352" t="str">
            <v>Theùp troøn F 16</v>
          </cell>
          <cell r="G352" t="str">
            <v>Kg</v>
          </cell>
          <cell r="H352">
            <v>1020</v>
          </cell>
          <cell r="I352">
            <v>1.02</v>
          </cell>
          <cell r="J352">
            <v>4000</v>
          </cell>
        </row>
        <row r="353">
          <cell r="C353" t="str">
            <v xml:space="preserve">                     * F 18</v>
          </cell>
          <cell r="D353" t="str">
            <v>Kg</v>
          </cell>
          <cell r="E353">
            <v>1</v>
          </cell>
          <cell r="F353" t="str">
            <v>Theùp troøn F 18</v>
          </cell>
          <cell r="G353" t="str">
            <v>Kg</v>
          </cell>
          <cell r="H353">
            <v>1020</v>
          </cell>
          <cell r="I353">
            <v>1.02</v>
          </cell>
          <cell r="J353">
            <v>4000</v>
          </cell>
        </row>
        <row r="354">
          <cell r="F354" t="str">
            <v>Que haøn</v>
          </cell>
          <cell r="G354" t="str">
            <v>Kg</v>
          </cell>
          <cell r="H354">
            <v>4.617</v>
          </cell>
          <cell r="I354">
            <v>4.617</v>
          </cell>
          <cell r="J354">
            <v>10000</v>
          </cell>
        </row>
        <row r="355">
          <cell r="F355" t="str">
            <v>NC 3.7/7</v>
          </cell>
          <cell r="G355" t="str">
            <v>coâng</v>
          </cell>
          <cell r="H355">
            <v>20.63</v>
          </cell>
          <cell r="I355">
            <v>20.63</v>
          </cell>
          <cell r="J355">
            <v>13209.03</v>
          </cell>
        </row>
        <row r="356">
          <cell r="F356" t="str">
            <v>Maùy haøn 23KW</v>
          </cell>
          <cell r="G356" t="str">
            <v>ca</v>
          </cell>
          <cell r="H356">
            <v>1.123</v>
          </cell>
          <cell r="I356">
            <v>1.123</v>
          </cell>
          <cell r="J356">
            <v>77338</v>
          </cell>
        </row>
        <row r="357">
          <cell r="F357" t="str">
            <v>Maùy caét uoán</v>
          </cell>
          <cell r="G357" t="str">
            <v>ca</v>
          </cell>
          <cell r="H357">
            <v>0.32</v>
          </cell>
          <cell r="I357">
            <v>0.32</v>
          </cell>
          <cell r="J357">
            <v>39789</v>
          </cell>
        </row>
        <row r="358">
          <cell r="A358" t="str">
            <v>IA.2431</v>
          </cell>
          <cell r="B358" t="str">
            <v>IA.2431</v>
          </cell>
          <cell r="C358" t="str">
            <v>GCLÑ theùp maùi ñoùn F &gt;18 H&lt;4m</v>
          </cell>
          <cell r="D358" t="str">
            <v>Taán</v>
          </cell>
          <cell r="E358">
            <v>1</v>
          </cell>
          <cell r="F358" t="str">
            <v>Keõm buoäc</v>
          </cell>
          <cell r="G358" t="str">
            <v>Kg</v>
          </cell>
          <cell r="H358">
            <v>14.28</v>
          </cell>
          <cell r="I358">
            <v>14.28</v>
          </cell>
          <cell r="J358">
            <v>5300</v>
          </cell>
          <cell r="K358">
            <v>4299436</v>
          </cell>
          <cell r="L358">
            <v>107659</v>
          </cell>
          <cell r="M358">
            <v>107307</v>
          </cell>
        </row>
        <row r="359">
          <cell r="C359" t="str">
            <v xml:space="preserve">   Trong ñoù:   * F 20</v>
          </cell>
          <cell r="D359" t="str">
            <v>Kg</v>
          </cell>
          <cell r="E359">
            <v>1</v>
          </cell>
          <cell r="F359" t="str">
            <v>Theùp troøn F 20</v>
          </cell>
          <cell r="G359" t="str">
            <v>Kg</v>
          </cell>
          <cell r="H359">
            <v>1020</v>
          </cell>
          <cell r="I359">
            <v>1.02</v>
          </cell>
          <cell r="J359">
            <v>4350</v>
          </cell>
        </row>
        <row r="360">
          <cell r="C360" t="str">
            <v xml:space="preserve">                     * F 22</v>
          </cell>
          <cell r="D360" t="str">
            <v>Kg</v>
          </cell>
          <cell r="E360">
            <v>1</v>
          </cell>
          <cell r="F360" t="str">
            <v>Theùp troøn F 22</v>
          </cell>
          <cell r="G360" t="str">
            <v>Kg</v>
          </cell>
          <cell r="H360">
            <v>1020</v>
          </cell>
          <cell r="I360">
            <v>1.02</v>
          </cell>
          <cell r="J360">
            <v>4350</v>
          </cell>
        </row>
        <row r="361">
          <cell r="C361" t="str">
            <v xml:space="preserve">                     * F 25</v>
          </cell>
          <cell r="D361" t="str">
            <v>Kg</v>
          </cell>
          <cell r="E361">
            <v>1</v>
          </cell>
          <cell r="F361" t="str">
            <v>Theùp troøn F 25</v>
          </cell>
          <cell r="G361" t="str">
            <v>Kg</v>
          </cell>
          <cell r="H361">
            <v>1020</v>
          </cell>
          <cell r="I361">
            <v>1.02</v>
          </cell>
          <cell r="J361">
            <v>4350</v>
          </cell>
        </row>
        <row r="362">
          <cell r="F362" t="str">
            <v>Que haøn</v>
          </cell>
          <cell r="G362" t="str">
            <v>Kg</v>
          </cell>
          <cell r="H362">
            <v>5.3</v>
          </cell>
          <cell r="I362">
            <v>5.3</v>
          </cell>
          <cell r="J362">
            <v>10000</v>
          </cell>
        </row>
        <row r="363">
          <cell r="F363" t="str">
            <v>NC 3.7/7</v>
          </cell>
          <cell r="G363" t="str">
            <v>coâng</v>
          </cell>
          <cell r="H363">
            <v>20.260000000000002</v>
          </cell>
          <cell r="I363">
            <v>20.260000000000002</v>
          </cell>
          <cell r="J363">
            <v>13209.03</v>
          </cell>
        </row>
        <row r="364">
          <cell r="F364" t="str">
            <v>Maùy haøn 23KW</v>
          </cell>
          <cell r="G364" t="str">
            <v>ca</v>
          </cell>
          <cell r="H364">
            <v>1.2769999999999999</v>
          </cell>
          <cell r="I364">
            <v>1.2769999999999999</v>
          </cell>
          <cell r="J364">
            <v>77338</v>
          </cell>
        </row>
        <row r="365">
          <cell r="F365" t="str">
            <v>Maùy caét uoán</v>
          </cell>
          <cell r="G365" t="str">
            <v>ca</v>
          </cell>
          <cell r="H365">
            <v>0.16</v>
          </cell>
          <cell r="I365">
            <v>0.16</v>
          </cell>
          <cell r="J365">
            <v>39789</v>
          </cell>
        </row>
        <row r="366">
          <cell r="A366" t="str">
            <v>IA.3212</v>
          </cell>
          <cell r="B366" t="str">
            <v>IA.3212</v>
          </cell>
          <cell r="C366" t="str">
            <v>GCLÑ theùp HN MAÙI F &lt;=10 H&gt;15m</v>
          </cell>
          <cell r="D366" t="str">
            <v>Taán</v>
          </cell>
          <cell r="E366">
            <v>1</v>
          </cell>
          <cell r="F366" t="str">
            <v>Keõm buoäc</v>
          </cell>
          <cell r="G366" t="str">
            <v>Kg</v>
          </cell>
          <cell r="H366">
            <v>21.42</v>
          </cell>
          <cell r="I366">
            <v>21.42</v>
          </cell>
          <cell r="J366">
            <v>5300</v>
          </cell>
          <cell r="K366">
            <v>4142094</v>
          </cell>
          <cell r="L366">
            <v>471366</v>
          </cell>
          <cell r="M366">
            <v>20821</v>
          </cell>
        </row>
        <row r="367">
          <cell r="C367" t="str">
            <v xml:space="preserve">   Trong ñoù:   * F 6</v>
          </cell>
          <cell r="D367" t="str">
            <v>Kg</v>
          </cell>
          <cell r="E367">
            <v>1</v>
          </cell>
          <cell r="F367" t="str">
            <v>Theùp troøn F 6</v>
          </cell>
          <cell r="G367" t="str">
            <v>Kg</v>
          </cell>
          <cell r="H367">
            <v>1005</v>
          </cell>
          <cell r="I367">
            <v>1.0049999999999999</v>
          </cell>
          <cell r="J367">
            <v>3720</v>
          </cell>
        </row>
        <row r="368">
          <cell r="C368" t="str">
            <v xml:space="preserve">                     * F 8</v>
          </cell>
          <cell r="D368" t="str">
            <v>Kg</v>
          </cell>
          <cell r="E368">
            <v>1</v>
          </cell>
          <cell r="F368" t="str">
            <v>Theùp troøn F 8</v>
          </cell>
          <cell r="G368" t="str">
            <v>Kg</v>
          </cell>
          <cell r="H368">
            <v>1005</v>
          </cell>
          <cell r="I368">
            <v>1.0049999999999999</v>
          </cell>
          <cell r="J368">
            <v>4000</v>
          </cell>
        </row>
        <row r="369">
          <cell r="C369" t="str">
            <v xml:space="preserve">                     * F 10</v>
          </cell>
          <cell r="D369" t="str">
            <v>Kg</v>
          </cell>
          <cell r="E369">
            <v>1</v>
          </cell>
          <cell r="F369" t="str">
            <v>Theùp troøn F 10</v>
          </cell>
          <cell r="G369" t="str">
            <v>Kg</v>
          </cell>
          <cell r="H369">
            <v>1005</v>
          </cell>
          <cell r="I369">
            <v>1.0049999999999999</v>
          </cell>
          <cell r="J369">
            <v>4000</v>
          </cell>
        </row>
        <row r="370">
          <cell r="F370" t="str">
            <v>NC 5/7</v>
          </cell>
          <cell r="G370" t="str">
            <v>coâng</v>
          </cell>
          <cell r="H370">
            <v>30.34</v>
          </cell>
          <cell r="I370">
            <v>30.34</v>
          </cell>
          <cell r="J370">
            <v>16625.689999999999</v>
          </cell>
        </row>
        <row r="371">
          <cell r="F371" t="str">
            <v>Maùy caét uoán</v>
          </cell>
          <cell r="G371" t="str">
            <v>ca</v>
          </cell>
          <cell r="H371">
            <v>0.4</v>
          </cell>
          <cell r="I371">
            <v>0.4</v>
          </cell>
          <cell r="J371">
            <v>39789</v>
          </cell>
        </row>
        <row r="372">
          <cell r="F372" t="str">
            <v>Maùy vaän thaêng 0.8T</v>
          </cell>
          <cell r="G372" t="str">
            <v>ca</v>
          </cell>
          <cell r="H372">
            <v>0.09</v>
          </cell>
          <cell r="I372">
            <v>0.09</v>
          </cell>
          <cell r="J372">
            <v>90447</v>
          </cell>
        </row>
        <row r="373">
          <cell r="A373" t="str">
            <v>IA.3222</v>
          </cell>
          <cell r="B373" t="str">
            <v>IA.3222</v>
          </cell>
          <cell r="C373" t="str">
            <v>GCLÑ theùp HN MAÙI 10&lt; F &lt;=18 H&gt;15m</v>
          </cell>
          <cell r="D373" t="str">
            <v>Taán</v>
          </cell>
          <cell r="E373">
            <v>1</v>
          </cell>
          <cell r="F373" t="str">
            <v>Keõm buoäc</v>
          </cell>
          <cell r="G373" t="str">
            <v>Kg</v>
          </cell>
          <cell r="H373">
            <v>14.28</v>
          </cell>
          <cell r="I373">
            <v>14.28</v>
          </cell>
          <cell r="J373">
            <v>5300</v>
          </cell>
          <cell r="K373">
            <v>4295873</v>
          </cell>
          <cell r="L373">
            <v>473960</v>
          </cell>
          <cell r="M373">
            <v>106653</v>
          </cell>
        </row>
        <row r="374">
          <cell r="C374" t="str">
            <v xml:space="preserve">   Trong ñoù:   * F 12</v>
          </cell>
          <cell r="D374" t="str">
            <v>Kg</v>
          </cell>
          <cell r="E374">
            <v>1</v>
          </cell>
          <cell r="F374" t="str">
            <v>Theùp troøn F 12</v>
          </cell>
          <cell r="G374" t="str">
            <v>Kg</v>
          </cell>
          <cell r="H374">
            <v>1020</v>
          </cell>
          <cell r="I374">
            <v>1.02</v>
          </cell>
          <cell r="J374">
            <v>4000</v>
          </cell>
        </row>
        <row r="375">
          <cell r="C375" t="str">
            <v xml:space="preserve">                     * F 14</v>
          </cell>
          <cell r="D375" t="str">
            <v>Kg</v>
          </cell>
          <cell r="E375">
            <v>1</v>
          </cell>
          <cell r="F375" t="str">
            <v>Theùp troøn F 14</v>
          </cell>
          <cell r="G375" t="str">
            <v>Kg</v>
          </cell>
          <cell r="H375">
            <v>1020</v>
          </cell>
          <cell r="I375">
            <v>1.02</v>
          </cell>
          <cell r="J375">
            <v>4000</v>
          </cell>
        </row>
        <row r="376">
          <cell r="C376" t="str">
            <v xml:space="preserve">                     * F 16</v>
          </cell>
          <cell r="D376" t="str">
            <v>Kg</v>
          </cell>
          <cell r="E376">
            <v>1</v>
          </cell>
          <cell r="F376" t="str">
            <v>Theùp troøn F 16</v>
          </cell>
          <cell r="G376" t="str">
            <v>Kg</v>
          </cell>
          <cell r="H376">
            <v>1020</v>
          </cell>
          <cell r="I376">
            <v>1.02</v>
          </cell>
          <cell r="J376">
            <v>4000</v>
          </cell>
        </row>
        <row r="377">
          <cell r="C377" t="str">
            <v xml:space="preserve">                     * F 18</v>
          </cell>
          <cell r="D377" t="str">
            <v>Kg</v>
          </cell>
          <cell r="E377">
            <v>1</v>
          </cell>
          <cell r="F377" t="str">
            <v>Theùp troøn F 18</v>
          </cell>
          <cell r="G377" t="str">
            <v>Kg</v>
          </cell>
          <cell r="H377">
            <v>1020</v>
          </cell>
          <cell r="I377">
            <v>1.02</v>
          </cell>
          <cell r="J377">
            <v>4000</v>
          </cell>
        </row>
        <row r="378">
          <cell r="F378" t="str">
            <v>Que haøn</v>
          </cell>
          <cell r="G378" t="str">
            <v>Kg</v>
          </cell>
          <cell r="H378">
            <v>4.7759999999999998</v>
          </cell>
          <cell r="I378">
            <v>4.7759999999999998</v>
          </cell>
          <cell r="J378">
            <v>10000</v>
          </cell>
        </row>
        <row r="379">
          <cell r="F379" t="str">
            <v>NC 5/7</v>
          </cell>
          <cell r="G379" t="str">
            <v>coâng</v>
          </cell>
          <cell r="H379">
            <v>36.54</v>
          </cell>
          <cell r="I379">
            <v>36.54</v>
          </cell>
          <cell r="J379">
            <v>16625.689999999999</v>
          </cell>
        </row>
        <row r="380">
          <cell r="F380" t="str">
            <v>Maùy haøn 23KW</v>
          </cell>
          <cell r="G380" t="str">
            <v>ca</v>
          </cell>
          <cell r="H380">
            <v>1.151</v>
          </cell>
          <cell r="I380">
            <v>1.151</v>
          </cell>
          <cell r="J380">
            <v>77338</v>
          </cell>
        </row>
        <row r="381">
          <cell r="F381" t="str">
            <v>Maùy caét uoán</v>
          </cell>
          <cell r="G381" t="str">
            <v>ca</v>
          </cell>
          <cell r="H381">
            <v>0.32</v>
          </cell>
          <cell r="I381">
            <v>0.32</v>
          </cell>
          <cell r="J381">
            <v>39789</v>
          </cell>
        </row>
        <row r="382">
          <cell r="F382" t="str">
            <v>Maùy vaän thaêng 0.8T</v>
          </cell>
          <cell r="G382" t="str">
            <v>ca</v>
          </cell>
          <cell r="H382">
            <v>0.09</v>
          </cell>
          <cell r="I382">
            <v>0.09</v>
          </cell>
          <cell r="J382">
            <v>90447</v>
          </cell>
        </row>
        <row r="383">
          <cell r="A383" t="str">
            <v>IA.3232</v>
          </cell>
          <cell r="B383" t="str">
            <v>IA.3232</v>
          </cell>
          <cell r="C383" t="str">
            <v>GCLÑ theùp HN MAÙI F &gt;18 H&gt;15m</v>
          </cell>
          <cell r="D383" t="str">
            <v>Taán</v>
          </cell>
          <cell r="E383">
            <v>1</v>
          </cell>
          <cell r="F383" t="str">
            <v>Keõm buoäc</v>
          </cell>
          <cell r="G383" t="str">
            <v>Kg</v>
          </cell>
          <cell r="H383">
            <v>14.28</v>
          </cell>
          <cell r="I383">
            <v>14.28</v>
          </cell>
          <cell r="J383">
            <v>5300</v>
          </cell>
          <cell r="K383">
            <v>4299436</v>
          </cell>
          <cell r="L383">
            <v>484726</v>
          </cell>
          <cell r="M383">
            <v>110032</v>
          </cell>
        </row>
        <row r="384">
          <cell r="C384" t="str">
            <v xml:space="preserve">   Trong ñoù:   * F 20</v>
          </cell>
          <cell r="D384" t="str">
            <v>Kg</v>
          </cell>
          <cell r="E384">
            <v>1</v>
          </cell>
          <cell r="F384" t="str">
            <v>Theùp troøn F 20</v>
          </cell>
          <cell r="G384" t="str">
            <v>Kg</v>
          </cell>
          <cell r="H384">
            <v>1020</v>
          </cell>
          <cell r="I384">
            <v>1.02</v>
          </cell>
          <cell r="J384">
            <v>4350</v>
          </cell>
        </row>
        <row r="385">
          <cell r="C385" t="str">
            <v xml:space="preserve">                     * F 22</v>
          </cell>
          <cell r="D385" t="str">
            <v>Kg</v>
          </cell>
          <cell r="E385">
            <v>1</v>
          </cell>
          <cell r="F385" t="str">
            <v>Theùp troøn F 22</v>
          </cell>
          <cell r="G385" t="str">
            <v>Kg</v>
          </cell>
          <cell r="H385">
            <v>1020</v>
          </cell>
          <cell r="I385">
            <v>1.02</v>
          </cell>
          <cell r="J385">
            <v>4350</v>
          </cell>
        </row>
        <row r="386">
          <cell r="C386" t="str">
            <v xml:space="preserve">                     * F 25</v>
          </cell>
          <cell r="D386" t="str">
            <v>Kg</v>
          </cell>
          <cell r="E386">
            <v>1</v>
          </cell>
          <cell r="F386" t="str">
            <v>Theùp troøn F 25</v>
          </cell>
          <cell r="G386" t="str">
            <v>Kg</v>
          </cell>
          <cell r="H386">
            <v>1020</v>
          </cell>
          <cell r="I386">
            <v>1.02</v>
          </cell>
          <cell r="J386">
            <v>4350</v>
          </cell>
        </row>
        <row r="387">
          <cell r="F387" t="str">
            <v>Que haøn</v>
          </cell>
          <cell r="G387" t="str">
            <v>Kg</v>
          </cell>
          <cell r="H387">
            <v>5.3</v>
          </cell>
          <cell r="I387">
            <v>5.3</v>
          </cell>
          <cell r="J387">
            <v>10000</v>
          </cell>
        </row>
        <row r="388">
          <cell r="F388" t="str">
            <v>NC 5/7</v>
          </cell>
          <cell r="G388" t="str">
            <v>coâng</v>
          </cell>
          <cell r="H388">
            <v>37.369999999999997</v>
          </cell>
          <cell r="I388">
            <v>37.369999999999997</v>
          </cell>
          <cell r="J388">
            <v>16625.689999999999</v>
          </cell>
        </row>
        <row r="389">
          <cell r="F389" t="str">
            <v>Maùy haøn 23KW</v>
          </cell>
          <cell r="G389" t="str">
            <v>ca</v>
          </cell>
          <cell r="H389">
            <v>1.2769999999999999</v>
          </cell>
          <cell r="I389">
            <v>1.2769999999999999</v>
          </cell>
          <cell r="J389">
            <v>77338</v>
          </cell>
        </row>
        <row r="390">
          <cell r="F390" t="str">
            <v>Maùy caét uoán</v>
          </cell>
          <cell r="G390" t="str">
            <v>ca</v>
          </cell>
          <cell r="H390">
            <v>0.16</v>
          </cell>
          <cell r="I390">
            <v>0.16</v>
          </cell>
          <cell r="J390">
            <v>39789</v>
          </cell>
        </row>
        <row r="391">
          <cell r="F391" t="str">
            <v>Maùy vaän thaêng 0.8T</v>
          </cell>
          <cell r="G391" t="str">
            <v>ca</v>
          </cell>
          <cell r="H391">
            <v>0.09</v>
          </cell>
          <cell r="I391">
            <v>0.09</v>
          </cell>
          <cell r="J391">
            <v>90447</v>
          </cell>
        </row>
        <row r="392">
          <cell r="A392" t="str">
            <v>BA.1194</v>
          </cell>
          <cell r="B392" t="str">
            <v>BA.1194</v>
          </cell>
          <cell r="C392" t="str">
            <v>Veùt buøn, taùt nöôùc ngaàm trong quaù trình thi coâng:</v>
          </cell>
          <cell r="D392" t="str">
            <v>m3</v>
          </cell>
          <cell r="E392">
            <v>1</v>
          </cell>
          <cell r="F392" t="str">
            <v>NC 2.7/7</v>
          </cell>
          <cell r="G392" t="str">
            <v>coâng</v>
          </cell>
          <cell r="H392">
            <v>6.6000000000000003E-2</v>
          </cell>
          <cell r="I392">
            <v>6.6000000000000003E-2</v>
          </cell>
          <cell r="J392">
            <v>12011.68</v>
          </cell>
          <cell r="K392">
            <v>0</v>
          </cell>
          <cell r="L392">
            <v>799</v>
          </cell>
          <cell r="M392">
            <v>0</v>
          </cell>
        </row>
        <row r="393">
          <cell r="A393" t="str">
            <v>GG.2214</v>
          </cell>
          <cell r="B393" t="str">
            <v>GG.2214</v>
          </cell>
          <cell r="C393" t="str">
            <v>Xaây töôøng 20 gaïch ñinh VXM75 H&lt;4m</v>
          </cell>
          <cell r="D393" t="str">
            <v>m3</v>
          </cell>
          <cell r="E393">
            <v>1</v>
          </cell>
          <cell r="F393" t="str">
            <v>Gaïch ñinh 4x8x19</v>
          </cell>
          <cell r="G393" t="str">
            <v>vieân</v>
          </cell>
          <cell r="H393">
            <v>1110</v>
          </cell>
          <cell r="I393">
            <v>1110</v>
          </cell>
          <cell r="J393">
            <v>170</v>
          </cell>
          <cell r="K393">
            <v>303177</v>
          </cell>
          <cell r="L393">
            <v>31130</v>
          </cell>
          <cell r="M393">
            <v>1495</v>
          </cell>
        </row>
        <row r="394">
          <cell r="F394" t="str">
            <v xml:space="preserve">Xi maêng PC 30 </v>
          </cell>
          <cell r="G394" t="str">
            <v>Kg</v>
          </cell>
          <cell r="H394">
            <v>104.01</v>
          </cell>
          <cell r="I394">
            <v>104.01</v>
          </cell>
          <cell r="J394">
            <v>880</v>
          </cell>
        </row>
        <row r="395">
          <cell r="F395" t="str">
            <v>Caùt mòn</v>
          </cell>
          <cell r="G395" t="str">
            <v>m3</v>
          </cell>
          <cell r="H395">
            <v>0.35399999999999998</v>
          </cell>
          <cell r="I395">
            <v>0.35399999999999998</v>
          </cell>
          <cell r="J395">
            <v>47000</v>
          </cell>
        </row>
        <row r="396">
          <cell r="F396" t="str">
            <v>Caây choáng</v>
          </cell>
          <cell r="G396" t="str">
            <v>caây</v>
          </cell>
          <cell r="H396">
            <v>0.5</v>
          </cell>
          <cell r="I396">
            <v>0.5</v>
          </cell>
          <cell r="J396">
            <v>11000</v>
          </cell>
        </row>
        <row r="397">
          <cell r="F397" t="str">
            <v>Goã vaùn coáppha</v>
          </cell>
          <cell r="G397" t="str">
            <v>m3</v>
          </cell>
          <cell r="H397">
            <v>3.0000000000000001E-3</v>
          </cell>
          <cell r="I397">
            <v>3.0000000000000001E-3</v>
          </cell>
          <cell r="J397">
            <v>2100000</v>
          </cell>
        </row>
        <row r="398">
          <cell r="F398" t="str">
            <v>Daây buoäc</v>
          </cell>
          <cell r="G398" t="str">
            <v>Kg</v>
          </cell>
          <cell r="H398">
            <v>0.23</v>
          </cell>
          <cell r="I398">
            <v>0.23</v>
          </cell>
          <cell r="J398">
            <v>5300</v>
          </cell>
        </row>
        <row r="399">
          <cell r="F399" t="str">
            <v>Nöôùc</v>
          </cell>
          <cell r="G399" t="str">
            <v>Lít</v>
          </cell>
          <cell r="H399">
            <v>84.5</v>
          </cell>
          <cell r="I399">
            <v>84.5</v>
          </cell>
          <cell r="J399">
            <v>2.5</v>
          </cell>
        </row>
        <row r="400">
          <cell r="F400" t="str">
            <v>NC 3.5/7</v>
          </cell>
          <cell r="G400" t="str">
            <v>coâng</v>
          </cell>
          <cell r="H400">
            <v>2.4</v>
          </cell>
          <cell r="I400">
            <v>2.4</v>
          </cell>
          <cell r="J400">
            <v>12964.99</v>
          </cell>
        </row>
        <row r="401">
          <cell r="F401" t="str">
            <v>Maùy troän 80L</v>
          </cell>
          <cell r="G401" t="str">
            <v>ca</v>
          </cell>
          <cell r="H401">
            <v>3.3000000000000002E-2</v>
          </cell>
          <cell r="I401">
            <v>3.3000000000000002E-2</v>
          </cell>
          <cell r="J401">
            <v>45294</v>
          </cell>
        </row>
        <row r="402">
          <cell r="F402" t="str">
            <v>Maùy vaän thaêng 0.8T</v>
          </cell>
          <cell r="G402" t="str">
            <v>ca</v>
          </cell>
          <cell r="I402">
            <v>0</v>
          </cell>
          <cell r="J402">
            <v>90447</v>
          </cell>
        </row>
        <row r="403">
          <cell r="A403" t="str">
            <v>GG.2224</v>
          </cell>
          <cell r="B403" t="str">
            <v>GG.2224</v>
          </cell>
          <cell r="C403" t="str">
            <v>Xaây töôøng 20 gaïch ñinh VXM75 H&gt;4m</v>
          </cell>
          <cell r="D403" t="str">
            <v>m3</v>
          </cell>
          <cell r="E403">
            <v>1</v>
          </cell>
          <cell r="F403" t="str">
            <v>Gaïch ñinh 4x8x19</v>
          </cell>
          <cell r="G403" t="str">
            <v>vieân</v>
          </cell>
          <cell r="H403">
            <v>1110</v>
          </cell>
          <cell r="I403">
            <v>1110</v>
          </cell>
          <cell r="J403">
            <v>170</v>
          </cell>
          <cell r="K403">
            <v>325908</v>
          </cell>
          <cell r="L403">
            <v>33725</v>
          </cell>
          <cell r="M403">
            <v>5855</v>
          </cell>
        </row>
        <row r="404">
          <cell r="F404" t="str">
            <v xml:space="preserve">Xi maêng PC 30 </v>
          </cell>
          <cell r="G404" t="str">
            <v>Kg</v>
          </cell>
          <cell r="H404">
            <v>104.01</v>
          </cell>
          <cell r="I404">
            <v>104.01</v>
          </cell>
          <cell r="J404">
            <v>880</v>
          </cell>
        </row>
        <row r="405">
          <cell r="F405" t="str">
            <v>Caùt mòn</v>
          </cell>
          <cell r="G405" t="str">
            <v>m3</v>
          </cell>
          <cell r="H405">
            <v>0.35399999999999998</v>
          </cell>
          <cell r="I405">
            <v>0.35399999999999998</v>
          </cell>
          <cell r="J405">
            <v>47000</v>
          </cell>
        </row>
        <row r="406">
          <cell r="F406" t="str">
            <v>Caây choáng</v>
          </cell>
          <cell r="G406" t="str">
            <v>caây</v>
          </cell>
          <cell r="H406">
            <v>1.62</v>
          </cell>
          <cell r="I406">
            <v>1.62</v>
          </cell>
          <cell r="J406">
            <v>11000</v>
          </cell>
        </row>
        <row r="407">
          <cell r="F407" t="str">
            <v>Goã vaùn coáppha</v>
          </cell>
          <cell r="G407" t="str">
            <v>m3</v>
          </cell>
          <cell r="H407">
            <v>0.01</v>
          </cell>
          <cell r="I407">
            <v>0.01</v>
          </cell>
          <cell r="J407">
            <v>2100000</v>
          </cell>
        </row>
        <row r="408">
          <cell r="F408" t="str">
            <v>Daây buoäc</v>
          </cell>
          <cell r="G408" t="str">
            <v>Kg</v>
          </cell>
          <cell r="H408">
            <v>0.46</v>
          </cell>
          <cell r="I408">
            <v>0.46</v>
          </cell>
          <cell r="J408">
            <v>5300</v>
          </cell>
        </row>
        <row r="409">
          <cell r="F409" t="str">
            <v>Nöôùc</v>
          </cell>
          <cell r="G409" t="str">
            <v>Lít</v>
          </cell>
          <cell r="H409">
            <v>84.5</v>
          </cell>
          <cell r="I409">
            <v>84.5</v>
          </cell>
          <cell r="J409">
            <v>2.5</v>
          </cell>
        </row>
        <row r="410">
          <cell r="F410" t="str">
            <v>NC 3.5/7</v>
          </cell>
          <cell r="G410" t="str">
            <v>coâng</v>
          </cell>
          <cell r="H410">
            <v>2.6</v>
          </cell>
          <cell r="I410">
            <v>2.6</v>
          </cell>
          <cell r="J410">
            <v>12964.99</v>
          </cell>
        </row>
        <row r="411">
          <cell r="F411" t="str">
            <v>Maùy troän 80L</v>
          </cell>
          <cell r="G411" t="str">
            <v>ca</v>
          </cell>
          <cell r="H411">
            <v>3.3000000000000002E-2</v>
          </cell>
          <cell r="I411">
            <v>3.3000000000000002E-2</v>
          </cell>
          <cell r="J411">
            <v>45294</v>
          </cell>
        </row>
        <row r="412">
          <cell r="F412" t="str">
            <v>Maùy vaän thaêng 0.8T</v>
          </cell>
          <cell r="G412" t="str">
            <v>ca</v>
          </cell>
          <cell r="H412">
            <v>0.08</v>
          </cell>
          <cell r="I412">
            <v>0.08</v>
          </cell>
          <cell r="J412">
            <v>90447</v>
          </cell>
        </row>
        <row r="413">
          <cell r="A413" t="str">
            <v>GG.2114</v>
          </cell>
          <cell r="B413" t="str">
            <v>GG.2114</v>
          </cell>
          <cell r="C413" t="str">
            <v>Xaây töôøng 10 gaïch ñinh VXM75:</v>
          </cell>
          <cell r="D413" t="str">
            <v>m3</v>
          </cell>
          <cell r="E413">
            <v>1</v>
          </cell>
          <cell r="F413" t="str">
            <v>Gaïch ñinh 4x8x19</v>
          </cell>
          <cell r="G413" t="str">
            <v>vieân</v>
          </cell>
          <cell r="H413">
            <v>1315</v>
          </cell>
          <cell r="I413">
            <v>1315</v>
          </cell>
          <cell r="J413">
            <v>170</v>
          </cell>
          <cell r="K413">
            <v>298078</v>
          </cell>
          <cell r="L413">
            <v>35022</v>
          </cell>
          <cell r="M413">
            <v>906</v>
          </cell>
        </row>
        <row r="414">
          <cell r="F414" t="str">
            <v xml:space="preserve">Xi maêng PC 30 </v>
          </cell>
          <cell r="G414" t="str">
            <v>Kg</v>
          </cell>
          <cell r="H414">
            <v>64.006</v>
          </cell>
          <cell r="I414">
            <v>64.006</v>
          </cell>
          <cell r="J414">
            <v>880</v>
          </cell>
        </row>
        <row r="415">
          <cell r="F415" t="str">
            <v>Caùt mòn</v>
          </cell>
          <cell r="G415" t="str">
            <v>m3</v>
          </cell>
          <cell r="H415">
            <v>0.218</v>
          </cell>
          <cell r="I415">
            <v>0.218</v>
          </cell>
          <cell r="J415">
            <v>47000</v>
          </cell>
        </row>
        <row r="416">
          <cell r="F416" t="str">
            <v>Caây choáng</v>
          </cell>
          <cell r="G416" t="str">
            <v>caây</v>
          </cell>
          <cell r="H416">
            <v>0.5</v>
          </cell>
          <cell r="I416">
            <v>0.5</v>
          </cell>
          <cell r="J416">
            <v>11000</v>
          </cell>
        </row>
        <row r="417">
          <cell r="F417" t="str">
            <v>Goã vaùn coáppha</v>
          </cell>
          <cell r="G417" t="str">
            <v>m3</v>
          </cell>
          <cell r="H417">
            <v>3.0000000000000001E-3</v>
          </cell>
          <cell r="I417">
            <v>3.0000000000000001E-3</v>
          </cell>
          <cell r="J417">
            <v>2100000</v>
          </cell>
        </row>
        <row r="418">
          <cell r="F418" t="str">
            <v>Daây buoäc</v>
          </cell>
          <cell r="G418" t="str">
            <v>Kg</v>
          </cell>
          <cell r="H418">
            <v>0.23</v>
          </cell>
          <cell r="I418">
            <v>0.23</v>
          </cell>
          <cell r="J418">
            <v>5300</v>
          </cell>
        </row>
        <row r="419">
          <cell r="F419" t="str">
            <v>Nöôùc</v>
          </cell>
          <cell r="G419" t="str">
            <v>Lít</v>
          </cell>
          <cell r="H419">
            <v>52</v>
          </cell>
          <cell r="I419">
            <v>52</v>
          </cell>
          <cell r="J419">
            <v>2.5</v>
          </cell>
        </row>
        <row r="420">
          <cell r="F420" t="str">
            <v>NC 3.5/7</v>
          </cell>
          <cell r="G420" t="str">
            <v>coâng</v>
          </cell>
          <cell r="H420">
            <v>2.7</v>
          </cell>
          <cell r="I420">
            <v>2.7</v>
          </cell>
          <cell r="J420">
            <v>12964.99</v>
          </cell>
        </row>
        <row r="421">
          <cell r="F421" t="str">
            <v>Maùy troän 80L</v>
          </cell>
          <cell r="G421" t="str">
            <v>ca</v>
          </cell>
          <cell r="H421">
            <v>0.02</v>
          </cell>
          <cell r="I421">
            <v>0.02</v>
          </cell>
          <cell r="J421">
            <v>45294</v>
          </cell>
        </row>
        <row r="422">
          <cell r="A422" t="str">
            <v>GG.2124</v>
          </cell>
          <cell r="B422" t="str">
            <v>GG.2124</v>
          </cell>
          <cell r="C422" t="str">
            <v>Xaây töôøng 10 gaïch ñinh VXM75 H&gt;4m</v>
          </cell>
          <cell r="D422" t="str">
            <v>m3</v>
          </cell>
          <cell r="E422">
            <v>1</v>
          </cell>
          <cell r="F422" t="str">
            <v>Gaïch ñinh 4x8x19</v>
          </cell>
          <cell r="G422" t="str">
            <v>vieân</v>
          </cell>
          <cell r="H422">
            <v>1315</v>
          </cell>
          <cell r="I422">
            <v>1315</v>
          </cell>
          <cell r="J422">
            <v>170</v>
          </cell>
          <cell r="K422">
            <v>320809</v>
          </cell>
          <cell r="L422">
            <v>38913</v>
          </cell>
          <cell r="M422">
            <v>5811</v>
          </cell>
        </row>
        <row r="423">
          <cell r="F423" t="str">
            <v xml:space="preserve">Xi maêng PC 30 </v>
          </cell>
          <cell r="G423" t="str">
            <v>Kg</v>
          </cell>
          <cell r="H423">
            <v>64.006</v>
          </cell>
          <cell r="I423">
            <v>64.006</v>
          </cell>
          <cell r="J423">
            <v>880</v>
          </cell>
        </row>
        <row r="424">
          <cell r="F424" t="str">
            <v>Caùt mòn</v>
          </cell>
          <cell r="G424" t="str">
            <v>m3</v>
          </cell>
          <cell r="H424">
            <v>0.218</v>
          </cell>
          <cell r="I424">
            <v>0.218</v>
          </cell>
          <cell r="J424">
            <v>47000</v>
          </cell>
        </row>
        <row r="425">
          <cell r="F425" t="str">
            <v>Caây choáng</v>
          </cell>
          <cell r="G425" t="str">
            <v>caây</v>
          </cell>
          <cell r="H425">
            <v>1.62</v>
          </cell>
          <cell r="I425">
            <v>1.62</v>
          </cell>
          <cell r="J425">
            <v>11000</v>
          </cell>
        </row>
        <row r="426">
          <cell r="F426" t="str">
            <v>Goã vaùn coáppha</v>
          </cell>
          <cell r="G426" t="str">
            <v>m3</v>
          </cell>
          <cell r="H426">
            <v>0.01</v>
          </cell>
          <cell r="I426">
            <v>0.01</v>
          </cell>
          <cell r="J426">
            <v>2100000</v>
          </cell>
        </row>
        <row r="427">
          <cell r="F427" t="str">
            <v>Daây buoäc</v>
          </cell>
          <cell r="G427" t="str">
            <v>Kg</v>
          </cell>
          <cell r="H427">
            <v>0.46</v>
          </cell>
          <cell r="I427">
            <v>0.46</v>
          </cell>
          <cell r="J427">
            <v>5300</v>
          </cell>
        </row>
        <row r="428">
          <cell r="F428" t="str">
            <v>Nöôùc</v>
          </cell>
          <cell r="G428" t="str">
            <v>Lít</v>
          </cell>
          <cell r="H428">
            <v>52</v>
          </cell>
          <cell r="I428">
            <v>52</v>
          </cell>
          <cell r="J428">
            <v>2.5</v>
          </cell>
        </row>
        <row r="429">
          <cell r="F429" t="str">
            <v>NC 3.5/7</v>
          </cell>
          <cell r="G429" t="str">
            <v>coâng</v>
          </cell>
          <cell r="H429">
            <v>3</v>
          </cell>
          <cell r="I429">
            <v>3</v>
          </cell>
          <cell r="J429">
            <v>12964.99</v>
          </cell>
        </row>
        <row r="430">
          <cell r="F430" t="str">
            <v>Maùy troän 80L</v>
          </cell>
          <cell r="G430" t="str">
            <v>ca</v>
          </cell>
          <cell r="H430">
            <v>0.02</v>
          </cell>
          <cell r="I430">
            <v>0.02</v>
          </cell>
          <cell r="J430">
            <v>45294</v>
          </cell>
        </row>
        <row r="431">
          <cell r="F431" t="str">
            <v>Maùy vaän thaêng 0.8T</v>
          </cell>
          <cell r="G431" t="str">
            <v>ca</v>
          </cell>
          <cell r="H431">
            <v>0.09</v>
          </cell>
          <cell r="I431">
            <v>0.09</v>
          </cell>
          <cell r="J431">
            <v>90447</v>
          </cell>
        </row>
        <row r="432">
          <cell r="A432" t="str">
            <v>YG.11012</v>
          </cell>
          <cell r="B432" t="str">
            <v>YG.11012</v>
          </cell>
          <cell r="C432" t="str">
            <v>Laép ñaët oáng coáng BTCT F 200</v>
          </cell>
          <cell r="D432" t="str">
            <v>md</v>
          </cell>
          <cell r="E432">
            <v>1</v>
          </cell>
          <cell r="F432" t="str">
            <v>Coáng BTCT F 200</v>
          </cell>
          <cell r="G432" t="str">
            <v>md</v>
          </cell>
          <cell r="H432">
            <v>1</v>
          </cell>
          <cell r="I432">
            <v>1</v>
          </cell>
          <cell r="J432">
            <v>22000</v>
          </cell>
          <cell r="K432">
            <v>18500</v>
          </cell>
          <cell r="L432">
            <v>7744</v>
          </cell>
          <cell r="M432">
            <v>0</v>
          </cell>
        </row>
        <row r="433">
          <cell r="F433" t="str">
            <v>NC 3.5/7</v>
          </cell>
          <cell r="G433" t="str">
            <v>coâng</v>
          </cell>
          <cell r="H433">
            <v>0.53400000000000003</v>
          </cell>
          <cell r="I433">
            <v>0.53400000000000003</v>
          </cell>
          <cell r="J433">
            <v>12964.99</v>
          </cell>
        </row>
        <row r="434">
          <cell r="A434" t="str">
            <v>YG.11014</v>
          </cell>
          <cell r="B434" t="str">
            <v>YG.11014</v>
          </cell>
          <cell r="C434" t="str">
            <v>Laép ñaët oáng coáng BTCT F 300</v>
          </cell>
          <cell r="D434" t="str">
            <v>md</v>
          </cell>
          <cell r="E434">
            <v>1</v>
          </cell>
          <cell r="F434" t="str">
            <v>Coáng BTCT F 300</v>
          </cell>
          <cell r="G434" t="str">
            <v>md</v>
          </cell>
          <cell r="H434">
            <v>1</v>
          </cell>
          <cell r="I434">
            <v>1</v>
          </cell>
          <cell r="J434">
            <v>33000</v>
          </cell>
          <cell r="K434">
            <v>18500</v>
          </cell>
          <cell r="L434">
            <v>9845</v>
          </cell>
          <cell r="M434">
            <v>0</v>
          </cell>
        </row>
        <row r="435">
          <cell r="F435" t="str">
            <v>NC 3.5/7</v>
          </cell>
          <cell r="G435" t="str">
            <v>coâng</v>
          </cell>
          <cell r="H435">
            <v>0.75900000000000001</v>
          </cell>
          <cell r="I435">
            <v>0.75900000000000001</v>
          </cell>
          <cell r="J435">
            <v>12964.99</v>
          </cell>
        </row>
        <row r="436">
          <cell r="A436" t="str">
            <v>HA.5213</v>
          </cell>
          <cell r="B436" t="str">
            <v>HA.5213</v>
          </cell>
          <cell r="C436" t="str">
            <v>BT ñaù 1x2 #200 noái coáng BT</v>
          </cell>
          <cell r="D436" t="str">
            <v>m3</v>
          </cell>
          <cell r="E436">
            <v>1</v>
          </cell>
          <cell r="F436" t="str">
            <v xml:space="preserve">Xi maêng PC 30 </v>
          </cell>
          <cell r="G436" t="str">
            <v>Kg</v>
          </cell>
          <cell r="H436" t="str">
            <v>350.55</v>
          </cell>
          <cell r="I436" t="e">
            <v>#VALUE!</v>
          </cell>
          <cell r="J436">
            <v>880</v>
          </cell>
          <cell r="K436">
            <v>461834</v>
          </cell>
          <cell r="L436">
            <v>28666</v>
          </cell>
          <cell r="M436">
            <v>9146</v>
          </cell>
        </row>
        <row r="437">
          <cell r="F437" t="str">
            <v>Caùt vaøng</v>
          </cell>
          <cell r="G437" t="str">
            <v>m3</v>
          </cell>
          <cell r="H437">
            <v>0.48099999999999998</v>
          </cell>
          <cell r="I437">
            <v>0.48099999999999998</v>
          </cell>
          <cell r="J437">
            <v>47000</v>
          </cell>
        </row>
        <row r="438">
          <cell r="F438" t="str">
            <v>Ñaù 1x2</v>
          </cell>
          <cell r="G438" t="str">
            <v>m3</v>
          </cell>
          <cell r="H438">
            <v>0.9</v>
          </cell>
          <cell r="I438">
            <v>0.9</v>
          </cell>
          <cell r="J438">
            <v>125000</v>
          </cell>
        </row>
        <row r="439">
          <cell r="F439" t="str">
            <v>Nöôùc</v>
          </cell>
          <cell r="G439" t="str">
            <v>Lít</v>
          </cell>
          <cell r="H439">
            <v>189.625</v>
          </cell>
          <cell r="I439">
            <v>189.625</v>
          </cell>
          <cell r="J439">
            <v>2.5</v>
          </cell>
        </row>
        <row r="440">
          <cell r="F440" t="str">
            <v>Vaät lieäu khaùc</v>
          </cell>
          <cell r="G440" t="str">
            <v>ñoàng</v>
          </cell>
          <cell r="H440">
            <v>0.01</v>
          </cell>
          <cell r="I440" t="e">
            <v>#VALUE!</v>
          </cell>
          <cell r="J440">
            <v>1</v>
          </cell>
        </row>
        <row r="441">
          <cell r="F441" t="str">
            <v>NC 3.5/7</v>
          </cell>
          <cell r="G441" t="str">
            <v>coâng</v>
          </cell>
          <cell r="H441">
            <v>2.21</v>
          </cell>
          <cell r="I441">
            <v>2.21</v>
          </cell>
          <cell r="J441">
            <v>12964.99</v>
          </cell>
        </row>
        <row r="442">
          <cell r="F442" t="str">
            <v>Maùy troän 250L</v>
          </cell>
          <cell r="G442" t="str">
            <v>ca</v>
          </cell>
          <cell r="H442">
            <v>9.5000000000000001E-2</v>
          </cell>
          <cell r="I442">
            <v>9.5000000000000001E-2</v>
          </cell>
          <cell r="J442">
            <v>96272</v>
          </cell>
        </row>
        <row r="443">
          <cell r="A443" t="str">
            <v>RB.2125</v>
          </cell>
          <cell r="B443" t="str">
            <v>RB.2125</v>
          </cell>
          <cell r="C443" t="str">
            <v>Laùng choáng thaám 2cm hoá ngaàm VXM100 ñaùnh maøu</v>
          </cell>
          <cell r="D443" t="str">
            <v>m2</v>
          </cell>
          <cell r="E443">
            <v>1</v>
          </cell>
          <cell r="F443" t="str">
            <v xml:space="preserve">Xi maêng PC 30 </v>
          </cell>
          <cell r="G443" t="str">
            <v>Kg</v>
          </cell>
          <cell r="H443">
            <v>10.353999999999999</v>
          </cell>
          <cell r="I443">
            <v>10.353999999999999</v>
          </cell>
          <cell r="J443">
            <v>880</v>
          </cell>
          <cell r="K443">
            <v>10230</v>
          </cell>
          <cell r="L443">
            <v>1874</v>
          </cell>
          <cell r="M443">
            <v>136</v>
          </cell>
        </row>
        <row r="444">
          <cell r="F444" t="str">
            <v>Caùt mòn</v>
          </cell>
          <cell r="G444" t="str">
            <v>m3</v>
          </cell>
          <cell r="H444">
            <v>2.5999999999999999E-2</v>
          </cell>
          <cell r="I444">
            <v>2.5999999999999999E-2</v>
          </cell>
          <cell r="J444">
            <v>47000</v>
          </cell>
        </row>
        <row r="445">
          <cell r="F445" t="str">
            <v>Nöôùc</v>
          </cell>
          <cell r="G445" t="str">
            <v>Lít</v>
          </cell>
          <cell r="H445">
            <v>6.5</v>
          </cell>
          <cell r="I445">
            <v>6.5</v>
          </cell>
          <cell r="J445">
            <v>2.5</v>
          </cell>
        </row>
        <row r="446">
          <cell r="F446" t="str">
            <v>NC 3.7/7</v>
          </cell>
          <cell r="G446" t="str">
            <v>coâng</v>
          </cell>
          <cell r="H446">
            <v>0.14199999999999999</v>
          </cell>
          <cell r="I446">
            <v>0.14199999999999999</v>
          </cell>
          <cell r="J446">
            <v>13209.03</v>
          </cell>
        </row>
        <row r="447">
          <cell r="F447" t="str">
            <v>Maùy troän 80L</v>
          </cell>
          <cell r="G447" t="str">
            <v>ca</v>
          </cell>
          <cell r="H447">
            <v>3.0000000000000001E-3</v>
          </cell>
          <cell r="I447">
            <v>3.0000000000000001E-3</v>
          </cell>
          <cell r="J447">
            <v>45294</v>
          </cell>
        </row>
        <row r="448">
          <cell r="A448" t="str">
            <v>PE.3114</v>
          </cell>
          <cell r="B448" t="str">
            <v>PE.3114</v>
          </cell>
          <cell r="C448" t="str">
            <v>XM löôùi theùp choáng thaám caùc hoá ngaàm = DT treân</v>
          </cell>
          <cell r="D448" t="str">
            <v>m2</v>
          </cell>
          <cell r="E448">
            <v>1</v>
          </cell>
          <cell r="F448" t="str">
            <v>Ñaù mi</v>
          </cell>
          <cell r="G448" t="str">
            <v>Kg</v>
          </cell>
          <cell r="H448">
            <v>19.34</v>
          </cell>
          <cell r="I448">
            <v>19.34</v>
          </cell>
          <cell r="J448">
            <v>500</v>
          </cell>
          <cell r="K448">
            <v>45214</v>
          </cell>
          <cell r="L448">
            <v>14909</v>
          </cell>
          <cell r="M448">
            <v>0</v>
          </cell>
        </row>
        <row r="449">
          <cell r="B449" t="str">
            <v>SR</v>
          </cell>
          <cell r="F449" t="str">
            <v xml:space="preserve">Xi maêng PC 30 </v>
          </cell>
          <cell r="G449" t="str">
            <v>Kg</v>
          </cell>
          <cell r="H449">
            <v>8</v>
          </cell>
          <cell r="I449">
            <v>8</v>
          </cell>
          <cell r="J449">
            <v>880</v>
          </cell>
        </row>
        <row r="450">
          <cell r="F450" t="str">
            <v>Caùt mòn</v>
          </cell>
          <cell r="G450" t="str">
            <v>m3</v>
          </cell>
          <cell r="H450">
            <v>2.7E-2</v>
          </cell>
          <cell r="I450">
            <v>2.7E-2</v>
          </cell>
          <cell r="J450">
            <v>47000</v>
          </cell>
        </row>
        <row r="451">
          <cell r="F451" t="str">
            <v>Nöôùc</v>
          </cell>
          <cell r="G451" t="str">
            <v>Lít</v>
          </cell>
          <cell r="H451">
            <v>6.5</v>
          </cell>
          <cell r="I451">
            <v>6.5</v>
          </cell>
          <cell r="J451">
            <v>2.5</v>
          </cell>
        </row>
        <row r="452">
          <cell r="F452" t="str">
            <v>Löôùi theùp 1 li choáng thaám</v>
          </cell>
          <cell r="G452" t="str">
            <v>m2</v>
          </cell>
          <cell r="H452">
            <v>1.1499999999999999</v>
          </cell>
          <cell r="I452">
            <v>1.1499999999999999</v>
          </cell>
          <cell r="J452">
            <v>12000</v>
          </cell>
        </row>
        <row r="453">
          <cell r="F453" t="str">
            <v>NC 3.7/7</v>
          </cell>
          <cell r="G453" t="str">
            <v>coâng</v>
          </cell>
          <cell r="H453">
            <v>1.1299999999999999</v>
          </cell>
          <cell r="I453">
            <v>1.1299999999999999</v>
          </cell>
          <cell r="J453">
            <v>13209.03</v>
          </cell>
        </row>
        <row r="454">
          <cell r="A454" t="str">
            <v>TT1</v>
          </cell>
          <cell r="B454" t="str">
            <v>TT1</v>
          </cell>
          <cell r="C454" t="str">
            <v>Composite choáng thaám (VL+NC)</v>
          </cell>
          <cell r="D454" t="str">
            <v>m2</v>
          </cell>
          <cell r="E454">
            <v>1</v>
          </cell>
          <cell r="F454" t="str">
            <v>VL composite choáng thaám (VL+NC)</v>
          </cell>
          <cell r="G454" t="str">
            <v>m2</v>
          </cell>
          <cell r="H454">
            <v>1</v>
          </cell>
          <cell r="I454">
            <v>1</v>
          </cell>
          <cell r="J454">
            <v>85000</v>
          </cell>
          <cell r="K454">
            <v>85000</v>
          </cell>
          <cell r="L454">
            <v>0</v>
          </cell>
          <cell r="M454">
            <v>0</v>
          </cell>
        </row>
        <row r="455">
          <cell r="A455" t="str">
            <v>HA.3113</v>
          </cell>
          <cell r="B455" t="str">
            <v>HA.3113</v>
          </cell>
          <cell r="C455" t="str">
            <v>BEÂTOÂNG ÑAÙ 1x2 #200 ÑUÙC GIAÈNG &amp; BOÅ TRUÏ (TROÄN MAÙY)</v>
          </cell>
          <cell r="D455" t="str">
            <v>m3</v>
          </cell>
          <cell r="E455">
            <v>1</v>
          </cell>
          <cell r="F455" t="str">
            <v xml:space="preserve">Xi maêng PC 30 </v>
          </cell>
          <cell r="G455" t="str">
            <v>Kg</v>
          </cell>
          <cell r="H455">
            <v>415.125</v>
          </cell>
          <cell r="I455">
            <v>415.125</v>
          </cell>
          <cell r="J455">
            <v>880</v>
          </cell>
          <cell r="K455">
            <v>461834</v>
          </cell>
          <cell r="L455">
            <v>46177</v>
          </cell>
          <cell r="M455">
            <v>21882</v>
          </cell>
        </row>
        <row r="456">
          <cell r="F456" t="str">
            <v>Caùt vaøng</v>
          </cell>
          <cell r="G456" t="str">
            <v>m3</v>
          </cell>
          <cell r="H456">
            <v>0.45500000000000002</v>
          </cell>
          <cell r="I456">
            <v>0.45500000000000002</v>
          </cell>
          <cell r="J456">
            <v>47000</v>
          </cell>
        </row>
        <row r="457">
          <cell r="F457" t="str">
            <v>Ñaù 1x2</v>
          </cell>
          <cell r="G457" t="str">
            <v>m3</v>
          </cell>
          <cell r="H457">
            <v>0.88700000000000001</v>
          </cell>
          <cell r="I457">
            <v>0.88700000000000001</v>
          </cell>
          <cell r="J457">
            <v>125000</v>
          </cell>
        </row>
        <row r="458">
          <cell r="F458" t="str">
            <v>Nöôùc</v>
          </cell>
          <cell r="G458" t="str">
            <v>Lít</v>
          </cell>
          <cell r="H458">
            <v>189.625</v>
          </cell>
          <cell r="I458">
            <v>189.625</v>
          </cell>
          <cell r="J458">
            <v>2.5</v>
          </cell>
        </row>
        <row r="459">
          <cell r="F459" t="str">
            <v>Phuï gia ÑKN</v>
          </cell>
          <cell r="G459" t="str">
            <v>Kg</v>
          </cell>
          <cell r="H459">
            <v>0.06</v>
          </cell>
          <cell r="I459">
            <v>24.907499999999999</v>
          </cell>
          <cell r="J459">
            <v>0</v>
          </cell>
        </row>
        <row r="460">
          <cell r="F460" t="str">
            <v>Vaät lieäu khaùc</v>
          </cell>
          <cell r="G460" t="str">
            <v>ñoàng</v>
          </cell>
          <cell r="H460">
            <v>0.01</v>
          </cell>
          <cell r="I460">
            <v>4980.4406250000002</v>
          </cell>
          <cell r="J460">
            <v>1</v>
          </cell>
        </row>
        <row r="461">
          <cell r="F461" t="str">
            <v>NC 3.5/7</v>
          </cell>
          <cell r="G461" t="str">
            <v>coâng</v>
          </cell>
          <cell r="H461">
            <v>3.56</v>
          </cell>
          <cell r="I461">
            <v>3.56</v>
          </cell>
          <cell r="J461">
            <v>12964.99</v>
          </cell>
        </row>
        <row r="462">
          <cell r="F462" t="str">
            <v>Maùy troän 250l</v>
          </cell>
          <cell r="G462" t="str">
            <v>ca</v>
          </cell>
          <cell r="H462">
            <v>9.5000000000000001E-2</v>
          </cell>
          <cell r="I462">
            <v>9.5000000000000001E-2</v>
          </cell>
          <cell r="J462">
            <v>96272</v>
          </cell>
        </row>
        <row r="463">
          <cell r="F463" t="str">
            <v>Maùy ñaàm duøi 1.5KW</v>
          </cell>
          <cell r="G463" t="str">
            <v>ca</v>
          </cell>
          <cell r="H463">
            <v>0.18</v>
          </cell>
          <cell r="I463">
            <v>0.18</v>
          </cell>
          <cell r="J463">
            <v>37456</v>
          </cell>
        </row>
        <row r="464">
          <cell r="F464" t="str">
            <v>Maùy vaän thaêng 0.8T</v>
          </cell>
          <cell r="G464" t="str">
            <v>ca</v>
          </cell>
          <cell r="H464">
            <v>0.11</v>
          </cell>
          <cell r="I464">
            <v>0.11</v>
          </cell>
          <cell r="J464">
            <v>90447</v>
          </cell>
        </row>
        <row r="465">
          <cell r="A465" t="str">
            <v>HA.3114</v>
          </cell>
          <cell r="B465" t="str">
            <v>HA.3114</v>
          </cell>
          <cell r="C465" t="str">
            <v>BEÂTOÂNG ÑAÙ 1x2 #250 ÑUÙC GIAÈNG &amp; BOÅ TRUÏ (TROÄN MAÙY)</v>
          </cell>
          <cell r="D465" t="str">
            <v>m3</v>
          </cell>
          <cell r="E465">
            <v>1</v>
          </cell>
          <cell r="F465" t="str">
            <v xml:space="preserve">Xi maêng PC 30 </v>
          </cell>
          <cell r="G465" t="str">
            <v>Kg</v>
          </cell>
          <cell r="H465">
            <v>415.125</v>
          </cell>
          <cell r="I465">
            <v>415.125</v>
          </cell>
          <cell r="J465">
            <v>880</v>
          </cell>
          <cell r="K465">
            <v>517539</v>
          </cell>
          <cell r="L465">
            <v>46177</v>
          </cell>
          <cell r="M465">
            <v>21882</v>
          </cell>
        </row>
        <row r="466">
          <cell r="F466" t="str">
            <v>Caùt vaøng</v>
          </cell>
          <cell r="G466" t="str">
            <v>m3</v>
          </cell>
          <cell r="H466">
            <v>0.45500000000000002</v>
          </cell>
          <cell r="I466">
            <v>0.45500000000000002</v>
          </cell>
          <cell r="J466">
            <v>47000</v>
          </cell>
        </row>
        <row r="467">
          <cell r="F467" t="str">
            <v>Ñaù 1x2</v>
          </cell>
          <cell r="G467" t="str">
            <v>m3</v>
          </cell>
          <cell r="H467">
            <v>0.88700000000000001</v>
          </cell>
          <cell r="I467">
            <v>0.88700000000000001</v>
          </cell>
          <cell r="J467">
            <v>125000</v>
          </cell>
        </row>
        <row r="468">
          <cell r="F468" t="str">
            <v>Nöôùc</v>
          </cell>
          <cell r="G468" t="str">
            <v>Lít</v>
          </cell>
          <cell r="H468">
            <v>189.625</v>
          </cell>
          <cell r="I468">
            <v>189.625</v>
          </cell>
          <cell r="J468">
            <v>2.5</v>
          </cell>
        </row>
        <row r="469">
          <cell r="F469" t="str">
            <v>Phuï gia ÑKN</v>
          </cell>
          <cell r="G469" t="str">
            <v>Kg</v>
          </cell>
          <cell r="H469">
            <v>0.06</v>
          </cell>
          <cell r="I469">
            <v>24.907499999999999</v>
          </cell>
          <cell r="J469">
            <v>0</v>
          </cell>
        </row>
        <row r="470">
          <cell r="F470" t="str">
            <v>Vaät lieäu khaùc</v>
          </cell>
          <cell r="G470" t="str">
            <v>ñoàng</v>
          </cell>
          <cell r="H470">
            <v>0.01</v>
          </cell>
          <cell r="I470">
            <v>4980.4406250000002</v>
          </cell>
          <cell r="J470">
            <v>1</v>
          </cell>
        </row>
        <row r="471">
          <cell r="F471" t="str">
            <v>NC 3.5/7</v>
          </cell>
          <cell r="G471" t="str">
            <v>coâng</v>
          </cell>
          <cell r="H471">
            <v>3.56</v>
          </cell>
          <cell r="I471">
            <v>3.56</v>
          </cell>
          <cell r="J471">
            <v>12964.99</v>
          </cell>
        </row>
        <row r="472">
          <cell r="F472" t="str">
            <v>Maùy troän 250l</v>
          </cell>
          <cell r="G472" t="str">
            <v>ca</v>
          </cell>
          <cell r="H472">
            <v>9.5000000000000001E-2</v>
          </cell>
          <cell r="I472">
            <v>9.5000000000000001E-2</v>
          </cell>
          <cell r="J472">
            <v>96272</v>
          </cell>
        </row>
        <row r="473">
          <cell r="F473" t="str">
            <v>Maùy ñaàm duøi 1.5KW</v>
          </cell>
          <cell r="G473" t="str">
            <v>ca</v>
          </cell>
          <cell r="H473">
            <v>0.18</v>
          </cell>
          <cell r="I473">
            <v>0.18</v>
          </cell>
          <cell r="J473">
            <v>37456</v>
          </cell>
        </row>
        <row r="474">
          <cell r="F474" t="str">
            <v>Maùy vaän thaêng 0.8T</v>
          </cell>
          <cell r="G474" t="str">
            <v>ca</v>
          </cell>
          <cell r="H474">
            <v>0.11</v>
          </cell>
          <cell r="I474">
            <v>0.11</v>
          </cell>
          <cell r="J474">
            <v>90447</v>
          </cell>
        </row>
        <row r="475">
          <cell r="A475" t="str">
            <v>HA.3314</v>
          </cell>
          <cell r="B475" t="str">
            <v>HA.3314</v>
          </cell>
          <cell r="C475" t="str">
            <v>BEÂTOÂNG ÑAÙ 1x2 #250 ÑUÙC MAÙI ÑOÙN (TROÄN MAÙY)</v>
          </cell>
          <cell r="D475" t="str">
            <v>m3</v>
          </cell>
          <cell r="E475">
            <v>1</v>
          </cell>
          <cell r="F475" t="str">
            <v xml:space="preserve">Xi maêng PC 30 </v>
          </cell>
          <cell r="G475" t="str">
            <v>Kg</v>
          </cell>
          <cell r="H475">
            <v>415.125</v>
          </cell>
          <cell r="I475">
            <v>415.125</v>
          </cell>
          <cell r="J475">
            <v>880</v>
          </cell>
          <cell r="K475">
            <v>517539</v>
          </cell>
          <cell r="L475">
            <v>49290</v>
          </cell>
          <cell r="M475">
            <v>18474</v>
          </cell>
        </row>
        <row r="476">
          <cell r="F476" t="str">
            <v>Caùt vaøng</v>
          </cell>
          <cell r="G476" t="str">
            <v>m3</v>
          </cell>
          <cell r="H476">
            <v>0.45500000000000002</v>
          </cell>
          <cell r="I476">
            <v>0.45500000000000002</v>
          </cell>
          <cell r="J476">
            <v>47000</v>
          </cell>
        </row>
        <row r="477">
          <cell r="F477" t="str">
            <v>Ñaù 1x2</v>
          </cell>
          <cell r="G477" t="str">
            <v>m3</v>
          </cell>
          <cell r="H477">
            <v>0.88700000000000001</v>
          </cell>
          <cell r="I477">
            <v>0.88700000000000001</v>
          </cell>
          <cell r="J477">
            <v>125000</v>
          </cell>
        </row>
        <row r="478">
          <cell r="F478" t="str">
            <v>Nöôùc</v>
          </cell>
          <cell r="G478" t="str">
            <v>Lít</v>
          </cell>
          <cell r="H478">
            <v>189.625</v>
          </cell>
          <cell r="I478">
            <v>189.625</v>
          </cell>
          <cell r="J478">
            <v>2.5</v>
          </cell>
        </row>
        <row r="479">
          <cell r="F479" t="str">
            <v>Phuï gia ÑKN</v>
          </cell>
          <cell r="G479" t="str">
            <v>Kg</v>
          </cell>
          <cell r="H479">
            <v>0.06</v>
          </cell>
          <cell r="I479">
            <v>24.907499999999999</v>
          </cell>
          <cell r="J479">
            <v>0</v>
          </cell>
        </row>
        <row r="480">
          <cell r="F480" t="str">
            <v>Vaät lieäu khaùc</v>
          </cell>
          <cell r="G480" t="str">
            <v>ñoàng</v>
          </cell>
          <cell r="H480">
            <v>0.01</v>
          </cell>
          <cell r="I480">
            <v>4980.4406250000002</v>
          </cell>
          <cell r="J480">
            <v>1</v>
          </cell>
        </row>
        <row r="481">
          <cell r="F481" t="str">
            <v>NC 3.5/7</v>
          </cell>
          <cell r="G481" t="str">
            <v>coâng</v>
          </cell>
          <cell r="H481">
            <v>3.8</v>
          </cell>
          <cell r="I481">
            <v>3.8</v>
          </cell>
          <cell r="J481">
            <v>12964.99</v>
          </cell>
        </row>
        <row r="482">
          <cell r="F482" t="str">
            <v>Maùy troän 250l</v>
          </cell>
          <cell r="G482" t="str">
            <v>ca</v>
          </cell>
          <cell r="H482">
            <v>9.5000000000000001E-2</v>
          </cell>
          <cell r="I482">
            <v>9.5000000000000001E-2</v>
          </cell>
          <cell r="J482">
            <v>96272</v>
          </cell>
        </row>
        <row r="483">
          <cell r="F483" t="str">
            <v>Maùy ñaàm duøi 1.5KW</v>
          </cell>
          <cell r="G483" t="str">
            <v>ca</v>
          </cell>
          <cell r="H483">
            <v>8.8999999999999996E-2</v>
          </cell>
          <cell r="I483">
            <v>8.8999999999999996E-2</v>
          </cell>
          <cell r="J483">
            <v>37456</v>
          </cell>
        </row>
        <row r="484">
          <cell r="F484" t="str">
            <v>Maùy vaän thaêng 0.8T</v>
          </cell>
          <cell r="G484" t="str">
            <v>ca</v>
          </cell>
          <cell r="H484">
            <v>0.11</v>
          </cell>
          <cell r="I484">
            <v>0.11</v>
          </cell>
          <cell r="J484">
            <v>90447</v>
          </cell>
        </row>
        <row r="485">
          <cell r="A485" t="str">
            <v>HG.4113</v>
          </cell>
          <cell r="B485" t="str">
            <v>HG.4113</v>
          </cell>
          <cell r="C485" t="str">
            <v>BEÂTOÂNG ÑAÙ 1x2 #200 ÑUÙC CAÙC CKÑS (TROÄN MAÙY)</v>
          </cell>
          <cell r="D485" t="str">
            <v>m3</v>
          </cell>
          <cell r="E485">
            <v>1</v>
          </cell>
          <cell r="F485" t="str">
            <v xml:space="preserve">Xi maêng PC 30 </v>
          </cell>
          <cell r="G485" t="str">
            <v>Kg</v>
          </cell>
          <cell r="H485">
            <v>347.13</v>
          </cell>
          <cell r="I485">
            <v>347.13</v>
          </cell>
          <cell r="J485">
            <v>880</v>
          </cell>
          <cell r="K485">
            <v>455064</v>
          </cell>
          <cell r="L485">
            <v>31901</v>
          </cell>
          <cell r="M485">
            <v>9146</v>
          </cell>
        </row>
        <row r="486">
          <cell r="F486" t="str">
            <v>Caùt vaøng</v>
          </cell>
          <cell r="G486" t="str">
            <v>m3</v>
          </cell>
          <cell r="H486">
            <v>0.47599999999999998</v>
          </cell>
          <cell r="I486">
            <v>0.47599999999999998</v>
          </cell>
          <cell r="J486">
            <v>47000</v>
          </cell>
        </row>
        <row r="487">
          <cell r="F487" t="str">
            <v>Ñaù 1x2</v>
          </cell>
          <cell r="G487" t="str">
            <v>m3</v>
          </cell>
          <cell r="H487">
            <v>0.89100000000000001</v>
          </cell>
          <cell r="I487">
            <v>0.89100000000000001</v>
          </cell>
          <cell r="J487">
            <v>125000</v>
          </cell>
        </row>
        <row r="488">
          <cell r="F488" t="str">
            <v>Nöôùc</v>
          </cell>
          <cell r="G488" t="str">
            <v>Lít</v>
          </cell>
          <cell r="H488">
            <v>188</v>
          </cell>
          <cell r="I488">
            <v>188</v>
          </cell>
          <cell r="J488">
            <v>2.5</v>
          </cell>
        </row>
        <row r="489">
          <cell r="F489" t="str">
            <v>Vaät lieäu khaùc</v>
          </cell>
          <cell r="G489" t="str">
            <v>ñoàng</v>
          </cell>
          <cell r="H489">
            <v>5.0000000000000001E-3</v>
          </cell>
          <cell r="I489">
            <v>2198.4570000000003</v>
          </cell>
          <cell r="J489">
            <v>1</v>
          </cell>
        </row>
        <row r="490">
          <cell r="F490" t="str">
            <v>NC 3/7</v>
          </cell>
          <cell r="G490" t="str">
            <v>coâng</v>
          </cell>
          <cell r="H490">
            <v>2.57</v>
          </cell>
          <cell r="I490">
            <v>2.57</v>
          </cell>
          <cell r="J490">
            <v>12354.87</v>
          </cell>
        </row>
        <row r="491">
          <cell r="F491" t="str">
            <v>Maùy troän 250l</v>
          </cell>
          <cell r="G491" t="str">
            <v>ca</v>
          </cell>
          <cell r="H491">
            <v>9.5000000000000001E-2</v>
          </cell>
          <cell r="I491">
            <v>9.5000000000000001E-2</v>
          </cell>
          <cell r="J491">
            <v>96272</v>
          </cell>
        </row>
        <row r="492">
          <cell r="A492" t="str">
            <v>KB.2310</v>
          </cell>
          <cell r="B492" t="str">
            <v>KB.2330</v>
          </cell>
          <cell r="C492" t="str">
            <v>GCLD COÁPPHA THEÙP MAÙI ÑOÙN</v>
          </cell>
          <cell r="D492" t="str">
            <v>100m2</v>
          </cell>
          <cell r="E492">
            <v>1</v>
          </cell>
          <cell r="F492" t="str">
            <v>Theùp taám coáppha</v>
          </cell>
          <cell r="G492" t="str">
            <v>Kg</v>
          </cell>
          <cell r="H492">
            <v>51.81</v>
          </cell>
          <cell r="I492">
            <v>51.81</v>
          </cell>
          <cell r="J492">
            <v>4350</v>
          </cell>
          <cell r="K492">
            <v>1592420</v>
          </cell>
          <cell r="L492">
            <v>462151</v>
          </cell>
          <cell r="M492">
            <v>133408.04999999999</v>
          </cell>
        </row>
        <row r="493">
          <cell r="F493" t="str">
            <v>Theùp hình coáppha</v>
          </cell>
          <cell r="G493" t="str">
            <v>Kg</v>
          </cell>
          <cell r="H493">
            <v>40.700000000000003</v>
          </cell>
          <cell r="I493">
            <v>40.700000000000003</v>
          </cell>
          <cell r="J493">
            <v>4450</v>
          </cell>
        </row>
        <row r="494">
          <cell r="F494" t="str">
            <v>Goã vaùn coáppha</v>
          </cell>
          <cell r="G494" t="str">
            <v>m3</v>
          </cell>
          <cell r="H494">
            <v>0.66800000000000004</v>
          </cell>
          <cell r="I494">
            <v>0.66800000000000004</v>
          </cell>
          <cell r="J494">
            <v>2100000</v>
          </cell>
        </row>
        <row r="495">
          <cell r="F495" t="str">
            <v>Que haøn coáppha</v>
          </cell>
          <cell r="G495" t="str">
            <v>Kg</v>
          </cell>
          <cell r="H495">
            <v>5.5</v>
          </cell>
          <cell r="I495">
            <v>5.5</v>
          </cell>
          <cell r="J495">
            <v>10000</v>
          </cell>
        </row>
        <row r="496">
          <cell r="F496" t="str">
            <v>Vaät lieäu khaùc coáppha</v>
          </cell>
          <cell r="G496" t="str">
            <v>ñoàng</v>
          </cell>
          <cell r="H496">
            <v>0.05</v>
          </cell>
          <cell r="I496">
            <v>93214.425000000003</v>
          </cell>
          <cell r="J496">
            <v>1</v>
          </cell>
        </row>
        <row r="497">
          <cell r="F497" t="str">
            <v>NC 4/7 coáppha</v>
          </cell>
          <cell r="G497" t="str">
            <v>coâng</v>
          </cell>
          <cell r="H497">
            <v>34.159999999999997</v>
          </cell>
          <cell r="I497">
            <v>34.159999999999997</v>
          </cell>
          <cell r="J497" t="e">
            <v>#N/A</v>
          </cell>
        </row>
        <row r="498">
          <cell r="F498" t="str">
            <v>Maùy haøn 23KW coáppha</v>
          </cell>
          <cell r="G498" t="str">
            <v>ca</v>
          </cell>
          <cell r="H498">
            <v>1.5</v>
          </cell>
          <cell r="I498">
            <v>1.5</v>
          </cell>
          <cell r="J498" t="e">
            <v>#N/A</v>
          </cell>
        </row>
        <row r="499">
          <cell r="F499" t="str">
            <v>Maùy khaùc coáppha</v>
          </cell>
          <cell r="G499" t="str">
            <v>ñoàng</v>
          </cell>
          <cell r="H499">
            <v>0.15</v>
          </cell>
          <cell r="I499" t="e">
            <v>#N/A</v>
          </cell>
          <cell r="J499" t="e">
            <v>#N/A</v>
          </cell>
        </row>
        <row r="500">
          <cell r="A500" t="str">
            <v>IA.2212</v>
          </cell>
          <cell r="B500" t="str">
            <v>IA.2212</v>
          </cell>
          <cell r="C500" t="str">
            <v>GCLÑ theùp coät  F &lt;=10 H&gt;4m</v>
          </cell>
          <cell r="D500" t="str">
            <v>Taán</v>
          </cell>
          <cell r="E500">
            <v>1</v>
          </cell>
          <cell r="F500" t="str">
            <v>Keõm buoäc</v>
          </cell>
          <cell r="G500" t="str">
            <v>Kg</v>
          </cell>
          <cell r="H500">
            <v>21.42</v>
          </cell>
          <cell r="I500">
            <v>21.42</v>
          </cell>
          <cell r="J500">
            <v>5300</v>
          </cell>
          <cell r="K500">
            <v>4142094</v>
          </cell>
          <cell r="L500">
            <v>201340</v>
          </cell>
          <cell r="M500">
            <v>18096</v>
          </cell>
        </row>
        <row r="501">
          <cell r="C501" t="str">
            <v xml:space="preserve">   Trong ñoù:   * F 6</v>
          </cell>
          <cell r="D501" t="str">
            <v>Kg</v>
          </cell>
          <cell r="E501">
            <v>1</v>
          </cell>
          <cell r="F501" t="str">
            <v>Theùp troøn F 6</v>
          </cell>
          <cell r="G501" t="str">
            <v>Kg</v>
          </cell>
          <cell r="H501">
            <v>1005</v>
          </cell>
          <cell r="I501">
            <v>1.0049999999999999</v>
          </cell>
          <cell r="J501">
            <v>3720</v>
          </cell>
        </row>
        <row r="502">
          <cell r="C502" t="str">
            <v xml:space="preserve">                     * F 8</v>
          </cell>
          <cell r="D502" t="str">
            <v>Kg</v>
          </cell>
          <cell r="E502">
            <v>1</v>
          </cell>
          <cell r="F502" t="str">
            <v>Theùp troøn F 8</v>
          </cell>
          <cell r="G502" t="str">
            <v>Kg</v>
          </cell>
          <cell r="H502">
            <v>1005</v>
          </cell>
          <cell r="I502">
            <v>1.0049999999999999</v>
          </cell>
          <cell r="J502">
            <v>4000</v>
          </cell>
        </row>
        <row r="503">
          <cell r="C503" t="str">
            <v xml:space="preserve">                     * F 10</v>
          </cell>
          <cell r="D503" t="str">
            <v>Kg</v>
          </cell>
          <cell r="E503">
            <v>1</v>
          </cell>
          <cell r="F503" t="str">
            <v>Theùp troøn F 10</v>
          </cell>
          <cell r="G503" t="str">
            <v>Kg</v>
          </cell>
          <cell r="H503">
            <v>1005</v>
          </cell>
          <cell r="I503">
            <v>1.0049999999999999</v>
          </cell>
          <cell r="J503">
            <v>4000</v>
          </cell>
        </row>
        <row r="504">
          <cell r="F504" t="str">
            <v>NC 3.7/7</v>
          </cell>
          <cell r="G504" t="str">
            <v>coâng</v>
          </cell>
          <cell r="H504">
            <v>15.26</v>
          </cell>
          <cell r="I504">
            <v>15.26</v>
          </cell>
          <cell r="J504">
            <v>13209.03</v>
          </cell>
        </row>
        <row r="505">
          <cell r="F505" t="str">
            <v>Maùy caét uoán</v>
          </cell>
          <cell r="G505" t="str">
            <v>ca</v>
          </cell>
          <cell r="H505">
            <v>0.4</v>
          </cell>
          <cell r="I505">
            <v>0.4</v>
          </cell>
          <cell r="J505">
            <v>39789</v>
          </cell>
        </row>
        <row r="506">
          <cell r="F506" t="str">
            <v>Maùy vaän thaêng 0.8T</v>
          </cell>
          <cell r="G506" t="str">
            <v>ca</v>
          </cell>
          <cell r="H506">
            <v>0.04</v>
          </cell>
          <cell r="I506">
            <v>0.04</v>
          </cell>
          <cell r="J506">
            <v>90447</v>
          </cell>
        </row>
        <row r="507">
          <cell r="A507" t="str">
            <v>IA.2222</v>
          </cell>
          <cell r="B507" t="str">
            <v>IA.2222</v>
          </cell>
          <cell r="C507" t="str">
            <v>GCLÑ theùp coät  10&lt; F &lt;=18 H&gt;4m</v>
          </cell>
          <cell r="D507" t="str">
            <v>Taán</v>
          </cell>
          <cell r="E507">
            <v>1</v>
          </cell>
          <cell r="F507" t="str">
            <v>Keõm buoäc</v>
          </cell>
          <cell r="G507" t="str">
            <v>Kg</v>
          </cell>
          <cell r="H507">
            <v>14.28</v>
          </cell>
          <cell r="I507">
            <v>14.28</v>
          </cell>
          <cell r="J507">
            <v>5300</v>
          </cell>
          <cell r="K507">
            <v>4296172</v>
          </cell>
          <cell r="L507">
            <v>134447</v>
          </cell>
          <cell r="M507">
            <v>104624</v>
          </cell>
        </row>
        <row r="508">
          <cell r="C508" t="str">
            <v xml:space="preserve">   Trong ñoù:   * F 12</v>
          </cell>
          <cell r="D508" t="str">
            <v>Kg</v>
          </cell>
          <cell r="E508">
            <v>1</v>
          </cell>
          <cell r="F508" t="str">
            <v>Theùp troøn F 12</v>
          </cell>
          <cell r="G508" t="str">
            <v>Kg</v>
          </cell>
          <cell r="H508">
            <v>1020</v>
          </cell>
          <cell r="I508">
            <v>1.02</v>
          </cell>
          <cell r="J508">
            <v>4000</v>
          </cell>
        </row>
        <row r="509">
          <cell r="C509" t="str">
            <v xml:space="preserve">                     * F 14</v>
          </cell>
          <cell r="D509" t="str">
            <v>Kg</v>
          </cell>
          <cell r="E509">
            <v>1</v>
          </cell>
          <cell r="F509" t="str">
            <v>Theùp troøn F 14</v>
          </cell>
          <cell r="G509" t="str">
            <v>Kg</v>
          </cell>
          <cell r="H509">
            <v>1020</v>
          </cell>
          <cell r="I509">
            <v>1.02</v>
          </cell>
          <cell r="J509">
            <v>4000</v>
          </cell>
        </row>
        <row r="510">
          <cell r="C510" t="str">
            <v xml:space="preserve">                     * F 16</v>
          </cell>
          <cell r="D510" t="str">
            <v>Kg</v>
          </cell>
          <cell r="E510">
            <v>1</v>
          </cell>
          <cell r="F510" t="str">
            <v>Theùp troøn F 16</v>
          </cell>
          <cell r="G510" t="str">
            <v>Kg</v>
          </cell>
          <cell r="H510">
            <v>1020</v>
          </cell>
          <cell r="I510">
            <v>1.02</v>
          </cell>
          <cell r="J510">
            <v>4000</v>
          </cell>
        </row>
        <row r="511">
          <cell r="C511" t="str">
            <v xml:space="preserve">                     * F 18</v>
          </cell>
          <cell r="D511" t="str">
            <v>Kg</v>
          </cell>
          <cell r="E511">
            <v>1</v>
          </cell>
          <cell r="F511" t="str">
            <v>Theùp troøn F 18</v>
          </cell>
          <cell r="G511" t="str">
            <v>Kg</v>
          </cell>
          <cell r="H511">
            <v>1020</v>
          </cell>
          <cell r="I511">
            <v>1.02</v>
          </cell>
          <cell r="J511">
            <v>4000</v>
          </cell>
        </row>
        <row r="512">
          <cell r="F512" t="str">
            <v>Que haøn</v>
          </cell>
          <cell r="G512" t="str">
            <v>Kg</v>
          </cell>
          <cell r="H512">
            <v>4.82</v>
          </cell>
          <cell r="I512">
            <v>4.82</v>
          </cell>
          <cell r="J512">
            <v>10000</v>
          </cell>
        </row>
        <row r="513">
          <cell r="F513" t="str">
            <v>NC 3.7/7</v>
          </cell>
          <cell r="G513" t="str">
            <v>coâng</v>
          </cell>
          <cell r="H513">
            <v>10.19</v>
          </cell>
          <cell r="I513">
            <v>10.19</v>
          </cell>
          <cell r="J513">
            <v>13209.03</v>
          </cell>
        </row>
        <row r="514">
          <cell r="F514" t="str">
            <v>Maùy haøn 23KW</v>
          </cell>
          <cell r="G514" t="str">
            <v>ca</v>
          </cell>
          <cell r="H514">
            <v>1.1599999999999999</v>
          </cell>
          <cell r="I514">
            <v>1.1599999999999999</v>
          </cell>
          <cell r="J514">
            <v>77338</v>
          </cell>
        </row>
        <row r="515">
          <cell r="F515" t="str">
            <v>Maùy caét uoán</v>
          </cell>
          <cell r="G515" t="str">
            <v>ca</v>
          </cell>
          <cell r="H515">
            <v>0.32</v>
          </cell>
          <cell r="I515">
            <v>0.32</v>
          </cell>
          <cell r="J515">
            <v>39789</v>
          </cell>
        </row>
        <row r="516">
          <cell r="F516" t="str">
            <v>Maùy vaän thaêng 0.8T</v>
          </cell>
          <cell r="G516" t="str">
            <v>ca</v>
          </cell>
          <cell r="H516">
            <v>0.04</v>
          </cell>
          <cell r="I516">
            <v>0.04</v>
          </cell>
          <cell r="J516">
            <v>90447</v>
          </cell>
        </row>
        <row r="517">
          <cell r="A517" t="str">
            <v>IA.2232</v>
          </cell>
          <cell r="B517" t="str">
            <v>IA.2232</v>
          </cell>
          <cell r="C517" t="str">
            <v>GCLÑ theùp coät treät F &gt;18 (xem TK theùp)</v>
          </cell>
          <cell r="D517" t="str">
            <v>Taán</v>
          </cell>
          <cell r="E517">
            <v>1</v>
          </cell>
          <cell r="F517" t="str">
            <v>Keõm buoäc</v>
          </cell>
          <cell r="G517" t="str">
            <v>Kg</v>
          </cell>
          <cell r="H517">
            <v>14.28</v>
          </cell>
          <cell r="I517">
            <v>14.28</v>
          </cell>
          <cell r="J517">
            <v>5300</v>
          </cell>
          <cell r="K517">
            <v>4305556</v>
          </cell>
          <cell r="L517">
            <v>116767</v>
          </cell>
          <cell r="M517">
            <v>123780</v>
          </cell>
        </row>
        <row r="518">
          <cell r="C518" t="str">
            <v xml:space="preserve">   Trong ñoù:   * F 20</v>
          </cell>
          <cell r="D518" t="str">
            <v>Kg</v>
          </cell>
          <cell r="E518">
            <v>1</v>
          </cell>
          <cell r="F518" t="str">
            <v>Theùp troøn F 20</v>
          </cell>
          <cell r="G518" t="str">
            <v>Kg</v>
          </cell>
          <cell r="H518">
            <v>1020</v>
          </cell>
          <cell r="I518">
            <v>1.02</v>
          </cell>
          <cell r="J518">
            <v>4350</v>
          </cell>
        </row>
        <row r="519">
          <cell r="C519" t="str">
            <v xml:space="preserve">                     * F 22</v>
          </cell>
          <cell r="D519" t="str">
            <v>Kg</v>
          </cell>
          <cell r="E519">
            <v>1</v>
          </cell>
          <cell r="F519" t="str">
            <v>Theùp troøn F 22</v>
          </cell>
          <cell r="G519" t="str">
            <v>Kg</v>
          </cell>
          <cell r="H519">
            <v>1020</v>
          </cell>
          <cell r="I519">
            <v>1.02</v>
          </cell>
          <cell r="J519">
            <v>4350</v>
          </cell>
        </row>
        <row r="520">
          <cell r="C520" t="str">
            <v xml:space="preserve">                     * F 25</v>
          </cell>
          <cell r="D520" t="str">
            <v>Kg</v>
          </cell>
          <cell r="E520">
            <v>1</v>
          </cell>
          <cell r="F520" t="str">
            <v>Theùp troøn F 25</v>
          </cell>
          <cell r="G520" t="str">
            <v>Kg</v>
          </cell>
          <cell r="H520">
            <v>1020</v>
          </cell>
          <cell r="I520">
            <v>1.02</v>
          </cell>
          <cell r="J520">
            <v>4350</v>
          </cell>
        </row>
        <row r="521">
          <cell r="F521" t="str">
            <v>Que haøn</v>
          </cell>
          <cell r="G521" t="str">
            <v>Kg</v>
          </cell>
          <cell r="H521">
            <v>6.2</v>
          </cell>
          <cell r="I521">
            <v>6.2</v>
          </cell>
          <cell r="J521">
            <v>10000</v>
          </cell>
        </row>
        <row r="522">
          <cell r="F522" t="str">
            <v>NC 3.7/7</v>
          </cell>
          <cell r="G522" t="str">
            <v>coâng</v>
          </cell>
          <cell r="H522">
            <v>8.85</v>
          </cell>
          <cell r="I522">
            <v>8.85</v>
          </cell>
          <cell r="J522">
            <v>13209.03</v>
          </cell>
        </row>
        <row r="523">
          <cell r="F523" t="str">
            <v>Maùy haøn 23KW</v>
          </cell>
          <cell r="G523" t="str">
            <v>ca</v>
          </cell>
          <cell r="H523">
            <v>1.49</v>
          </cell>
          <cell r="I523">
            <v>1.49</v>
          </cell>
          <cell r="J523">
            <v>77338</v>
          </cell>
        </row>
        <row r="524">
          <cell r="F524" t="str">
            <v>Maùy caét uoán</v>
          </cell>
          <cell r="G524" t="str">
            <v>ca</v>
          </cell>
          <cell r="H524">
            <v>0.16</v>
          </cell>
          <cell r="I524">
            <v>0.16</v>
          </cell>
          <cell r="J524">
            <v>39789</v>
          </cell>
        </row>
        <row r="525">
          <cell r="F525" t="str">
            <v>Maùy vaän thaêng 0.8T</v>
          </cell>
          <cell r="G525" t="str">
            <v>ca</v>
          </cell>
          <cell r="H525">
            <v>0.04</v>
          </cell>
          <cell r="I525">
            <v>0.04</v>
          </cell>
          <cell r="J525">
            <v>90447</v>
          </cell>
        </row>
        <row r="526">
          <cell r="A526" t="str">
            <v>IA.2611</v>
          </cell>
          <cell r="B526" t="str">
            <v>IA.2611</v>
          </cell>
          <cell r="C526" t="str">
            <v>GCLÑ theùp thang boä F &lt;=10 H&lt;4m</v>
          </cell>
          <cell r="D526" t="str">
            <v>Taán</v>
          </cell>
          <cell r="E526">
            <v>1</v>
          </cell>
          <cell r="F526" t="str">
            <v>Keõm buoäc</v>
          </cell>
          <cell r="G526" t="str">
            <v>Kg</v>
          </cell>
          <cell r="H526">
            <v>21.42</v>
          </cell>
          <cell r="I526">
            <v>21.42</v>
          </cell>
          <cell r="J526">
            <v>5300</v>
          </cell>
          <cell r="K526">
            <v>4142094</v>
          </cell>
          <cell r="L526">
            <v>239207</v>
          </cell>
          <cell r="M526">
            <v>15916</v>
          </cell>
        </row>
        <row r="527">
          <cell r="C527" t="str">
            <v xml:space="preserve">   Trong ñoù:   * F 6</v>
          </cell>
          <cell r="D527" t="str">
            <v>Kg</v>
          </cell>
          <cell r="E527">
            <v>1</v>
          </cell>
          <cell r="F527" t="str">
            <v>Theùp troøn F 6</v>
          </cell>
          <cell r="G527" t="str">
            <v>Kg</v>
          </cell>
          <cell r="H527">
            <v>1005</v>
          </cell>
          <cell r="I527">
            <v>1.0049999999999999</v>
          </cell>
          <cell r="J527">
            <v>3720</v>
          </cell>
        </row>
        <row r="528">
          <cell r="C528" t="str">
            <v xml:space="preserve">                     * F 8</v>
          </cell>
          <cell r="D528" t="str">
            <v>Kg</v>
          </cell>
          <cell r="E528">
            <v>1</v>
          </cell>
          <cell r="F528" t="str">
            <v>Theùp troøn F 8</v>
          </cell>
          <cell r="G528" t="str">
            <v>Kg</v>
          </cell>
          <cell r="H528">
            <v>1005</v>
          </cell>
          <cell r="I528">
            <v>1.0049999999999999</v>
          </cell>
          <cell r="J528">
            <v>4000</v>
          </cell>
        </row>
        <row r="529">
          <cell r="C529" t="str">
            <v xml:space="preserve">                     * F 10</v>
          </cell>
          <cell r="D529" t="str">
            <v>Kg</v>
          </cell>
          <cell r="E529">
            <v>1</v>
          </cell>
          <cell r="F529" t="str">
            <v>Theùp troøn F 10</v>
          </cell>
          <cell r="G529" t="str">
            <v>Kg</v>
          </cell>
          <cell r="H529">
            <v>1005</v>
          </cell>
          <cell r="I529">
            <v>1.0049999999999999</v>
          </cell>
          <cell r="J529">
            <v>4000</v>
          </cell>
        </row>
        <row r="530">
          <cell r="F530" t="str">
            <v>NC 3.7/7</v>
          </cell>
          <cell r="G530" t="str">
            <v>coâng</v>
          </cell>
          <cell r="H530">
            <v>18.13</v>
          </cell>
          <cell r="I530">
            <v>18.13</v>
          </cell>
          <cell r="J530">
            <v>13209.03</v>
          </cell>
        </row>
        <row r="531">
          <cell r="F531" t="str">
            <v>Maùy caét uoán</v>
          </cell>
          <cell r="G531" t="str">
            <v>ca</v>
          </cell>
          <cell r="H531">
            <v>0.4</v>
          </cell>
          <cell r="I531">
            <v>0.4</v>
          </cell>
          <cell r="J531">
            <v>39789</v>
          </cell>
        </row>
        <row r="532">
          <cell r="A532" t="str">
            <v>IA.2612</v>
          </cell>
          <cell r="B532" t="str">
            <v>IA.2612</v>
          </cell>
          <cell r="C532" t="str">
            <v>GCLÑ theùp thang boä F &lt;=10 H&gt;4m</v>
          </cell>
          <cell r="D532" t="str">
            <v>Taán</v>
          </cell>
          <cell r="E532">
            <v>1</v>
          </cell>
          <cell r="F532" t="str">
            <v>Keõm buoäc</v>
          </cell>
          <cell r="G532" t="str">
            <v>Kg</v>
          </cell>
          <cell r="H532">
            <v>21.42</v>
          </cell>
          <cell r="I532">
            <v>21.42</v>
          </cell>
          <cell r="J532">
            <v>5300</v>
          </cell>
          <cell r="K532">
            <v>4142094</v>
          </cell>
          <cell r="L532">
            <v>244221</v>
          </cell>
          <cell r="M532">
            <v>18096</v>
          </cell>
        </row>
        <row r="533">
          <cell r="C533" t="str">
            <v xml:space="preserve">   Trong ñoù:   * F 6</v>
          </cell>
          <cell r="D533" t="str">
            <v>Kg</v>
          </cell>
          <cell r="E533">
            <v>1</v>
          </cell>
          <cell r="F533" t="str">
            <v>Theùp troøn F 6</v>
          </cell>
          <cell r="G533" t="str">
            <v>Kg</v>
          </cell>
          <cell r="H533">
            <v>1005</v>
          </cell>
          <cell r="I533">
            <v>1.0049999999999999</v>
          </cell>
          <cell r="J533">
            <v>3720</v>
          </cell>
        </row>
        <row r="534">
          <cell r="C534" t="str">
            <v xml:space="preserve">                     * F 8</v>
          </cell>
          <cell r="D534" t="str">
            <v>Kg</v>
          </cell>
          <cell r="E534">
            <v>1</v>
          </cell>
          <cell r="F534" t="str">
            <v>Theùp troøn F 8</v>
          </cell>
          <cell r="G534" t="str">
            <v>Kg</v>
          </cell>
          <cell r="H534">
            <v>1005</v>
          </cell>
          <cell r="I534">
            <v>1.0049999999999999</v>
          </cell>
          <cell r="J534">
            <v>4000</v>
          </cell>
        </row>
        <row r="535">
          <cell r="C535" t="str">
            <v xml:space="preserve">                     * F 10</v>
          </cell>
          <cell r="D535" t="str">
            <v>Kg</v>
          </cell>
          <cell r="E535">
            <v>1</v>
          </cell>
          <cell r="F535" t="str">
            <v>Theùp troøn F 10</v>
          </cell>
          <cell r="G535" t="str">
            <v>Kg</v>
          </cell>
          <cell r="H535">
            <v>1005</v>
          </cell>
          <cell r="I535">
            <v>1.0049999999999999</v>
          </cell>
          <cell r="J535">
            <v>4000</v>
          </cell>
        </row>
        <row r="536">
          <cell r="F536" t="str">
            <v>NC 3.7/7</v>
          </cell>
          <cell r="G536" t="str">
            <v>coâng</v>
          </cell>
          <cell r="H536">
            <v>18.510000000000002</v>
          </cell>
          <cell r="I536">
            <v>18.510000000000002</v>
          </cell>
          <cell r="J536">
            <v>13209.03</v>
          </cell>
        </row>
        <row r="537">
          <cell r="F537" t="str">
            <v>Maùy caét uoán</v>
          </cell>
          <cell r="G537" t="str">
            <v>ca</v>
          </cell>
          <cell r="H537">
            <v>0.4</v>
          </cell>
          <cell r="I537">
            <v>0.4</v>
          </cell>
          <cell r="J537">
            <v>39789</v>
          </cell>
        </row>
        <row r="538">
          <cell r="F538" t="str">
            <v>Maùy vaän thaêng 0.8T</v>
          </cell>
          <cell r="G538" t="str">
            <v>ca</v>
          </cell>
          <cell r="H538">
            <v>0.04</v>
          </cell>
          <cell r="I538">
            <v>0.04</v>
          </cell>
          <cell r="J538">
            <v>90447</v>
          </cell>
        </row>
        <row r="539">
          <cell r="A539" t="str">
            <v>IA.2621</v>
          </cell>
          <cell r="B539" t="str">
            <v>IA.2621</v>
          </cell>
          <cell r="C539" t="str">
            <v>GCLÑ theùp thang boä 10&lt; F &lt;=18 H&lt;4m</v>
          </cell>
          <cell r="D539" t="str">
            <v>Taán</v>
          </cell>
          <cell r="E539">
            <v>1</v>
          </cell>
          <cell r="F539" t="str">
            <v>Keõm buoäc</v>
          </cell>
          <cell r="G539" t="str">
            <v>Kg</v>
          </cell>
          <cell r="H539">
            <v>14.28</v>
          </cell>
          <cell r="I539">
            <v>14.28</v>
          </cell>
          <cell r="J539">
            <v>5300</v>
          </cell>
          <cell r="K539">
            <v>4294792</v>
          </cell>
          <cell r="L539">
            <v>190126</v>
          </cell>
          <cell r="M539">
            <v>99583</v>
          </cell>
        </row>
        <row r="540">
          <cell r="C540" t="str">
            <v xml:space="preserve">   Trong ñoù:   * F 12</v>
          </cell>
          <cell r="D540" t="str">
            <v>Kg</v>
          </cell>
          <cell r="E540">
            <v>1</v>
          </cell>
          <cell r="F540" t="str">
            <v>Theùp troøn F 12</v>
          </cell>
          <cell r="G540" t="str">
            <v>Kg</v>
          </cell>
          <cell r="H540">
            <v>1020</v>
          </cell>
          <cell r="I540">
            <v>1.02</v>
          </cell>
          <cell r="J540">
            <v>4000</v>
          </cell>
        </row>
        <row r="541">
          <cell r="C541" t="str">
            <v xml:space="preserve">                     * F 14</v>
          </cell>
          <cell r="D541" t="str">
            <v>Kg</v>
          </cell>
          <cell r="E541">
            <v>1</v>
          </cell>
          <cell r="F541" t="str">
            <v>Theùp troøn F 14</v>
          </cell>
          <cell r="G541" t="str">
            <v>Kg</v>
          </cell>
          <cell r="H541">
            <v>1020</v>
          </cell>
          <cell r="I541">
            <v>1.02</v>
          </cell>
          <cell r="J541">
            <v>4000</v>
          </cell>
        </row>
        <row r="542">
          <cell r="C542" t="str">
            <v xml:space="preserve">                     * F 16</v>
          </cell>
          <cell r="D542" t="str">
            <v>Kg</v>
          </cell>
          <cell r="E542">
            <v>1</v>
          </cell>
          <cell r="F542" t="str">
            <v>Theùp troøn F 16</v>
          </cell>
          <cell r="G542" t="str">
            <v>Kg</v>
          </cell>
          <cell r="H542">
            <v>1020</v>
          </cell>
          <cell r="I542">
            <v>1.02</v>
          </cell>
          <cell r="J542">
            <v>4000</v>
          </cell>
        </row>
        <row r="543">
          <cell r="C543" t="str">
            <v xml:space="preserve">                     * F 18</v>
          </cell>
          <cell r="D543" t="str">
            <v>Kg</v>
          </cell>
          <cell r="E543">
            <v>1</v>
          </cell>
          <cell r="F543" t="str">
            <v>Theùp troøn F 18</v>
          </cell>
          <cell r="G543" t="str">
            <v>Kg</v>
          </cell>
          <cell r="H543">
            <v>1020</v>
          </cell>
          <cell r="I543">
            <v>1.02</v>
          </cell>
          <cell r="J543">
            <v>4000</v>
          </cell>
        </row>
        <row r="544">
          <cell r="F544" t="str">
            <v>Que haøn</v>
          </cell>
          <cell r="G544" t="str">
            <v>Kg</v>
          </cell>
          <cell r="H544">
            <v>4.617</v>
          </cell>
          <cell r="I544">
            <v>4.617</v>
          </cell>
          <cell r="J544">
            <v>10000</v>
          </cell>
        </row>
        <row r="545">
          <cell r="F545" t="str">
            <v>NC 3.7/7</v>
          </cell>
          <cell r="G545" t="str">
            <v>coâng</v>
          </cell>
          <cell r="H545">
            <v>14.63</v>
          </cell>
          <cell r="I545">
            <v>14.63</v>
          </cell>
          <cell r="J545">
            <v>13209.03</v>
          </cell>
        </row>
        <row r="546">
          <cell r="F546" t="str">
            <v>Maùy haøn 23KW</v>
          </cell>
          <cell r="G546" t="str">
            <v>ca</v>
          </cell>
          <cell r="H546">
            <v>1.123</v>
          </cell>
          <cell r="I546">
            <v>1.123</v>
          </cell>
          <cell r="J546">
            <v>77338</v>
          </cell>
        </row>
        <row r="547">
          <cell r="F547" t="str">
            <v>Maùy caét uoán</v>
          </cell>
          <cell r="G547" t="str">
            <v>ca</v>
          </cell>
          <cell r="H547">
            <v>0.32</v>
          </cell>
          <cell r="I547">
            <v>0.32</v>
          </cell>
          <cell r="J547">
            <v>39789</v>
          </cell>
        </row>
        <row r="548">
          <cell r="A548" t="str">
            <v>IA.2622</v>
          </cell>
          <cell r="B548" t="str">
            <v>IA.2622</v>
          </cell>
          <cell r="C548" t="str">
            <v>GCLÑ theùp thang boä 10&lt; F &lt;=18 H&gt;4m</v>
          </cell>
          <cell r="D548" t="str">
            <v>Taán</v>
          </cell>
          <cell r="E548">
            <v>1</v>
          </cell>
          <cell r="F548" t="str">
            <v>Keõm buoäc</v>
          </cell>
          <cell r="G548" t="str">
            <v>Kg</v>
          </cell>
          <cell r="H548">
            <v>14.28</v>
          </cell>
          <cell r="I548">
            <v>14.28</v>
          </cell>
          <cell r="J548">
            <v>5300</v>
          </cell>
          <cell r="K548">
            <v>4294792</v>
          </cell>
          <cell r="L548">
            <v>193028</v>
          </cell>
          <cell r="M548">
            <v>101763</v>
          </cell>
        </row>
        <row r="549">
          <cell r="C549" t="str">
            <v xml:space="preserve">   Trong ñoù:   * F 12</v>
          </cell>
          <cell r="D549" t="str">
            <v>Kg</v>
          </cell>
          <cell r="E549">
            <v>1</v>
          </cell>
          <cell r="F549" t="str">
            <v>Theùp troøn F 12</v>
          </cell>
          <cell r="G549" t="str">
            <v>Kg</v>
          </cell>
          <cell r="H549">
            <v>1020</v>
          </cell>
          <cell r="I549">
            <v>1.02</v>
          </cell>
          <cell r="J549">
            <v>4000</v>
          </cell>
        </row>
        <row r="550">
          <cell r="C550" t="str">
            <v xml:space="preserve">                     * F 14</v>
          </cell>
          <cell r="D550" t="str">
            <v>Kg</v>
          </cell>
          <cell r="E550">
            <v>1</v>
          </cell>
          <cell r="F550" t="str">
            <v>Theùp troøn F 14</v>
          </cell>
          <cell r="G550" t="str">
            <v>Kg</v>
          </cell>
          <cell r="H550">
            <v>1020</v>
          </cell>
          <cell r="I550">
            <v>1.02</v>
          </cell>
          <cell r="J550">
            <v>4000</v>
          </cell>
        </row>
        <row r="551">
          <cell r="C551" t="str">
            <v xml:space="preserve">                     * F 16</v>
          </cell>
          <cell r="D551" t="str">
            <v>Kg</v>
          </cell>
          <cell r="E551">
            <v>1</v>
          </cell>
          <cell r="F551" t="str">
            <v>Theùp troøn F 16</v>
          </cell>
          <cell r="G551" t="str">
            <v>Kg</v>
          </cell>
          <cell r="H551">
            <v>1020</v>
          </cell>
          <cell r="I551">
            <v>1.02</v>
          </cell>
          <cell r="J551">
            <v>4000</v>
          </cell>
        </row>
        <row r="552">
          <cell r="C552" t="str">
            <v xml:space="preserve">                     * F 18</v>
          </cell>
          <cell r="D552" t="str">
            <v>Kg</v>
          </cell>
          <cell r="E552">
            <v>1</v>
          </cell>
          <cell r="F552" t="str">
            <v>Theùp troøn F 18</v>
          </cell>
          <cell r="G552" t="str">
            <v>Kg</v>
          </cell>
          <cell r="H552">
            <v>1020</v>
          </cell>
          <cell r="I552">
            <v>1.02</v>
          </cell>
          <cell r="J552">
            <v>4000</v>
          </cell>
        </row>
        <row r="553">
          <cell r="F553" t="str">
            <v>Que haøn</v>
          </cell>
          <cell r="G553" t="str">
            <v>Kg</v>
          </cell>
          <cell r="H553">
            <v>4.617</v>
          </cell>
          <cell r="I553">
            <v>4.617</v>
          </cell>
          <cell r="J553">
            <v>10000</v>
          </cell>
        </row>
        <row r="554">
          <cell r="F554" t="str">
            <v>NC 3.7/7</v>
          </cell>
          <cell r="G554" t="str">
            <v>coâng</v>
          </cell>
          <cell r="H554">
            <v>14.41</v>
          </cell>
          <cell r="I554">
            <v>14.41</v>
          </cell>
          <cell r="J554">
            <v>13209.03</v>
          </cell>
        </row>
        <row r="555">
          <cell r="F555" t="str">
            <v>Maùy haøn 23KW</v>
          </cell>
          <cell r="G555" t="str">
            <v>ca</v>
          </cell>
          <cell r="H555">
            <v>1.123</v>
          </cell>
          <cell r="I555">
            <v>1.123</v>
          </cell>
          <cell r="J555">
            <v>77338</v>
          </cell>
        </row>
        <row r="556">
          <cell r="F556" t="str">
            <v>Maùy caét uoán</v>
          </cell>
          <cell r="G556" t="str">
            <v>ca</v>
          </cell>
          <cell r="H556">
            <v>0.32</v>
          </cell>
          <cell r="I556">
            <v>0.32</v>
          </cell>
          <cell r="J556">
            <v>39789</v>
          </cell>
        </row>
        <row r="557">
          <cell r="F557" t="str">
            <v>Maùy vaän thaêng 0.8T</v>
          </cell>
          <cell r="G557" t="str">
            <v>ca</v>
          </cell>
          <cell r="H557">
            <v>0.04</v>
          </cell>
          <cell r="I557">
            <v>0.04</v>
          </cell>
          <cell r="J557">
            <v>90447</v>
          </cell>
        </row>
        <row r="558">
          <cell r="A558" t="str">
            <v>IA.2631</v>
          </cell>
          <cell r="B558" t="str">
            <v>IA.2631</v>
          </cell>
          <cell r="C558" t="str">
            <v>GCLÑ theùp thang boä F &gt;18 H&lt;4m</v>
          </cell>
          <cell r="D558" t="str">
            <v>Taán</v>
          </cell>
          <cell r="E558">
            <v>1</v>
          </cell>
          <cell r="F558" t="str">
            <v>Keõm buoäc</v>
          </cell>
          <cell r="G558" t="str">
            <v>Kg</v>
          </cell>
          <cell r="H558">
            <v>14.28</v>
          </cell>
          <cell r="I558">
            <v>14.28</v>
          </cell>
          <cell r="J558">
            <v>5300</v>
          </cell>
          <cell r="K558">
            <v>4299436</v>
          </cell>
          <cell r="L558">
            <v>185112</v>
          </cell>
          <cell r="M558">
            <v>105127</v>
          </cell>
        </row>
        <row r="559">
          <cell r="C559" t="str">
            <v xml:space="preserve">   Trong ñoù:   * F 20</v>
          </cell>
          <cell r="D559" t="str">
            <v>Kg</v>
          </cell>
          <cell r="E559">
            <v>1</v>
          </cell>
          <cell r="F559" t="str">
            <v>Theùp troøn F 20</v>
          </cell>
          <cell r="G559" t="str">
            <v>Kg</v>
          </cell>
          <cell r="H559">
            <v>1020</v>
          </cell>
          <cell r="I559">
            <v>1.02</v>
          </cell>
          <cell r="J559">
            <v>4350</v>
          </cell>
        </row>
        <row r="560">
          <cell r="C560" t="str">
            <v xml:space="preserve">                     * F 22</v>
          </cell>
          <cell r="D560" t="str">
            <v>Kg</v>
          </cell>
          <cell r="E560">
            <v>1</v>
          </cell>
          <cell r="F560" t="str">
            <v>Theùp troøn F 22</v>
          </cell>
          <cell r="G560" t="str">
            <v>Kg</v>
          </cell>
          <cell r="H560">
            <v>1020</v>
          </cell>
          <cell r="I560">
            <v>1.02</v>
          </cell>
          <cell r="J560">
            <v>4350</v>
          </cell>
        </row>
        <row r="561">
          <cell r="C561" t="str">
            <v xml:space="preserve">                     * F 25</v>
          </cell>
          <cell r="D561" t="str">
            <v>Kg</v>
          </cell>
          <cell r="E561">
            <v>1</v>
          </cell>
          <cell r="F561" t="str">
            <v>Theùp troøn F 25</v>
          </cell>
          <cell r="G561" t="str">
            <v>Kg</v>
          </cell>
          <cell r="H561">
            <v>1020</v>
          </cell>
          <cell r="I561">
            <v>1.02</v>
          </cell>
          <cell r="J561">
            <v>4350</v>
          </cell>
        </row>
        <row r="562">
          <cell r="F562" t="str">
            <v>Que haøn</v>
          </cell>
          <cell r="G562" t="str">
            <v>Kg</v>
          </cell>
          <cell r="H562">
            <v>5.3</v>
          </cell>
          <cell r="I562">
            <v>5.3</v>
          </cell>
          <cell r="J562">
            <v>10000</v>
          </cell>
        </row>
        <row r="563">
          <cell r="F563" t="str">
            <v>NC 3.7/7</v>
          </cell>
          <cell r="G563" t="str">
            <v>coâng</v>
          </cell>
          <cell r="H563">
            <v>14.03</v>
          </cell>
          <cell r="I563">
            <v>14.03</v>
          </cell>
          <cell r="J563">
            <v>13209.03</v>
          </cell>
        </row>
        <row r="564">
          <cell r="F564" t="str">
            <v>Maùy haøn 23KW</v>
          </cell>
          <cell r="G564" t="str">
            <v>ca</v>
          </cell>
          <cell r="H564">
            <v>1.2769999999999999</v>
          </cell>
          <cell r="I564">
            <v>1.2769999999999999</v>
          </cell>
          <cell r="J564">
            <v>77338</v>
          </cell>
        </row>
        <row r="565">
          <cell r="F565" t="str">
            <v>Maùy caét uoán</v>
          </cell>
          <cell r="G565" t="str">
            <v>ca</v>
          </cell>
          <cell r="H565">
            <v>0.16</v>
          </cell>
          <cell r="I565">
            <v>0.16</v>
          </cell>
          <cell r="J565">
            <v>39789</v>
          </cell>
        </row>
        <row r="566">
          <cell r="A566" t="str">
            <v>IA.2632</v>
          </cell>
          <cell r="B566" t="str">
            <v>IA.2632</v>
          </cell>
          <cell r="C566" t="str">
            <v>GCLÑ theùp thang boä F &gt;18 H&gt;4m</v>
          </cell>
          <cell r="D566" t="str">
            <v>Taán</v>
          </cell>
          <cell r="E566">
            <v>1</v>
          </cell>
          <cell r="F566" t="str">
            <v>Keõm buoäc</v>
          </cell>
          <cell r="G566" t="str">
            <v>Kg</v>
          </cell>
          <cell r="H566">
            <v>14.28</v>
          </cell>
          <cell r="I566">
            <v>14.28</v>
          </cell>
          <cell r="J566">
            <v>5300</v>
          </cell>
          <cell r="K566">
            <v>4299436</v>
          </cell>
          <cell r="L566">
            <v>189994</v>
          </cell>
          <cell r="M566">
            <v>107307</v>
          </cell>
        </row>
        <row r="567">
          <cell r="C567" t="str">
            <v xml:space="preserve">   Trong ñoù:   * F 20</v>
          </cell>
          <cell r="D567" t="str">
            <v>Kg</v>
          </cell>
          <cell r="E567">
            <v>1</v>
          </cell>
          <cell r="F567" t="str">
            <v>Theùp troøn F 20</v>
          </cell>
          <cell r="G567" t="str">
            <v>Kg</v>
          </cell>
          <cell r="H567">
            <v>1020</v>
          </cell>
          <cell r="I567">
            <v>1.02</v>
          </cell>
          <cell r="J567">
            <v>4350</v>
          </cell>
        </row>
        <row r="568">
          <cell r="C568" t="str">
            <v xml:space="preserve">                     * F 22</v>
          </cell>
          <cell r="D568" t="str">
            <v>Kg</v>
          </cell>
          <cell r="E568">
            <v>1</v>
          </cell>
          <cell r="F568" t="str">
            <v>Theùp troøn F 22</v>
          </cell>
          <cell r="G568" t="str">
            <v>Kg</v>
          </cell>
          <cell r="H568">
            <v>1020</v>
          </cell>
          <cell r="I568">
            <v>1.02</v>
          </cell>
          <cell r="J568">
            <v>4350</v>
          </cell>
        </row>
        <row r="569">
          <cell r="C569" t="str">
            <v xml:space="preserve">                     * F 25</v>
          </cell>
          <cell r="D569" t="str">
            <v>Kg</v>
          </cell>
          <cell r="E569">
            <v>1</v>
          </cell>
          <cell r="F569" t="str">
            <v>Theùp troøn F 25</v>
          </cell>
          <cell r="G569" t="str">
            <v>Kg</v>
          </cell>
          <cell r="H569">
            <v>1020</v>
          </cell>
          <cell r="I569">
            <v>1.02</v>
          </cell>
          <cell r="J569">
            <v>4350</v>
          </cell>
        </row>
        <row r="570">
          <cell r="F570" t="str">
            <v>Que haøn</v>
          </cell>
          <cell r="G570" t="str">
            <v>Kg</v>
          </cell>
          <cell r="H570">
            <v>5.3</v>
          </cell>
          <cell r="I570">
            <v>5.3</v>
          </cell>
          <cell r="J570">
            <v>10000</v>
          </cell>
        </row>
        <row r="571">
          <cell r="F571" t="str">
            <v>NC 3.7/7</v>
          </cell>
          <cell r="G571" t="str">
            <v>coâng</v>
          </cell>
          <cell r="H571">
            <v>14.4</v>
          </cell>
          <cell r="I571">
            <v>14.4</v>
          </cell>
          <cell r="J571">
            <v>13209.03</v>
          </cell>
        </row>
        <row r="572">
          <cell r="F572" t="str">
            <v>Maùy haøn 23KW</v>
          </cell>
          <cell r="G572" t="str">
            <v>ca</v>
          </cell>
          <cell r="H572">
            <v>1.2769999999999999</v>
          </cell>
          <cell r="I572">
            <v>1.2769999999999999</v>
          </cell>
          <cell r="J572">
            <v>77338</v>
          </cell>
        </row>
        <row r="573">
          <cell r="F573" t="str">
            <v>Maùy caét uoán</v>
          </cell>
          <cell r="G573" t="str">
            <v>ca</v>
          </cell>
          <cell r="H573">
            <v>0.16</v>
          </cell>
          <cell r="I573">
            <v>0.16</v>
          </cell>
          <cell r="J573">
            <v>39789</v>
          </cell>
        </row>
        <row r="574">
          <cell r="F574" t="str">
            <v>Maùy vaän thaêng 0.8T</v>
          </cell>
          <cell r="G574" t="str">
            <v>ca</v>
          </cell>
          <cell r="H574">
            <v>0.04</v>
          </cell>
          <cell r="I574">
            <v>0.04</v>
          </cell>
          <cell r="J574">
            <v>90447</v>
          </cell>
        </row>
        <row r="575">
          <cell r="A575" t="str">
            <v>IA.2511</v>
          </cell>
          <cell r="B575" t="str">
            <v>IA.2511</v>
          </cell>
          <cell r="C575" t="str">
            <v>GCLÑ theùp saøn F &lt;=10</v>
          </cell>
          <cell r="D575" t="str">
            <v>Taán</v>
          </cell>
          <cell r="E575">
            <v>1</v>
          </cell>
          <cell r="F575" t="str">
            <v>Keõm buoäc</v>
          </cell>
          <cell r="G575" t="str">
            <v>Kg</v>
          </cell>
          <cell r="H575">
            <v>21.42</v>
          </cell>
          <cell r="I575">
            <v>21.42</v>
          </cell>
          <cell r="J575">
            <v>5300</v>
          </cell>
          <cell r="K575">
            <v>4142094</v>
          </cell>
          <cell r="L575">
            <v>189766</v>
          </cell>
          <cell r="M575">
            <v>18096</v>
          </cell>
        </row>
        <row r="576">
          <cell r="C576" t="str">
            <v xml:space="preserve">   Trong ñoù:   * F 6</v>
          </cell>
          <cell r="D576" t="str">
            <v>Kg</v>
          </cell>
          <cell r="E576">
            <v>1</v>
          </cell>
          <cell r="F576" t="str">
            <v>Theùp troøn F 6</v>
          </cell>
          <cell r="G576" t="str">
            <v>Kg</v>
          </cell>
          <cell r="H576">
            <v>1005</v>
          </cell>
          <cell r="I576">
            <v>1.0049999999999999</v>
          </cell>
          <cell r="J576">
            <v>3720</v>
          </cell>
        </row>
        <row r="577">
          <cell r="C577" t="str">
            <v xml:space="preserve">                     * F 8</v>
          </cell>
          <cell r="D577" t="str">
            <v>Kg</v>
          </cell>
          <cell r="E577">
            <v>1</v>
          </cell>
          <cell r="F577" t="str">
            <v>Theùp troøn F 8</v>
          </cell>
          <cell r="G577" t="str">
            <v>Kg</v>
          </cell>
          <cell r="H577">
            <v>1005</v>
          </cell>
          <cell r="I577">
            <v>1.0049999999999999</v>
          </cell>
          <cell r="J577">
            <v>4000</v>
          </cell>
        </row>
        <row r="578">
          <cell r="C578" t="str">
            <v xml:space="preserve">                     * F 10</v>
          </cell>
          <cell r="D578" t="str">
            <v>Kg</v>
          </cell>
          <cell r="E578">
            <v>1</v>
          </cell>
          <cell r="F578" t="str">
            <v>Theùp troøn F 10</v>
          </cell>
          <cell r="G578" t="str">
            <v>Kg</v>
          </cell>
          <cell r="H578">
            <v>1005</v>
          </cell>
          <cell r="I578">
            <v>1.0049999999999999</v>
          </cell>
          <cell r="J578">
            <v>4000</v>
          </cell>
        </row>
        <row r="579">
          <cell r="F579" t="str">
            <v>NC 3.5/7</v>
          </cell>
          <cell r="G579" t="str">
            <v>coâng</v>
          </cell>
          <cell r="H579">
            <v>14.63</v>
          </cell>
          <cell r="I579">
            <v>14.63</v>
          </cell>
          <cell r="J579">
            <v>12964.99</v>
          </cell>
        </row>
        <row r="580">
          <cell r="F580" t="str">
            <v>Maùy caét uoán</v>
          </cell>
          <cell r="G580" t="str">
            <v>ca</v>
          </cell>
          <cell r="H580">
            <v>0.4</v>
          </cell>
          <cell r="I580">
            <v>0.4</v>
          </cell>
          <cell r="J580">
            <v>39789</v>
          </cell>
        </row>
        <row r="581">
          <cell r="F581" t="str">
            <v>Maùy vaän thaêng 0.8T</v>
          </cell>
          <cell r="G581" t="str">
            <v>ca</v>
          </cell>
          <cell r="H581">
            <v>0.04</v>
          </cell>
          <cell r="I581">
            <v>0.04</v>
          </cell>
          <cell r="J581">
            <v>90447</v>
          </cell>
        </row>
        <row r="582">
          <cell r="A582" t="str">
            <v>IA.2521</v>
          </cell>
          <cell r="B582" t="str">
            <v>IA.2521</v>
          </cell>
          <cell r="C582" t="str">
            <v>GCLÑ theùp maùi ñoùn 10&lt; F &lt;=18 (xem TK theùp)</v>
          </cell>
          <cell r="D582" t="str">
            <v>Taán</v>
          </cell>
          <cell r="E582">
            <v>1</v>
          </cell>
          <cell r="F582" t="str">
            <v>Keõm buoäc</v>
          </cell>
          <cell r="G582" t="str">
            <v>Kg</v>
          </cell>
          <cell r="H582">
            <v>14.28</v>
          </cell>
          <cell r="I582">
            <v>14.28</v>
          </cell>
          <cell r="J582">
            <v>5300</v>
          </cell>
          <cell r="K582">
            <v>4294792</v>
          </cell>
          <cell r="L582">
            <v>141514</v>
          </cell>
          <cell r="M582">
            <v>101763</v>
          </cell>
        </row>
        <row r="583">
          <cell r="C583" t="str">
            <v xml:space="preserve">   Trong ñoù:   * F 12</v>
          </cell>
          <cell r="D583" t="str">
            <v>Kg</v>
          </cell>
          <cell r="E583">
            <v>1</v>
          </cell>
          <cell r="F583" t="str">
            <v>Theùp troøn F 12</v>
          </cell>
          <cell r="G583" t="str">
            <v>Kg</v>
          </cell>
          <cell r="H583">
            <v>1020</v>
          </cell>
          <cell r="I583">
            <v>1.02</v>
          </cell>
          <cell r="J583">
            <v>4000</v>
          </cell>
        </row>
        <row r="584">
          <cell r="C584" t="str">
            <v xml:space="preserve">                     * F 14</v>
          </cell>
          <cell r="D584" t="str">
            <v>Kg</v>
          </cell>
          <cell r="E584">
            <v>1</v>
          </cell>
          <cell r="F584" t="str">
            <v>Theùp troøn F 14</v>
          </cell>
          <cell r="G584" t="str">
            <v>Kg</v>
          </cell>
          <cell r="H584">
            <v>1020</v>
          </cell>
          <cell r="I584">
            <v>1.02</v>
          </cell>
          <cell r="J584">
            <v>4000</v>
          </cell>
        </row>
        <row r="585">
          <cell r="C585" t="str">
            <v xml:space="preserve">                     * F 16</v>
          </cell>
          <cell r="D585" t="str">
            <v>Kg</v>
          </cell>
          <cell r="E585">
            <v>1</v>
          </cell>
          <cell r="F585" t="str">
            <v>Theùp troøn F 16</v>
          </cell>
          <cell r="G585" t="str">
            <v>Kg</v>
          </cell>
          <cell r="H585">
            <v>1020</v>
          </cell>
          <cell r="I585">
            <v>1.02</v>
          </cell>
          <cell r="J585">
            <v>4000</v>
          </cell>
        </row>
        <row r="586">
          <cell r="C586" t="str">
            <v xml:space="preserve">                     * F 18</v>
          </cell>
          <cell r="D586" t="str">
            <v>Kg</v>
          </cell>
          <cell r="E586">
            <v>1</v>
          </cell>
          <cell r="F586" t="str">
            <v>Theùp troøn F 18</v>
          </cell>
          <cell r="G586" t="str">
            <v>Kg</v>
          </cell>
          <cell r="H586">
            <v>1020</v>
          </cell>
          <cell r="I586">
            <v>1.02</v>
          </cell>
          <cell r="J586">
            <v>4000</v>
          </cell>
        </row>
        <row r="587">
          <cell r="F587" t="str">
            <v>Que haøn</v>
          </cell>
          <cell r="G587" t="str">
            <v>Kg</v>
          </cell>
          <cell r="H587">
            <v>4.617</v>
          </cell>
          <cell r="I587">
            <v>4.617</v>
          </cell>
          <cell r="J587">
            <v>10000</v>
          </cell>
        </row>
        <row r="588">
          <cell r="F588" t="str">
            <v>NC 3.5/7</v>
          </cell>
          <cell r="G588" t="str">
            <v>coâng</v>
          </cell>
          <cell r="H588">
            <v>10.91</v>
          </cell>
          <cell r="I588">
            <v>10.91</v>
          </cell>
          <cell r="J588">
            <v>12964.99</v>
          </cell>
        </row>
        <row r="589">
          <cell r="F589" t="str">
            <v>Maùy haøn 23KW</v>
          </cell>
          <cell r="G589" t="str">
            <v>ca</v>
          </cell>
          <cell r="H589">
            <v>1.123</v>
          </cell>
          <cell r="I589">
            <v>1.123</v>
          </cell>
          <cell r="J589">
            <v>77338</v>
          </cell>
        </row>
        <row r="590">
          <cell r="F590" t="str">
            <v>Maùy caét uoán</v>
          </cell>
          <cell r="G590" t="str">
            <v>ca</v>
          </cell>
          <cell r="H590">
            <v>0.32</v>
          </cell>
          <cell r="I590">
            <v>0.32</v>
          </cell>
          <cell r="J590">
            <v>39789</v>
          </cell>
        </row>
        <row r="591">
          <cell r="F591" t="str">
            <v>Maùy vaän thaêng 0.8T</v>
          </cell>
          <cell r="G591" t="str">
            <v>ca</v>
          </cell>
          <cell r="H591">
            <v>0.04</v>
          </cell>
          <cell r="I591">
            <v>0.04</v>
          </cell>
          <cell r="J591">
            <v>90447</v>
          </cell>
        </row>
        <row r="592">
          <cell r="A592" t="str">
            <v>IA.2531</v>
          </cell>
          <cell r="B592" t="str">
            <v>IA.2531</v>
          </cell>
          <cell r="C592" t="str">
            <v>GCLÑ theùp maùi ñoùn F &gt;18 (xem TK theùp)</v>
          </cell>
          <cell r="D592" t="str">
            <v>Taán</v>
          </cell>
          <cell r="E592">
            <v>1</v>
          </cell>
          <cell r="F592" t="str">
            <v>Keõm buoäc</v>
          </cell>
          <cell r="G592" t="str">
            <v>Kg</v>
          </cell>
          <cell r="H592">
            <v>14.28</v>
          </cell>
          <cell r="I592">
            <v>14.28</v>
          </cell>
          <cell r="J592">
            <v>5300</v>
          </cell>
          <cell r="K592">
            <v>4299436</v>
          </cell>
          <cell r="L592">
            <v>107659</v>
          </cell>
          <cell r="M592">
            <v>107307</v>
          </cell>
        </row>
        <row r="593">
          <cell r="C593" t="str">
            <v xml:space="preserve">   Trong ñoù:   * F 20</v>
          </cell>
          <cell r="D593" t="str">
            <v>Kg</v>
          </cell>
          <cell r="E593">
            <v>1</v>
          </cell>
          <cell r="F593" t="str">
            <v>Theùp troøn F 20</v>
          </cell>
          <cell r="G593" t="str">
            <v>Kg</v>
          </cell>
          <cell r="H593">
            <v>1020</v>
          </cell>
          <cell r="I593">
            <v>1.02</v>
          </cell>
          <cell r="J593">
            <v>4350</v>
          </cell>
        </row>
        <row r="594">
          <cell r="C594" t="str">
            <v xml:space="preserve">                     * F 22</v>
          </cell>
          <cell r="D594" t="str">
            <v>Kg</v>
          </cell>
          <cell r="E594">
            <v>1</v>
          </cell>
          <cell r="F594" t="str">
            <v>Theùp troøn F 22</v>
          </cell>
          <cell r="G594" t="str">
            <v>Kg</v>
          </cell>
          <cell r="H594">
            <v>1020</v>
          </cell>
          <cell r="I594">
            <v>1.02</v>
          </cell>
          <cell r="J594">
            <v>4350</v>
          </cell>
        </row>
        <row r="595">
          <cell r="C595" t="str">
            <v xml:space="preserve">                     * F 25</v>
          </cell>
          <cell r="D595" t="str">
            <v>Kg</v>
          </cell>
          <cell r="E595">
            <v>1</v>
          </cell>
          <cell r="F595" t="str">
            <v>Theùp troøn F 25</v>
          </cell>
          <cell r="G595" t="str">
            <v>Kg</v>
          </cell>
          <cell r="H595">
            <v>1020</v>
          </cell>
          <cell r="I595">
            <v>1.02</v>
          </cell>
          <cell r="J595">
            <v>4350</v>
          </cell>
        </row>
        <row r="596">
          <cell r="F596" t="str">
            <v>Que haøn</v>
          </cell>
          <cell r="G596" t="str">
            <v>Kg</v>
          </cell>
          <cell r="H596">
            <v>5.3</v>
          </cell>
          <cell r="I596">
            <v>5.3</v>
          </cell>
          <cell r="J596">
            <v>10000</v>
          </cell>
        </row>
        <row r="597">
          <cell r="F597" t="str">
            <v>NC 3.5/7</v>
          </cell>
          <cell r="G597" t="str">
            <v>coâng</v>
          </cell>
          <cell r="H597">
            <v>8.3000000000000007</v>
          </cell>
          <cell r="I597">
            <v>8.3000000000000007</v>
          </cell>
          <cell r="J597">
            <v>12964.99</v>
          </cell>
        </row>
        <row r="598">
          <cell r="F598" t="str">
            <v>Maùy haøn 23KW</v>
          </cell>
          <cell r="G598" t="str">
            <v>ca</v>
          </cell>
          <cell r="H598">
            <v>1.2769999999999999</v>
          </cell>
          <cell r="I598">
            <v>1.2769999999999999</v>
          </cell>
          <cell r="J598">
            <v>77338</v>
          </cell>
        </row>
        <row r="599">
          <cell r="F599" t="str">
            <v>Maùy caét uoán</v>
          </cell>
          <cell r="G599" t="str">
            <v>ca</v>
          </cell>
          <cell r="H599">
            <v>0.16</v>
          </cell>
          <cell r="I599">
            <v>0.16</v>
          </cell>
          <cell r="J599">
            <v>39789</v>
          </cell>
        </row>
        <row r="600">
          <cell r="F600" t="str">
            <v>Maùy vaän thaêng 0.8T</v>
          </cell>
          <cell r="G600" t="str">
            <v>ca</v>
          </cell>
          <cell r="H600">
            <v>0.04</v>
          </cell>
          <cell r="I600">
            <v>0.04</v>
          </cell>
          <cell r="J600">
            <v>90447</v>
          </cell>
        </row>
        <row r="601">
          <cell r="A601" t="str">
            <v>IB.2511</v>
          </cell>
          <cell r="B601" t="str">
            <v>IB.2511</v>
          </cell>
          <cell r="C601" t="str">
            <v>GCLÑ theùp caùc CKÑS</v>
          </cell>
          <cell r="D601" t="str">
            <v>Taán</v>
          </cell>
          <cell r="E601">
            <v>1</v>
          </cell>
          <cell r="F601" t="str">
            <v>Keõm buoäc</v>
          </cell>
          <cell r="G601" t="str">
            <v>Kg</v>
          </cell>
          <cell r="H601">
            <v>21.42</v>
          </cell>
          <cell r="I601">
            <v>21.42</v>
          </cell>
          <cell r="J601">
            <v>5300</v>
          </cell>
          <cell r="K601">
            <v>4142094</v>
          </cell>
          <cell r="L601">
            <v>221804</v>
          </cell>
          <cell r="M601">
            <v>15916</v>
          </cell>
        </row>
        <row r="602">
          <cell r="C602" t="str">
            <v xml:space="preserve">   Trong ñoù:   * F 6</v>
          </cell>
          <cell r="D602" t="str">
            <v>Kg</v>
          </cell>
          <cell r="E602">
            <v>1</v>
          </cell>
          <cell r="F602" t="str">
            <v>Theùp troøn F 6</v>
          </cell>
          <cell r="G602" t="str">
            <v>Kg</v>
          </cell>
          <cell r="H602">
            <v>1005</v>
          </cell>
          <cell r="I602">
            <v>1.0049999999999999</v>
          </cell>
          <cell r="J602">
            <v>3720</v>
          </cell>
        </row>
        <row r="603">
          <cell r="C603" t="str">
            <v xml:space="preserve">                     * F 8</v>
          </cell>
          <cell r="D603" t="str">
            <v>Kg</v>
          </cell>
          <cell r="E603">
            <v>1</v>
          </cell>
          <cell r="F603" t="str">
            <v>Theùp troøn F 8</v>
          </cell>
          <cell r="G603" t="str">
            <v>Kg</v>
          </cell>
          <cell r="H603">
            <v>1005</v>
          </cell>
          <cell r="I603">
            <v>1.0049999999999999</v>
          </cell>
          <cell r="J603">
            <v>4000</v>
          </cell>
        </row>
        <row r="604">
          <cell r="C604" t="str">
            <v xml:space="preserve">                     * F 10</v>
          </cell>
          <cell r="D604" t="str">
            <v>Kg</v>
          </cell>
          <cell r="E604">
            <v>1</v>
          </cell>
          <cell r="F604" t="str">
            <v>Theùp troøn F 10</v>
          </cell>
          <cell r="G604" t="str">
            <v>Kg</v>
          </cell>
          <cell r="H604">
            <v>1005</v>
          </cell>
          <cell r="I604">
            <v>1.0049999999999999</v>
          </cell>
          <cell r="J604">
            <v>4000</v>
          </cell>
        </row>
        <row r="605">
          <cell r="C605" t="str">
            <v xml:space="preserve">                     * F 12</v>
          </cell>
          <cell r="D605" t="str">
            <v>Kg</v>
          </cell>
          <cell r="E605">
            <v>1</v>
          </cell>
          <cell r="F605" t="str">
            <v>Theùp troøn F 12</v>
          </cell>
          <cell r="G605" t="str">
            <v>Kg</v>
          </cell>
          <cell r="H605">
            <v>1005</v>
          </cell>
          <cell r="I605">
            <v>1.0049999999999999</v>
          </cell>
          <cell r="J605">
            <v>4000</v>
          </cell>
        </row>
        <row r="606">
          <cell r="C606" t="str">
            <v xml:space="preserve">                     * F 14</v>
          </cell>
          <cell r="D606" t="str">
            <v>Kg</v>
          </cell>
          <cell r="E606">
            <v>1</v>
          </cell>
          <cell r="F606" t="str">
            <v>Theùp troøn F 14</v>
          </cell>
          <cell r="G606" t="str">
            <v>Kg</v>
          </cell>
          <cell r="H606">
            <v>1005</v>
          </cell>
          <cell r="I606">
            <v>1.0049999999999999</v>
          </cell>
          <cell r="J606">
            <v>4000</v>
          </cell>
        </row>
        <row r="607">
          <cell r="C607" t="str">
            <v xml:space="preserve">                     * F 16</v>
          </cell>
          <cell r="D607" t="str">
            <v>Kg</v>
          </cell>
          <cell r="E607">
            <v>1</v>
          </cell>
          <cell r="F607" t="str">
            <v>Theùp troøn F 16</v>
          </cell>
          <cell r="G607" t="str">
            <v>Kg</v>
          </cell>
          <cell r="H607">
            <v>1005</v>
          </cell>
          <cell r="I607">
            <v>1.0049999999999999</v>
          </cell>
          <cell r="J607">
            <v>4000</v>
          </cell>
        </row>
        <row r="608">
          <cell r="F608" t="str">
            <v>NC 3.5/7</v>
          </cell>
          <cell r="G608" t="str">
            <v>coâng</v>
          </cell>
          <cell r="H608">
            <v>17.100000000000001</v>
          </cell>
          <cell r="I608">
            <v>17.100000000000001</v>
          </cell>
          <cell r="J608">
            <v>12964.99</v>
          </cell>
        </row>
        <row r="609">
          <cell r="F609" t="str">
            <v>Maùy caét uoán</v>
          </cell>
          <cell r="G609" t="str">
            <v>ca</v>
          </cell>
          <cell r="H609">
            <v>0.4</v>
          </cell>
          <cell r="I609">
            <v>0.4</v>
          </cell>
          <cell r="J609">
            <v>39789</v>
          </cell>
        </row>
        <row r="610">
          <cell r="A610" t="str">
            <v>GI.1114</v>
          </cell>
          <cell r="B610" t="str">
            <v>GI.1114</v>
          </cell>
          <cell r="C610" t="str">
            <v>Xaây gaïch oáng töôøng 10 VXM75 H&lt;4m</v>
          </cell>
          <cell r="D610" t="str">
            <v>m3</v>
          </cell>
          <cell r="E610">
            <v>1</v>
          </cell>
          <cell r="F610" t="str">
            <v>Gaïch ñinh 4x8x19</v>
          </cell>
          <cell r="G610" t="str">
            <v>vieân</v>
          </cell>
          <cell r="H610">
            <v>682</v>
          </cell>
          <cell r="I610">
            <v>682</v>
          </cell>
          <cell r="J610">
            <v>170</v>
          </cell>
          <cell r="K610">
            <v>213617</v>
          </cell>
          <cell r="L610">
            <v>25293</v>
          </cell>
          <cell r="M610">
            <v>906</v>
          </cell>
        </row>
        <row r="611">
          <cell r="F611" t="str">
            <v xml:space="preserve">Xi maêng PC 30 </v>
          </cell>
          <cell r="G611" t="str">
            <v>Kg</v>
          </cell>
          <cell r="H611">
            <v>54.405000000000001</v>
          </cell>
          <cell r="I611">
            <v>54.405000000000001</v>
          </cell>
          <cell r="J611">
            <v>880</v>
          </cell>
        </row>
        <row r="612">
          <cell r="F612" t="str">
            <v>Caùt vaøng</v>
          </cell>
          <cell r="G612" t="str">
            <v>m3</v>
          </cell>
          <cell r="H612">
            <v>0.18529999999999999</v>
          </cell>
          <cell r="I612">
            <v>0.18529999999999999</v>
          </cell>
          <cell r="J612">
            <v>47000</v>
          </cell>
        </row>
        <row r="613">
          <cell r="F613" t="str">
            <v>Caây choáng</v>
          </cell>
          <cell r="G613" t="str">
            <v>caây</v>
          </cell>
          <cell r="H613">
            <v>0.5</v>
          </cell>
          <cell r="I613">
            <v>0.5</v>
          </cell>
          <cell r="J613">
            <v>11000</v>
          </cell>
        </row>
        <row r="614">
          <cell r="F614" t="str">
            <v>Goã vaùn coáppha</v>
          </cell>
          <cell r="G614" t="str">
            <v>m3</v>
          </cell>
          <cell r="H614">
            <v>3.0000000000000001E-3</v>
          </cell>
          <cell r="I614">
            <v>3.0000000000000001E-3</v>
          </cell>
          <cell r="J614">
            <v>2100000</v>
          </cell>
        </row>
        <row r="615">
          <cell r="F615" t="str">
            <v>Daây buoäc</v>
          </cell>
          <cell r="G615" t="str">
            <v>Kg</v>
          </cell>
          <cell r="H615">
            <v>0.23</v>
          </cell>
          <cell r="I615">
            <v>0.23</v>
          </cell>
          <cell r="J615">
            <v>5300</v>
          </cell>
        </row>
        <row r="616">
          <cell r="F616" t="str">
            <v>Nöôùc</v>
          </cell>
          <cell r="G616" t="str">
            <v>Lít</v>
          </cell>
          <cell r="H616">
            <v>44.2</v>
          </cell>
          <cell r="I616">
            <v>44.2</v>
          </cell>
          <cell r="J616">
            <v>2.5</v>
          </cell>
        </row>
        <row r="617">
          <cell r="F617" t="str">
            <v>NC 3.5/7</v>
          </cell>
          <cell r="G617" t="str">
            <v>coâng</v>
          </cell>
          <cell r="H617">
            <v>1.95</v>
          </cell>
          <cell r="I617">
            <v>1.95</v>
          </cell>
          <cell r="J617">
            <v>12964.99</v>
          </cell>
        </row>
        <row r="618">
          <cell r="F618" t="str">
            <v>Maùy troän 80L</v>
          </cell>
          <cell r="G618" t="str">
            <v>ca</v>
          </cell>
          <cell r="H618">
            <v>0.02</v>
          </cell>
          <cell r="I618">
            <v>0.02</v>
          </cell>
          <cell r="J618">
            <v>45294</v>
          </cell>
        </row>
        <row r="619">
          <cell r="A619" t="str">
            <v>GI.1124</v>
          </cell>
          <cell r="B619" t="str">
            <v>GI.1124</v>
          </cell>
          <cell r="C619" t="str">
            <v>Xaây gaïch oáng töôøng 10 VXM75 H&gt;4m</v>
          </cell>
          <cell r="D619" t="str">
            <v>m3</v>
          </cell>
          <cell r="E619">
            <v>1</v>
          </cell>
          <cell r="F619" t="str">
            <v>Gaïch ñinh 4x8x19</v>
          </cell>
          <cell r="G619" t="str">
            <v>vieân</v>
          </cell>
          <cell r="H619">
            <v>682</v>
          </cell>
          <cell r="I619">
            <v>682</v>
          </cell>
          <cell r="J619">
            <v>170</v>
          </cell>
          <cell r="K619">
            <v>236384</v>
          </cell>
          <cell r="L619">
            <v>27888</v>
          </cell>
          <cell r="M619">
            <v>4176</v>
          </cell>
        </row>
        <row r="620">
          <cell r="F620" t="str">
            <v xml:space="preserve">Xi maêng PC 30 </v>
          </cell>
          <cell r="G620" t="str">
            <v>Kg</v>
          </cell>
          <cell r="H620">
            <v>54.405000000000001</v>
          </cell>
          <cell r="I620">
            <v>54.405000000000001</v>
          </cell>
          <cell r="J620">
            <v>880</v>
          </cell>
        </row>
        <row r="621">
          <cell r="F621" t="str">
            <v>Caùt vaøng</v>
          </cell>
          <cell r="G621" t="str">
            <v>m3</v>
          </cell>
          <cell r="H621">
            <v>0.18529999999999999</v>
          </cell>
          <cell r="I621">
            <v>0.18529999999999999</v>
          </cell>
          <cell r="J621">
            <v>47000</v>
          </cell>
        </row>
        <row r="622">
          <cell r="F622" t="str">
            <v>Caây choáng</v>
          </cell>
          <cell r="G622" t="str">
            <v>caây</v>
          </cell>
          <cell r="H622">
            <v>1.62</v>
          </cell>
          <cell r="I622">
            <v>1.62</v>
          </cell>
          <cell r="J622">
            <v>11000</v>
          </cell>
        </row>
        <row r="623">
          <cell r="F623" t="str">
            <v>Goã vaùn coáppha</v>
          </cell>
          <cell r="G623" t="str">
            <v>m3</v>
          </cell>
          <cell r="H623">
            <v>0.01</v>
          </cell>
          <cell r="I623">
            <v>0.01</v>
          </cell>
          <cell r="J623">
            <v>2100000</v>
          </cell>
        </row>
        <row r="624">
          <cell r="F624" t="str">
            <v>Daây buoäc</v>
          </cell>
          <cell r="G624" t="str">
            <v>Kg</v>
          </cell>
          <cell r="H624">
            <v>0.46</v>
          </cell>
          <cell r="I624">
            <v>0.46</v>
          </cell>
          <cell r="J624">
            <v>5300</v>
          </cell>
        </row>
        <row r="625">
          <cell r="F625" t="str">
            <v>Nöôùc</v>
          </cell>
          <cell r="G625" t="str">
            <v>Lít</v>
          </cell>
          <cell r="H625">
            <v>44.2</v>
          </cell>
          <cell r="I625">
            <v>44.2</v>
          </cell>
          <cell r="J625">
            <v>2.5</v>
          </cell>
        </row>
        <row r="626">
          <cell r="F626" t="str">
            <v>NC 3.5/7</v>
          </cell>
          <cell r="G626" t="str">
            <v>coâng</v>
          </cell>
          <cell r="H626">
            <v>2.15</v>
          </cell>
          <cell r="I626">
            <v>2.15</v>
          </cell>
          <cell r="J626">
            <v>12964.99</v>
          </cell>
        </row>
        <row r="627">
          <cell r="F627" t="str">
            <v>Maùy troän 80L</v>
          </cell>
          <cell r="G627" t="str">
            <v>ca</v>
          </cell>
          <cell r="H627">
            <v>0.02</v>
          </cell>
          <cell r="I627">
            <v>0.02</v>
          </cell>
          <cell r="J627">
            <v>45294</v>
          </cell>
        </row>
        <row r="628">
          <cell r="F628" t="str">
            <v>Maùy vaän thaêng 0.8T</v>
          </cell>
          <cell r="G628" t="str">
            <v>ca</v>
          </cell>
          <cell r="H628">
            <v>0.06</v>
          </cell>
          <cell r="I628">
            <v>0.06</v>
          </cell>
          <cell r="J628">
            <v>90447</v>
          </cell>
        </row>
        <row r="629">
          <cell r="A629" t="str">
            <v>GI.2114</v>
          </cell>
          <cell r="B629" t="str">
            <v>GI.2114</v>
          </cell>
          <cell r="C629" t="str">
            <v>Xaây gaïch oáng caâu gaïch ñinh 20 VXM75 treät</v>
          </cell>
          <cell r="D629" t="str">
            <v>m3</v>
          </cell>
          <cell r="E629">
            <v>1</v>
          </cell>
          <cell r="F629" t="str">
            <v>Gaïch oáng 8x8x19</v>
          </cell>
          <cell r="G629" t="str">
            <v>vieân</v>
          </cell>
          <cell r="H629">
            <v>465</v>
          </cell>
          <cell r="I629">
            <v>465</v>
          </cell>
          <cell r="J629">
            <v>240</v>
          </cell>
          <cell r="K629">
            <v>209117</v>
          </cell>
          <cell r="L629">
            <v>23996</v>
          </cell>
          <cell r="M629">
            <v>906</v>
          </cell>
        </row>
        <row r="630">
          <cell r="F630" t="str">
            <v>Gaïch ñinh 4x8x19</v>
          </cell>
          <cell r="G630" t="str">
            <v>vieân</v>
          </cell>
          <cell r="H630">
            <v>233</v>
          </cell>
          <cell r="I630">
            <v>233</v>
          </cell>
          <cell r="J630">
            <v>170</v>
          </cell>
        </row>
        <row r="631">
          <cell r="F631" t="str">
            <v xml:space="preserve">Xi maêng PC 30 </v>
          </cell>
          <cell r="G631" t="str">
            <v>Kg</v>
          </cell>
          <cell r="H631">
            <v>57.604999999999997</v>
          </cell>
          <cell r="I631">
            <v>57.604999999999997</v>
          </cell>
          <cell r="J631">
            <v>880</v>
          </cell>
        </row>
        <row r="632">
          <cell r="F632" t="str">
            <v>Caùt vaøng</v>
          </cell>
          <cell r="G632" t="str">
            <v>m3</v>
          </cell>
          <cell r="H632">
            <v>0.19600000000000001</v>
          </cell>
          <cell r="I632">
            <v>0.19600000000000001</v>
          </cell>
          <cell r="J632">
            <v>47000</v>
          </cell>
        </row>
        <row r="633">
          <cell r="F633" t="str">
            <v>Caây choáng</v>
          </cell>
          <cell r="G633" t="str">
            <v>caây</v>
          </cell>
          <cell r="H633">
            <v>0.5</v>
          </cell>
          <cell r="I633">
            <v>0.5</v>
          </cell>
          <cell r="J633">
            <v>11000</v>
          </cell>
        </row>
        <row r="634">
          <cell r="F634" t="str">
            <v>Goã vaùn coáppha</v>
          </cell>
          <cell r="G634" t="str">
            <v>m3</v>
          </cell>
          <cell r="H634">
            <v>3.0000000000000001E-3</v>
          </cell>
          <cell r="I634">
            <v>3.0000000000000001E-3</v>
          </cell>
          <cell r="J634">
            <v>2100000</v>
          </cell>
        </row>
        <row r="635">
          <cell r="F635" t="str">
            <v>Daây buoäc</v>
          </cell>
          <cell r="G635" t="str">
            <v>Kg</v>
          </cell>
          <cell r="H635">
            <v>0.23</v>
          </cell>
          <cell r="I635">
            <v>0.23</v>
          </cell>
          <cell r="J635">
            <v>5300</v>
          </cell>
        </row>
        <row r="636">
          <cell r="F636" t="str">
            <v>Nöôùc</v>
          </cell>
          <cell r="G636" t="str">
            <v>Lít</v>
          </cell>
          <cell r="H636">
            <v>46.8</v>
          </cell>
          <cell r="I636">
            <v>46.8</v>
          </cell>
          <cell r="J636">
            <v>2.5</v>
          </cell>
        </row>
        <row r="637">
          <cell r="F637" t="str">
            <v>NC 3.5/7</v>
          </cell>
          <cell r="G637" t="str">
            <v>coâng</v>
          </cell>
          <cell r="H637">
            <v>1.85</v>
          </cell>
          <cell r="I637">
            <v>1.85</v>
          </cell>
          <cell r="J637">
            <v>12964.99</v>
          </cell>
        </row>
        <row r="638">
          <cell r="F638" t="str">
            <v>Maùy troän 80L</v>
          </cell>
          <cell r="G638" t="str">
            <v>ca</v>
          </cell>
          <cell r="H638">
            <v>0.02</v>
          </cell>
          <cell r="I638">
            <v>0.02</v>
          </cell>
          <cell r="J638">
            <v>45294</v>
          </cell>
        </row>
        <row r="639">
          <cell r="A639" t="str">
            <v>GI.2124</v>
          </cell>
          <cell r="B639" t="str">
            <v>GI.2124</v>
          </cell>
          <cell r="C639" t="str">
            <v>Xaây gaïch oáng caâu gaïch ñinh VXM75 H&gt;4m</v>
          </cell>
          <cell r="D639" t="str">
            <v>m3</v>
          </cell>
          <cell r="E639">
            <v>1</v>
          </cell>
          <cell r="F639" t="str">
            <v>Gaïch oáng 8x8x19</v>
          </cell>
          <cell r="G639" t="str">
            <v>vieân</v>
          </cell>
          <cell r="H639">
            <v>465</v>
          </cell>
          <cell r="I639">
            <v>465</v>
          </cell>
          <cell r="J639">
            <v>240</v>
          </cell>
          <cell r="K639">
            <v>231848</v>
          </cell>
          <cell r="L639">
            <v>27888</v>
          </cell>
          <cell r="M639">
            <v>4176</v>
          </cell>
        </row>
        <row r="640">
          <cell r="F640" t="str">
            <v>Gaïch ñinh 4x8x19</v>
          </cell>
          <cell r="G640" t="str">
            <v>vieân</v>
          </cell>
          <cell r="H640">
            <v>233</v>
          </cell>
          <cell r="I640">
            <v>233</v>
          </cell>
          <cell r="J640">
            <v>170</v>
          </cell>
        </row>
        <row r="641">
          <cell r="F641" t="str">
            <v xml:space="preserve">Xi maêng PC 30 </v>
          </cell>
          <cell r="G641" t="str">
            <v>Kg</v>
          </cell>
          <cell r="H641">
            <v>57.604999999999997</v>
          </cell>
          <cell r="I641">
            <v>57.604999999999997</v>
          </cell>
          <cell r="J641">
            <v>880</v>
          </cell>
        </row>
        <row r="642">
          <cell r="F642" t="str">
            <v>Caùt vaøng</v>
          </cell>
          <cell r="G642" t="str">
            <v>m3</v>
          </cell>
          <cell r="H642">
            <v>0.19600000000000001</v>
          </cell>
          <cell r="I642">
            <v>0.19600000000000001</v>
          </cell>
          <cell r="J642">
            <v>47000</v>
          </cell>
        </row>
        <row r="643">
          <cell r="F643" t="str">
            <v>Caây choáng</v>
          </cell>
          <cell r="G643" t="str">
            <v>caây</v>
          </cell>
          <cell r="H643">
            <v>1.62</v>
          </cell>
          <cell r="I643">
            <v>1.62</v>
          </cell>
          <cell r="J643">
            <v>11000</v>
          </cell>
        </row>
        <row r="644">
          <cell r="F644" t="str">
            <v>Goã vaùn coáppha</v>
          </cell>
          <cell r="G644" t="str">
            <v>m3</v>
          </cell>
          <cell r="H644">
            <v>0.01</v>
          </cell>
          <cell r="I644">
            <v>0.01</v>
          </cell>
          <cell r="J644">
            <v>2100000</v>
          </cell>
        </row>
        <row r="645">
          <cell r="F645" t="str">
            <v>Daây buoäc</v>
          </cell>
          <cell r="G645" t="str">
            <v>Kg</v>
          </cell>
          <cell r="H645">
            <v>0.46</v>
          </cell>
          <cell r="I645">
            <v>0.46</v>
          </cell>
          <cell r="J645">
            <v>5300</v>
          </cell>
        </row>
        <row r="646">
          <cell r="F646" t="str">
            <v>Nöôùc</v>
          </cell>
          <cell r="G646" t="str">
            <v>Lít</v>
          </cell>
          <cell r="H646">
            <v>46.8</v>
          </cell>
          <cell r="I646">
            <v>46.8</v>
          </cell>
          <cell r="J646">
            <v>2.5</v>
          </cell>
        </row>
        <row r="647">
          <cell r="F647" t="str">
            <v>NC 3.5/7</v>
          </cell>
          <cell r="G647" t="str">
            <v>coâng</v>
          </cell>
          <cell r="H647">
            <v>2.15</v>
          </cell>
          <cell r="I647">
            <v>2.15</v>
          </cell>
          <cell r="J647">
            <v>12964.99</v>
          </cell>
        </row>
        <row r="648">
          <cell r="F648" t="str">
            <v>Maùy troän 80L</v>
          </cell>
          <cell r="G648" t="str">
            <v>ca</v>
          </cell>
          <cell r="H648">
            <v>0.02</v>
          </cell>
          <cell r="I648">
            <v>0.02</v>
          </cell>
          <cell r="J648">
            <v>45294</v>
          </cell>
        </row>
        <row r="649">
          <cell r="F649" t="str">
            <v>Maùy vaän thaêng 0.8T</v>
          </cell>
          <cell r="G649" t="str">
            <v>ca</v>
          </cell>
          <cell r="H649">
            <v>0.06</v>
          </cell>
          <cell r="I649">
            <v>0.06</v>
          </cell>
          <cell r="J649">
            <v>90447</v>
          </cell>
        </row>
        <row r="650">
          <cell r="A650" t="str">
            <v>GG.3214</v>
          </cell>
          <cell r="B650" t="str">
            <v>GG.3214</v>
          </cell>
          <cell r="C650" t="str">
            <v>Xaây baäc caáp vaø truï trang trí gaïch ñinh VXM75</v>
          </cell>
          <cell r="D650" t="str">
            <v>m3</v>
          </cell>
          <cell r="E650">
            <v>1</v>
          </cell>
          <cell r="F650" t="str">
            <v>Gaïch ñinh 4x8x19</v>
          </cell>
          <cell r="G650" t="str">
            <v>vieân</v>
          </cell>
          <cell r="H650">
            <v>1087</v>
          </cell>
          <cell r="I650">
            <v>1087</v>
          </cell>
          <cell r="J650">
            <v>170</v>
          </cell>
          <cell r="K650">
            <v>300226</v>
          </cell>
          <cell r="L650">
            <v>60704</v>
          </cell>
          <cell r="M650">
            <v>1359</v>
          </cell>
        </row>
        <row r="651">
          <cell r="F651" t="str">
            <v xml:space="preserve">Xi maêng PC 30 </v>
          </cell>
          <cell r="G651" t="str">
            <v>Kg</v>
          </cell>
          <cell r="H651">
            <v>104.97</v>
          </cell>
          <cell r="I651">
            <v>104.97</v>
          </cell>
          <cell r="J651">
            <v>880</v>
          </cell>
        </row>
        <row r="652">
          <cell r="F652" t="str">
            <v>Caùt mòn</v>
          </cell>
          <cell r="G652" t="str">
            <v>m3</v>
          </cell>
          <cell r="H652">
            <v>0.35799999999999998</v>
          </cell>
          <cell r="I652">
            <v>0.35799999999999998</v>
          </cell>
          <cell r="J652">
            <v>47000</v>
          </cell>
        </row>
        <row r="653">
          <cell r="F653" t="str">
            <v>Caây choáng</v>
          </cell>
          <cell r="G653" t="str">
            <v>caây</v>
          </cell>
          <cell r="H653">
            <v>0.5</v>
          </cell>
          <cell r="I653">
            <v>0.5</v>
          </cell>
          <cell r="J653">
            <v>11000</v>
          </cell>
        </row>
        <row r="654">
          <cell r="F654" t="str">
            <v>Goã vaùn coáppha</v>
          </cell>
          <cell r="G654" t="str">
            <v>m3</v>
          </cell>
          <cell r="H654">
            <v>3.0000000000000001E-3</v>
          </cell>
          <cell r="I654">
            <v>3.0000000000000001E-3</v>
          </cell>
          <cell r="J654">
            <v>2100000</v>
          </cell>
        </row>
        <row r="655">
          <cell r="F655" t="str">
            <v>Daây buoäc</v>
          </cell>
          <cell r="G655" t="str">
            <v>Kg</v>
          </cell>
          <cell r="H655">
            <v>0.23</v>
          </cell>
          <cell r="I655">
            <v>0.23</v>
          </cell>
          <cell r="J655">
            <v>5300</v>
          </cell>
        </row>
        <row r="656">
          <cell r="F656" t="str">
            <v>Nöôùc</v>
          </cell>
          <cell r="G656" t="str">
            <v>Lít</v>
          </cell>
          <cell r="H656">
            <v>85.28</v>
          </cell>
          <cell r="I656">
            <v>85.28</v>
          </cell>
          <cell r="J656">
            <v>2.5</v>
          </cell>
        </row>
        <row r="657">
          <cell r="F657" t="str">
            <v>NC 3.5/7</v>
          </cell>
          <cell r="G657" t="str">
            <v>coâng</v>
          </cell>
          <cell r="H657">
            <v>4.68</v>
          </cell>
          <cell r="I657">
            <v>4.68</v>
          </cell>
          <cell r="J657">
            <v>12964.99</v>
          </cell>
        </row>
        <row r="658">
          <cell r="F658" t="str">
            <v>Maùy troän 80L</v>
          </cell>
          <cell r="G658" t="str">
            <v>ca</v>
          </cell>
          <cell r="H658">
            <v>0.03</v>
          </cell>
          <cell r="I658">
            <v>0.03</v>
          </cell>
          <cell r="J658">
            <v>45294</v>
          </cell>
        </row>
        <row r="659">
          <cell r="A659" t="str">
            <v>GG.3224</v>
          </cell>
          <cell r="B659" t="str">
            <v>GG.3224</v>
          </cell>
          <cell r="C659" t="str">
            <v>Xaây caùc keát caáu phöùc taïp gaïch ñinh VXM75 H&gt;4m</v>
          </cell>
          <cell r="D659" t="str">
            <v>m3</v>
          </cell>
          <cell r="E659">
            <v>1</v>
          </cell>
          <cell r="F659" t="str">
            <v>Gaïch ñinh 4x8x19</v>
          </cell>
          <cell r="G659" t="str">
            <v>vieân</v>
          </cell>
          <cell r="H659">
            <v>1087</v>
          </cell>
          <cell r="I659">
            <v>1087</v>
          </cell>
          <cell r="J659">
            <v>170</v>
          </cell>
          <cell r="K659">
            <v>322957</v>
          </cell>
          <cell r="L659">
            <v>67449</v>
          </cell>
          <cell r="M659">
            <v>5719</v>
          </cell>
        </row>
        <row r="660">
          <cell r="F660" t="str">
            <v xml:space="preserve">Xi maêng PC 30 </v>
          </cell>
          <cell r="G660" t="str">
            <v>Kg</v>
          </cell>
          <cell r="H660">
            <v>104.97</v>
          </cell>
          <cell r="I660">
            <v>104.97</v>
          </cell>
          <cell r="J660">
            <v>880</v>
          </cell>
        </row>
        <row r="661">
          <cell r="F661" t="str">
            <v>Caùt mòn</v>
          </cell>
          <cell r="G661" t="str">
            <v>m3</v>
          </cell>
          <cell r="H661">
            <v>0.35799999999999998</v>
          </cell>
          <cell r="I661">
            <v>0.35799999999999998</v>
          </cell>
          <cell r="J661">
            <v>47000</v>
          </cell>
        </row>
        <row r="662">
          <cell r="F662" t="str">
            <v>Caây choáng</v>
          </cell>
          <cell r="G662" t="str">
            <v>caây</v>
          </cell>
          <cell r="H662">
            <v>1.62</v>
          </cell>
          <cell r="I662">
            <v>1.62</v>
          </cell>
          <cell r="J662">
            <v>11000</v>
          </cell>
        </row>
        <row r="663">
          <cell r="F663" t="str">
            <v>Goã vaùn coáppha</v>
          </cell>
          <cell r="G663" t="str">
            <v>m3</v>
          </cell>
          <cell r="H663">
            <v>0.01</v>
          </cell>
          <cell r="I663">
            <v>0.01</v>
          </cell>
          <cell r="J663">
            <v>2100000</v>
          </cell>
        </row>
        <row r="664">
          <cell r="F664" t="str">
            <v>Daây buoäc</v>
          </cell>
          <cell r="G664" t="str">
            <v>Kg</v>
          </cell>
          <cell r="H664">
            <v>0.46</v>
          </cell>
          <cell r="I664">
            <v>0.46</v>
          </cell>
          <cell r="J664">
            <v>5300</v>
          </cell>
        </row>
        <row r="665">
          <cell r="F665" t="str">
            <v>Nöôùc</v>
          </cell>
          <cell r="G665" t="str">
            <v>Lít</v>
          </cell>
          <cell r="H665">
            <v>85.28</v>
          </cell>
          <cell r="I665">
            <v>85.28</v>
          </cell>
          <cell r="J665">
            <v>2.5</v>
          </cell>
        </row>
        <row r="666">
          <cell r="F666" t="str">
            <v>NC 3.5/7</v>
          </cell>
          <cell r="G666" t="str">
            <v>coâng</v>
          </cell>
          <cell r="H666">
            <v>5.2</v>
          </cell>
          <cell r="I666">
            <v>5.2</v>
          </cell>
          <cell r="J666">
            <v>12964.99</v>
          </cell>
        </row>
        <row r="667">
          <cell r="F667" t="str">
            <v>Maùy troän 80L</v>
          </cell>
          <cell r="G667" t="str">
            <v>ca</v>
          </cell>
          <cell r="H667">
            <v>0.03</v>
          </cell>
          <cell r="I667">
            <v>0.03</v>
          </cell>
          <cell r="J667">
            <v>45294</v>
          </cell>
        </row>
        <row r="668">
          <cell r="F668" t="str">
            <v>Maùy vaän thaêng 0.8T</v>
          </cell>
          <cell r="G668" t="str">
            <v>ca</v>
          </cell>
          <cell r="H668">
            <v>0.08</v>
          </cell>
          <cell r="I668">
            <v>0.08</v>
          </cell>
          <cell r="J668">
            <v>90447</v>
          </cell>
        </row>
        <row r="669">
          <cell r="A669" t="str">
            <v>MB.2110a</v>
          </cell>
          <cell r="B669" t="str">
            <v>MB.2110a</v>
          </cell>
          <cell r="C669" t="str">
            <v>Laép ñaët cöûa ñi panoâ goã phoøng vaøo khuoân</v>
          </cell>
          <cell r="D669" t="str">
            <v>m2</v>
          </cell>
          <cell r="E669">
            <v>1</v>
          </cell>
          <cell r="F669" t="str">
            <v>Cöûa ñi panoâ goã phoøng</v>
          </cell>
          <cell r="G669" t="str">
            <v>m2</v>
          </cell>
          <cell r="H669">
            <v>1</v>
          </cell>
          <cell r="I669">
            <v>1</v>
          </cell>
          <cell r="J669">
            <v>240000</v>
          </cell>
          <cell r="K669">
            <v>0</v>
          </cell>
          <cell r="L669">
            <v>3243</v>
          </cell>
          <cell r="M669">
            <v>0</v>
          </cell>
        </row>
        <row r="670">
          <cell r="F670" t="str">
            <v>NC 3.5/7</v>
          </cell>
          <cell r="G670" t="str">
            <v>coâng</v>
          </cell>
          <cell r="H670">
            <v>0.25</v>
          </cell>
          <cell r="I670">
            <v>0.25</v>
          </cell>
          <cell r="J670">
            <v>12964.99</v>
          </cell>
        </row>
        <row r="671">
          <cell r="A671" t="str">
            <v>MB.2110b</v>
          </cell>
          <cell r="B671" t="str">
            <v>MB.2110b</v>
          </cell>
          <cell r="C671" t="str">
            <v>Laép ñaët cöûa ñi panoâ goã phoøng vaøo khuoân</v>
          </cell>
          <cell r="D671" t="str">
            <v>m2</v>
          </cell>
          <cell r="E671">
            <v>1</v>
          </cell>
          <cell r="F671" t="str">
            <v>Cöûa ñi panoâ goã phoøng VS</v>
          </cell>
          <cell r="G671" t="str">
            <v>m2</v>
          </cell>
          <cell r="H671">
            <v>1</v>
          </cell>
          <cell r="I671">
            <v>1</v>
          </cell>
          <cell r="J671">
            <v>240000</v>
          </cell>
          <cell r="K671">
            <v>0</v>
          </cell>
          <cell r="L671">
            <v>3243</v>
          </cell>
          <cell r="M671">
            <v>0</v>
          </cell>
        </row>
        <row r="672">
          <cell r="F672" t="str">
            <v>NC 3.5/7</v>
          </cell>
          <cell r="G672" t="str">
            <v>coâng</v>
          </cell>
          <cell r="H672">
            <v>0.25</v>
          </cell>
          <cell r="I672">
            <v>0.25</v>
          </cell>
          <cell r="J672">
            <v>12964.99</v>
          </cell>
        </row>
        <row r="673">
          <cell r="A673" t="str">
            <v>MB.1110b</v>
          </cell>
          <cell r="B673" t="str">
            <v>MB.1110b</v>
          </cell>
          <cell r="C673" t="str">
            <v xml:space="preserve">Laép ñaët khung cöûa ñi panoâ </v>
          </cell>
          <cell r="D673" t="str">
            <v>m</v>
          </cell>
          <cell r="E673">
            <v>1</v>
          </cell>
          <cell r="F673" t="str">
            <v>Theùp hình L40x40x4</v>
          </cell>
          <cell r="G673" t="str">
            <v>m</v>
          </cell>
          <cell r="H673">
            <v>1</v>
          </cell>
          <cell r="I673">
            <v>1</v>
          </cell>
          <cell r="J673">
            <v>24000</v>
          </cell>
          <cell r="K673">
            <v>3838</v>
          </cell>
          <cell r="L673">
            <v>1946</v>
          </cell>
          <cell r="M673">
            <v>0</v>
          </cell>
        </row>
        <row r="674">
          <cell r="F674" t="str">
            <v>NC 3.5/7</v>
          </cell>
          <cell r="G674" t="str">
            <v>coâng</v>
          </cell>
          <cell r="H674">
            <v>0.25</v>
          </cell>
          <cell r="I674">
            <v>0.25</v>
          </cell>
          <cell r="J674">
            <v>12964.99</v>
          </cell>
        </row>
        <row r="675">
          <cell r="A675" t="str">
            <v>OB.1210</v>
          </cell>
          <cell r="B675" t="str">
            <v>OB.1210</v>
          </cell>
          <cell r="C675" t="str">
            <v>Lôïp maùi tole keõm daøi &lt; 2m</v>
          </cell>
          <cell r="D675" t="str">
            <v>100m2</v>
          </cell>
          <cell r="E675">
            <v>1</v>
          </cell>
          <cell r="F675" t="str">
            <v>Tole traùng keõm 4 dem</v>
          </cell>
          <cell r="G675" t="str">
            <v>m2</v>
          </cell>
          <cell r="H675">
            <v>132</v>
          </cell>
          <cell r="I675">
            <v>132</v>
          </cell>
          <cell r="J675">
            <v>26670</v>
          </cell>
          <cell r="K675">
            <v>3932296</v>
          </cell>
          <cell r="L675">
            <v>83014</v>
          </cell>
        </row>
        <row r="676">
          <cell r="F676" t="str">
            <v>Tole uùp noùc</v>
          </cell>
          <cell r="G676" t="str">
            <v>m</v>
          </cell>
          <cell r="H676">
            <v>8</v>
          </cell>
          <cell r="I676">
            <v>8</v>
          </cell>
          <cell r="J676">
            <v>35000</v>
          </cell>
        </row>
        <row r="677">
          <cell r="F677" t="str">
            <v>Vis + ñeäm</v>
          </cell>
          <cell r="G677" t="str">
            <v>caùi</v>
          </cell>
          <cell r="H677">
            <v>320</v>
          </cell>
          <cell r="I677">
            <v>320</v>
          </cell>
          <cell r="J677">
            <v>450</v>
          </cell>
        </row>
        <row r="678">
          <cell r="F678" t="str">
            <v>NC 3.5/7</v>
          </cell>
          <cell r="G678" t="str">
            <v>coâng</v>
          </cell>
          <cell r="H678">
            <v>6.4</v>
          </cell>
          <cell r="I678">
            <v>6.4</v>
          </cell>
          <cell r="J678">
            <v>12964.99</v>
          </cell>
        </row>
        <row r="679">
          <cell r="A679" t="str">
            <v>OB.1220</v>
          </cell>
          <cell r="B679" t="str">
            <v>OB.1220</v>
          </cell>
          <cell r="C679" t="str">
            <v>Lôïp maùi tole keõm daøi baát kyø</v>
          </cell>
          <cell r="D679" t="str">
            <v>100m2</v>
          </cell>
          <cell r="E679">
            <v>1</v>
          </cell>
          <cell r="F679" t="str">
            <v>Tole traùng keõm 4 dem</v>
          </cell>
          <cell r="G679" t="str">
            <v>m2</v>
          </cell>
          <cell r="H679">
            <v>117</v>
          </cell>
          <cell r="I679">
            <v>117</v>
          </cell>
          <cell r="J679">
            <v>26670</v>
          </cell>
          <cell r="K679">
            <v>3502625</v>
          </cell>
          <cell r="L679">
            <v>58370</v>
          </cell>
        </row>
        <row r="680">
          <cell r="F680" t="str">
            <v>Tole uùp noùc</v>
          </cell>
          <cell r="G680" t="str">
            <v>m</v>
          </cell>
          <cell r="H680">
            <v>8</v>
          </cell>
          <cell r="I680">
            <v>8</v>
          </cell>
          <cell r="J680">
            <v>35000</v>
          </cell>
        </row>
        <row r="681">
          <cell r="F681" t="str">
            <v>Vis + ñeäm</v>
          </cell>
          <cell r="G681" t="str">
            <v>caùi</v>
          </cell>
          <cell r="H681">
            <v>450</v>
          </cell>
          <cell r="I681">
            <v>450</v>
          </cell>
          <cell r="J681">
            <v>450</v>
          </cell>
        </row>
        <row r="682">
          <cell r="F682" t="str">
            <v>NC 3.5/7</v>
          </cell>
          <cell r="G682" t="str">
            <v>coâng</v>
          </cell>
          <cell r="H682">
            <v>4.5</v>
          </cell>
          <cell r="I682">
            <v>4.5</v>
          </cell>
          <cell r="J682">
            <v>12964.99</v>
          </cell>
        </row>
        <row r="683">
          <cell r="A683" t="str">
            <v>NB.2110</v>
          </cell>
          <cell r="B683" t="str">
            <v>NB.2110</v>
          </cell>
          <cell r="C683" t="str">
            <v>Laép ñaët cöûa saét xeáp caùc loaïi</v>
          </cell>
          <cell r="D683" t="str">
            <v>m2</v>
          </cell>
          <cell r="E683">
            <v>1</v>
          </cell>
          <cell r="F683" t="str">
            <v>Cöûa saét xeáp</v>
          </cell>
          <cell r="G683" t="str">
            <v>m2</v>
          </cell>
          <cell r="H683">
            <v>1</v>
          </cell>
          <cell r="I683">
            <v>1</v>
          </cell>
          <cell r="J683">
            <v>320000</v>
          </cell>
          <cell r="K683">
            <v>5198</v>
          </cell>
          <cell r="L683">
            <v>6467</v>
          </cell>
          <cell r="M683">
            <v>7734</v>
          </cell>
        </row>
        <row r="684">
          <cell r="F684" t="str">
            <v xml:space="preserve">Xi maêng PC 30 </v>
          </cell>
          <cell r="G684" t="str">
            <v>Kg</v>
          </cell>
          <cell r="H684">
            <v>1.44</v>
          </cell>
          <cell r="I684">
            <v>1.44</v>
          </cell>
          <cell r="J684">
            <v>880</v>
          </cell>
        </row>
        <row r="685">
          <cell r="F685" t="str">
            <v>Caùt mòn</v>
          </cell>
          <cell r="G685" t="str">
            <v>m3</v>
          </cell>
          <cell r="H685">
            <v>5.0000000000000001E-3</v>
          </cell>
          <cell r="I685">
            <v>5.0000000000000001E-3</v>
          </cell>
          <cell r="J685">
            <v>47000</v>
          </cell>
        </row>
        <row r="686">
          <cell r="F686" t="str">
            <v>Nöôùc</v>
          </cell>
          <cell r="G686" t="str">
            <v>Lít</v>
          </cell>
          <cell r="H686">
            <v>1.2</v>
          </cell>
          <cell r="I686">
            <v>1.2</v>
          </cell>
          <cell r="J686">
            <v>2.5</v>
          </cell>
        </row>
        <row r="687">
          <cell r="F687" t="str">
            <v>Baät saét 20x4x250</v>
          </cell>
          <cell r="G687" t="str">
            <v>caùi</v>
          </cell>
          <cell r="H687">
            <v>2</v>
          </cell>
          <cell r="I687">
            <v>2</v>
          </cell>
          <cell r="J687">
            <v>2000</v>
          </cell>
        </row>
        <row r="688">
          <cell r="F688" t="str">
            <v>Que haøn</v>
          </cell>
          <cell r="G688" t="str">
            <v>Kg</v>
          </cell>
          <cell r="H688">
            <v>0.2</v>
          </cell>
          <cell r="I688">
            <v>0.2</v>
          </cell>
          <cell r="J688">
            <v>10000</v>
          </cell>
        </row>
        <row r="689">
          <cell r="F689" t="str">
            <v>NC 4/7</v>
          </cell>
          <cell r="G689" t="str">
            <v>coâng</v>
          </cell>
          <cell r="H689">
            <v>0.47</v>
          </cell>
          <cell r="I689">
            <v>0.47</v>
          </cell>
          <cell r="J689">
            <v>13575.1</v>
          </cell>
        </row>
        <row r="690">
          <cell r="F690" t="str">
            <v>Maùy haøn 23KW</v>
          </cell>
          <cell r="G690" t="str">
            <v>ca</v>
          </cell>
          <cell r="H690">
            <v>0.1</v>
          </cell>
          <cell r="I690">
            <v>0.1</v>
          </cell>
          <cell r="J690">
            <v>77338</v>
          </cell>
        </row>
        <row r="691">
          <cell r="A691" t="str">
            <v>NB.2120a</v>
          </cell>
          <cell r="B691" t="str">
            <v>NB.2120a</v>
          </cell>
          <cell r="C691" t="str">
            <v>Laép ñaët cöûa ñi khung saét caùc loaïi</v>
          </cell>
          <cell r="D691" t="str">
            <v>m2</v>
          </cell>
          <cell r="E691">
            <v>1</v>
          </cell>
          <cell r="F691" t="str">
            <v>Cöûa ñi panoâ saét</v>
          </cell>
          <cell r="G691" t="str">
            <v>m2</v>
          </cell>
          <cell r="H691">
            <v>1</v>
          </cell>
          <cell r="I691">
            <v>1</v>
          </cell>
          <cell r="J691">
            <v>265000</v>
          </cell>
          <cell r="K691">
            <v>4438</v>
          </cell>
          <cell r="L691">
            <v>4059</v>
          </cell>
          <cell r="M691">
            <v>0</v>
          </cell>
        </row>
        <row r="692">
          <cell r="F692" t="str">
            <v xml:space="preserve">Xi maêng PC 30 </v>
          </cell>
          <cell r="G692" t="str">
            <v>Kg</v>
          </cell>
          <cell r="H692">
            <v>1.44</v>
          </cell>
          <cell r="I692">
            <v>1.44</v>
          </cell>
          <cell r="J692">
            <v>880</v>
          </cell>
        </row>
        <row r="693">
          <cell r="F693" t="str">
            <v>Caùt mòn</v>
          </cell>
          <cell r="G693" t="str">
            <v>m3</v>
          </cell>
          <cell r="H693">
            <v>5.0000000000000001E-3</v>
          </cell>
          <cell r="I693">
            <v>5.0000000000000001E-3</v>
          </cell>
          <cell r="J693">
            <v>47000</v>
          </cell>
        </row>
        <row r="694">
          <cell r="F694" t="str">
            <v>Nöôùc</v>
          </cell>
          <cell r="G694" t="str">
            <v>Lít</v>
          </cell>
          <cell r="H694">
            <v>1.2</v>
          </cell>
          <cell r="I694">
            <v>1.2</v>
          </cell>
          <cell r="J694">
            <v>2.5</v>
          </cell>
        </row>
        <row r="695">
          <cell r="F695" t="str">
            <v>Baät saét F 10</v>
          </cell>
          <cell r="G695" t="str">
            <v>caùi</v>
          </cell>
          <cell r="H695">
            <v>2</v>
          </cell>
          <cell r="I695">
            <v>2</v>
          </cell>
          <cell r="J695">
            <v>1500</v>
          </cell>
        </row>
        <row r="696">
          <cell r="F696" t="str">
            <v>NC 4/7</v>
          </cell>
          <cell r="G696" t="str">
            <v>coâng</v>
          </cell>
          <cell r="H696">
            <v>0.3</v>
          </cell>
          <cell r="I696">
            <v>0.3</v>
          </cell>
          <cell r="J696">
            <v>13575.1</v>
          </cell>
        </row>
        <row r="697">
          <cell r="A697" t="str">
            <v>NB.2120b</v>
          </cell>
          <cell r="B697" t="str">
            <v>NB.2120b</v>
          </cell>
          <cell r="C697" t="str">
            <v>Laép ñaët cöûa soå khung saét caùc loaïi</v>
          </cell>
          <cell r="D697" t="str">
            <v>m2</v>
          </cell>
          <cell r="E697">
            <v>1</v>
          </cell>
          <cell r="F697" t="str">
            <v>Cöûa soåâ saét</v>
          </cell>
          <cell r="G697" t="str">
            <v>m2</v>
          </cell>
          <cell r="H697">
            <v>1</v>
          </cell>
          <cell r="I697">
            <v>1</v>
          </cell>
          <cell r="J697">
            <v>230000</v>
          </cell>
          <cell r="K697">
            <v>4438</v>
          </cell>
          <cell r="L697">
            <v>4059</v>
          </cell>
          <cell r="M697">
            <v>0</v>
          </cell>
        </row>
        <row r="698">
          <cell r="F698" t="str">
            <v xml:space="preserve">Xi maêng PC 30 </v>
          </cell>
          <cell r="G698" t="str">
            <v>Kg</v>
          </cell>
          <cell r="H698">
            <v>1.44</v>
          </cell>
          <cell r="I698">
            <v>1.44</v>
          </cell>
          <cell r="J698">
            <v>880</v>
          </cell>
        </row>
        <row r="699">
          <cell r="F699" t="str">
            <v>Caùt mòn</v>
          </cell>
          <cell r="G699" t="str">
            <v>m3</v>
          </cell>
          <cell r="H699">
            <v>5.0000000000000001E-3</v>
          </cell>
          <cell r="I699">
            <v>5.0000000000000001E-3</v>
          </cell>
          <cell r="J699">
            <v>47000</v>
          </cell>
        </row>
        <row r="700">
          <cell r="F700" t="str">
            <v>Nöôùc</v>
          </cell>
          <cell r="G700" t="str">
            <v>Lít</v>
          </cell>
          <cell r="H700">
            <v>1.2</v>
          </cell>
          <cell r="I700">
            <v>1.2</v>
          </cell>
          <cell r="J700">
            <v>2.5</v>
          </cell>
        </row>
        <row r="701">
          <cell r="F701" t="str">
            <v>Baät saét F 10</v>
          </cell>
          <cell r="G701" t="str">
            <v>caùi</v>
          </cell>
          <cell r="H701">
            <v>2</v>
          </cell>
          <cell r="I701">
            <v>2</v>
          </cell>
          <cell r="J701">
            <v>1500</v>
          </cell>
        </row>
        <row r="702">
          <cell r="F702" t="str">
            <v>NC 4/7</v>
          </cell>
          <cell r="G702" t="str">
            <v>coâng</v>
          </cell>
          <cell r="H702">
            <v>0.3</v>
          </cell>
          <cell r="I702">
            <v>0.3</v>
          </cell>
          <cell r="J702">
            <v>13575.1</v>
          </cell>
        </row>
        <row r="703">
          <cell r="A703" t="str">
            <v>NA.1620</v>
          </cell>
          <cell r="B703" t="str">
            <v>NA.1620</v>
          </cell>
          <cell r="C703" t="str">
            <v>Saûn xuaát cöûa löôùi B40 theùp hình</v>
          </cell>
          <cell r="D703" t="str">
            <v>m2</v>
          </cell>
          <cell r="E703">
            <v>1</v>
          </cell>
          <cell r="F703" t="str">
            <v>Theùp hình</v>
          </cell>
          <cell r="G703" t="str">
            <v>Kg</v>
          </cell>
          <cell r="H703">
            <v>16</v>
          </cell>
          <cell r="I703">
            <v>16</v>
          </cell>
          <cell r="J703">
            <v>3900</v>
          </cell>
          <cell r="K703">
            <v>107009</v>
          </cell>
          <cell r="L703">
            <v>16862</v>
          </cell>
          <cell r="M703">
            <v>9281</v>
          </cell>
        </row>
        <row r="704">
          <cell r="F704" t="str">
            <v>Saét troøn</v>
          </cell>
          <cell r="G704" t="str">
            <v>Kg</v>
          </cell>
          <cell r="H704">
            <v>0.5</v>
          </cell>
          <cell r="I704">
            <v>0.5</v>
          </cell>
          <cell r="J704">
            <v>4250</v>
          </cell>
        </row>
        <row r="705">
          <cell r="F705" t="str">
            <v>Löôùi theùp B40</v>
          </cell>
          <cell r="G705" t="str">
            <v>m2</v>
          </cell>
          <cell r="H705">
            <v>1.1000000000000001</v>
          </cell>
          <cell r="I705">
            <v>1.1000000000000001</v>
          </cell>
          <cell r="J705">
            <v>32000</v>
          </cell>
        </row>
        <row r="706">
          <cell r="F706" t="str">
            <v>Que haøn</v>
          </cell>
          <cell r="G706" t="str">
            <v>Kg</v>
          </cell>
          <cell r="H706">
            <v>0.51</v>
          </cell>
          <cell r="I706">
            <v>0.51</v>
          </cell>
          <cell r="J706">
            <v>10000</v>
          </cell>
        </row>
        <row r="707">
          <cell r="F707" t="str">
            <v>Oâxy</v>
          </cell>
          <cell r="G707" t="str">
            <v>chai</v>
          </cell>
          <cell r="H707">
            <v>7.0000000000000007E-2</v>
          </cell>
          <cell r="I707">
            <v>7.0000000000000007E-2</v>
          </cell>
          <cell r="J707">
            <v>34200</v>
          </cell>
        </row>
        <row r="708">
          <cell r="F708" t="str">
            <v>Ñaát ñeøn</v>
          </cell>
          <cell r="G708" t="str">
            <v>Kg</v>
          </cell>
          <cell r="H708">
            <v>0.03</v>
          </cell>
          <cell r="I708">
            <v>0.03</v>
          </cell>
          <cell r="J708">
            <v>7200</v>
          </cell>
        </row>
        <row r="709">
          <cell r="F709" t="str">
            <v>Baûn leà</v>
          </cell>
          <cell r="G709" t="str">
            <v>caùi</v>
          </cell>
          <cell r="H709">
            <v>1.5</v>
          </cell>
          <cell r="I709">
            <v>1.5</v>
          </cell>
          <cell r="J709">
            <v>12000</v>
          </cell>
        </row>
        <row r="710">
          <cell r="F710" t="str">
            <v>Vaät lieäu khaùc</v>
          </cell>
          <cell r="G710" t="str">
            <v>ñoàng</v>
          </cell>
          <cell r="H710">
            <v>5.0000000000000001E-3</v>
          </cell>
          <cell r="I710">
            <v>627.17500000000007</v>
          </cell>
          <cell r="J710">
            <v>1</v>
          </cell>
        </row>
        <row r="711">
          <cell r="F711" t="str">
            <v>NC 3.5/7</v>
          </cell>
          <cell r="G711" t="str">
            <v>coâng</v>
          </cell>
          <cell r="H711">
            <v>1.3</v>
          </cell>
          <cell r="I711">
            <v>1.3</v>
          </cell>
          <cell r="J711">
            <v>12964.99</v>
          </cell>
        </row>
        <row r="712">
          <cell r="F712" t="str">
            <v>Maùy haøn 23KW</v>
          </cell>
          <cell r="G712" t="str">
            <v>ca</v>
          </cell>
          <cell r="H712">
            <v>0.12</v>
          </cell>
          <cell r="I712">
            <v>0.12</v>
          </cell>
          <cell r="J712">
            <v>77338</v>
          </cell>
        </row>
        <row r="713">
          <cell r="A713" t="str">
            <v>NA.1310</v>
          </cell>
          <cell r="B713" t="str">
            <v>NA.1310</v>
          </cell>
          <cell r="C713" t="str">
            <v>Saûn xuaát giaèng maùi theùp hình</v>
          </cell>
          <cell r="D713" t="str">
            <v>Taán</v>
          </cell>
          <cell r="E713">
            <v>1</v>
          </cell>
          <cell r="F713" t="str">
            <v>Theùp hình</v>
          </cell>
          <cell r="G713" t="str">
            <v>Kg</v>
          </cell>
          <cell r="H713">
            <v>995</v>
          </cell>
          <cell r="I713">
            <v>995</v>
          </cell>
          <cell r="J713">
            <v>3900</v>
          </cell>
          <cell r="K713">
            <v>4936566</v>
          </cell>
          <cell r="L713">
            <v>491990</v>
          </cell>
          <cell r="M713">
            <v>77338</v>
          </cell>
        </row>
        <row r="714">
          <cell r="F714" t="str">
            <v>Theùp taám</v>
          </cell>
          <cell r="G714" t="str">
            <v>Kg</v>
          </cell>
          <cell r="H714">
            <v>30.73</v>
          </cell>
          <cell r="I714">
            <v>30.73</v>
          </cell>
          <cell r="J714">
            <v>4350</v>
          </cell>
        </row>
        <row r="715">
          <cell r="F715" t="str">
            <v>Saét troøn</v>
          </cell>
          <cell r="G715" t="str">
            <v>Kg</v>
          </cell>
          <cell r="H715">
            <v>0</v>
          </cell>
          <cell r="I715">
            <v>0</v>
          </cell>
          <cell r="J715">
            <v>4250</v>
          </cell>
        </row>
        <row r="716">
          <cell r="F716" t="str">
            <v>Que haøn</v>
          </cell>
          <cell r="G716" t="str">
            <v>Kg</v>
          </cell>
          <cell r="H716">
            <v>4.5</v>
          </cell>
          <cell r="I716">
            <v>4.5</v>
          </cell>
          <cell r="J716">
            <v>10000</v>
          </cell>
        </row>
        <row r="717">
          <cell r="F717" t="str">
            <v>OÂxy</v>
          </cell>
          <cell r="G717" t="str">
            <v>chai</v>
          </cell>
          <cell r="H717">
            <v>0.9</v>
          </cell>
          <cell r="I717">
            <v>0.9</v>
          </cell>
          <cell r="J717">
            <v>34200</v>
          </cell>
        </row>
        <row r="718">
          <cell r="F718" t="str">
            <v>Ñaát ñeøn</v>
          </cell>
          <cell r="G718" t="str">
            <v>Kg</v>
          </cell>
          <cell r="H718">
            <v>5.4</v>
          </cell>
          <cell r="I718">
            <v>5.4</v>
          </cell>
          <cell r="J718">
            <v>7200</v>
          </cell>
        </row>
        <row r="719">
          <cell r="F719" t="str">
            <v>Vaät lieäu khaùc</v>
          </cell>
          <cell r="G719" t="str">
            <v>ñoàng</v>
          </cell>
          <cell r="H719">
            <v>0.05</v>
          </cell>
          <cell r="I719">
            <v>206441.77500000002</v>
          </cell>
          <cell r="J719">
            <v>1</v>
          </cell>
        </row>
        <row r="720">
          <cell r="F720" t="str">
            <v>NC 3.5/7</v>
          </cell>
          <cell r="G720" t="str">
            <v>coâng</v>
          </cell>
          <cell r="H720">
            <v>37.93</v>
          </cell>
          <cell r="I720">
            <v>37.93</v>
          </cell>
          <cell r="J720">
            <v>12964.99</v>
          </cell>
        </row>
        <row r="721">
          <cell r="F721" t="str">
            <v>Maùy haøn 23KW</v>
          </cell>
          <cell r="G721" t="str">
            <v>ca</v>
          </cell>
          <cell r="H721">
            <v>1</v>
          </cell>
          <cell r="I721">
            <v>1</v>
          </cell>
          <cell r="J721">
            <v>77338</v>
          </cell>
        </row>
        <row r="722">
          <cell r="A722" t="str">
            <v>NA.2210</v>
          </cell>
          <cell r="B722" t="str">
            <v>NA.2210</v>
          </cell>
          <cell r="C722" t="str">
            <v>Saûn xuaát laép döïng vaùch toân maøu söôøn theùp hình</v>
          </cell>
          <cell r="D722" t="str">
            <v>Taán</v>
          </cell>
          <cell r="E722">
            <v>1</v>
          </cell>
          <cell r="F722" t="str">
            <v>Theùp taám</v>
          </cell>
          <cell r="G722" t="str">
            <v>Kg</v>
          </cell>
          <cell r="H722">
            <v>1025</v>
          </cell>
          <cell r="I722">
            <v>1025</v>
          </cell>
          <cell r="J722">
            <v>4350</v>
          </cell>
          <cell r="K722">
            <v>4143920</v>
          </cell>
          <cell r="L722">
            <v>276112</v>
          </cell>
          <cell r="M722">
            <v>385813</v>
          </cell>
        </row>
        <row r="723">
          <cell r="F723" t="str">
            <v>Que haøn</v>
          </cell>
          <cell r="G723" t="str">
            <v>Kg</v>
          </cell>
          <cell r="H723">
            <v>7.8E-2</v>
          </cell>
          <cell r="I723">
            <v>17.5</v>
          </cell>
          <cell r="J723">
            <v>10000</v>
          </cell>
        </row>
        <row r="724">
          <cell r="F724" t="str">
            <v>OÂxy</v>
          </cell>
          <cell r="G724" t="str">
            <v>chai</v>
          </cell>
          <cell r="H724">
            <v>0.9</v>
          </cell>
          <cell r="I724">
            <v>7.8E-2</v>
          </cell>
          <cell r="J724">
            <v>34200</v>
          </cell>
        </row>
        <row r="725">
          <cell r="F725" t="str">
            <v>Ñaát ñeøn</v>
          </cell>
          <cell r="G725" t="str">
            <v>Kg</v>
          </cell>
          <cell r="H725">
            <v>5.4</v>
          </cell>
          <cell r="I725">
            <v>6.2E-2</v>
          </cell>
          <cell r="J725">
            <v>7200</v>
          </cell>
        </row>
        <row r="726">
          <cell r="F726" t="str">
            <v>Vaät lieäu khaùc</v>
          </cell>
          <cell r="G726" t="str">
            <v>ñoàng</v>
          </cell>
          <cell r="H726">
            <v>0.05</v>
          </cell>
          <cell r="I726">
            <v>1.5</v>
          </cell>
          <cell r="J726">
            <v>1</v>
          </cell>
        </row>
        <row r="727">
          <cell r="F727" t="str">
            <v>NC 4/7</v>
          </cell>
          <cell r="G727" t="str">
            <v>coâng</v>
          </cell>
          <cell r="H727">
            <v>37.93</v>
          </cell>
          <cell r="I727">
            <v>18.5</v>
          </cell>
          <cell r="J727">
            <v>13575.1</v>
          </cell>
        </row>
        <row r="728">
          <cell r="F728" t="str">
            <v>Maùy haøn 23KW</v>
          </cell>
          <cell r="G728" t="str">
            <v>ca</v>
          </cell>
          <cell r="H728">
            <v>1</v>
          </cell>
          <cell r="I728">
            <v>4.37</v>
          </cell>
          <cell r="J728">
            <v>77338</v>
          </cell>
        </row>
        <row r="729">
          <cell r="A729" t="str">
            <v>NA.1320</v>
          </cell>
          <cell r="B729" t="str">
            <v>NA.1321</v>
          </cell>
          <cell r="C729" t="str">
            <v>Saûn xuaát xaø goà theùp hình (1 saét hình)</v>
          </cell>
          <cell r="D729" t="str">
            <v>Taán</v>
          </cell>
          <cell r="E729">
            <v>1</v>
          </cell>
          <cell r="F729" t="str">
            <v>Theùp hình xaø goà (1 theùp hình)</v>
          </cell>
          <cell r="G729" t="e">
            <v>#N/A</v>
          </cell>
          <cell r="H729">
            <v>1025</v>
          </cell>
          <cell r="I729">
            <v>1025</v>
          </cell>
          <cell r="J729" t="e">
            <v>#N/A</v>
          </cell>
          <cell r="K729">
            <v>4685667</v>
          </cell>
          <cell r="L729">
            <v>91056</v>
          </cell>
        </row>
        <row r="730">
          <cell r="F730" t="str">
            <v>OÂxy</v>
          </cell>
          <cell r="G730" t="str">
            <v>chai</v>
          </cell>
          <cell r="H730">
            <v>0.23200000000000001</v>
          </cell>
          <cell r="I730">
            <v>0.23200000000000001</v>
          </cell>
          <cell r="J730">
            <v>34200</v>
          </cell>
        </row>
        <row r="731">
          <cell r="F731" t="str">
            <v>Ñaát ñeøn</v>
          </cell>
          <cell r="G731" t="str">
            <v>Kg</v>
          </cell>
          <cell r="H731">
            <v>1.6</v>
          </cell>
          <cell r="I731">
            <v>1.6</v>
          </cell>
          <cell r="J731">
            <v>7200</v>
          </cell>
        </row>
        <row r="732">
          <cell r="F732" t="str">
            <v>Vaät lieäu khaùc</v>
          </cell>
          <cell r="G732" t="str">
            <v>ñoàng</v>
          </cell>
          <cell r="H732">
            <v>0.01</v>
          </cell>
          <cell r="I732" t="e">
            <v>#N/A</v>
          </cell>
          <cell r="J732">
            <v>1</v>
          </cell>
        </row>
        <row r="733">
          <cell r="F733" t="str">
            <v>NC 3.5/7</v>
          </cell>
          <cell r="G733" t="str">
            <v>coâng</v>
          </cell>
          <cell r="H733">
            <v>7.02</v>
          </cell>
          <cell r="I733">
            <v>7.02</v>
          </cell>
          <cell r="J733">
            <v>12964.99</v>
          </cell>
        </row>
        <row r="734">
          <cell r="A734" t="str">
            <v>NB.1310</v>
          </cell>
          <cell r="B734" t="str">
            <v>NB.1310</v>
          </cell>
          <cell r="C734" t="str">
            <v>Laép döïng xaø goà theùp hình</v>
          </cell>
          <cell r="D734" t="str">
            <v>Taán</v>
          </cell>
          <cell r="E734">
            <v>1</v>
          </cell>
          <cell r="F734" t="str">
            <v>Boulon M 20x80</v>
          </cell>
          <cell r="G734" t="str">
            <v>caùi</v>
          </cell>
          <cell r="H734">
            <v>48</v>
          </cell>
          <cell r="I734">
            <v>48</v>
          </cell>
          <cell r="J734">
            <v>4500</v>
          </cell>
          <cell r="K734">
            <v>214910</v>
          </cell>
          <cell r="L734">
            <v>35411</v>
          </cell>
          <cell r="M734">
            <v>362719</v>
          </cell>
        </row>
        <row r="735">
          <cell r="F735" t="str">
            <v>Que haøn</v>
          </cell>
          <cell r="G735" t="str">
            <v>Kg</v>
          </cell>
          <cell r="H735">
            <v>6</v>
          </cell>
          <cell r="I735">
            <v>6</v>
          </cell>
          <cell r="J735">
            <v>10000</v>
          </cell>
        </row>
        <row r="736">
          <cell r="F736" t="str">
            <v>Theùp hình</v>
          </cell>
          <cell r="G736" t="str">
            <v>Kg</v>
          </cell>
          <cell r="H736">
            <v>0.15</v>
          </cell>
          <cell r="I736">
            <v>0.15</v>
          </cell>
          <cell r="J736">
            <v>3900</v>
          </cell>
        </row>
        <row r="737">
          <cell r="F737" t="str">
            <v>Vaät lieäu khaùc</v>
          </cell>
          <cell r="G737" t="str">
            <v>ñoàng</v>
          </cell>
          <cell r="H737">
            <v>0.05</v>
          </cell>
          <cell r="I737">
            <v>13829.25</v>
          </cell>
          <cell r="J737">
            <v>1</v>
          </cell>
        </row>
        <row r="738">
          <cell r="F738" t="str">
            <v>NC 3.5/7</v>
          </cell>
          <cell r="G738" t="str">
            <v>coâng</v>
          </cell>
          <cell r="H738">
            <v>2.73</v>
          </cell>
          <cell r="I738">
            <v>2.73</v>
          </cell>
          <cell r="J738">
            <v>12964.99</v>
          </cell>
        </row>
        <row r="739">
          <cell r="F739" t="str">
            <v>Caàn caåu 10T</v>
          </cell>
          <cell r="G739" t="str">
            <v>ca</v>
          </cell>
          <cell r="H739">
            <v>0.33800000000000002</v>
          </cell>
          <cell r="I739">
            <v>0.33800000000000002</v>
          </cell>
          <cell r="J739">
            <v>615511</v>
          </cell>
        </row>
        <row r="740">
          <cell r="F740" t="str">
            <v>Maùy haøn 23KW</v>
          </cell>
          <cell r="G740" t="str">
            <v>ca</v>
          </cell>
          <cell r="H740">
            <v>2</v>
          </cell>
          <cell r="I740">
            <v>2</v>
          </cell>
          <cell r="J740">
            <v>77338</v>
          </cell>
        </row>
        <row r="741">
          <cell r="A741" t="str">
            <v>TT2</v>
          </cell>
          <cell r="B741" t="str">
            <v>TT2</v>
          </cell>
          <cell r="C741" t="str">
            <v>Laép ñaët khoùa cöûa caùc loaïi</v>
          </cell>
          <cell r="D741" t="str">
            <v>Boä</v>
          </cell>
          <cell r="E741">
            <v>1</v>
          </cell>
          <cell r="I741">
            <v>0</v>
          </cell>
          <cell r="J741">
            <v>0</v>
          </cell>
          <cell r="K741">
            <v>85000</v>
          </cell>
          <cell r="L741">
            <v>5000</v>
          </cell>
          <cell r="M741">
            <v>0</v>
          </cell>
        </row>
        <row r="742">
          <cell r="C742" t="str">
            <v xml:space="preserve">   _ Khoùa cöûa ñi goã phoøng</v>
          </cell>
          <cell r="D742" t="str">
            <v>Boä</v>
          </cell>
          <cell r="E742">
            <v>1</v>
          </cell>
          <cell r="F742" t="str">
            <v>Khoùa cöûa ñi goã phoøng</v>
          </cell>
          <cell r="G742" t="str">
            <v>Boä</v>
          </cell>
          <cell r="H742">
            <v>1</v>
          </cell>
          <cell r="I742">
            <v>1</v>
          </cell>
          <cell r="J742">
            <v>65000</v>
          </cell>
        </row>
        <row r="743">
          <cell r="C743" t="str">
            <v xml:space="preserve">   _ Khoùa cöûa ñi goã VS</v>
          </cell>
          <cell r="D743" t="str">
            <v>Boä</v>
          </cell>
          <cell r="E743">
            <v>1</v>
          </cell>
          <cell r="F743" t="str">
            <v>Khoùa cöûa ñi goã VS</v>
          </cell>
          <cell r="G743" t="str">
            <v>Boä</v>
          </cell>
          <cell r="H743">
            <v>1</v>
          </cell>
          <cell r="I743">
            <v>1</v>
          </cell>
          <cell r="J743">
            <v>65000</v>
          </cell>
        </row>
        <row r="744">
          <cell r="C744" t="str">
            <v xml:space="preserve">   _ Khoùa cöûa ñi saét</v>
          </cell>
          <cell r="D744" t="str">
            <v>Boä</v>
          </cell>
          <cell r="E744">
            <v>1</v>
          </cell>
          <cell r="F744" t="str">
            <v>Khoùa cöûa ñi saét</v>
          </cell>
          <cell r="G744" t="str">
            <v>Boä</v>
          </cell>
          <cell r="H744">
            <v>1</v>
          </cell>
          <cell r="I744">
            <v>1</v>
          </cell>
          <cell r="J744">
            <v>80000</v>
          </cell>
        </row>
        <row r="745">
          <cell r="C745" t="str">
            <v xml:space="preserve">   _ Khoùa cöûa ñi saét xeáp</v>
          </cell>
          <cell r="D745" t="str">
            <v>Boä</v>
          </cell>
          <cell r="E745">
            <v>1</v>
          </cell>
          <cell r="F745" t="str">
            <v>Khoùa cöûa ñi saét xeáp</v>
          </cell>
          <cell r="G745" t="str">
            <v>Boä</v>
          </cell>
          <cell r="H745">
            <v>1</v>
          </cell>
          <cell r="I745">
            <v>1</v>
          </cell>
          <cell r="J745">
            <v>80000</v>
          </cell>
        </row>
        <row r="746">
          <cell r="A746" t="str">
            <v>NB.2220</v>
          </cell>
          <cell r="B746" t="str">
            <v>NB.2220</v>
          </cell>
          <cell r="C746" t="str">
            <v>Phaàn laép ñaët boâng saét cöûa</v>
          </cell>
          <cell r="D746" t="str">
            <v>m2</v>
          </cell>
          <cell r="E746">
            <v>1</v>
          </cell>
          <cell r="F746" t="str">
            <v>Boâng saét cöûa</v>
          </cell>
          <cell r="G746" t="str">
            <v>m2</v>
          </cell>
          <cell r="H746">
            <v>1</v>
          </cell>
          <cell r="I746">
            <v>1</v>
          </cell>
          <cell r="J746">
            <v>0</v>
          </cell>
          <cell r="K746">
            <v>3821</v>
          </cell>
          <cell r="L746">
            <v>2706</v>
          </cell>
          <cell r="M746">
            <v>0</v>
          </cell>
        </row>
        <row r="747">
          <cell r="F747" t="str">
            <v xml:space="preserve">Xi maêng PC 30 </v>
          </cell>
          <cell r="G747" t="str">
            <v>Kg</v>
          </cell>
          <cell r="H747">
            <v>0.64</v>
          </cell>
          <cell r="I747">
            <v>0.64</v>
          </cell>
          <cell r="J747">
            <v>880</v>
          </cell>
        </row>
        <row r="748">
          <cell r="F748" t="str">
            <v>Caùt mòn</v>
          </cell>
          <cell r="G748" t="str">
            <v>m3</v>
          </cell>
          <cell r="H748">
            <v>2.2000000000000001E-3</v>
          </cell>
          <cell r="I748">
            <v>2.2000000000000001E-3</v>
          </cell>
          <cell r="J748">
            <v>47000</v>
          </cell>
        </row>
        <row r="749">
          <cell r="F749" t="str">
            <v>Nöôùc</v>
          </cell>
          <cell r="G749" t="str">
            <v>Lít</v>
          </cell>
          <cell r="H749">
            <v>0.5</v>
          </cell>
          <cell r="I749">
            <v>0.5</v>
          </cell>
          <cell r="J749">
            <v>2.5</v>
          </cell>
        </row>
        <row r="750">
          <cell r="F750" t="str">
            <v>Baät saét F 10</v>
          </cell>
          <cell r="G750" t="str">
            <v>caùi</v>
          </cell>
          <cell r="H750">
            <v>2</v>
          </cell>
          <cell r="I750">
            <v>2</v>
          </cell>
          <cell r="J750">
            <v>1500</v>
          </cell>
        </row>
        <row r="751">
          <cell r="F751" t="str">
            <v>Vaät lieäu khaùc</v>
          </cell>
          <cell r="G751" t="str">
            <v>ñoàng</v>
          </cell>
          <cell r="H751">
            <v>0.05</v>
          </cell>
          <cell r="I751">
            <v>183.39250000000001</v>
          </cell>
          <cell r="J751">
            <v>1</v>
          </cell>
        </row>
        <row r="752">
          <cell r="F752" t="str">
            <v>NC 4/7</v>
          </cell>
          <cell r="G752" t="str">
            <v>coâng</v>
          </cell>
          <cell r="H752">
            <v>0.2</v>
          </cell>
          <cell r="I752">
            <v>0.2</v>
          </cell>
          <cell r="J752">
            <v>13575.1</v>
          </cell>
        </row>
        <row r="753">
          <cell r="A753" t="str">
            <v>TT3</v>
          </cell>
          <cell r="B753" t="str">
            <v>TT3</v>
          </cell>
          <cell r="C753" t="str">
            <v>Phaàn caét vaø laép ñaët kính traéng 5 ly cöûa:</v>
          </cell>
          <cell r="D753" t="str">
            <v>m2</v>
          </cell>
          <cell r="E753">
            <v>1</v>
          </cell>
          <cell r="F753" t="str">
            <v>Kính traéng 5 ly + joint</v>
          </cell>
          <cell r="G753" t="str">
            <v>m2</v>
          </cell>
          <cell r="H753">
            <v>1</v>
          </cell>
          <cell r="I753">
            <v>1</v>
          </cell>
          <cell r="J753">
            <v>85000</v>
          </cell>
          <cell r="K753">
            <v>85000</v>
          </cell>
          <cell r="L753">
            <v>0</v>
          </cell>
          <cell r="M753">
            <v>0</v>
          </cell>
        </row>
        <row r="754">
          <cell r="A754" t="str">
            <v>TB.2710</v>
          </cell>
          <cell r="B754" t="str">
            <v>TB.2710</v>
          </cell>
          <cell r="C754" t="str">
            <v>Boïc nhöïa 2 maët cöûa VS</v>
          </cell>
          <cell r="D754" t="str">
            <v>m2</v>
          </cell>
          <cell r="E754">
            <v>1</v>
          </cell>
          <cell r="F754" t="str">
            <v>Taám nhöïa choáng aåm</v>
          </cell>
          <cell r="G754" t="str">
            <v>m2</v>
          </cell>
          <cell r="H754">
            <v>1.1000000000000001</v>
          </cell>
          <cell r="I754">
            <v>1.1000000000000001</v>
          </cell>
          <cell r="J754">
            <v>35000</v>
          </cell>
          <cell r="K754">
            <v>37852</v>
          </cell>
          <cell r="L754">
            <v>1353</v>
          </cell>
          <cell r="M754">
            <v>0</v>
          </cell>
        </row>
        <row r="755">
          <cell r="F755" t="str">
            <v>Keo daùn</v>
          </cell>
          <cell r="G755" t="str">
            <v>Kg</v>
          </cell>
          <cell r="H755">
            <v>0.15</v>
          </cell>
          <cell r="I755">
            <v>0.15</v>
          </cell>
          <cell r="J755">
            <v>25000</v>
          </cell>
        </row>
        <row r="756">
          <cell r="F756" t="str">
            <v>Vaät lieäu khaùc</v>
          </cell>
          <cell r="G756" t="str">
            <v>ñoàng</v>
          </cell>
          <cell r="H756">
            <v>0.03</v>
          </cell>
          <cell r="I756">
            <v>1267.5</v>
          </cell>
          <cell r="J756">
            <v>1</v>
          </cell>
        </row>
        <row r="757">
          <cell r="F757" t="str">
            <v>NC 4/7</v>
          </cell>
          <cell r="G757" t="str">
            <v>coâng</v>
          </cell>
          <cell r="H757">
            <v>0.1</v>
          </cell>
          <cell r="I757">
            <v>0.1</v>
          </cell>
          <cell r="J757">
            <v>13575.1</v>
          </cell>
        </row>
        <row r="758">
          <cell r="A758" t="str">
            <v>MB.1110</v>
          </cell>
          <cell r="B758" t="str">
            <v>MB.1112</v>
          </cell>
          <cell r="C758" t="str">
            <v>Laép ñaët khung cöûa goã</v>
          </cell>
          <cell r="D758" t="str">
            <v>md</v>
          </cell>
          <cell r="E758">
            <v>1</v>
          </cell>
          <cell r="F758" t="str">
            <v>Khung cöûa goã</v>
          </cell>
          <cell r="G758" t="str">
            <v>md</v>
          </cell>
          <cell r="H758">
            <v>1</v>
          </cell>
          <cell r="I758">
            <v>1</v>
          </cell>
          <cell r="J758">
            <v>30000</v>
          </cell>
          <cell r="K758">
            <v>3838</v>
          </cell>
          <cell r="L758">
            <v>1946</v>
          </cell>
          <cell r="M758">
            <v>0</v>
          </cell>
        </row>
        <row r="759">
          <cell r="F759" t="str">
            <v xml:space="preserve">Xi maêng PC 30 </v>
          </cell>
          <cell r="G759" t="str">
            <v>Kg</v>
          </cell>
          <cell r="H759">
            <v>1.44</v>
          </cell>
          <cell r="I759">
            <v>1.44</v>
          </cell>
          <cell r="J759">
            <v>880</v>
          </cell>
        </row>
        <row r="760">
          <cell r="F760" t="str">
            <v>Caùt mòn</v>
          </cell>
          <cell r="G760" t="str">
            <v>m3</v>
          </cell>
          <cell r="H760">
            <v>5.0000000000000001E-3</v>
          </cell>
          <cell r="I760">
            <v>5.0000000000000001E-3</v>
          </cell>
          <cell r="J760">
            <v>47000</v>
          </cell>
        </row>
        <row r="761">
          <cell r="F761" t="str">
            <v>Nöôùc</v>
          </cell>
          <cell r="G761" t="str">
            <v>Lít</v>
          </cell>
          <cell r="H761">
            <v>1.2</v>
          </cell>
          <cell r="I761">
            <v>1.2</v>
          </cell>
          <cell r="J761">
            <v>2.5</v>
          </cell>
        </row>
        <row r="762">
          <cell r="F762" t="str">
            <v>Baät saét F 6</v>
          </cell>
          <cell r="G762" t="str">
            <v>caùi</v>
          </cell>
          <cell r="H762">
            <v>2</v>
          </cell>
          <cell r="I762">
            <v>2</v>
          </cell>
          <cell r="J762">
            <v>1200</v>
          </cell>
        </row>
        <row r="763">
          <cell r="F763" t="str">
            <v>NC 3.5/7</v>
          </cell>
          <cell r="G763" t="str">
            <v>coâng</v>
          </cell>
          <cell r="H763">
            <v>0.15</v>
          </cell>
          <cell r="I763">
            <v>0.15</v>
          </cell>
          <cell r="J763">
            <v>12964.99</v>
          </cell>
        </row>
        <row r="764">
          <cell r="A764" t="str">
            <v>TT4</v>
          </cell>
          <cell r="B764" t="str">
            <v>TT4</v>
          </cell>
          <cell r="C764" t="str">
            <v>Ñoùng neïp vieàn khung cöûa goã</v>
          </cell>
          <cell r="D764" t="str">
            <v>md</v>
          </cell>
          <cell r="E764">
            <v>1</v>
          </cell>
          <cell r="F764" t="str">
            <v>Nep vieàn cöûa</v>
          </cell>
          <cell r="G764" t="str">
            <v>md</v>
          </cell>
          <cell r="H764">
            <v>1.1000000000000001</v>
          </cell>
          <cell r="I764">
            <v>1.1000000000000001</v>
          </cell>
          <cell r="J764">
            <v>3500</v>
          </cell>
          <cell r="K764">
            <v>3500</v>
          </cell>
          <cell r="L764">
            <v>1000</v>
          </cell>
          <cell r="M764">
            <v>0</v>
          </cell>
        </row>
        <row r="765">
          <cell r="F765" t="str">
            <v>Ñinh caùc loaïi</v>
          </cell>
          <cell r="G765" t="str">
            <v>Kg</v>
          </cell>
          <cell r="H765">
            <v>8.0000000000000002E-3</v>
          </cell>
          <cell r="I765">
            <v>8.0000000000000002E-3</v>
          </cell>
          <cell r="J765">
            <v>5300</v>
          </cell>
        </row>
        <row r="766">
          <cell r="A766" t="str">
            <v>LA.5110</v>
          </cell>
          <cell r="B766" t="str">
            <v>LA.5110</v>
          </cell>
          <cell r="C766" t="str">
            <v>Phaàn laép ñaët caùc caáu kieän ñuùc saún &lt;50Kg</v>
          </cell>
          <cell r="D766" t="str">
            <v>caùi</v>
          </cell>
          <cell r="E766">
            <v>1</v>
          </cell>
          <cell r="F766" t="str">
            <v xml:space="preserve">Xi maêng PC 30 </v>
          </cell>
          <cell r="G766" t="str">
            <v>Kg</v>
          </cell>
          <cell r="H766">
            <v>0.96</v>
          </cell>
          <cell r="I766">
            <v>0.96</v>
          </cell>
          <cell r="J766">
            <v>880</v>
          </cell>
          <cell r="K766">
            <v>1055</v>
          </cell>
          <cell r="L766">
            <v>2029</v>
          </cell>
          <cell r="M766">
            <v>0</v>
          </cell>
        </row>
        <row r="767">
          <cell r="F767" t="str">
            <v>Caùt mòn</v>
          </cell>
          <cell r="G767" t="str">
            <v>m3</v>
          </cell>
          <cell r="H767">
            <v>3.3E-3</v>
          </cell>
          <cell r="I767">
            <v>3.3E-3</v>
          </cell>
          <cell r="J767">
            <v>47000</v>
          </cell>
        </row>
        <row r="768">
          <cell r="F768" t="str">
            <v>Nöôùc</v>
          </cell>
          <cell r="G768" t="str">
            <v>Lít</v>
          </cell>
          <cell r="H768">
            <v>0.8</v>
          </cell>
          <cell r="I768">
            <v>0.8</v>
          </cell>
          <cell r="J768">
            <v>2.5</v>
          </cell>
        </row>
        <row r="769">
          <cell r="F769" t="str">
            <v>Vaät lieäu khaùc</v>
          </cell>
          <cell r="G769" t="str">
            <v>ñoàng</v>
          </cell>
          <cell r="H769">
            <v>0.1</v>
          </cell>
          <cell r="I769">
            <v>100.19</v>
          </cell>
          <cell r="J769">
            <v>1</v>
          </cell>
        </row>
        <row r="770">
          <cell r="F770" t="str">
            <v>NC 4/7</v>
          </cell>
          <cell r="G770" t="str">
            <v>coâng</v>
          </cell>
          <cell r="H770">
            <v>0.15</v>
          </cell>
          <cell r="I770">
            <v>0.15</v>
          </cell>
          <cell r="J770">
            <v>13575.1</v>
          </cell>
        </row>
        <row r="771">
          <cell r="A771" t="str">
            <v>NA.1520</v>
          </cell>
          <cell r="B771" t="str">
            <v>NA.1520</v>
          </cell>
          <cell r="C771" t="str">
            <v>Saûn xuaát lan can saét caàu thang treät</v>
          </cell>
          <cell r="D771" t="str">
            <v>Taán</v>
          </cell>
          <cell r="E771">
            <v>1</v>
          </cell>
          <cell r="F771" t="str">
            <v>Theùp hình</v>
          </cell>
          <cell r="G771" t="str">
            <v>Kg</v>
          </cell>
          <cell r="H771">
            <v>625.39</v>
          </cell>
          <cell r="I771">
            <v>625.39</v>
          </cell>
          <cell r="J771">
            <v>3900</v>
          </cell>
          <cell r="K771">
            <v>4491783</v>
          </cell>
          <cell r="L771">
            <v>477125</v>
          </cell>
          <cell r="M771">
            <v>281510</v>
          </cell>
        </row>
        <row r="772">
          <cell r="F772" t="str">
            <v>Theùp taám</v>
          </cell>
          <cell r="G772" t="str">
            <v>Kg</v>
          </cell>
          <cell r="H772">
            <v>316</v>
          </cell>
          <cell r="I772">
            <v>316</v>
          </cell>
          <cell r="J772">
            <v>4350</v>
          </cell>
        </row>
        <row r="773">
          <cell r="F773" t="str">
            <v>Saét troøn</v>
          </cell>
          <cell r="G773" t="str">
            <v>Kg</v>
          </cell>
          <cell r="H773">
            <v>61.4</v>
          </cell>
          <cell r="I773">
            <v>61.4</v>
          </cell>
          <cell r="J773">
            <v>4250</v>
          </cell>
        </row>
        <row r="774">
          <cell r="F774" t="str">
            <v>Que haøn</v>
          </cell>
          <cell r="G774" t="str">
            <v>Kg</v>
          </cell>
          <cell r="H774">
            <v>22.66</v>
          </cell>
          <cell r="I774">
            <v>22.66</v>
          </cell>
          <cell r="J774">
            <v>10000</v>
          </cell>
        </row>
        <row r="775">
          <cell r="F775" t="str">
            <v>OÂxy</v>
          </cell>
          <cell r="G775" t="str">
            <v>chai</v>
          </cell>
          <cell r="H775">
            <v>0.78</v>
          </cell>
          <cell r="I775">
            <v>0.78</v>
          </cell>
          <cell r="J775">
            <v>34200</v>
          </cell>
        </row>
        <row r="776">
          <cell r="F776" t="str">
            <v>Ñaát ñeøn</v>
          </cell>
          <cell r="G776" t="str">
            <v>Kg</v>
          </cell>
          <cell r="H776">
            <v>3.78</v>
          </cell>
          <cell r="I776">
            <v>3.78</v>
          </cell>
          <cell r="J776">
            <v>7200</v>
          </cell>
        </row>
        <row r="777">
          <cell r="F777" t="str">
            <v>NC 3.5/7</v>
          </cell>
          <cell r="G777" t="str">
            <v>coâng</v>
          </cell>
          <cell r="H777">
            <v>36.783999999999999</v>
          </cell>
          <cell r="I777">
            <v>36.783999999999999</v>
          </cell>
          <cell r="J777">
            <v>12964.99</v>
          </cell>
        </row>
        <row r="778">
          <cell r="F778" t="str">
            <v>Maùy haøn 23KW</v>
          </cell>
          <cell r="G778" t="str">
            <v>ca</v>
          </cell>
          <cell r="H778">
            <v>3.64</v>
          </cell>
          <cell r="I778">
            <v>3.64</v>
          </cell>
          <cell r="J778">
            <v>77338</v>
          </cell>
        </row>
        <row r="779">
          <cell r="A779" t="str">
            <v>NB.2210</v>
          </cell>
          <cell r="B779" t="str">
            <v>NB.2210</v>
          </cell>
          <cell r="C779" t="str">
            <v>Laép ñaët lan can saét caàu thang treät</v>
          </cell>
          <cell r="D779" t="str">
            <v>m2</v>
          </cell>
          <cell r="E779">
            <v>1</v>
          </cell>
          <cell r="F779" t="str">
            <v xml:space="preserve">Xi maêng PC 30 </v>
          </cell>
          <cell r="G779" t="str">
            <v>Kg</v>
          </cell>
          <cell r="H779">
            <v>0.8</v>
          </cell>
          <cell r="I779">
            <v>0.8</v>
          </cell>
          <cell r="J779">
            <v>880</v>
          </cell>
          <cell r="K779">
            <v>2267</v>
          </cell>
          <cell r="L779">
            <v>5412</v>
          </cell>
          <cell r="M779">
            <v>7734</v>
          </cell>
        </row>
        <row r="780">
          <cell r="F780" t="str">
            <v>Caùt mòn</v>
          </cell>
          <cell r="G780" t="str">
            <v>m3</v>
          </cell>
          <cell r="H780">
            <v>2.7000000000000001E-3</v>
          </cell>
          <cell r="I780">
            <v>2.7000000000000001E-3</v>
          </cell>
          <cell r="J780">
            <v>47000</v>
          </cell>
        </row>
        <row r="781">
          <cell r="F781" t="str">
            <v>Nöôùc</v>
          </cell>
          <cell r="G781" t="str">
            <v>Lít</v>
          </cell>
          <cell r="H781">
            <v>0.7</v>
          </cell>
          <cell r="I781">
            <v>0.7</v>
          </cell>
          <cell r="J781">
            <v>2.5</v>
          </cell>
        </row>
        <row r="782">
          <cell r="F782" t="str">
            <v>Que haøn</v>
          </cell>
          <cell r="G782" t="str">
            <v>Kg</v>
          </cell>
          <cell r="H782">
            <v>0.2</v>
          </cell>
          <cell r="I782">
            <v>0.2</v>
          </cell>
          <cell r="J782">
            <v>10000</v>
          </cell>
        </row>
        <row r="783">
          <cell r="F783" t="str">
            <v>Vaät lieäu khaùc</v>
          </cell>
          <cell r="G783" t="str">
            <v>ñoàng</v>
          </cell>
          <cell r="H783">
            <v>0.05</v>
          </cell>
          <cell r="I783">
            <v>141.63250000000002</v>
          </cell>
          <cell r="J783">
            <v>1</v>
          </cell>
        </row>
        <row r="784">
          <cell r="F784" t="str">
            <v>NC 4/7</v>
          </cell>
          <cell r="G784" t="str">
            <v>coâng</v>
          </cell>
          <cell r="H784">
            <v>0.4</v>
          </cell>
          <cell r="I784">
            <v>0.4</v>
          </cell>
          <cell r="J784">
            <v>13575.1</v>
          </cell>
        </row>
        <row r="785">
          <cell r="F785" t="str">
            <v>Maùy haøn 23KW</v>
          </cell>
          <cell r="G785" t="str">
            <v>ca</v>
          </cell>
          <cell r="H785">
            <v>0.1</v>
          </cell>
          <cell r="I785">
            <v>0.1</v>
          </cell>
          <cell r="J785">
            <v>77338</v>
          </cell>
        </row>
        <row r="786">
          <cell r="A786" t="str">
            <v>TA.2510</v>
          </cell>
          <cell r="B786" t="str">
            <v>TA.2510</v>
          </cell>
          <cell r="C786" t="str">
            <v>Ñoùng traàn nhöïa phoøng</v>
          </cell>
          <cell r="D786" t="str">
            <v>m2</v>
          </cell>
          <cell r="E786">
            <v>1</v>
          </cell>
          <cell r="F786" t="str">
            <v>Goã xeû</v>
          </cell>
          <cell r="G786" t="str">
            <v>m3</v>
          </cell>
          <cell r="H786">
            <v>0.02</v>
          </cell>
          <cell r="I786">
            <v>0.02</v>
          </cell>
          <cell r="J786">
            <v>3700000</v>
          </cell>
          <cell r="K786">
            <v>99910</v>
          </cell>
          <cell r="L786">
            <v>10823</v>
          </cell>
          <cell r="M786">
            <v>0</v>
          </cell>
        </row>
        <row r="787">
          <cell r="F787" t="str">
            <v>Taám nhöïa laøm traàn</v>
          </cell>
          <cell r="G787" t="str">
            <v>m2</v>
          </cell>
          <cell r="H787">
            <v>1.05</v>
          </cell>
          <cell r="I787">
            <v>1.05</v>
          </cell>
          <cell r="J787">
            <v>48000</v>
          </cell>
        </row>
        <row r="788">
          <cell r="F788" t="str">
            <v>Neïp goã</v>
          </cell>
          <cell r="G788" t="str">
            <v>md</v>
          </cell>
          <cell r="H788">
            <v>4</v>
          </cell>
          <cell r="I788">
            <v>4</v>
          </cell>
          <cell r="J788">
            <v>1500</v>
          </cell>
        </row>
        <row r="789">
          <cell r="F789" t="str">
            <v>Vaät lieäu khaùc</v>
          </cell>
          <cell r="G789" t="str">
            <v>ñoàng</v>
          </cell>
          <cell r="H789">
            <v>0.03</v>
          </cell>
          <cell r="I789">
            <v>3912</v>
          </cell>
          <cell r="J789">
            <v>1</v>
          </cell>
        </row>
        <row r="790">
          <cell r="F790" t="str">
            <v>NC 4/7</v>
          </cell>
          <cell r="G790" t="str">
            <v>coâng</v>
          </cell>
          <cell r="H790">
            <v>0.8</v>
          </cell>
          <cell r="I790">
            <v>0.8</v>
          </cell>
          <cell r="J790">
            <v>13575.1</v>
          </cell>
        </row>
        <row r="791">
          <cell r="A791" t="str">
            <v>TB.1410</v>
          </cell>
          <cell r="B791" t="str">
            <v>TB.1410</v>
          </cell>
          <cell r="C791" t="str">
            <v>Neïp vieàn traàn</v>
          </cell>
          <cell r="D791" t="str">
            <v>md</v>
          </cell>
          <cell r="E791">
            <v>1</v>
          </cell>
          <cell r="F791" t="str">
            <v>Neïp goã vieàn traàn</v>
          </cell>
          <cell r="G791" t="str">
            <v>md</v>
          </cell>
          <cell r="H791">
            <v>2.3E-3</v>
          </cell>
          <cell r="I791">
            <v>2.3E-3</v>
          </cell>
          <cell r="J791">
            <v>20000</v>
          </cell>
          <cell r="K791">
            <v>8936</v>
          </cell>
          <cell r="L791">
            <v>2134</v>
          </cell>
          <cell r="M791">
            <v>0</v>
          </cell>
        </row>
        <row r="792">
          <cell r="F792" t="str">
            <v>Vaät lieäu khaùc</v>
          </cell>
          <cell r="G792" t="str">
            <v>ñoàng</v>
          </cell>
          <cell r="H792">
            <v>0.05</v>
          </cell>
          <cell r="I792">
            <v>2.3000000000000003</v>
          </cell>
          <cell r="J792">
            <v>1</v>
          </cell>
        </row>
        <row r="793">
          <cell r="F793" t="str">
            <v>NC 4.5/7</v>
          </cell>
          <cell r="G793" t="str">
            <v>coâng</v>
          </cell>
          <cell r="H793">
            <v>0.14299999999999999</v>
          </cell>
          <cell r="I793">
            <v>0.14299999999999999</v>
          </cell>
          <cell r="J793">
            <v>15100.4</v>
          </cell>
        </row>
        <row r="794">
          <cell r="A794" t="str">
            <v>PA.2314a</v>
          </cell>
          <cell r="B794" t="str">
            <v>PA.2314a</v>
          </cell>
          <cell r="C794" t="str">
            <v>Traùt thang boä &amp; truï trang trí VXM75_ 2cm + baõ hoà daàu</v>
          </cell>
          <cell r="D794" t="str">
            <v>m2</v>
          </cell>
          <cell r="E794">
            <v>1</v>
          </cell>
          <cell r="F794" t="str">
            <v xml:space="preserve">Xi maêng PC 30 </v>
          </cell>
          <cell r="G794" t="str">
            <v>Kg</v>
          </cell>
          <cell r="H794">
            <v>10</v>
          </cell>
          <cell r="I794">
            <v>10</v>
          </cell>
          <cell r="J794">
            <v>880</v>
          </cell>
          <cell r="K794">
            <v>10037.5</v>
          </cell>
          <cell r="L794">
            <v>7228.1</v>
          </cell>
          <cell r="M794">
            <v>190</v>
          </cell>
        </row>
        <row r="795">
          <cell r="F795" t="str">
            <v>Caùt mòn</v>
          </cell>
          <cell r="G795" t="str">
            <v>m3</v>
          </cell>
          <cell r="H795">
            <v>3.3750000000000002E-2</v>
          </cell>
          <cell r="I795">
            <v>3.3750000000000002E-2</v>
          </cell>
          <cell r="J795">
            <v>47000</v>
          </cell>
        </row>
        <row r="796">
          <cell r="F796" t="str">
            <v>Nöôùc</v>
          </cell>
          <cell r="G796" t="str">
            <v>Lít</v>
          </cell>
          <cell r="H796">
            <v>8.125</v>
          </cell>
          <cell r="I796">
            <v>8.125</v>
          </cell>
          <cell r="J796">
            <v>2.5</v>
          </cell>
        </row>
        <row r="797">
          <cell r="F797" t="str">
            <v>Vaät lieäu khaùc</v>
          </cell>
          <cell r="G797" t="str">
            <v>ñoàng</v>
          </cell>
          <cell r="H797">
            <v>5.0000000000000001E-3</v>
          </cell>
          <cell r="I797">
            <v>52.032812499999999</v>
          </cell>
          <cell r="J797">
            <v>1</v>
          </cell>
        </row>
        <row r="798">
          <cell r="F798" t="str">
            <v>NC 3.7/7</v>
          </cell>
          <cell r="G798" t="str">
            <v>coâng</v>
          </cell>
          <cell r="H798">
            <v>0.54780000000000006</v>
          </cell>
          <cell r="I798">
            <v>0.54780000000000006</v>
          </cell>
          <cell r="J798">
            <v>13209.03</v>
          </cell>
        </row>
        <row r="799">
          <cell r="F799" t="str">
            <v>Maùy troän 80L</v>
          </cell>
          <cell r="G799" t="str">
            <v>ca</v>
          </cell>
          <cell r="H799">
            <v>3.0000000000000001E-3</v>
          </cell>
          <cell r="I799">
            <v>3.0000000000000001E-3</v>
          </cell>
          <cell r="J799">
            <v>45294</v>
          </cell>
        </row>
        <row r="800">
          <cell r="F800" t="str">
            <v>Maùy vaän thaêng 0.8T</v>
          </cell>
          <cell r="G800" t="str">
            <v>ca</v>
          </cell>
          <cell r="H800">
            <v>1E-3</v>
          </cell>
          <cell r="I800">
            <v>1E-3</v>
          </cell>
          <cell r="J800">
            <v>90447</v>
          </cell>
        </row>
        <row r="801">
          <cell r="A801" t="str">
            <v>PA.1214a</v>
          </cell>
          <cell r="B801" t="str">
            <v>PA.1214a</v>
          </cell>
          <cell r="C801" t="str">
            <v>Traùt töôøng gaïch oáng daøy 1.5cm VXM75 H&lt;4m</v>
          </cell>
          <cell r="D801" t="str">
            <v>m2</v>
          </cell>
          <cell r="E801">
            <v>1</v>
          </cell>
          <cell r="F801" t="str">
            <v xml:space="preserve">Xi maêng PC 30 </v>
          </cell>
          <cell r="G801" t="str">
            <v>Kg</v>
          </cell>
          <cell r="H801">
            <v>5.9840000000000009</v>
          </cell>
          <cell r="I801">
            <v>5.9840000000000009</v>
          </cell>
          <cell r="J801">
            <v>880</v>
          </cell>
          <cell r="K801">
            <v>5976.3</v>
          </cell>
          <cell r="L801">
            <v>1808</v>
          </cell>
          <cell r="M801">
            <v>136</v>
          </cell>
        </row>
        <row r="802">
          <cell r="F802" t="str">
            <v>Caùt mòn</v>
          </cell>
          <cell r="G802" t="str">
            <v>m3</v>
          </cell>
          <cell r="H802">
            <v>2.035E-2</v>
          </cell>
          <cell r="I802">
            <v>2.035E-2</v>
          </cell>
          <cell r="J802">
            <v>47000</v>
          </cell>
        </row>
        <row r="803">
          <cell r="F803" t="str">
            <v>Nöôùc</v>
          </cell>
          <cell r="G803" t="str">
            <v>Lít</v>
          </cell>
          <cell r="H803">
            <v>4.8620000000000001</v>
          </cell>
          <cell r="I803">
            <v>4.8620000000000001</v>
          </cell>
          <cell r="J803">
            <v>2.5</v>
          </cell>
        </row>
        <row r="804">
          <cell r="F804" t="str">
            <v>NC 3.7/7</v>
          </cell>
          <cell r="G804" t="str">
            <v>coâng</v>
          </cell>
          <cell r="H804">
            <v>0.13700000000000001</v>
          </cell>
          <cell r="I804">
            <v>0.13700000000000001</v>
          </cell>
          <cell r="J804">
            <v>13209.03</v>
          </cell>
        </row>
        <row r="805">
          <cell r="F805" t="str">
            <v>Maùy troän 80L</v>
          </cell>
          <cell r="G805" t="str">
            <v>ca</v>
          </cell>
          <cell r="H805">
            <v>3.0000000000000001E-3</v>
          </cell>
          <cell r="I805">
            <v>3.0000000000000001E-3</v>
          </cell>
          <cell r="J805">
            <v>45294</v>
          </cell>
        </row>
        <row r="806">
          <cell r="A806" t="str">
            <v>PA.1224a</v>
          </cell>
          <cell r="B806" t="str">
            <v>PA.1224a</v>
          </cell>
          <cell r="C806" t="str">
            <v>Traùt töôøng gaïch oáng daøy 1.5cm VXM75 H&gt;4m</v>
          </cell>
          <cell r="D806" t="str">
            <v>m2</v>
          </cell>
          <cell r="E806">
            <v>1</v>
          </cell>
          <cell r="F806" t="str">
            <v xml:space="preserve">Xi maêng PC 30 </v>
          </cell>
          <cell r="G806" t="str">
            <v>Kg</v>
          </cell>
          <cell r="H806">
            <v>5.9840000000000009</v>
          </cell>
          <cell r="I806">
            <v>5.9840000000000009</v>
          </cell>
          <cell r="J806">
            <v>880</v>
          </cell>
          <cell r="K806">
            <v>6006.0000000000009</v>
          </cell>
          <cell r="L806">
            <v>2599</v>
          </cell>
          <cell r="M806">
            <v>190</v>
          </cell>
        </row>
        <row r="807">
          <cell r="F807" t="str">
            <v>Caùt mòn</v>
          </cell>
          <cell r="G807" t="str">
            <v>m3</v>
          </cell>
          <cell r="H807">
            <v>2.035E-2</v>
          </cell>
          <cell r="I807">
            <v>2.035E-2</v>
          </cell>
          <cell r="J807">
            <v>47000</v>
          </cell>
        </row>
        <row r="808">
          <cell r="F808" t="str">
            <v>Nöôùc</v>
          </cell>
          <cell r="G808" t="str">
            <v>Lít</v>
          </cell>
          <cell r="H808">
            <v>4.8620000000000001</v>
          </cell>
          <cell r="I808">
            <v>4.8620000000000001</v>
          </cell>
          <cell r="J808">
            <v>2.5</v>
          </cell>
        </row>
        <row r="809">
          <cell r="F809" t="str">
            <v>Vaät lieäu khaùc</v>
          </cell>
          <cell r="G809" t="str">
            <v>ñoàng</v>
          </cell>
          <cell r="H809">
            <v>5.0000000000000001E-3</v>
          </cell>
          <cell r="I809">
            <v>31.172625000000004</v>
          </cell>
          <cell r="J809">
            <v>1</v>
          </cell>
        </row>
        <row r="810">
          <cell r="F810" t="str">
            <v>NC 3.7/7</v>
          </cell>
          <cell r="G810" t="str">
            <v>coâng</v>
          </cell>
          <cell r="H810">
            <v>0.19700000000000001</v>
          </cell>
          <cell r="I810">
            <v>0.19700000000000001</v>
          </cell>
          <cell r="J810">
            <v>13209.03</v>
          </cell>
        </row>
        <row r="811">
          <cell r="F811" t="str">
            <v>Maùy troän 80L</v>
          </cell>
          <cell r="G811" t="str">
            <v>ca</v>
          </cell>
          <cell r="H811">
            <v>3.0000000000000001E-3</v>
          </cell>
          <cell r="I811">
            <v>3.0000000000000001E-3</v>
          </cell>
          <cell r="J811">
            <v>45294</v>
          </cell>
        </row>
        <row r="812">
          <cell r="F812" t="str">
            <v>Maùy vaän thaêng 0.8T</v>
          </cell>
          <cell r="G812" t="str">
            <v>ca</v>
          </cell>
          <cell r="H812">
            <v>1E-3</v>
          </cell>
          <cell r="I812">
            <v>1E-3</v>
          </cell>
          <cell r="J812">
            <v>90447</v>
          </cell>
        </row>
        <row r="813">
          <cell r="A813" t="str">
            <v>PA.2214</v>
          </cell>
          <cell r="B813" t="str">
            <v>PA.2214</v>
          </cell>
          <cell r="C813" t="str">
            <v>Traùt coät daøy 1.5cm VXM75 H&gt;4m</v>
          </cell>
          <cell r="D813" t="str">
            <v>m2</v>
          </cell>
          <cell r="E813">
            <v>1</v>
          </cell>
          <cell r="F813" t="str">
            <v xml:space="preserve">Xi maêng PC 30 </v>
          </cell>
          <cell r="G813" t="str">
            <v>Kg</v>
          </cell>
          <cell r="H813">
            <v>5.76</v>
          </cell>
          <cell r="I813">
            <v>5.76</v>
          </cell>
          <cell r="J813">
            <v>880</v>
          </cell>
          <cell r="K813">
            <v>5782</v>
          </cell>
          <cell r="L813">
            <v>6571</v>
          </cell>
          <cell r="M813">
            <v>190</v>
          </cell>
        </row>
        <row r="814">
          <cell r="F814" t="str">
            <v>Caùt mòn</v>
          </cell>
          <cell r="G814" t="str">
            <v>m3</v>
          </cell>
          <cell r="H814">
            <v>1.9599999999999999E-2</v>
          </cell>
          <cell r="I814">
            <v>1.9599999999999999E-2</v>
          </cell>
          <cell r="J814">
            <v>47000</v>
          </cell>
        </row>
        <row r="815">
          <cell r="F815" t="str">
            <v>Nöôùc</v>
          </cell>
          <cell r="G815" t="str">
            <v>Lít</v>
          </cell>
          <cell r="H815">
            <v>4.68</v>
          </cell>
          <cell r="I815">
            <v>4.68</v>
          </cell>
          <cell r="J815">
            <v>2.5</v>
          </cell>
        </row>
        <row r="816">
          <cell r="F816" t="str">
            <v>Vaät lieäu khaùc</v>
          </cell>
          <cell r="G816" t="str">
            <v>ñoàng</v>
          </cell>
          <cell r="H816">
            <v>5.0000000000000001E-3</v>
          </cell>
          <cell r="I816">
            <v>30.008499999999998</v>
          </cell>
          <cell r="J816">
            <v>1</v>
          </cell>
        </row>
        <row r="817">
          <cell r="F817" t="str">
            <v>NC 3.7/7</v>
          </cell>
          <cell r="G817" t="str">
            <v>coâng</v>
          </cell>
          <cell r="H817">
            <v>0.498</v>
          </cell>
          <cell r="I817">
            <v>0.498</v>
          </cell>
          <cell r="J817">
            <v>13209.03</v>
          </cell>
        </row>
        <row r="818">
          <cell r="F818" t="str">
            <v>Maùy troän 80L</v>
          </cell>
          <cell r="G818" t="str">
            <v>ca</v>
          </cell>
          <cell r="H818">
            <v>3.0000000000000001E-3</v>
          </cell>
          <cell r="I818">
            <v>3.0000000000000001E-3</v>
          </cell>
          <cell r="J818">
            <v>45294</v>
          </cell>
        </row>
        <row r="819">
          <cell r="F819" t="str">
            <v>Maùy vaän thaêng 0.8T</v>
          </cell>
          <cell r="G819" t="str">
            <v>ca</v>
          </cell>
          <cell r="H819">
            <v>1E-3</v>
          </cell>
          <cell r="I819">
            <v>1E-3</v>
          </cell>
          <cell r="J819">
            <v>90447</v>
          </cell>
        </row>
        <row r="820">
          <cell r="A820" t="str">
            <v>PA.2214a</v>
          </cell>
          <cell r="B820" t="str">
            <v>PA.2214a</v>
          </cell>
          <cell r="C820" t="str">
            <v>Traùt coät daøy 1.5cm VXM75 H&gt;4m</v>
          </cell>
          <cell r="D820" t="str">
            <v>m2</v>
          </cell>
          <cell r="E820">
            <v>1</v>
          </cell>
          <cell r="F820" t="str">
            <v xml:space="preserve">Xi maêng PC 30 </v>
          </cell>
          <cell r="G820" t="str">
            <v>Kg</v>
          </cell>
          <cell r="H820">
            <v>5.76</v>
          </cell>
          <cell r="I820">
            <v>5.76</v>
          </cell>
          <cell r="J820">
            <v>880</v>
          </cell>
          <cell r="K820">
            <v>7227.5</v>
          </cell>
          <cell r="L820">
            <v>7228.1</v>
          </cell>
          <cell r="M820">
            <v>190</v>
          </cell>
        </row>
        <row r="821">
          <cell r="F821" t="str">
            <v>Caùt mòn</v>
          </cell>
          <cell r="G821" t="str">
            <v>m3</v>
          </cell>
          <cell r="H821">
            <v>1.9599999999999999E-2</v>
          </cell>
          <cell r="I821">
            <v>1.9599999999999999E-2</v>
          </cell>
          <cell r="J821">
            <v>47000</v>
          </cell>
        </row>
        <row r="822">
          <cell r="F822" t="str">
            <v>Nöôùc</v>
          </cell>
          <cell r="G822" t="str">
            <v>Lít</v>
          </cell>
          <cell r="H822">
            <v>4.68</v>
          </cell>
          <cell r="I822">
            <v>4.68</v>
          </cell>
          <cell r="J822">
            <v>2.5</v>
          </cell>
        </row>
        <row r="823">
          <cell r="F823" t="str">
            <v>Vaät lieäu khaùc</v>
          </cell>
          <cell r="G823" t="str">
            <v>ñoàng</v>
          </cell>
          <cell r="H823">
            <v>5.0000000000000001E-3</v>
          </cell>
          <cell r="I823">
            <v>30.008499999999998</v>
          </cell>
          <cell r="J823">
            <v>1</v>
          </cell>
        </row>
        <row r="824">
          <cell r="F824" t="str">
            <v>NC 3.7/7</v>
          </cell>
          <cell r="G824" t="str">
            <v>coâng</v>
          </cell>
          <cell r="H824">
            <v>0.498</v>
          </cell>
          <cell r="I824">
            <v>0.498</v>
          </cell>
          <cell r="J824">
            <v>13209.03</v>
          </cell>
        </row>
        <row r="825">
          <cell r="F825" t="str">
            <v>Maùy troän 80L</v>
          </cell>
          <cell r="G825" t="str">
            <v>ca</v>
          </cell>
          <cell r="H825">
            <v>3.0000000000000001E-3</v>
          </cell>
          <cell r="I825">
            <v>3.0000000000000001E-3</v>
          </cell>
          <cell r="J825">
            <v>45294</v>
          </cell>
        </row>
        <row r="826">
          <cell r="F826" t="str">
            <v>Maùy vaän thaêng 0.8T</v>
          </cell>
          <cell r="G826" t="str">
            <v>ca</v>
          </cell>
          <cell r="H826">
            <v>1E-3</v>
          </cell>
          <cell r="I826">
            <v>1E-3</v>
          </cell>
          <cell r="J826">
            <v>90447</v>
          </cell>
        </row>
        <row r="827">
          <cell r="A827" t="str">
            <v>PA.3114a</v>
          </cell>
          <cell r="B827" t="str">
            <v>PA.3114a</v>
          </cell>
          <cell r="C827" t="str">
            <v>Traùt daàm daøy 1.5cm VXM75 + baû hoà daàu</v>
          </cell>
          <cell r="D827" t="str">
            <v>m2</v>
          </cell>
          <cell r="E827">
            <v>1</v>
          </cell>
          <cell r="F827" t="str">
            <v xml:space="preserve">Xi maêng PC 30 </v>
          </cell>
          <cell r="G827" t="str">
            <v>Kg</v>
          </cell>
          <cell r="H827">
            <v>7.1999999999999993</v>
          </cell>
          <cell r="I827">
            <v>7.1999999999999993</v>
          </cell>
          <cell r="J827">
            <v>880</v>
          </cell>
          <cell r="K827">
            <v>7191.25</v>
          </cell>
          <cell r="L827">
            <v>4789.3999999999996</v>
          </cell>
          <cell r="M827">
            <v>190</v>
          </cell>
        </row>
        <row r="828">
          <cell r="F828" t="str">
            <v>Caùt mòn</v>
          </cell>
          <cell r="G828" t="str">
            <v>m3</v>
          </cell>
          <cell r="H828">
            <v>2.4500000000000001E-2</v>
          </cell>
          <cell r="I828">
            <v>2.4500000000000001E-2</v>
          </cell>
          <cell r="J828">
            <v>47000</v>
          </cell>
        </row>
        <row r="829">
          <cell r="F829" t="str">
            <v>Nöôùc</v>
          </cell>
          <cell r="G829" t="str">
            <v>Lít</v>
          </cell>
          <cell r="H829">
            <v>5.85</v>
          </cell>
          <cell r="I829">
            <v>5.85</v>
          </cell>
          <cell r="J829">
            <v>2.5</v>
          </cell>
        </row>
        <row r="830">
          <cell r="F830" t="str">
            <v>NC 3.7/7</v>
          </cell>
          <cell r="G830" t="str">
            <v>coâng</v>
          </cell>
          <cell r="H830">
            <v>0.36300000000000004</v>
          </cell>
          <cell r="I830">
            <v>0.36300000000000004</v>
          </cell>
          <cell r="J830">
            <v>13209.03</v>
          </cell>
        </row>
        <row r="831">
          <cell r="F831" t="str">
            <v>Maùy troän 80L</v>
          </cell>
          <cell r="G831" t="str">
            <v>ca</v>
          </cell>
          <cell r="H831">
            <v>3.0000000000000001E-3</v>
          </cell>
          <cell r="I831">
            <v>3.0000000000000001E-3</v>
          </cell>
          <cell r="J831">
            <v>45294</v>
          </cell>
        </row>
        <row r="832">
          <cell r="F832" t="str">
            <v>Maùy vaän thaêng 0.8T</v>
          </cell>
          <cell r="G832" t="str">
            <v>ca</v>
          </cell>
          <cell r="H832">
            <v>1E-3</v>
          </cell>
          <cell r="I832">
            <v>1E-3</v>
          </cell>
          <cell r="J832">
            <v>90447</v>
          </cell>
        </row>
        <row r="833">
          <cell r="A833" t="str">
            <v>PA.3214a</v>
          </cell>
          <cell r="B833" t="str">
            <v>PA.3214a</v>
          </cell>
          <cell r="C833" t="str">
            <v>Traùt traàn VXM75 + baû hoà daàu</v>
          </cell>
          <cell r="D833" t="str">
            <v>m2</v>
          </cell>
          <cell r="E833">
            <v>1</v>
          </cell>
          <cell r="F833" t="str">
            <v xml:space="preserve">Xi maêng PC 30 </v>
          </cell>
          <cell r="G833" t="str">
            <v>Kg</v>
          </cell>
          <cell r="H833">
            <v>7.1999999999999993</v>
          </cell>
          <cell r="I833">
            <v>7.1999999999999993</v>
          </cell>
          <cell r="J833">
            <v>880</v>
          </cell>
          <cell r="K833">
            <v>7191.25</v>
          </cell>
          <cell r="L833">
            <v>4353.8</v>
          </cell>
          <cell r="M833">
            <v>190</v>
          </cell>
        </row>
        <row r="834">
          <cell r="F834" t="str">
            <v>Caùt mòn</v>
          </cell>
          <cell r="G834" t="str">
            <v>m3</v>
          </cell>
          <cell r="H834">
            <v>2.4500000000000001E-2</v>
          </cell>
          <cell r="I834">
            <v>2.4500000000000001E-2</v>
          </cell>
          <cell r="J834">
            <v>47000</v>
          </cell>
        </row>
        <row r="835">
          <cell r="F835" t="str">
            <v>Nöôùc</v>
          </cell>
          <cell r="G835" t="str">
            <v>Lít</v>
          </cell>
          <cell r="H835">
            <v>5.85</v>
          </cell>
          <cell r="I835">
            <v>5.85</v>
          </cell>
          <cell r="J835">
            <v>2.5</v>
          </cell>
        </row>
        <row r="836">
          <cell r="F836" t="str">
            <v>NC 3.7/7</v>
          </cell>
          <cell r="G836" t="str">
            <v>coâng</v>
          </cell>
          <cell r="H836">
            <v>0.33</v>
          </cell>
          <cell r="I836">
            <v>0.33</v>
          </cell>
          <cell r="J836">
            <v>13209.03</v>
          </cell>
        </row>
        <row r="837">
          <cell r="F837" t="str">
            <v>Maùy troän 80L</v>
          </cell>
          <cell r="G837" t="str">
            <v>ca</v>
          </cell>
          <cell r="H837">
            <v>3.0000000000000001E-3</v>
          </cell>
          <cell r="I837">
            <v>3.0000000000000001E-3</v>
          </cell>
          <cell r="J837">
            <v>45294</v>
          </cell>
        </row>
        <row r="838">
          <cell r="F838" t="str">
            <v>Maùy vaän thaêng 0.8T</v>
          </cell>
          <cell r="G838" t="str">
            <v>ca</v>
          </cell>
          <cell r="H838">
            <v>1E-3</v>
          </cell>
          <cell r="I838">
            <v>1E-3</v>
          </cell>
          <cell r="J838">
            <v>90447</v>
          </cell>
        </row>
        <row r="839">
          <cell r="A839" t="str">
            <v>PA.2214a</v>
          </cell>
          <cell r="B839" t="str">
            <v>PA.2214a</v>
          </cell>
          <cell r="C839" t="str">
            <v>Traùt caàu thang daøy 1.5cm VXM75 + baû hoà daàu</v>
          </cell>
          <cell r="D839" t="str">
            <v>m2</v>
          </cell>
          <cell r="E839">
            <v>1</v>
          </cell>
          <cell r="F839" t="str">
            <v xml:space="preserve">Xi maêng PC 30 </v>
          </cell>
          <cell r="G839" t="str">
            <v>Kg</v>
          </cell>
          <cell r="H839">
            <v>7.1999999999999993</v>
          </cell>
          <cell r="I839">
            <v>7.1999999999999993</v>
          </cell>
          <cell r="J839">
            <v>880</v>
          </cell>
          <cell r="K839">
            <v>7227.5</v>
          </cell>
          <cell r="L839">
            <v>7228.1</v>
          </cell>
          <cell r="M839">
            <v>190</v>
          </cell>
        </row>
        <row r="840">
          <cell r="F840" t="str">
            <v>Caùt mòn</v>
          </cell>
          <cell r="G840" t="str">
            <v>m3</v>
          </cell>
          <cell r="H840">
            <v>2.4500000000000001E-2</v>
          </cell>
          <cell r="I840">
            <v>2.4500000000000001E-2</v>
          </cell>
          <cell r="J840">
            <v>47000</v>
          </cell>
        </row>
        <row r="841">
          <cell r="F841" t="str">
            <v>Nöôùc</v>
          </cell>
          <cell r="G841" t="str">
            <v>Lít</v>
          </cell>
          <cell r="H841">
            <v>5.85</v>
          </cell>
          <cell r="I841">
            <v>5.85</v>
          </cell>
          <cell r="J841">
            <v>2.5</v>
          </cell>
        </row>
        <row r="842">
          <cell r="F842" t="str">
            <v>Vaät lieäu khaùc</v>
          </cell>
          <cell r="G842" t="str">
            <v>ñoàng</v>
          </cell>
          <cell r="H842">
            <v>5.0000000000000001E-3</v>
          </cell>
          <cell r="I842">
            <v>37.510624999999997</v>
          </cell>
          <cell r="J842">
            <v>1</v>
          </cell>
        </row>
        <row r="843">
          <cell r="F843" t="str">
            <v>NC 3.7/7</v>
          </cell>
          <cell r="G843" t="str">
            <v>coâng</v>
          </cell>
          <cell r="H843">
            <v>0.54780000000000006</v>
          </cell>
          <cell r="I843">
            <v>0.54780000000000006</v>
          </cell>
          <cell r="J843">
            <v>13209.03</v>
          </cell>
        </row>
        <row r="844">
          <cell r="F844" t="str">
            <v>Maùy troän 80L</v>
          </cell>
          <cell r="G844" t="str">
            <v>ca</v>
          </cell>
          <cell r="H844">
            <v>3.0000000000000001E-3</v>
          </cell>
          <cell r="I844">
            <v>3.0000000000000001E-3</v>
          </cell>
          <cell r="J844">
            <v>45294</v>
          </cell>
        </row>
        <row r="845">
          <cell r="F845" t="str">
            <v>Maùy vaän thaêng 0.8T</v>
          </cell>
          <cell r="G845" t="str">
            <v>ca</v>
          </cell>
          <cell r="H845">
            <v>1E-3</v>
          </cell>
          <cell r="I845">
            <v>1E-3</v>
          </cell>
          <cell r="J845">
            <v>90447</v>
          </cell>
        </row>
        <row r="846">
          <cell r="A846" t="str">
            <v>PA.5114a</v>
          </cell>
          <cell r="B846" t="str">
            <v>PA.5114a</v>
          </cell>
          <cell r="C846" t="str">
            <v>Traùt lanh toâ, oâ vaêng &amp; lam 1cm VXM75 +baû hoà daàu</v>
          </cell>
          <cell r="D846" t="str">
            <v>m2</v>
          </cell>
          <cell r="E846">
            <v>1</v>
          </cell>
          <cell r="F846" t="str">
            <v xml:space="preserve">Xi maêng PC 30 </v>
          </cell>
          <cell r="G846" t="str">
            <v>Kg</v>
          </cell>
          <cell r="H846">
            <v>4.8</v>
          </cell>
          <cell r="I846">
            <v>4.8</v>
          </cell>
          <cell r="J846">
            <v>880</v>
          </cell>
          <cell r="K846">
            <v>4793.75</v>
          </cell>
          <cell r="L846">
            <v>3483.7</v>
          </cell>
          <cell r="M846">
            <v>0</v>
          </cell>
        </row>
        <row r="847">
          <cell r="F847" t="str">
            <v>Caùt mòn</v>
          </cell>
          <cell r="G847" t="str">
            <v>m3</v>
          </cell>
          <cell r="H847">
            <v>1.6250000000000001E-2</v>
          </cell>
          <cell r="I847">
            <v>1.6250000000000001E-2</v>
          </cell>
          <cell r="J847">
            <v>47000</v>
          </cell>
        </row>
        <row r="848">
          <cell r="F848" t="str">
            <v>Nöôùc</v>
          </cell>
          <cell r="G848" t="str">
            <v>Lít</v>
          </cell>
          <cell r="H848">
            <v>3.9000000000000004</v>
          </cell>
          <cell r="I848">
            <v>3.9000000000000004</v>
          </cell>
          <cell r="J848">
            <v>2.5</v>
          </cell>
        </row>
        <row r="849">
          <cell r="F849" t="str">
            <v>NC 3.7/7</v>
          </cell>
          <cell r="G849" t="str">
            <v>coâng</v>
          </cell>
          <cell r="H849">
            <v>0.26400000000000001</v>
          </cell>
          <cell r="I849">
            <v>0.26400000000000001</v>
          </cell>
          <cell r="J849">
            <v>13209.03</v>
          </cell>
        </row>
        <row r="850">
          <cell r="A850" t="str">
            <v>PA.2314</v>
          </cell>
          <cell r="B850" t="str">
            <v>PA.2314</v>
          </cell>
          <cell r="C850" t="str">
            <v>Traùt maù heøm cöûa VXM75</v>
          </cell>
          <cell r="D850" t="str">
            <v>m2</v>
          </cell>
          <cell r="E850">
            <v>1</v>
          </cell>
          <cell r="F850" t="str">
            <v xml:space="preserve">Xi maêng PC 30 </v>
          </cell>
          <cell r="G850" t="str">
            <v>Kg</v>
          </cell>
          <cell r="H850">
            <v>8</v>
          </cell>
          <cell r="I850">
            <v>8</v>
          </cell>
          <cell r="J850">
            <v>880</v>
          </cell>
          <cell r="K850">
            <v>10037.5</v>
          </cell>
          <cell r="L850">
            <v>8213.75</v>
          </cell>
          <cell r="M850">
            <v>209</v>
          </cell>
        </row>
        <row r="851">
          <cell r="F851" t="str">
            <v>Caùt mòn</v>
          </cell>
          <cell r="G851" t="str">
            <v>m3</v>
          </cell>
          <cell r="H851">
            <v>2.7E-2</v>
          </cell>
          <cell r="I851">
            <v>2.7E-2</v>
          </cell>
          <cell r="J851">
            <v>47000</v>
          </cell>
        </row>
        <row r="852">
          <cell r="F852" t="str">
            <v>Nöôùc</v>
          </cell>
          <cell r="G852" t="str">
            <v>Lít</v>
          </cell>
          <cell r="H852">
            <v>6.5</v>
          </cell>
          <cell r="I852">
            <v>6.5</v>
          </cell>
          <cell r="J852">
            <v>2.5</v>
          </cell>
        </row>
        <row r="853">
          <cell r="F853" t="str">
            <v>Vaät lieäu khaùc</v>
          </cell>
          <cell r="G853" t="str">
            <v>ñoàng</v>
          </cell>
          <cell r="H853">
            <v>5.0000000000000001E-3</v>
          </cell>
          <cell r="I853">
            <v>41.626249999999999</v>
          </cell>
          <cell r="J853">
            <v>1</v>
          </cell>
        </row>
        <row r="854">
          <cell r="F854" t="str">
            <v>NC 3.7/7</v>
          </cell>
          <cell r="G854" t="str">
            <v>coâng</v>
          </cell>
          <cell r="H854">
            <v>0.498</v>
          </cell>
          <cell r="I854">
            <v>0.498</v>
          </cell>
          <cell r="J854">
            <v>13209.03</v>
          </cell>
        </row>
        <row r="855">
          <cell r="F855" t="str">
            <v>Maùy troän 80L</v>
          </cell>
          <cell r="G855" t="str">
            <v>ca</v>
          </cell>
          <cell r="H855">
            <v>3.0000000000000001E-3</v>
          </cell>
          <cell r="I855">
            <v>3.0000000000000001E-3</v>
          </cell>
          <cell r="J855">
            <v>45294</v>
          </cell>
        </row>
        <row r="856">
          <cell r="F856" t="str">
            <v>Maùy vaän thaêng 0.8T</v>
          </cell>
          <cell r="G856" t="str">
            <v>ca</v>
          </cell>
          <cell r="H856">
            <v>1E-3</v>
          </cell>
          <cell r="I856">
            <v>1E-3</v>
          </cell>
          <cell r="J856">
            <v>90447</v>
          </cell>
        </row>
        <row r="857">
          <cell r="A857" t="str">
            <v>PA.4214</v>
          </cell>
          <cell r="B857" t="str">
            <v>PA.4214</v>
          </cell>
          <cell r="C857" t="str">
            <v>Toâ chæ nöôùc VXM100</v>
          </cell>
          <cell r="D857" t="str">
            <v>md</v>
          </cell>
          <cell r="E857">
            <v>1</v>
          </cell>
          <cell r="F857" t="str">
            <v xml:space="preserve">Xi maêng PC 30 </v>
          </cell>
          <cell r="G857" t="str">
            <v>Kg</v>
          </cell>
          <cell r="H857">
            <v>0.8</v>
          </cell>
          <cell r="I857">
            <v>0.8</v>
          </cell>
          <cell r="J857">
            <v>880</v>
          </cell>
          <cell r="K857">
            <v>998.75</v>
          </cell>
          <cell r="L857">
            <v>2276.25</v>
          </cell>
          <cell r="M857">
            <v>0</v>
          </cell>
        </row>
        <row r="858">
          <cell r="F858" t="str">
            <v>Caùt mòn</v>
          </cell>
          <cell r="G858" t="str">
            <v>m3</v>
          </cell>
          <cell r="H858">
            <v>3.0000000000000001E-3</v>
          </cell>
          <cell r="I858">
            <v>3.0000000000000001E-3</v>
          </cell>
          <cell r="J858">
            <v>47000</v>
          </cell>
        </row>
        <row r="859">
          <cell r="F859" t="str">
            <v>Nöôùc</v>
          </cell>
          <cell r="G859" t="str">
            <v>Lít</v>
          </cell>
          <cell r="H859">
            <v>0.7</v>
          </cell>
          <cell r="I859">
            <v>0.7</v>
          </cell>
          <cell r="J859">
            <v>2.5</v>
          </cell>
        </row>
        <row r="860">
          <cell r="F860" t="str">
            <v>NC 4.5/7</v>
          </cell>
          <cell r="G860" t="str">
            <v>coâng</v>
          </cell>
          <cell r="H860">
            <v>0.122</v>
          </cell>
          <cell r="I860">
            <v>0.122</v>
          </cell>
          <cell r="J860">
            <v>15100.4</v>
          </cell>
        </row>
        <row r="861">
          <cell r="A861" t="str">
            <v>PA.4214a</v>
          </cell>
          <cell r="B861" t="str">
            <v>PA.4214a</v>
          </cell>
          <cell r="C861" t="str">
            <v>Toâ chæ nöôùc VXM100 + baû hoà daàu</v>
          </cell>
          <cell r="D861" t="str">
            <v>md</v>
          </cell>
          <cell r="E861">
            <v>1</v>
          </cell>
          <cell r="F861" t="str">
            <v xml:space="preserve">Xi maêng PC 30 </v>
          </cell>
          <cell r="G861" t="str">
            <v>Kg</v>
          </cell>
          <cell r="H861">
            <v>1</v>
          </cell>
          <cell r="I861">
            <v>1</v>
          </cell>
          <cell r="J861">
            <v>880</v>
          </cell>
          <cell r="K861">
            <v>1248.4375</v>
          </cell>
          <cell r="L861">
            <v>2503.875</v>
          </cell>
          <cell r="M861">
            <v>0</v>
          </cell>
        </row>
        <row r="862">
          <cell r="F862" t="str">
            <v>Caùt mòn</v>
          </cell>
          <cell r="G862" t="str">
            <v>m3</v>
          </cell>
          <cell r="H862">
            <v>3.7499999999999999E-3</v>
          </cell>
          <cell r="I862">
            <v>3.7499999999999999E-3</v>
          </cell>
          <cell r="J862">
            <v>47000</v>
          </cell>
        </row>
        <row r="863">
          <cell r="F863" t="str">
            <v>Nöôùc</v>
          </cell>
          <cell r="G863" t="str">
            <v>Lít</v>
          </cell>
          <cell r="H863">
            <v>0.875</v>
          </cell>
          <cell r="I863">
            <v>0.875</v>
          </cell>
          <cell r="J863">
            <v>2.5</v>
          </cell>
        </row>
        <row r="864">
          <cell r="F864" t="str">
            <v>NC 4.5/7</v>
          </cell>
          <cell r="G864" t="str">
            <v>coâng</v>
          </cell>
          <cell r="H864">
            <v>0.13420000000000001</v>
          </cell>
          <cell r="I864">
            <v>0.13420000000000001</v>
          </cell>
          <cell r="J864">
            <v>15100.4</v>
          </cell>
        </row>
        <row r="865">
          <cell r="A865" t="str">
            <v>PA.4114</v>
          </cell>
          <cell r="B865" t="str">
            <v>PA.4114</v>
          </cell>
          <cell r="C865" t="str">
            <v>Traùt phaøo VXM100 + baû hoà daàu</v>
          </cell>
          <cell r="D865" t="str">
            <v>md</v>
          </cell>
          <cell r="E865">
            <v>1</v>
          </cell>
          <cell r="F865" t="str">
            <v xml:space="preserve">Xi maêng PC 30 </v>
          </cell>
          <cell r="G865" t="str">
            <v>Kg</v>
          </cell>
          <cell r="H865">
            <v>3.52</v>
          </cell>
          <cell r="I865">
            <v>3.52</v>
          </cell>
          <cell r="J865">
            <v>880</v>
          </cell>
          <cell r="K865">
            <v>440</v>
          </cell>
          <cell r="L865">
            <v>3731.1</v>
          </cell>
          <cell r="M865">
            <v>0</v>
          </cell>
        </row>
        <row r="866">
          <cell r="F866" t="str">
            <v>Caùt mòn</v>
          </cell>
          <cell r="G866" t="str">
            <v>m3</v>
          </cell>
          <cell r="H866">
            <v>1.2E-2</v>
          </cell>
          <cell r="I866">
            <v>1.2E-2</v>
          </cell>
          <cell r="J866">
            <v>47000</v>
          </cell>
        </row>
        <row r="867">
          <cell r="F867" t="str">
            <v>Nöôùc</v>
          </cell>
          <cell r="G867" t="str">
            <v>Lít</v>
          </cell>
          <cell r="H867">
            <v>2.86</v>
          </cell>
          <cell r="I867">
            <v>2.86</v>
          </cell>
          <cell r="J867">
            <v>2.5</v>
          </cell>
        </row>
        <row r="868">
          <cell r="F868" t="str">
            <v>NC 4.5/7</v>
          </cell>
          <cell r="G868" t="str">
            <v>coâng</v>
          </cell>
          <cell r="H868">
            <v>0.2</v>
          </cell>
          <cell r="I868">
            <v>0.2</v>
          </cell>
          <cell r="J868">
            <v>15100.4</v>
          </cell>
        </row>
        <row r="869">
          <cell r="A869" t="str">
            <v>PA.4114a</v>
          </cell>
          <cell r="B869" t="str">
            <v>PA.4114a</v>
          </cell>
          <cell r="C869" t="str">
            <v>Traùt phaøo VXM100 + baû hoà daàu</v>
          </cell>
          <cell r="D869" t="str">
            <v>md</v>
          </cell>
          <cell r="E869">
            <v>1</v>
          </cell>
          <cell r="F869" t="str">
            <v xml:space="preserve">Xi maêng PC 30 </v>
          </cell>
          <cell r="G869" t="str">
            <v>Kg</v>
          </cell>
          <cell r="H869">
            <v>4.4000000000000004</v>
          </cell>
          <cell r="I869">
            <v>4.4000000000000004</v>
          </cell>
          <cell r="J869">
            <v>880</v>
          </cell>
          <cell r="K869">
            <v>550</v>
          </cell>
          <cell r="L869">
            <v>4104.21</v>
          </cell>
          <cell r="M869">
            <v>0</v>
          </cell>
        </row>
        <row r="870">
          <cell r="F870" t="str">
            <v>Caùt mòn</v>
          </cell>
          <cell r="G870" t="str">
            <v>m3</v>
          </cell>
          <cell r="H870">
            <v>1.4999999999999999E-2</v>
          </cell>
          <cell r="I870">
            <v>1.4999999999999999E-2</v>
          </cell>
          <cell r="J870">
            <v>47000</v>
          </cell>
        </row>
        <row r="871">
          <cell r="F871" t="str">
            <v>Nöôùc</v>
          </cell>
          <cell r="G871" t="str">
            <v>Lít</v>
          </cell>
          <cell r="H871">
            <v>3.5749999999999997</v>
          </cell>
          <cell r="I871">
            <v>3.5749999999999997</v>
          </cell>
          <cell r="J871">
            <v>2.5</v>
          </cell>
        </row>
        <row r="872">
          <cell r="F872" t="str">
            <v>NC 4.5/7</v>
          </cell>
          <cell r="G872" t="str">
            <v>coâng</v>
          </cell>
          <cell r="H872">
            <v>0.22000000000000003</v>
          </cell>
          <cell r="I872">
            <v>0.22000000000000003</v>
          </cell>
          <cell r="J872">
            <v>15100.4</v>
          </cell>
        </row>
        <row r="873">
          <cell r="A873" t="str">
            <v>QB.3110</v>
          </cell>
          <cell r="B873" t="str">
            <v>QB.3110</v>
          </cell>
          <cell r="C873" t="str">
            <v>OÁp gaïch ceramic 15x20 VXM75:</v>
          </cell>
          <cell r="D873" t="str">
            <v>m2</v>
          </cell>
          <cell r="E873">
            <v>1</v>
          </cell>
          <cell r="F873" t="str">
            <v>Gaïch Ceramic 15x20</v>
          </cell>
          <cell r="G873" t="str">
            <v>m2</v>
          </cell>
          <cell r="H873">
            <v>1.02</v>
          </cell>
          <cell r="I873">
            <v>1.02</v>
          </cell>
          <cell r="J873">
            <v>71000</v>
          </cell>
          <cell r="K873">
            <v>93632</v>
          </cell>
          <cell r="L873">
            <v>8794</v>
          </cell>
          <cell r="M873">
            <v>0</v>
          </cell>
        </row>
        <row r="874">
          <cell r="F874" t="str">
            <v xml:space="preserve">Xi maêng PC 30 </v>
          </cell>
          <cell r="G874" t="str">
            <v>Kg</v>
          </cell>
          <cell r="H874">
            <v>5.12</v>
          </cell>
          <cell r="I874">
            <v>5.12</v>
          </cell>
          <cell r="J874">
            <v>880</v>
          </cell>
        </row>
        <row r="875">
          <cell r="F875" t="str">
            <v>Caùt mòn</v>
          </cell>
          <cell r="G875" t="str">
            <v>m3</v>
          </cell>
          <cell r="H875">
            <v>1.7000000000000001E-2</v>
          </cell>
          <cell r="I875">
            <v>1.7000000000000001E-2</v>
          </cell>
          <cell r="J875">
            <v>47000</v>
          </cell>
        </row>
        <row r="876">
          <cell r="F876" t="str">
            <v>Xi maêng traéng TQ</v>
          </cell>
          <cell r="G876" t="str">
            <v>Kg</v>
          </cell>
          <cell r="H876">
            <v>0.24</v>
          </cell>
          <cell r="I876">
            <v>0.24</v>
          </cell>
          <cell r="J876">
            <v>1940</v>
          </cell>
        </row>
        <row r="877">
          <cell r="F877" t="str">
            <v>Nöôùc</v>
          </cell>
          <cell r="G877" t="str">
            <v>Lít</v>
          </cell>
          <cell r="H877">
            <v>4.16</v>
          </cell>
          <cell r="I877">
            <v>4.16</v>
          </cell>
          <cell r="J877">
            <v>2.5</v>
          </cell>
        </row>
        <row r="878">
          <cell r="F878" t="str">
            <v>Vaät lieäu khaùc</v>
          </cell>
          <cell r="G878" t="str">
            <v>ñoàng</v>
          </cell>
          <cell r="H878">
            <v>0.01</v>
          </cell>
          <cell r="I878">
            <v>782.00600000000009</v>
          </cell>
          <cell r="J878">
            <v>1</v>
          </cell>
        </row>
        <row r="879">
          <cell r="F879" t="str">
            <v>NC 4/7</v>
          </cell>
          <cell r="G879" t="str">
            <v>coâng</v>
          </cell>
          <cell r="H879">
            <v>0.65</v>
          </cell>
          <cell r="I879">
            <v>0.65</v>
          </cell>
          <cell r="J879">
            <v>13575.1</v>
          </cell>
        </row>
        <row r="880">
          <cell r="A880" t="str">
            <v>QB.3110a</v>
          </cell>
          <cell r="B880" t="str">
            <v>QB.3110a</v>
          </cell>
          <cell r="C880" t="str">
            <v>OÁp gaïch ceramic 15x20 VXM75:</v>
          </cell>
          <cell r="D880" t="str">
            <v>m2</v>
          </cell>
          <cell r="E880">
            <v>1</v>
          </cell>
          <cell r="F880" t="str">
            <v>Gaïch ñuûa Ceramic 5x23</v>
          </cell>
          <cell r="G880" t="str">
            <v>m2</v>
          </cell>
          <cell r="H880">
            <v>1.02</v>
          </cell>
          <cell r="I880">
            <v>1.02</v>
          </cell>
          <cell r="J880">
            <v>120000</v>
          </cell>
          <cell r="K880">
            <v>93632</v>
          </cell>
          <cell r="L880">
            <v>9673.4000000000015</v>
          </cell>
          <cell r="M880">
            <v>0</v>
          </cell>
        </row>
        <row r="881">
          <cell r="F881" t="str">
            <v xml:space="preserve">Xi maêng PC 30 </v>
          </cell>
          <cell r="G881" t="str">
            <v>Kg</v>
          </cell>
          <cell r="H881">
            <v>5.12</v>
          </cell>
          <cell r="I881">
            <v>5.12</v>
          </cell>
          <cell r="J881">
            <v>880</v>
          </cell>
        </row>
        <row r="882">
          <cell r="F882" t="str">
            <v>Caùt mòn</v>
          </cell>
          <cell r="G882" t="str">
            <v>m3</v>
          </cell>
          <cell r="H882">
            <v>1.7000000000000001E-2</v>
          </cell>
          <cell r="I882">
            <v>1.7000000000000001E-2</v>
          </cell>
          <cell r="J882">
            <v>47000</v>
          </cell>
        </row>
        <row r="883">
          <cell r="F883" t="str">
            <v>Xi maêng traéng TQ</v>
          </cell>
          <cell r="G883" t="str">
            <v>Kg</v>
          </cell>
          <cell r="H883">
            <v>0.24</v>
          </cell>
          <cell r="I883">
            <v>0.24</v>
          </cell>
          <cell r="J883">
            <v>1940</v>
          </cell>
        </row>
        <row r="884">
          <cell r="F884" t="str">
            <v>Nöôùc</v>
          </cell>
          <cell r="G884" t="str">
            <v>Lít</v>
          </cell>
          <cell r="H884">
            <v>4.16</v>
          </cell>
          <cell r="I884">
            <v>4.16</v>
          </cell>
          <cell r="J884">
            <v>2.5</v>
          </cell>
        </row>
        <row r="885">
          <cell r="F885" t="str">
            <v>Vaät lieäu khaùc</v>
          </cell>
          <cell r="G885" t="str">
            <v>ñoàng</v>
          </cell>
          <cell r="H885">
            <v>0.01</v>
          </cell>
          <cell r="I885">
            <v>1281.806</v>
          </cell>
          <cell r="J885">
            <v>1</v>
          </cell>
        </row>
        <row r="886">
          <cell r="F886" t="str">
            <v>NC 4/7</v>
          </cell>
          <cell r="G886" t="str">
            <v>coâng</v>
          </cell>
          <cell r="H886">
            <v>0.65</v>
          </cell>
          <cell r="I886">
            <v>0.65</v>
          </cell>
          <cell r="J886">
            <v>13575.1</v>
          </cell>
        </row>
        <row r="887">
          <cell r="A887" t="str">
            <v>QB.3120</v>
          </cell>
          <cell r="B887" t="str">
            <v>QB.3120</v>
          </cell>
          <cell r="C887" t="str">
            <v>OÁp gaïch ceramic 15x20 VXM75:</v>
          </cell>
          <cell r="D887" t="str">
            <v>m2</v>
          </cell>
          <cell r="E887">
            <v>1</v>
          </cell>
          <cell r="F887" t="str">
            <v>Gaïch Ceramic 15x20</v>
          </cell>
          <cell r="G887" t="str">
            <v>m2</v>
          </cell>
          <cell r="H887">
            <v>1.02</v>
          </cell>
          <cell r="I887">
            <v>1.02</v>
          </cell>
          <cell r="J887">
            <v>71000</v>
          </cell>
          <cell r="K887">
            <v>94096</v>
          </cell>
          <cell r="L887">
            <v>9470</v>
          </cell>
          <cell r="M887">
            <v>163</v>
          </cell>
        </row>
        <row r="888">
          <cell r="F888" t="str">
            <v xml:space="preserve">Xi maêng PC 30 </v>
          </cell>
          <cell r="G888" t="str">
            <v>Kg</v>
          </cell>
          <cell r="H888">
            <v>5.12</v>
          </cell>
          <cell r="I888">
            <v>5.12</v>
          </cell>
          <cell r="J888">
            <v>880</v>
          </cell>
        </row>
        <row r="889">
          <cell r="F889" t="str">
            <v>Caùt mòn</v>
          </cell>
          <cell r="G889" t="str">
            <v>m3</v>
          </cell>
          <cell r="H889">
            <v>1.7000000000000001E-2</v>
          </cell>
          <cell r="I889">
            <v>1.7000000000000001E-2</v>
          </cell>
          <cell r="J889">
            <v>47000</v>
          </cell>
        </row>
        <row r="890">
          <cell r="F890" t="str">
            <v>Xi maêng traéng TQ</v>
          </cell>
          <cell r="G890" t="str">
            <v>Kg</v>
          </cell>
          <cell r="H890">
            <v>0.24</v>
          </cell>
          <cell r="I890">
            <v>0.24</v>
          </cell>
          <cell r="J890">
            <v>1940</v>
          </cell>
        </row>
        <row r="891">
          <cell r="F891" t="str">
            <v>Nöôùc</v>
          </cell>
          <cell r="G891" t="str">
            <v>Lít</v>
          </cell>
          <cell r="H891">
            <v>4.16</v>
          </cell>
          <cell r="I891">
            <v>4.16</v>
          </cell>
          <cell r="J891">
            <v>2.5</v>
          </cell>
        </row>
        <row r="892">
          <cell r="F892" t="str">
            <v>Vaät lieäu khaùc</v>
          </cell>
          <cell r="G892" t="str">
            <v>ñoàng</v>
          </cell>
          <cell r="H892">
            <v>0.01</v>
          </cell>
          <cell r="I892">
            <v>782.00600000000009</v>
          </cell>
          <cell r="J892">
            <v>1</v>
          </cell>
        </row>
        <row r="893">
          <cell r="F893" t="str">
            <v>NC 4/7</v>
          </cell>
          <cell r="G893" t="str">
            <v>coâng</v>
          </cell>
          <cell r="H893">
            <v>0.65</v>
          </cell>
          <cell r="I893">
            <v>0.65</v>
          </cell>
          <cell r="J893">
            <v>13575.1</v>
          </cell>
        </row>
        <row r="894">
          <cell r="A894" t="str">
            <v>QB.3120a</v>
          </cell>
          <cell r="B894" t="str">
            <v>QB.3120a</v>
          </cell>
          <cell r="C894" t="str">
            <v>OÁp gaïch ceramic 15x20 VXM75:</v>
          </cell>
          <cell r="D894" t="str">
            <v>m2</v>
          </cell>
          <cell r="E894">
            <v>1</v>
          </cell>
          <cell r="F894" t="str">
            <v>Gaïch ñuûa Ceramic 5x23</v>
          </cell>
          <cell r="G894" t="str">
            <v>m2</v>
          </cell>
          <cell r="H894">
            <v>1.02</v>
          </cell>
          <cell r="I894">
            <v>1.02</v>
          </cell>
          <cell r="J894">
            <v>120000</v>
          </cell>
          <cell r="K894">
            <v>93632</v>
          </cell>
          <cell r="L894">
            <v>9673.4000000000015</v>
          </cell>
          <cell r="M894">
            <v>0</v>
          </cell>
        </row>
        <row r="895">
          <cell r="F895" t="str">
            <v xml:space="preserve">Xi maêng PC 30 </v>
          </cell>
          <cell r="G895" t="str">
            <v>Kg</v>
          </cell>
          <cell r="H895">
            <v>5.12</v>
          </cell>
          <cell r="I895">
            <v>5.12</v>
          </cell>
          <cell r="J895">
            <v>880</v>
          </cell>
        </row>
        <row r="896">
          <cell r="F896" t="str">
            <v>Caùt mòn</v>
          </cell>
          <cell r="G896" t="str">
            <v>m3</v>
          </cell>
          <cell r="H896">
            <v>1.7000000000000001E-2</v>
          </cell>
          <cell r="I896">
            <v>1.7000000000000001E-2</v>
          </cell>
          <cell r="J896">
            <v>47000</v>
          </cell>
        </row>
        <row r="897">
          <cell r="F897" t="str">
            <v>Xi maêng traéng TQ</v>
          </cell>
          <cell r="G897" t="str">
            <v>Kg</v>
          </cell>
          <cell r="H897">
            <v>0.24</v>
          </cell>
          <cell r="I897">
            <v>0.24</v>
          </cell>
          <cell r="J897">
            <v>1940</v>
          </cell>
        </row>
        <row r="898">
          <cell r="F898" t="str">
            <v>Nöôùc</v>
          </cell>
          <cell r="G898" t="str">
            <v>Lít</v>
          </cell>
          <cell r="H898">
            <v>4.16</v>
          </cell>
          <cell r="I898">
            <v>4.16</v>
          </cell>
          <cell r="J898">
            <v>2.5</v>
          </cell>
        </row>
        <row r="899">
          <cell r="F899" t="str">
            <v>Vaät lieäu khaùc</v>
          </cell>
          <cell r="G899" t="str">
            <v>ñoàng</v>
          </cell>
          <cell r="H899">
            <v>0.01</v>
          </cell>
          <cell r="I899">
            <v>1281.806</v>
          </cell>
          <cell r="J899">
            <v>1</v>
          </cell>
        </row>
        <row r="900">
          <cell r="F900" t="str">
            <v>NC 4/7</v>
          </cell>
          <cell r="G900" t="str">
            <v>coâng</v>
          </cell>
          <cell r="H900">
            <v>0.65</v>
          </cell>
          <cell r="I900">
            <v>0.65</v>
          </cell>
          <cell r="J900">
            <v>13575.1</v>
          </cell>
        </row>
        <row r="901">
          <cell r="A901" t="str">
            <v>SA.7410</v>
          </cell>
          <cell r="B901" t="str">
            <v>SA.7410</v>
          </cell>
          <cell r="C901" t="str">
            <v>Laùt gaïch ceramic nhaùm neàn VS</v>
          </cell>
          <cell r="D901" t="str">
            <v>m2</v>
          </cell>
          <cell r="E901">
            <v>1</v>
          </cell>
          <cell r="F901" t="str">
            <v>Gaïch nhaùm neàn VS 20x20</v>
          </cell>
          <cell r="G901" t="str">
            <v>m2</v>
          </cell>
          <cell r="H901">
            <v>1</v>
          </cell>
          <cell r="I901">
            <v>1</v>
          </cell>
          <cell r="J901">
            <v>71000</v>
          </cell>
          <cell r="K901">
            <v>89358</v>
          </cell>
          <cell r="L901">
            <v>6494</v>
          </cell>
          <cell r="M901">
            <v>0</v>
          </cell>
        </row>
        <row r="902">
          <cell r="F902" t="str">
            <v xml:space="preserve">Xi maêng PC 30 </v>
          </cell>
          <cell r="G902" t="str">
            <v>Kg</v>
          </cell>
          <cell r="H902">
            <v>8</v>
          </cell>
          <cell r="I902">
            <v>8</v>
          </cell>
          <cell r="J902">
            <v>880</v>
          </cell>
        </row>
        <row r="903">
          <cell r="F903" t="str">
            <v>Caùt mòn</v>
          </cell>
          <cell r="G903" t="str">
            <v>m3</v>
          </cell>
          <cell r="H903">
            <v>2.7E-2</v>
          </cell>
          <cell r="I903">
            <v>2.7E-2</v>
          </cell>
          <cell r="J903">
            <v>47000</v>
          </cell>
        </row>
        <row r="904">
          <cell r="F904" t="str">
            <v>Xi maêng traéng TQ</v>
          </cell>
          <cell r="G904" t="str">
            <v>Kg</v>
          </cell>
          <cell r="H904">
            <v>0.4</v>
          </cell>
          <cell r="I904">
            <v>0.4</v>
          </cell>
          <cell r="J904">
            <v>1940</v>
          </cell>
        </row>
        <row r="905">
          <cell r="F905" t="str">
            <v>Nöôùc</v>
          </cell>
          <cell r="G905" t="str">
            <v>Lít</v>
          </cell>
          <cell r="H905">
            <v>6.5</v>
          </cell>
          <cell r="I905">
            <v>6.5</v>
          </cell>
          <cell r="J905">
            <v>2.5</v>
          </cell>
        </row>
        <row r="906">
          <cell r="F906" t="str">
            <v>Vaät lieäu khaùc</v>
          </cell>
          <cell r="G906" t="str">
            <v>ñoàng</v>
          </cell>
          <cell r="H906">
            <v>5.0000000000000001E-3</v>
          </cell>
          <cell r="I906">
            <v>400.50625000000002</v>
          </cell>
          <cell r="J906">
            <v>1</v>
          </cell>
        </row>
        <row r="907">
          <cell r="F907" t="str">
            <v>NC 4/7</v>
          </cell>
          <cell r="G907" t="str">
            <v>coâng</v>
          </cell>
          <cell r="H907">
            <v>0.48</v>
          </cell>
          <cell r="I907">
            <v>0.48</v>
          </cell>
          <cell r="J907">
            <v>13575.1</v>
          </cell>
        </row>
        <row r="908">
          <cell r="A908" t="str">
            <v>SA.7420</v>
          </cell>
          <cell r="B908" t="str">
            <v>SA.7420</v>
          </cell>
          <cell r="C908" t="str">
            <v>Laùt gaïch ceramic nhaùm neàn VS</v>
          </cell>
          <cell r="D908" t="str">
            <v>m2</v>
          </cell>
          <cell r="E908">
            <v>1</v>
          </cell>
          <cell r="F908" t="str">
            <v>Gaïch nhaùm neàn VS 20x20</v>
          </cell>
          <cell r="G908" t="str">
            <v>m2</v>
          </cell>
          <cell r="H908">
            <v>1</v>
          </cell>
          <cell r="I908">
            <v>1</v>
          </cell>
          <cell r="J908">
            <v>71000</v>
          </cell>
          <cell r="K908">
            <v>89358</v>
          </cell>
          <cell r="L908">
            <v>7035</v>
          </cell>
          <cell r="M908">
            <v>163</v>
          </cell>
        </row>
        <row r="909">
          <cell r="F909" t="str">
            <v xml:space="preserve">Xi maêng PC 30 </v>
          </cell>
          <cell r="G909" t="str">
            <v>Kg</v>
          </cell>
          <cell r="H909">
            <v>8</v>
          </cell>
          <cell r="I909">
            <v>8</v>
          </cell>
          <cell r="J909">
            <v>880</v>
          </cell>
        </row>
        <row r="910">
          <cell r="F910" t="str">
            <v>Caùt mòn</v>
          </cell>
          <cell r="G910" t="str">
            <v>m3</v>
          </cell>
          <cell r="H910">
            <v>2.7E-2</v>
          </cell>
          <cell r="I910">
            <v>2.7E-2</v>
          </cell>
          <cell r="J910">
            <v>47000</v>
          </cell>
        </row>
        <row r="911">
          <cell r="F911" t="str">
            <v>Xi maêng traéng TQ</v>
          </cell>
          <cell r="G911" t="str">
            <v>Kg</v>
          </cell>
          <cell r="H911">
            <v>0.4</v>
          </cell>
          <cell r="I911">
            <v>0.4</v>
          </cell>
          <cell r="J911">
            <v>1940</v>
          </cell>
        </row>
        <row r="912">
          <cell r="F912" t="str">
            <v>Nöôùc</v>
          </cell>
          <cell r="G912" t="str">
            <v>Lít</v>
          </cell>
          <cell r="H912">
            <v>6.5</v>
          </cell>
          <cell r="I912">
            <v>6.5</v>
          </cell>
          <cell r="J912">
            <v>2.5</v>
          </cell>
        </row>
        <row r="913">
          <cell r="F913" t="str">
            <v>Vaät lieäu khaùc</v>
          </cell>
          <cell r="G913" t="str">
            <v>ñoàng</v>
          </cell>
          <cell r="H913">
            <v>5.0000000000000001E-3</v>
          </cell>
          <cell r="I913">
            <v>400.50625000000002</v>
          </cell>
          <cell r="J913">
            <v>1</v>
          </cell>
        </row>
        <row r="914">
          <cell r="F914" t="str">
            <v>NC 4/7</v>
          </cell>
          <cell r="G914" t="str">
            <v>coâng</v>
          </cell>
          <cell r="H914">
            <v>0.52</v>
          </cell>
          <cell r="I914">
            <v>0.52</v>
          </cell>
          <cell r="J914">
            <v>13575.1</v>
          </cell>
        </row>
        <row r="915">
          <cell r="A915" t="str">
            <v>SA.4210</v>
          </cell>
          <cell r="B915" t="str">
            <v>SA.4212</v>
          </cell>
          <cell r="C915" t="str">
            <v>Laùt gaïch boâng 20x20</v>
          </cell>
          <cell r="D915" t="str">
            <v>m2</v>
          </cell>
          <cell r="E915">
            <v>1</v>
          </cell>
          <cell r="F915" t="str">
            <v>Gaïch boâng 20x20</v>
          </cell>
          <cell r="G915" t="str">
            <v>Vieân</v>
          </cell>
          <cell r="H915">
            <v>25</v>
          </cell>
          <cell r="I915">
            <v>25</v>
          </cell>
          <cell r="J915">
            <v>2592</v>
          </cell>
          <cell r="K915">
            <v>71930</v>
          </cell>
          <cell r="L915">
            <v>2243</v>
          </cell>
          <cell r="M915">
            <v>0</v>
          </cell>
        </row>
        <row r="916">
          <cell r="F916" t="str">
            <v xml:space="preserve">Xi maêng PC 30 </v>
          </cell>
          <cell r="G916" t="str">
            <v>Kg</v>
          </cell>
          <cell r="H916">
            <v>6.4</v>
          </cell>
          <cell r="I916">
            <v>6.4</v>
          </cell>
          <cell r="J916">
            <v>880</v>
          </cell>
        </row>
        <row r="917">
          <cell r="F917" t="str">
            <v>Caùt mòn</v>
          </cell>
          <cell r="G917" t="str">
            <v>m3</v>
          </cell>
          <cell r="H917">
            <v>2.18E-2</v>
          </cell>
          <cell r="I917">
            <v>2.18E-2</v>
          </cell>
          <cell r="J917">
            <v>47000</v>
          </cell>
        </row>
        <row r="918">
          <cell r="F918" t="str">
            <v>Nöôùc</v>
          </cell>
          <cell r="G918" t="str">
            <v>Lít</v>
          </cell>
          <cell r="H918">
            <v>5.2</v>
          </cell>
          <cell r="I918">
            <v>5.2</v>
          </cell>
          <cell r="J918">
            <v>2.5</v>
          </cell>
        </row>
        <row r="919">
          <cell r="F919" t="str">
            <v>Vaät lieäu khaùc</v>
          </cell>
          <cell r="G919" t="str">
            <v>ñoàng</v>
          </cell>
          <cell r="H919">
            <v>0.01</v>
          </cell>
          <cell r="I919">
            <v>714.69600000000003</v>
          </cell>
          <cell r="J919">
            <v>1</v>
          </cell>
        </row>
        <row r="920">
          <cell r="F920" t="str">
            <v>NC 3.7/7</v>
          </cell>
          <cell r="G920" t="str">
            <v>coâng</v>
          </cell>
          <cell r="H920">
            <v>0.17</v>
          </cell>
          <cell r="I920">
            <v>0.17</v>
          </cell>
          <cell r="J920">
            <v>13209.03</v>
          </cell>
        </row>
        <row r="921">
          <cell r="A921" t="str">
            <v>SA.4220</v>
          </cell>
          <cell r="B921" t="str">
            <v>SA.4312</v>
          </cell>
          <cell r="C921" t="str">
            <v>Laùt gaïch boâng 20x20</v>
          </cell>
          <cell r="D921" t="str">
            <v>m2</v>
          </cell>
          <cell r="E921">
            <v>1</v>
          </cell>
          <cell r="F921" t="str">
            <v>Gaïch boâng 20x20</v>
          </cell>
          <cell r="G921" t="str">
            <v>Vieân</v>
          </cell>
          <cell r="H921">
            <v>25</v>
          </cell>
          <cell r="I921">
            <v>25</v>
          </cell>
          <cell r="J921">
            <v>2592</v>
          </cell>
          <cell r="K921">
            <v>72288</v>
          </cell>
          <cell r="L921">
            <v>2375</v>
          </cell>
          <cell r="M921">
            <v>0</v>
          </cell>
        </row>
        <row r="922">
          <cell r="F922" t="str">
            <v xml:space="preserve">Xi maêng PC 30 </v>
          </cell>
          <cell r="G922" t="str">
            <v>Kg</v>
          </cell>
          <cell r="H922">
            <v>6.4</v>
          </cell>
          <cell r="I922">
            <v>6.4</v>
          </cell>
          <cell r="J922">
            <v>880</v>
          </cell>
        </row>
        <row r="923">
          <cell r="F923" t="str">
            <v>Caùt mòn</v>
          </cell>
          <cell r="G923" t="str">
            <v>m3</v>
          </cell>
          <cell r="H923">
            <v>2.18E-2</v>
          </cell>
          <cell r="I923">
            <v>2.18E-2</v>
          </cell>
          <cell r="J923">
            <v>47000</v>
          </cell>
        </row>
        <row r="924">
          <cell r="F924" t="str">
            <v>Nöôùc</v>
          </cell>
          <cell r="G924" t="str">
            <v>Lít</v>
          </cell>
          <cell r="H924">
            <v>5.2</v>
          </cell>
          <cell r="I924">
            <v>5.2</v>
          </cell>
          <cell r="J924">
            <v>2.5</v>
          </cell>
        </row>
        <row r="925">
          <cell r="F925" t="str">
            <v>Vaät lieäu khaùc</v>
          </cell>
          <cell r="G925" t="str">
            <v>ñoàng</v>
          </cell>
          <cell r="H925">
            <v>0.01</v>
          </cell>
          <cell r="I925">
            <v>714.69600000000003</v>
          </cell>
          <cell r="J925">
            <v>1</v>
          </cell>
        </row>
        <row r="926">
          <cell r="F926" t="str">
            <v>NC 3.7/7</v>
          </cell>
          <cell r="G926" t="str">
            <v>coâng</v>
          </cell>
          <cell r="H926">
            <v>0.18</v>
          </cell>
          <cell r="I926">
            <v>0.18</v>
          </cell>
          <cell r="J926">
            <v>13209.03</v>
          </cell>
        </row>
        <row r="927">
          <cell r="F927" t="str">
            <v>Maùy vaän thaêng 0.8T</v>
          </cell>
          <cell r="G927" t="str">
            <v>ca</v>
          </cell>
          <cell r="H927">
            <v>3.0000000000000001E-3</v>
          </cell>
          <cell r="I927">
            <v>3.0000000000000001E-3</v>
          </cell>
          <cell r="J927">
            <v>90447</v>
          </cell>
        </row>
        <row r="928">
          <cell r="A928" t="str">
            <v>SA.7111</v>
          </cell>
          <cell r="B928" t="str">
            <v>SA.7111</v>
          </cell>
          <cell r="C928" t="str">
            <v>Laùt gaïch ceramic 30x30</v>
          </cell>
          <cell r="D928" t="str">
            <v>m2</v>
          </cell>
          <cell r="E928">
            <v>1</v>
          </cell>
          <cell r="F928" t="str">
            <v>Gaïch ceramic 30x30</v>
          </cell>
          <cell r="G928" t="str">
            <v>m2</v>
          </cell>
          <cell r="H928">
            <v>1.0349999999999999</v>
          </cell>
          <cell r="I928">
            <v>1.0349999999999999</v>
          </cell>
          <cell r="J928">
            <v>71000</v>
          </cell>
          <cell r="K928">
            <v>83385</v>
          </cell>
          <cell r="L928">
            <v>5411</v>
          </cell>
          <cell r="M928">
            <v>0</v>
          </cell>
        </row>
        <row r="929">
          <cell r="F929" t="str">
            <v xml:space="preserve">Xi maêng PC 30 </v>
          </cell>
          <cell r="G929" t="str">
            <v>Kg</v>
          </cell>
          <cell r="H929">
            <v>8</v>
          </cell>
          <cell r="I929">
            <v>8</v>
          </cell>
          <cell r="J929">
            <v>880</v>
          </cell>
        </row>
        <row r="930">
          <cell r="F930" t="str">
            <v>Caùt mòn</v>
          </cell>
          <cell r="G930" t="str">
            <v>m3</v>
          </cell>
          <cell r="H930">
            <v>2.7E-2</v>
          </cell>
          <cell r="I930">
            <v>2.7E-2</v>
          </cell>
          <cell r="J930">
            <v>47000</v>
          </cell>
        </row>
        <row r="931">
          <cell r="F931" t="str">
            <v>Nöôùc</v>
          </cell>
          <cell r="G931" t="str">
            <v>Lít</v>
          </cell>
          <cell r="H931">
            <v>6.5</v>
          </cell>
          <cell r="I931">
            <v>6.5</v>
          </cell>
          <cell r="J931">
            <v>2.5</v>
          </cell>
        </row>
        <row r="932">
          <cell r="F932" t="str">
            <v>Xi maêng traéng TQ</v>
          </cell>
          <cell r="G932" t="str">
            <v>Kg</v>
          </cell>
          <cell r="H932">
            <v>0.35</v>
          </cell>
          <cell r="I932">
            <v>0.35</v>
          </cell>
          <cell r="J932">
            <v>1940</v>
          </cell>
        </row>
        <row r="933">
          <cell r="F933" t="str">
            <v>Vaät lieäu khaùc</v>
          </cell>
          <cell r="G933" t="str">
            <v>ñoàng</v>
          </cell>
          <cell r="H933">
            <v>5.0000000000000001E-3</v>
          </cell>
          <cell r="I933">
            <v>412.44625000000002</v>
          </cell>
          <cell r="J933">
            <v>1</v>
          </cell>
        </row>
        <row r="934">
          <cell r="F934" t="str">
            <v>NC 4/7</v>
          </cell>
          <cell r="G934" t="str">
            <v>coâng</v>
          </cell>
          <cell r="H934">
            <v>0.4</v>
          </cell>
          <cell r="I934">
            <v>0.4</v>
          </cell>
          <cell r="J934">
            <v>13575.1</v>
          </cell>
        </row>
        <row r="935">
          <cell r="A935" t="str">
            <v>SA.7121</v>
          </cell>
          <cell r="B935" t="str">
            <v>SA.7121</v>
          </cell>
          <cell r="C935" t="str">
            <v>Laùt gaïch ceramic 30x30</v>
          </cell>
          <cell r="D935" t="str">
            <v>m2</v>
          </cell>
          <cell r="E935">
            <v>1</v>
          </cell>
          <cell r="F935" t="str">
            <v>Gaïch ceramic 30x30</v>
          </cell>
          <cell r="G935" t="str">
            <v>m2</v>
          </cell>
          <cell r="H935">
            <v>1.0349999999999999</v>
          </cell>
          <cell r="I935">
            <v>1.0349999999999999</v>
          </cell>
          <cell r="J935">
            <v>71000</v>
          </cell>
          <cell r="K935">
            <v>83385</v>
          </cell>
          <cell r="L935">
            <v>6088</v>
          </cell>
          <cell r="M935">
            <v>163</v>
          </cell>
        </row>
        <row r="936">
          <cell r="F936" t="str">
            <v xml:space="preserve">Xi maêng PC 30 </v>
          </cell>
          <cell r="G936" t="str">
            <v>Kg</v>
          </cell>
          <cell r="H936">
            <v>8</v>
          </cell>
          <cell r="I936">
            <v>8</v>
          </cell>
          <cell r="J936">
            <v>880</v>
          </cell>
        </row>
        <row r="937">
          <cell r="F937" t="str">
            <v>Caùt mòn</v>
          </cell>
          <cell r="G937" t="str">
            <v>m3</v>
          </cell>
          <cell r="H937">
            <v>2.7E-2</v>
          </cell>
          <cell r="I937">
            <v>2.7E-2</v>
          </cell>
          <cell r="J937">
            <v>47000</v>
          </cell>
        </row>
        <row r="938">
          <cell r="F938" t="str">
            <v>Nöôùc</v>
          </cell>
          <cell r="G938" t="str">
            <v>Lít</v>
          </cell>
          <cell r="H938">
            <v>6.5</v>
          </cell>
          <cell r="I938">
            <v>6.5</v>
          </cell>
          <cell r="J938">
            <v>2.5</v>
          </cell>
        </row>
        <row r="939">
          <cell r="F939" t="str">
            <v>Xi maêng traéng TQ</v>
          </cell>
          <cell r="G939" t="str">
            <v>Kg</v>
          </cell>
          <cell r="H939">
            <v>0.35</v>
          </cell>
          <cell r="I939">
            <v>0.35</v>
          </cell>
          <cell r="J939">
            <v>1940</v>
          </cell>
        </row>
        <row r="940">
          <cell r="F940" t="str">
            <v>Vaät lieäu khaùc</v>
          </cell>
          <cell r="G940" t="str">
            <v>ñoàng</v>
          </cell>
          <cell r="H940">
            <v>5.0000000000000001E-3</v>
          </cell>
          <cell r="I940">
            <v>412.44625000000002</v>
          </cell>
          <cell r="J940">
            <v>1</v>
          </cell>
        </row>
        <row r="941">
          <cell r="F941" t="str">
            <v>NC 4/7</v>
          </cell>
          <cell r="G941" t="str">
            <v>coâng</v>
          </cell>
          <cell r="H941">
            <v>0.45</v>
          </cell>
          <cell r="I941">
            <v>0.45</v>
          </cell>
          <cell r="J941">
            <v>13575.1</v>
          </cell>
        </row>
        <row r="942">
          <cell r="F942" t="str">
            <v>Maùy vaän thaêng 0.8T</v>
          </cell>
          <cell r="G942" t="str">
            <v>ca</v>
          </cell>
          <cell r="H942">
            <v>3.0000000000000001E-3</v>
          </cell>
          <cell r="I942">
            <v>3.0000000000000001E-3</v>
          </cell>
          <cell r="J942">
            <v>90447</v>
          </cell>
        </row>
        <row r="943">
          <cell r="A943" t="str">
            <v>RC.1130</v>
          </cell>
          <cell r="B943" t="str">
            <v>RC.1130</v>
          </cell>
          <cell r="C943" t="str">
            <v>Laùng ñaù maøi caàu thang vaø len thang</v>
          </cell>
          <cell r="D943" t="str">
            <v>m2</v>
          </cell>
          <cell r="E943">
            <v>1</v>
          </cell>
          <cell r="F943" t="str">
            <v>Ñaù traéng nhoû</v>
          </cell>
          <cell r="G943" t="str">
            <v>Kg</v>
          </cell>
          <cell r="H943">
            <v>16.5</v>
          </cell>
          <cell r="I943">
            <v>16.5</v>
          </cell>
          <cell r="J943">
            <v>650</v>
          </cell>
          <cell r="K943">
            <v>39825</v>
          </cell>
          <cell r="L943">
            <v>36547</v>
          </cell>
          <cell r="M943">
            <v>0</v>
          </cell>
        </row>
        <row r="944">
          <cell r="F944" t="str">
            <v>Boät ñaù</v>
          </cell>
          <cell r="G944" t="str">
            <v>Kg</v>
          </cell>
          <cell r="H944">
            <v>9.5</v>
          </cell>
          <cell r="I944">
            <v>9.5</v>
          </cell>
          <cell r="J944">
            <v>450</v>
          </cell>
        </row>
        <row r="945">
          <cell r="F945" t="str">
            <v>Boät maøu</v>
          </cell>
          <cell r="G945" t="str">
            <v>Kg</v>
          </cell>
          <cell r="H945">
            <v>0.105</v>
          </cell>
          <cell r="I945">
            <v>0.105</v>
          </cell>
          <cell r="J945">
            <v>25000</v>
          </cell>
        </row>
        <row r="946">
          <cell r="F946" t="str">
            <v>Xi maêng traéng TQ</v>
          </cell>
          <cell r="G946" t="str">
            <v>Kg</v>
          </cell>
          <cell r="H946">
            <v>9.5</v>
          </cell>
          <cell r="I946">
            <v>9.5</v>
          </cell>
          <cell r="J946">
            <v>1940</v>
          </cell>
        </row>
        <row r="947">
          <cell r="F947" t="str">
            <v>NC 3.7/7</v>
          </cell>
          <cell r="G947" t="str">
            <v>coâng</v>
          </cell>
          <cell r="H947">
            <v>2.77</v>
          </cell>
          <cell r="I947">
            <v>2.77</v>
          </cell>
          <cell r="J947">
            <v>13209.03</v>
          </cell>
        </row>
        <row r="948">
          <cell r="A948" t="str">
            <v>PE.1114</v>
          </cell>
          <cell r="B948" t="str">
            <v>PE.1114</v>
          </cell>
          <cell r="C948" t="str">
            <v>Traùt ñaù röûa töôøng maët ngoaøi H&lt;4m</v>
          </cell>
          <cell r="D948" t="str">
            <v>m2</v>
          </cell>
          <cell r="E948">
            <v>1</v>
          </cell>
          <cell r="F948" t="str">
            <v xml:space="preserve">Xi maêng PC 30 </v>
          </cell>
          <cell r="G948" t="str">
            <v>Kg</v>
          </cell>
          <cell r="H948">
            <v>4.96</v>
          </cell>
          <cell r="I948">
            <v>4.96</v>
          </cell>
          <cell r="J948">
            <v>880</v>
          </cell>
          <cell r="K948">
            <v>40616</v>
          </cell>
          <cell r="L948">
            <v>6333</v>
          </cell>
          <cell r="M948">
            <v>136</v>
          </cell>
        </row>
        <row r="949">
          <cell r="F949" t="str">
            <v>Caùt mòn</v>
          </cell>
          <cell r="G949" t="str">
            <v>m3</v>
          </cell>
          <cell r="H949">
            <v>1.7000000000000001E-2</v>
          </cell>
          <cell r="I949">
            <v>1.7000000000000001E-2</v>
          </cell>
          <cell r="J949">
            <v>47000</v>
          </cell>
        </row>
        <row r="950">
          <cell r="F950" t="str">
            <v>Nöôùc</v>
          </cell>
          <cell r="G950" t="str">
            <v>Lít</v>
          </cell>
          <cell r="H950">
            <v>4</v>
          </cell>
          <cell r="I950">
            <v>4</v>
          </cell>
          <cell r="J950">
            <v>2.5</v>
          </cell>
        </row>
        <row r="951">
          <cell r="F951" t="str">
            <v>Ñaù traéng nhoû</v>
          </cell>
          <cell r="G951" t="str">
            <v>Kg</v>
          </cell>
          <cell r="H951">
            <v>15.1</v>
          </cell>
          <cell r="I951">
            <v>15.1</v>
          </cell>
          <cell r="J951">
            <v>650</v>
          </cell>
        </row>
        <row r="952">
          <cell r="F952" t="str">
            <v>Xi maêng traéng TQ</v>
          </cell>
          <cell r="G952" t="str">
            <v>Kg</v>
          </cell>
          <cell r="H952">
            <v>8.8000000000000007</v>
          </cell>
          <cell r="I952">
            <v>8.8000000000000007</v>
          </cell>
          <cell r="J952">
            <v>1940</v>
          </cell>
        </row>
        <row r="953">
          <cell r="F953" t="str">
            <v>Boät ñaù</v>
          </cell>
          <cell r="G953" t="str">
            <v>Kg</v>
          </cell>
          <cell r="H953">
            <v>8.5</v>
          </cell>
          <cell r="I953">
            <v>8.5</v>
          </cell>
          <cell r="J953">
            <v>450</v>
          </cell>
        </row>
        <row r="954">
          <cell r="F954" t="str">
            <v>Boät maøu</v>
          </cell>
          <cell r="G954" t="str">
            <v>Kg</v>
          </cell>
          <cell r="H954">
            <v>0.05</v>
          </cell>
          <cell r="I954">
            <v>0.05</v>
          </cell>
          <cell r="J954">
            <v>25000</v>
          </cell>
        </row>
        <row r="955">
          <cell r="F955" t="str">
            <v>Vaät lieäu khaùc</v>
          </cell>
          <cell r="G955" t="str">
            <v>ñoàng</v>
          </cell>
          <cell r="H955">
            <v>5.0000000000000001E-3</v>
          </cell>
          <cell r="I955">
            <v>185.67900000000003</v>
          </cell>
          <cell r="J955">
            <v>1</v>
          </cell>
        </row>
        <row r="956">
          <cell r="F956" t="str">
            <v>NC 3.7/7</v>
          </cell>
          <cell r="G956" t="str">
            <v>coâng</v>
          </cell>
          <cell r="H956">
            <v>0.48</v>
          </cell>
          <cell r="I956">
            <v>0.48</v>
          </cell>
          <cell r="J956">
            <v>13209.03</v>
          </cell>
        </row>
        <row r="957">
          <cell r="F957" t="str">
            <v>Maùy troän 80L</v>
          </cell>
          <cell r="G957" t="str">
            <v>ca</v>
          </cell>
          <cell r="H957">
            <v>3.0000000000000001E-3</v>
          </cell>
          <cell r="I957">
            <v>3.0000000000000001E-3</v>
          </cell>
          <cell r="J957">
            <v>45294</v>
          </cell>
        </row>
        <row r="958">
          <cell r="A958" t="str">
            <v>PE.1124</v>
          </cell>
          <cell r="B958" t="str">
            <v>PE.1124</v>
          </cell>
          <cell r="C958" t="str">
            <v>Traùt ñaù röûa töôøng maët ngoaøi H&gt;4m</v>
          </cell>
          <cell r="D958" t="str">
            <v>m2</v>
          </cell>
          <cell r="E958">
            <v>1</v>
          </cell>
          <cell r="F958" t="str">
            <v xml:space="preserve">Xi maêng PC 30 </v>
          </cell>
          <cell r="G958" t="str">
            <v>Kg</v>
          </cell>
          <cell r="H958">
            <v>4.96</v>
          </cell>
          <cell r="I958">
            <v>4.96</v>
          </cell>
          <cell r="J958">
            <v>880</v>
          </cell>
          <cell r="K958">
            <v>40616</v>
          </cell>
          <cell r="L958">
            <v>7257</v>
          </cell>
          <cell r="M958">
            <v>245</v>
          </cell>
        </row>
        <row r="959">
          <cell r="F959" t="str">
            <v>Caùt mòn</v>
          </cell>
          <cell r="G959" t="str">
            <v>m3</v>
          </cell>
          <cell r="H959">
            <v>1.7000000000000001E-2</v>
          </cell>
          <cell r="I959">
            <v>1.7000000000000001E-2</v>
          </cell>
          <cell r="J959">
            <v>47000</v>
          </cell>
        </row>
        <row r="960">
          <cell r="F960" t="str">
            <v>Nöôùc</v>
          </cell>
          <cell r="G960" t="str">
            <v>Lít</v>
          </cell>
          <cell r="H960">
            <v>4</v>
          </cell>
          <cell r="I960">
            <v>4</v>
          </cell>
          <cell r="J960">
            <v>2.5</v>
          </cell>
        </row>
        <row r="961">
          <cell r="F961" t="str">
            <v>Ñaù traéng nhoû</v>
          </cell>
          <cell r="G961" t="str">
            <v>Kg</v>
          </cell>
          <cell r="H961">
            <v>15.1</v>
          </cell>
          <cell r="I961">
            <v>15.1</v>
          </cell>
          <cell r="J961">
            <v>650</v>
          </cell>
        </row>
        <row r="962">
          <cell r="F962" t="str">
            <v>Xi maêng traéng TQ</v>
          </cell>
          <cell r="G962" t="str">
            <v>Kg</v>
          </cell>
          <cell r="H962">
            <v>8.8000000000000007</v>
          </cell>
          <cell r="I962">
            <v>8.8000000000000007</v>
          </cell>
          <cell r="J962">
            <v>1940</v>
          </cell>
        </row>
        <row r="963">
          <cell r="F963" t="str">
            <v>Boät ñaù</v>
          </cell>
          <cell r="G963" t="str">
            <v>Kg</v>
          </cell>
          <cell r="H963">
            <v>8.5</v>
          </cell>
          <cell r="I963">
            <v>8.5</v>
          </cell>
          <cell r="J963">
            <v>450</v>
          </cell>
        </row>
        <row r="964">
          <cell r="F964" t="str">
            <v>Boät maøu</v>
          </cell>
          <cell r="G964" t="str">
            <v>Kg</v>
          </cell>
          <cell r="H964">
            <v>0.05</v>
          </cell>
          <cell r="I964">
            <v>0.05</v>
          </cell>
          <cell r="J964">
            <v>25000</v>
          </cell>
        </row>
        <row r="965">
          <cell r="F965" t="str">
            <v>Vaät lieäu khaùc</v>
          </cell>
          <cell r="G965" t="str">
            <v>ñoàng</v>
          </cell>
          <cell r="H965">
            <v>5.0000000000000001E-3</v>
          </cell>
          <cell r="I965">
            <v>185.67900000000003</v>
          </cell>
          <cell r="J965">
            <v>1</v>
          </cell>
        </row>
        <row r="966">
          <cell r="F966" t="str">
            <v>NC 3.7/7</v>
          </cell>
          <cell r="G966" t="str">
            <v>coâng</v>
          </cell>
          <cell r="H966">
            <v>0.55000000000000004</v>
          </cell>
          <cell r="I966">
            <v>0.55000000000000004</v>
          </cell>
          <cell r="J966">
            <v>13209.03</v>
          </cell>
        </row>
        <row r="967">
          <cell r="F967" t="str">
            <v>Maùy troän 80L</v>
          </cell>
          <cell r="G967" t="str">
            <v>ca</v>
          </cell>
          <cell r="H967">
            <v>3.0000000000000001E-3</v>
          </cell>
          <cell r="I967">
            <v>3.0000000000000001E-3</v>
          </cell>
          <cell r="J967">
            <v>45294</v>
          </cell>
        </row>
        <row r="968">
          <cell r="F968" t="str">
            <v>Maùy vaän thaêng 0.8T</v>
          </cell>
          <cell r="G968" t="str">
            <v>ca</v>
          </cell>
          <cell r="H968">
            <v>0.02</v>
          </cell>
          <cell r="I968">
            <v>0.02</v>
          </cell>
          <cell r="J968">
            <v>90447</v>
          </cell>
        </row>
        <row r="969">
          <cell r="A969" t="str">
            <v>PE.1214</v>
          </cell>
          <cell r="B969" t="str">
            <v>PE.1214</v>
          </cell>
          <cell r="C969" t="str">
            <v>Traùt ñaù röûûa coät trang trí ngoaøi</v>
          </cell>
          <cell r="D969" t="str">
            <v>m2</v>
          </cell>
          <cell r="E969">
            <v>1</v>
          </cell>
          <cell r="F969" t="str">
            <v xml:space="preserve">Xi maêng PC 30 </v>
          </cell>
          <cell r="G969" t="str">
            <v>Kg</v>
          </cell>
          <cell r="H969">
            <v>4.96</v>
          </cell>
          <cell r="I969">
            <v>4.96</v>
          </cell>
          <cell r="J969">
            <v>880</v>
          </cell>
          <cell r="K969">
            <v>40616</v>
          </cell>
          <cell r="L969">
            <v>10951</v>
          </cell>
          <cell r="M969">
            <v>136</v>
          </cell>
        </row>
        <row r="970">
          <cell r="F970" t="str">
            <v>Caùt mòn</v>
          </cell>
          <cell r="G970" t="str">
            <v>m3</v>
          </cell>
          <cell r="H970">
            <v>1.7000000000000001E-2</v>
          </cell>
          <cell r="I970">
            <v>1.7000000000000001E-2</v>
          </cell>
          <cell r="J970">
            <v>47000</v>
          </cell>
        </row>
        <row r="971">
          <cell r="F971" t="str">
            <v>Nöôùc</v>
          </cell>
          <cell r="G971" t="str">
            <v>Lít</v>
          </cell>
          <cell r="H971">
            <v>4</v>
          </cell>
          <cell r="I971">
            <v>4</v>
          </cell>
          <cell r="J971">
            <v>2.5</v>
          </cell>
        </row>
        <row r="972">
          <cell r="F972" t="str">
            <v>Ñaù traéng nhoû</v>
          </cell>
          <cell r="G972" t="str">
            <v>Kg</v>
          </cell>
          <cell r="H972">
            <v>15.1</v>
          </cell>
          <cell r="I972">
            <v>15.1</v>
          </cell>
          <cell r="J972">
            <v>650</v>
          </cell>
        </row>
        <row r="973">
          <cell r="F973" t="str">
            <v>Xi maêng traéng TQ</v>
          </cell>
          <cell r="G973" t="str">
            <v>Kg</v>
          </cell>
          <cell r="H973">
            <v>8.8000000000000007</v>
          </cell>
          <cell r="I973">
            <v>8.8000000000000007</v>
          </cell>
          <cell r="J973">
            <v>1940</v>
          </cell>
        </row>
        <row r="974">
          <cell r="F974" t="str">
            <v>Boät ñaù</v>
          </cell>
          <cell r="G974" t="str">
            <v>Kg</v>
          </cell>
          <cell r="H974">
            <v>8.5</v>
          </cell>
          <cell r="I974">
            <v>8.5</v>
          </cell>
          <cell r="J974">
            <v>450</v>
          </cell>
        </row>
        <row r="975">
          <cell r="F975" t="str">
            <v>Boät maøu</v>
          </cell>
          <cell r="G975" t="str">
            <v>Kg</v>
          </cell>
          <cell r="H975">
            <v>0.05</v>
          </cell>
          <cell r="I975">
            <v>0.05</v>
          </cell>
          <cell r="J975">
            <v>25000</v>
          </cell>
        </row>
        <row r="976">
          <cell r="F976" t="str">
            <v>Vaät lieäu khaùc</v>
          </cell>
          <cell r="G976" t="str">
            <v>ñoàng</v>
          </cell>
          <cell r="H976">
            <v>5.0000000000000001E-3</v>
          </cell>
          <cell r="I976">
            <v>185.67900000000003</v>
          </cell>
          <cell r="J976">
            <v>1</v>
          </cell>
        </row>
        <row r="977">
          <cell r="F977" t="str">
            <v>NC 3.7/7</v>
          </cell>
          <cell r="G977" t="str">
            <v>coâng</v>
          </cell>
          <cell r="H977">
            <v>0.83</v>
          </cell>
          <cell r="I977">
            <v>0.83</v>
          </cell>
          <cell r="J977">
            <v>13209.03</v>
          </cell>
        </row>
        <row r="978">
          <cell r="F978" t="str">
            <v>Maùy troän 80L</v>
          </cell>
          <cell r="G978" t="str">
            <v>ca</v>
          </cell>
          <cell r="H978">
            <v>3.0000000000000001E-3</v>
          </cell>
          <cell r="I978">
            <v>3.0000000000000001E-3</v>
          </cell>
          <cell r="J978">
            <v>45294</v>
          </cell>
        </row>
        <row r="979">
          <cell r="A979" t="str">
            <v>UB.1110</v>
          </cell>
          <cell r="B979" t="str">
            <v>UB.1110</v>
          </cell>
          <cell r="C979" t="str">
            <v>Baû mattic</v>
          </cell>
          <cell r="D979" t="str">
            <v>m2</v>
          </cell>
          <cell r="E979">
            <v>1</v>
          </cell>
          <cell r="F979" t="str">
            <v>Mattic</v>
          </cell>
          <cell r="G979" t="str">
            <v>Kg</v>
          </cell>
          <cell r="H979">
            <v>0.4</v>
          </cell>
          <cell r="I979">
            <v>0.4</v>
          </cell>
          <cell r="J979">
            <v>12000</v>
          </cell>
          <cell r="K979">
            <v>5480</v>
          </cell>
          <cell r="L979">
            <v>4059</v>
          </cell>
          <cell r="M979">
            <v>0</v>
          </cell>
        </row>
        <row r="980">
          <cell r="F980" t="str">
            <v>Giaáy nhaùm</v>
          </cell>
          <cell r="G980" t="str">
            <v>tôø</v>
          </cell>
          <cell r="H980">
            <v>0.02</v>
          </cell>
          <cell r="I980">
            <v>0.02</v>
          </cell>
          <cell r="J980">
            <v>1260</v>
          </cell>
        </row>
        <row r="981">
          <cell r="F981" t="str">
            <v>NC 4/7</v>
          </cell>
          <cell r="G981" t="str">
            <v>coâng</v>
          </cell>
          <cell r="H981">
            <v>0.3</v>
          </cell>
          <cell r="I981">
            <v>0.3</v>
          </cell>
          <cell r="J981">
            <v>13575.1</v>
          </cell>
        </row>
        <row r="982">
          <cell r="A982" t="str">
            <v>UA.1110</v>
          </cell>
          <cell r="B982" t="str">
            <v>UA.1110</v>
          </cell>
          <cell r="C982" t="str">
            <v>Queùt voâi 1 nöôùc traéng 2 nöôùc maøu H&lt;4m</v>
          </cell>
          <cell r="D982" t="str">
            <v>m2</v>
          </cell>
          <cell r="E982">
            <v>1</v>
          </cell>
          <cell r="F982" t="str">
            <v>Boät maøu</v>
          </cell>
          <cell r="G982" t="str">
            <v>Kg</v>
          </cell>
          <cell r="H982">
            <v>0.02</v>
          </cell>
          <cell r="I982">
            <v>0.02</v>
          </cell>
          <cell r="J982">
            <v>25000</v>
          </cell>
          <cell r="K982">
            <v>705</v>
          </cell>
          <cell r="L982">
            <v>415</v>
          </cell>
          <cell r="M982">
            <v>0</v>
          </cell>
        </row>
        <row r="983">
          <cell r="F983" t="str">
            <v>Voâi cuïc</v>
          </cell>
          <cell r="G983" t="str">
            <v>Kg</v>
          </cell>
          <cell r="H983">
            <v>0.3</v>
          </cell>
          <cell r="I983">
            <v>0.3</v>
          </cell>
          <cell r="J983">
            <v>1000</v>
          </cell>
        </row>
        <row r="984">
          <cell r="F984" t="str">
            <v>Adao</v>
          </cell>
          <cell r="G984" t="str">
            <v>Kg</v>
          </cell>
          <cell r="H984">
            <v>6.0000000000000001E-3</v>
          </cell>
          <cell r="I984">
            <v>6.0000000000000001E-3</v>
          </cell>
          <cell r="J984">
            <v>14400</v>
          </cell>
        </row>
        <row r="985">
          <cell r="F985" t="str">
            <v>Vaät lieäu khaùc</v>
          </cell>
          <cell r="G985" t="str">
            <v>ñoàng</v>
          </cell>
          <cell r="H985">
            <v>0.01</v>
          </cell>
          <cell r="I985">
            <v>8.8640000000000008</v>
          </cell>
          <cell r="J985">
            <v>1</v>
          </cell>
        </row>
        <row r="986">
          <cell r="F986" t="str">
            <v>NC 3.5/7</v>
          </cell>
          <cell r="G986" t="str">
            <v>coâng</v>
          </cell>
          <cell r="H986">
            <v>3.2000000000000001E-2</v>
          </cell>
          <cell r="I986">
            <v>3.2000000000000001E-2</v>
          </cell>
          <cell r="J986">
            <v>12964.99</v>
          </cell>
        </row>
        <row r="987">
          <cell r="A987" t="str">
            <v>UA.1120</v>
          </cell>
          <cell r="B987" t="str">
            <v>UA.1120</v>
          </cell>
          <cell r="C987" t="str">
            <v>Queùt voâi 1 nöôùc traéng 2 nöôùc maøu H&gt;4m</v>
          </cell>
          <cell r="D987" t="str">
            <v>m2</v>
          </cell>
          <cell r="E987">
            <v>1</v>
          </cell>
          <cell r="F987" t="str">
            <v>Boät maøu</v>
          </cell>
          <cell r="G987" t="str">
            <v>Kg</v>
          </cell>
          <cell r="H987">
            <v>0.02</v>
          </cell>
          <cell r="I987">
            <v>0.02</v>
          </cell>
          <cell r="J987">
            <v>25000</v>
          </cell>
          <cell r="K987">
            <v>705</v>
          </cell>
          <cell r="L987">
            <v>493</v>
          </cell>
          <cell r="M987">
            <v>0</v>
          </cell>
        </row>
        <row r="988">
          <cell r="F988" t="str">
            <v>Voâi cuïc</v>
          </cell>
          <cell r="G988" t="str">
            <v>Kg</v>
          </cell>
          <cell r="H988">
            <v>0.3</v>
          </cell>
          <cell r="I988">
            <v>0.3</v>
          </cell>
          <cell r="J988">
            <v>1000</v>
          </cell>
        </row>
        <row r="989">
          <cell r="F989" t="str">
            <v>Adao</v>
          </cell>
          <cell r="G989" t="str">
            <v>Kg</v>
          </cell>
          <cell r="H989">
            <v>6.0000000000000001E-3</v>
          </cell>
          <cell r="I989">
            <v>6.0000000000000001E-3</v>
          </cell>
          <cell r="J989">
            <v>14400</v>
          </cell>
        </row>
        <row r="990">
          <cell r="F990" t="str">
            <v>Vaät lieäu khaùc</v>
          </cell>
          <cell r="G990" t="str">
            <v>ñoàng</v>
          </cell>
          <cell r="H990">
            <v>0.01</v>
          </cell>
          <cell r="I990">
            <v>8.8640000000000008</v>
          </cell>
          <cell r="J990">
            <v>1</v>
          </cell>
        </row>
        <row r="991">
          <cell r="F991" t="str">
            <v>NC 3.5/7</v>
          </cell>
          <cell r="G991" t="str">
            <v>coâng</v>
          </cell>
          <cell r="H991">
            <v>3.7999999999999999E-2</v>
          </cell>
          <cell r="I991">
            <v>3.7999999999999999E-2</v>
          </cell>
          <cell r="J991">
            <v>12964.99</v>
          </cell>
        </row>
        <row r="992">
          <cell r="A992" t="str">
            <v>UA.1210</v>
          </cell>
          <cell r="B992" t="str">
            <v>UA.1210</v>
          </cell>
          <cell r="C992" t="str">
            <v>Queùt voâi 3 nöôùc traéng H&lt;4m</v>
          </cell>
          <cell r="D992" t="str">
            <v>m2</v>
          </cell>
          <cell r="E992">
            <v>1</v>
          </cell>
          <cell r="F992" t="str">
            <v>Voâi cuïc</v>
          </cell>
          <cell r="G992" t="str">
            <v>Kg</v>
          </cell>
          <cell r="H992">
            <v>0.316</v>
          </cell>
          <cell r="I992">
            <v>0.316</v>
          </cell>
          <cell r="J992">
            <v>1000</v>
          </cell>
          <cell r="K992">
            <v>212</v>
          </cell>
          <cell r="L992">
            <v>415</v>
          </cell>
          <cell r="M992">
            <v>0</v>
          </cell>
        </row>
        <row r="993">
          <cell r="F993" t="str">
            <v>Adao</v>
          </cell>
          <cell r="G993" t="str">
            <v>Kg</v>
          </cell>
          <cell r="H993">
            <v>6.0000000000000001E-3</v>
          </cell>
          <cell r="I993">
            <v>6.0000000000000001E-3</v>
          </cell>
          <cell r="J993">
            <v>14400</v>
          </cell>
        </row>
        <row r="994">
          <cell r="F994" t="str">
            <v>Vaät lieäu khaùc</v>
          </cell>
          <cell r="G994" t="str">
            <v>ñoàng</v>
          </cell>
          <cell r="H994">
            <v>0.02</v>
          </cell>
          <cell r="I994">
            <v>8.048</v>
          </cell>
          <cell r="J994">
            <v>1</v>
          </cell>
        </row>
        <row r="995">
          <cell r="F995" t="str">
            <v>NC 3.5/7</v>
          </cell>
          <cell r="G995" t="str">
            <v>coâng</v>
          </cell>
          <cell r="H995">
            <v>3.2000000000000001E-2</v>
          </cell>
          <cell r="I995">
            <v>3.2000000000000001E-2</v>
          </cell>
          <cell r="J995">
            <v>12964.99</v>
          </cell>
        </row>
        <row r="996">
          <cell r="A996" t="str">
            <v>UA.1220</v>
          </cell>
          <cell r="B996" t="str">
            <v>UA.1220</v>
          </cell>
          <cell r="C996" t="str">
            <v>Queùt voâi 3 nöôùc traéng H&gt;4m</v>
          </cell>
          <cell r="D996" t="str">
            <v>m2</v>
          </cell>
          <cell r="E996">
            <v>1</v>
          </cell>
          <cell r="F996" t="str">
            <v>Voâi cuïc</v>
          </cell>
          <cell r="G996" t="str">
            <v>Kg</v>
          </cell>
          <cell r="H996">
            <v>0.316</v>
          </cell>
          <cell r="I996">
            <v>0.316</v>
          </cell>
          <cell r="J996">
            <v>1000</v>
          </cell>
          <cell r="K996">
            <v>212</v>
          </cell>
          <cell r="L996">
            <v>493</v>
          </cell>
          <cell r="M996">
            <v>0</v>
          </cell>
        </row>
        <row r="997">
          <cell r="F997" t="str">
            <v>Adao</v>
          </cell>
          <cell r="G997" t="str">
            <v>Kg</v>
          </cell>
          <cell r="H997">
            <v>6.0000000000000001E-3</v>
          </cell>
          <cell r="I997">
            <v>6.0000000000000001E-3</v>
          </cell>
          <cell r="J997">
            <v>14400</v>
          </cell>
        </row>
        <row r="998">
          <cell r="F998" t="str">
            <v>Vaät lieäu khaùc</v>
          </cell>
          <cell r="G998" t="str">
            <v>ñoàng</v>
          </cell>
          <cell r="H998">
            <v>0.02</v>
          </cell>
          <cell r="I998">
            <v>8.048</v>
          </cell>
          <cell r="J998">
            <v>1</v>
          </cell>
        </row>
        <row r="999">
          <cell r="F999" t="str">
            <v>NC 3.5/7</v>
          </cell>
          <cell r="G999" t="str">
            <v>coâng</v>
          </cell>
          <cell r="H999">
            <v>3.2000000000000001E-2</v>
          </cell>
          <cell r="I999">
            <v>3.2000000000000001E-2</v>
          </cell>
          <cell r="J999">
            <v>12964.99</v>
          </cell>
        </row>
        <row r="1000">
          <cell r="A1000" t="str">
            <v>UD.2210</v>
          </cell>
          <cell r="B1000" t="str">
            <v>UD.2210</v>
          </cell>
          <cell r="C1000" t="str">
            <v>Ñaùnh verni tampon</v>
          </cell>
          <cell r="D1000" t="str">
            <v>m2</v>
          </cell>
          <cell r="E1000">
            <v>1</v>
          </cell>
          <cell r="F1000" t="str">
            <v>Phaán talíc</v>
          </cell>
          <cell r="G1000" t="str">
            <v>Kg</v>
          </cell>
          <cell r="H1000">
            <v>0.02</v>
          </cell>
          <cell r="I1000">
            <v>0.02</v>
          </cell>
          <cell r="J1000">
            <v>12000</v>
          </cell>
          <cell r="K1000">
            <v>4232</v>
          </cell>
          <cell r="L1000">
            <v>6268</v>
          </cell>
          <cell r="M1000">
            <v>0</v>
          </cell>
        </row>
        <row r="1001">
          <cell r="F1001" t="str">
            <v>Boät maøu</v>
          </cell>
          <cell r="G1001" t="str">
            <v>Kg</v>
          </cell>
          <cell r="H1001">
            <v>0.01</v>
          </cell>
          <cell r="I1001">
            <v>0.01</v>
          </cell>
          <cell r="J1001">
            <v>25000</v>
          </cell>
        </row>
        <row r="1002">
          <cell r="F1002" t="str">
            <v>Giaáy nhaùm thoâ</v>
          </cell>
          <cell r="G1002" t="str">
            <v>tôø</v>
          </cell>
          <cell r="H1002">
            <v>0.2</v>
          </cell>
          <cell r="I1002">
            <v>0.2</v>
          </cell>
          <cell r="J1002">
            <v>1260</v>
          </cell>
        </row>
        <row r="1003">
          <cell r="F1003" t="str">
            <v>Giaáy nhaùm mòn</v>
          </cell>
          <cell r="G1003" t="str">
            <v>tôø</v>
          </cell>
          <cell r="H1003">
            <v>0.2</v>
          </cell>
          <cell r="I1003">
            <v>0.2</v>
          </cell>
          <cell r="J1003">
            <v>1260</v>
          </cell>
        </row>
        <row r="1004">
          <cell r="F1004" t="str">
            <v>Vernis</v>
          </cell>
          <cell r="G1004" t="str">
            <v>Kg</v>
          </cell>
          <cell r="H1004">
            <v>0.04</v>
          </cell>
          <cell r="I1004">
            <v>0.04</v>
          </cell>
          <cell r="J1004">
            <v>10000</v>
          </cell>
        </row>
        <row r="1005">
          <cell r="F1005" t="str">
            <v>Coàn 90*</v>
          </cell>
          <cell r="G1005" t="str">
            <v>Lít</v>
          </cell>
          <cell r="H1005">
            <v>0.25</v>
          </cell>
          <cell r="I1005">
            <v>0.25</v>
          </cell>
          <cell r="J1005">
            <v>8000</v>
          </cell>
        </row>
        <row r="1006">
          <cell r="F1006" t="str">
            <v>Vaät lieäu khaùc</v>
          </cell>
          <cell r="G1006" t="str">
            <v>ñoàng</v>
          </cell>
          <cell r="H1006">
            <v>0.01</v>
          </cell>
          <cell r="I1006">
            <v>33.94</v>
          </cell>
          <cell r="J1006">
            <v>1</v>
          </cell>
        </row>
        <row r="1007">
          <cell r="F1007" t="str">
            <v>NC 4.5/7</v>
          </cell>
          <cell r="G1007" t="str">
            <v>coâng</v>
          </cell>
          <cell r="H1007">
            <v>0.42</v>
          </cell>
          <cell r="I1007">
            <v>0.42</v>
          </cell>
          <cell r="J1007">
            <v>15100.4</v>
          </cell>
        </row>
        <row r="1008">
          <cell r="A1008" t="str">
            <v>UD.3130</v>
          </cell>
          <cell r="B1008" t="str">
            <v>UD.3130</v>
          </cell>
          <cell r="C1008" t="str">
            <v>Queùt daàu choáng moái vaøo goã</v>
          </cell>
          <cell r="D1008" t="str">
            <v>m2</v>
          </cell>
          <cell r="E1008">
            <v>1</v>
          </cell>
          <cell r="F1008" t="str">
            <v>Daàu choáng moái</v>
          </cell>
          <cell r="G1008" t="str">
            <v>Kg</v>
          </cell>
          <cell r="H1008">
            <v>0.2</v>
          </cell>
          <cell r="I1008">
            <v>0.2</v>
          </cell>
          <cell r="J1008">
            <v>25000</v>
          </cell>
          <cell r="K1008">
            <v>468</v>
          </cell>
          <cell r="L1008">
            <v>778</v>
          </cell>
        </row>
        <row r="1009">
          <cell r="F1009" t="str">
            <v>NC 3.5/7</v>
          </cell>
          <cell r="G1009" t="str">
            <v>coâng</v>
          </cell>
          <cell r="H1009">
            <v>0.06</v>
          </cell>
          <cell r="I1009">
            <v>0.06</v>
          </cell>
          <cell r="J1009">
            <v>12964.99</v>
          </cell>
        </row>
        <row r="1010">
          <cell r="A1010" t="str">
            <v>UC.2120</v>
          </cell>
          <cell r="B1010" t="str">
            <v>UC.2120</v>
          </cell>
          <cell r="C1010" t="str">
            <v>Sôn daàu 3 nöôùc treân töôøng xaây</v>
          </cell>
          <cell r="D1010" t="str">
            <v>m2</v>
          </cell>
          <cell r="E1010">
            <v>1</v>
          </cell>
          <cell r="F1010" t="str">
            <v>Sôn daàu BT</v>
          </cell>
          <cell r="G1010" t="str">
            <v>Kg</v>
          </cell>
          <cell r="H1010">
            <v>0.47</v>
          </cell>
          <cell r="I1010">
            <v>0.47</v>
          </cell>
          <cell r="J1010">
            <v>29763</v>
          </cell>
          <cell r="K1010">
            <v>11750</v>
          </cell>
          <cell r="L1010">
            <v>1180</v>
          </cell>
          <cell r="M1010">
            <v>0</v>
          </cell>
        </row>
        <row r="1011">
          <cell r="F1011" t="str">
            <v>NC 3.5/7</v>
          </cell>
          <cell r="G1011" t="str">
            <v>coâng</v>
          </cell>
          <cell r="H1011">
            <v>9.0999999999999998E-2</v>
          </cell>
          <cell r="I1011">
            <v>9.0999999999999998E-2</v>
          </cell>
          <cell r="J1011">
            <v>12964.99</v>
          </cell>
        </row>
        <row r="1012">
          <cell r="A1012" t="str">
            <v>UC.1220</v>
          </cell>
          <cell r="B1012" t="str">
            <v>UC.1220</v>
          </cell>
          <cell r="C1012" t="str">
            <v>Sôn daàu 3 nöôùc cöûa saét caùc loai</v>
          </cell>
          <cell r="D1012" t="str">
            <v>m2</v>
          </cell>
          <cell r="E1012">
            <v>1</v>
          </cell>
          <cell r="F1012" t="str">
            <v>Sôn daàu BT</v>
          </cell>
          <cell r="G1012" t="str">
            <v>Kg</v>
          </cell>
          <cell r="H1012">
            <v>0.35899999999999999</v>
          </cell>
          <cell r="I1012">
            <v>0.35899999999999999</v>
          </cell>
          <cell r="J1012">
            <v>29763</v>
          </cell>
          <cell r="K1012">
            <v>17145</v>
          </cell>
          <cell r="L1012">
            <v>4241</v>
          </cell>
          <cell r="M1012">
            <v>0</v>
          </cell>
        </row>
        <row r="1013">
          <cell r="F1013" t="str">
            <v>Vaät lieäu khaùc</v>
          </cell>
          <cell r="G1013" t="str">
            <v>ñoàng</v>
          </cell>
          <cell r="H1013">
            <v>0.01</v>
          </cell>
          <cell r="I1013">
            <v>106.84917</v>
          </cell>
          <cell r="J1013">
            <v>1</v>
          </cell>
        </row>
        <row r="1014">
          <cell r="F1014" t="str">
            <v>NC 3.5/7</v>
          </cell>
          <cell r="G1014" t="str">
            <v>coâng</v>
          </cell>
          <cell r="H1014">
            <v>0.16</v>
          </cell>
          <cell r="I1014">
            <v>0.16</v>
          </cell>
          <cell r="J1014">
            <v>12964.99</v>
          </cell>
        </row>
        <row r="1015">
          <cell r="A1015" t="str">
            <v>UC.1420</v>
          </cell>
          <cell r="B1015" t="str">
            <v>UC.1420</v>
          </cell>
          <cell r="C1015" t="str">
            <v>Sôn daàu 3 nöôùc vaùn</v>
          </cell>
          <cell r="D1015" t="str">
            <v>m2</v>
          </cell>
          <cell r="E1015">
            <v>1</v>
          </cell>
          <cell r="F1015" t="str">
            <v>Sôn daàu BT</v>
          </cell>
          <cell r="G1015" t="str">
            <v>Kg</v>
          </cell>
          <cell r="H1015">
            <v>0.35899999999999999</v>
          </cell>
          <cell r="I1015">
            <v>0.35899999999999999</v>
          </cell>
          <cell r="J1015">
            <v>29763</v>
          </cell>
          <cell r="K1015">
            <v>8080</v>
          </cell>
          <cell r="L1015">
            <v>2166</v>
          </cell>
          <cell r="M1015">
            <v>0</v>
          </cell>
        </row>
        <row r="1016">
          <cell r="F1016" t="str">
            <v>Vaät lieäu khaùc</v>
          </cell>
          <cell r="G1016" t="str">
            <v>ñoàng</v>
          </cell>
          <cell r="H1016">
            <v>0.01</v>
          </cell>
          <cell r="I1016">
            <v>106.84917</v>
          </cell>
          <cell r="J1016">
            <v>1</v>
          </cell>
        </row>
        <row r="1017">
          <cell r="F1017" t="str">
            <v>NC 3.5/7</v>
          </cell>
          <cell r="G1017" t="str">
            <v>coâng</v>
          </cell>
          <cell r="H1017">
            <v>0.16</v>
          </cell>
          <cell r="I1017">
            <v>0.16</v>
          </cell>
          <cell r="J1017">
            <v>12964.99</v>
          </cell>
        </row>
        <row r="1018">
          <cell r="A1018" t="str">
            <v>UC.2240</v>
          </cell>
          <cell r="B1018" t="str">
            <v>UC.2240</v>
          </cell>
          <cell r="C1018" t="str">
            <v>Sôn choáng seùt leân xaø goà theùp</v>
          </cell>
          <cell r="D1018" t="str">
            <v>m2</v>
          </cell>
          <cell r="E1018">
            <v>1</v>
          </cell>
          <cell r="F1018" t="str">
            <v>Sôn daàu BT</v>
          </cell>
          <cell r="G1018" t="str">
            <v>Kg</v>
          </cell>
          <cell r="H1018">
            <v>0.22500000000000001</v>
          </cell>
          <cell r="I1018">
            <v>0.22500000000000001</v>
          </cell>
          <cell r="J1018">
            <v>29763</v>
          </cell>
          <cell r="K1018">
            <v>6265</v>
          </cell>
          <cell r="L1018">
            <v>1621</v>
          </cell>
          <cell r="M1018">
            <v>0</v>
          </cell>
        </row>
        <row r="1019">
          <cell r="F1019" t="str">
            <v>Xaêng</v>
          </cell>
          <cell r="G1019" t="str">
            <v>Lít</v>
          </cell>
          <cell r="H1019">
            <v>0.11799999999999999</v>
          </cell>
          <cell r="I1019">
            <v>0.11799999999999999</v>
          </cell>
          <cell r="J1019">
            <v>4900</v>
          </cell>
        </row>
        <row r="1020">
          <cell r="F1020" t="str">
            <v>Vaät lieäu khaùc</v>
          </cell>
          <cell r="G1020" t="str">
            <v>ñoàng</v>
          </cell>
          <cell r="H1020">
            <v>0.01</v>
          </cell>
          <cell r="I1020">
            <v>66.966750000000005</v>
          </cell>
          <cell r="J1020">
            <v>1</v>
          </cell>
        </row>
        <row r="1021">
          <cell r="F1021" t="str">
            <v>NC 3.5/7</v>
          </cell>
          <cell r="G1021" t="str">
            <v>coâng</v>
          </cell>
          <cell r="H1021">
            <v>0.16</v>
          </cell>
          <cell r="I1021">
            <v>0.16</v>
          </cell>
          <cell r="J1021">
            <v>12964.99</v>
          </cell>
        </row>
        <row r="1022">
          <cell r="A1022" t="str">
            <v>YG.15050</v>
          </cell>
          <cell r="B1022" t="str">
            <v>YG.15050</v>
          </cell>
          <cell r="C1022" t="str">
            <v>Boác xeáp caáu kieän (TL&lt;5Taán)</v>
          </cell>
          <cell r="D1022" t="str">
            <v>10Taán</v>
          </cell>
          <cell r="E1022">
            <v>1</v>
          </cell>
          <cell r="F1022" t="str">
            <v>NC 3.5/7</v>
          </cell>
          <cell r="G1022" t="str">
            <v>coâng</v>
          </cell>
          <cell r="H1022">
            <v>6.6000000000000003E-2</v>
          </cell>
          <cell r="I1022">
            <v>6.6000000000000003E-2</v>
          </cell>
          <cell r="J1022">
            <v>12964.99</v>
          </cell>
          <cell r="L1022">
            <v>856</v>
          </cell>
          <cell r="M1022">
            <v>27173</v>
          </cell>
        </row>
        <row r="1023">
          <cell r="F1023" t="str">
            <v>Caàn caåu 16T</v>
          </cell>
          <cell r="G1023" t="str">
            <v>ca</v>
          </cell>
          <cell r="H1023">
            <v>3.3000000000000002E-2</v>
          </cell>
          <cell r="I1023">
            <v>3.3000000000000002E-2</v>
          </cell>
          <cell r="J1023" t="e">
            <v>#N/A</v>
          </cell>
        </row>
        <row r="1024">
          <cell r="A1024" t="str">
            <v>TT5</v>
          </cell>
          <cell r="B1024" t="str">
            <v>TT5</v>
          </cell>
          <cell r="C1024" t="str">
            <v>Vaän chuyeån ñoái troïng cöï ly 5Km 2 laàn ñi + veà</v>
          </cell>
          <cell r="D1024" t="str">
            <v>T_Km</v>
          </cell>
          <cell r="J1024">
            <v>0</v>
          </cell>
          <cell r="M1024">
            <v>40000</v>
          </cell>
        </row>
        <row r="1025">
          <cell r="A1025" t="str">
            <v>TT2</v>
          </cell>
          <cell r="B1025" t="str">
            <v>TT2</v>
          </cell>
          <cell r="C1025" t="str">
            <v>Laép ñaët khoùa cöûa caùc loaïi</v>
          </cell>
          <cell r="D1025" t="str">
            <v>Boä</v>
          </cell>
          <cell r="E1025">
            <v>1</v>
          </cell>
          <cell r="I1025">
            <v>0</v>
          </cell>
          <cell r="J1025">
            <v>0</v>
          </cell>
          <cell r="K1025">
            <v>85000</v>
          </cell>
          <cell r="L1025">
            <v>5000</v>
          </cell>
          <cell r="M1025">
            <v>0</v>
          </cell>
        </row>
        <row r="1026">
          <cell r="C1026" t="str">
            <v xml:space="preserve">   _ Khoùa cöûa ñi goã phoøng</v>
          </cell>
          <cell r="D1026" t="str">
            <v>Boä</v>
          </cell>
          <cell r="E1026">
            <v>1</v>
          </cell>
          <cell r="F1026" t="str">
            <v>Khoùa cöûa ñi goã phoøng</v>
          </cell>
          <cell r="G1026" t="str">
            <v>Boä</v>
          </cell>
          <cell r="H1026">
            <v>1</v>
          </cell>
          <cell r="I1026">
            <v>1</v>
          </cell>
          <cell r="J1026">
            <v>65000</v>
          </cell>
        </row>
        <row r="1027">
          <cell r="C1027" t="str">
            <v xml:space="preserve">   _ Khoùa cöûa ñi goã VS</v>
          </cell>
          <cell r="D1027" t="str">
            <v>Boä</v>
          </cell>
          <cell r="E1027">
            <v>1</v>
          </cell>
          <cell r="F1027" t="str">
            <v>Khoùa cöûa ñi goã VS</v>
          </cell>
          <cell r="G1027" t="str">
            <v>Boä</v>
          </cell>
          <cell r="H1027">
            <v>1</v>
          </cell>
          <cell r="I1027">
            <v>1</v>
          </cell>
          <cell r="J1027">
            <v>65000</v>
          </cell>
        </row>
        <row r="1028">
          <cell r="C1028" t="str">
            <v xml:space="preserve">   _ Khoùa cöûa ñi saét</v>
          </cell>
          <cell r="D1028" t="str">
            <v>Boä</v>
          </cell>
          <cell r="E1028">
            <v>1</v>
          </cell>
          <cell r="F1028" t="str">
            <v>Khoùa cöûa ñi saét</v>
          </cell>
          <cell r="G1028" t="str">
            <v>Boä</v>
          </cell>
          <cell r="H1028">
            <v>1</v>
          </cell>
          <cell r="I1028">
            <v>1</v>
          </cell>
          <cell r="J1028">
            <v>80000</v>
          </cell>
        </row>
        <row r="1029">
          <cell r="C1029" t="str">
            <v xml:space="preserve">   _ Khoùa cöûa ñi saét xeáp</v>
          </cell>
          <cell r="D1029" t="str">
            <v>Boä</v>
          </cell>
          <cell r="E1029">
            <v>1</v>
          </cell>
          <cell r="F1029" t="str">
            <v>Khoùa cöûa ñi saét xeáp</v>
          </cell>
          <cell r="G1029" t="str">
            <v>Boä</v>
          </cell>
          <cell r="H1029">
            <v>1</v>
          </cell>
          <cell r="I1029">
            <v>1</v>
          </cell>
          <cell r="J1029">
            <v>80000</v>
          </cell>
        </row>
        <row r="1030">
          <cell r="A1030" t="str">
            <v>TB.1110</v>
          </cell>
          <cell r="B1030" t="str">
            <v>TB.1110</v>
          </cell>
          <cell r="C1030" t="str">
            <v>Ñoùng vaùch ngaên baèng vaùn eùp 4ly</v>
          </cell>
          <cell r="D1030" t="str">
            <v>m2</v>
          </cell>
          <cell r="E1030">
            <v>1</v>
          </cell>
          <cell r="F1030" t="str">
            <v>Goã xeû</v>
          </cell>
          <cell r="G1030" t="str">
            <v>m3</v>
          </cell>
          <cell r="H1030">
            <v>1.5E-3</v>
          </cell>
          <cell r="I1030">
            <v>1.5E-3</v>
          </cell>
          <cell r="J1030">
            <v>3700000</v>
          </cell>
          <cell r="K1030">
            <v>26768</v>
          </cell>
          <cell r="L1030">
            <v>4059</v>
          </cell>
        </row>
        <row r="1031">
          <cell r="F1031" t="str">
            <v>Vaùn eùp 4ly</v>
          </cell>
          <cell r="G1031" t="str">
            <v>m2</v>
          </cell>
          <cell r="H1031">
            <v>1.1000000000000001</v>
          </cell>
          <cell r="I1031">
            <v>1.1000000000000001</v>
          </cell>
          <cell r="J1031">
            <v>15000</v>
          </cell>
        </row>
        <row r="1032">
          <cell r="F1032" t="str">
            <v>Ñinh caùc loaïi</v>
          </cell>
          <cell r="G1032" t="str">
            <v>Kg</v>
          </cell>
          <cell r="H1032">
            <v>0.15</v>
          </cell>
          <cell r="I1032">
            <v>0.15</v>
          </cell>
          <cell r="J1032">
            <v>5300</v>
          </cell>
        </row>
        <row r="1033">
          <cell r="F1033" t="str">
            <v>NC 4/7</v>
          </cell>
          <cell r="G1033" t="str">
            <v>coâng</v>
          </cell>
          <cell r="H1033">
            <v>0.3</v>
          </cell>
          <cell r="I1033">
            <v>0.3</v>
          </cell>
          <cell r="J1033">
            <v>13575.1</v>
          </cell>
        </row>
        <row r="1034">
          <cell r="A1034" t="str">
            <v>TB.1110a</v>
          </cell>
          <cell r="B1034" t="str">
            <v>TB.1110a</v>
          </cell>
          <cell r="C1034" t="str">
            <v>Ñoùng vaùch ngaên baèng vaùv eùp 5ly 2 maët</v>
          </cell>
          <cell r="D1034" t="str">
            <v>m2</v>
          </cell>
          <cell r="E1034">
            <v>1</v>
          </cell>
          <cell r="F1034" t="str">
            <v>Goã xeû</v>
          </cell>
          <cell r="G1034" t="str">
            <v>m3</v>
          </cell>
          <cell r="H1034">
            <v>1.5E-3</v>
          </cell>
          <cell r="I1034">
            <v>1.5E-3</v>
          </cell>
          <cell r="J1034">
            <v>3700000</v>
          </cell>
          <cell r="K1034">
            <v>40152</v>
          </cell>
          <cell r="L1034">
            <v>6088.5</v>
          </cell>
        </row>
        <row r="1035">
          <cell r="F1035" t="str">
            <v>Vaùn eùp 4ly</v>
          </cell>
          <cell r="G1035" t="str">
            <v>m2</v>
          </cell>
          <cell r="H1035">
            <v>2.2000000000000002</v>
          </cell>
          <cell r="I1035">
            <v>2.2000000000000002</v>
          </cell>
          <cell r="J1035">
            <v>15000</v>
          </cell>
        </row>
        <row r="1036">
          <cell r="F1036" t="str">
            <v>Ñinh caùc loaïi</v>
          </cell>
          <cell r="G1036" t="str">
            <v>Kg</v>
          </cell>
          <cell r="H1036">
            <v>0.22499999999999998</v>
          </cell>
          <cell r="I1036">
            <v>0.22499999999999998</v>
          </cell>
          <cell r="J1036">
            <v>5300</v>
          </cell>
        </row>
        <row r="1037">
          <cell r="F1037" t="str">
            <v>NC 4/7</v>
          </cell>
          <cell r="G1037" t="str">
            <v>coâng</v>
          </cell>
          <cell r="H1037">
            <v>0.44999999999999996</v>
          </cell>
          <cell r="I1037">
            <v>0.44999999999999996</v>
          </cell>
          <cell r="J1037">
            <v>13575.1</v>
          </cell>
        </row>
        <row r="1038">
          <cell r="A1038" t="str">
            <v>LA.5110</v>
          </cell>
          <cell r="B1038" t="str">
            <v>LA.5110</v>
          </cell>
          <cell r="C1038" t="str">
            <v>Phaàn laép ñaët caùc caáu kieän ñuùc saún &lt;50Kg</v>
          </cell>
          <cell r="D1038" t="str">
            <v>caùi</v>
          </cell>
          <cell r="E1038">
            <v>1</v>
          </cell>
          <cell r="F1038" t="str">
            <v xml:space="preserve">Xi maêng PC 30 </v>
          </cell>
          <cell r="G1038" t="str">
            <v>Kg</v>
          </cell>
          <cell r="H1038">
            <v>0.96</v>
          </cell>
          <cell r="I1038">
            <v>0.96</v>
          </cell>
          <cell r="J1038">
            <v>880</v>
          </cell>
          <cell r="K1038">
            <v>1055</v>
          </cell>
          <cell r="L1038">
            <v>2029</v>
          </cell>
          <cell r="M1038">
            <v>0</v>
          </cell>
        </row>
        <row r="1039">
          <cell r="F1039" t="str">
            <v>Caùt mòn</v>
          </cell>
          <cell r="G1039" t="str">
            <v>m3</v>
          </cell>
          <cell r="H1039">
            <v>3.3E-3</v>
          </cell>
          <cell r="I1039">
            <v>3.3E-3</v>
          </cell>
          <cell r="J1039">
            <v>47000</v>
          </cell>
        </row>
        <row r="1040">
          <cell r="F1040" t="str">
            <v>Nöôùc</v>
          </cell>
          <cell r="G1040" t="str">
            <v>Lít</v>
          </cell>
          <cell r="H1040">
            <v>0.8</v>
          </cell>
          <cell r="I1040">
            <v>0.8</v>
          </cell>
          <cell r="J1040">
            <v>2.5</v>
          </cell>
        </row>
        <row r="1041">
          <cell r="F1041" t="str">
            <v>Vaät lieäu khaùc</v>
          </cell>
          <cell r="G1041" t="str">
            <v>ñoàng</v>
          </cell>
          <cell r="H1041">
            <v>0.1</v>
          </cell>
          <cell r="I1041">
            <v>100.19</v>
          </cell>
          <cell r="J1041">
            <v>1</v>
          </cell>
        </row>
        <row r="1042">
          <cell r="F1042" t="str">
            <v>NC 4/7</v>
          </cell>
          <cell r="G1042" t="str">
            <v>coâng</v>
          </cell>
          <cell r="H1042">
            <v>0.15</v>
          </cell>
          <cell r="I1042">
            <v>0.15</v>
          </cell>
          <cell r="J1042">
            <v>13575.1</v>
          </cell>
        </row>
        <row r="1043">
          <cell r="A1043" t="str">
            <v>NB.2210</v>
          </cell>
          <cell r="B1043" t="str">
            <v>NB.2210</v>
          </cell>
          <cell r="C1043" t="str">
            <v>Laép ñaët lan can saét caàu thang treät</v>
          </cell>
          <cell r="D1043" t="str">
            <v>m2</v>
          </cell>
          <cell r="E1043">
            <v>1</v>
          </cell>
          <cell r="F1043" t="str">
            <v xml:space="preserve">Xi maêng PC 30 </v>
          </cell>
          <cell r="G1043" t="str">
            <v>Kg</v>
          </cell>
          <cell r="H1043">
            <v>0.8</v>
          </cell>
          <cell r="I1043">
            <v>0.8</v>
          </cell>
          <cell r="J1043">
            <v>880</v>
          </cell>
          <cell r="K1043">
            <v>2267</v>
          </cell>
          <cell r="L1043">
            <v>5412</v>
          </cell>
          <cell r="M1043">
            <v>7734</v>
          </cell>
        </row>
        <row r="1044">
          <cell r="F1044" t="str">
            <v>Caùt mòn</v>
          </cell>
          <cell r="G1044" t="str">
            <v>m3</v>
          </cell>
          <cell r="H1044">
            <v>2.7000000000000001E-3</v>
          </cell>
          <cell r="I1044">
            <v>2.7000000000000001E-3</v>
          </cell>
          <cell r="J1044">
            <v>47000</v>
          </cell>
        </row>
        <row r="1045">
          <cell r="F1045" t="str">
            <v>Nöôùc</v>
          </cell>
          <cell r="G1045" t="str">
            <v>Lít</v>
          </cell>
          <cell r="H1045">
            <v>0.7</v>
          </cell>
          <cell r="I1045">
            <v>0.7</v>
          </cell>
          <cell r="J1045">
            <v>2.5</v>
          </cell>
        </row>
        <row r="1046">
          <cell r="F1046" t="str">
            <v>Que haøn</v>
          </cell>
          <cell r="G1046" t="str">
            <v>Kg</v>
          </cell>
          <cell r="H1046">
            <v>0.2</v>
          </cell>
          <cell r="I1046">
            <v>0.2</v>
          </cell>
          <cell r="J1046">
            <v>10000</v>
          </cell>
        </row>
        <row r="1047">
          <cell r="F1047" t="str">
            <v>Vaät lieäu khaùc</v>
          </cell>
          <cell r="G1047" t="str">
            <v>ñoàng</v>
          </cell>
          <cell r="H1047">
            <v>0.05</v>
          </cell>
          <cell r="I1047">
            <v>141.63250000000002</v>
          </cell>
          <cell r="J1047">
            <v>1</v>
          </cell>
        </row>
        <row r="1048">
          <cell r="F1048" t="str">
            <v>NC 4/7</v>
          </cell>
          <cell r="G1048" t="str">
            <v>coâng</v>
          </cell>
          <cell r="H1048">
            <v>0.4</v>
          </cell>
          <cell r="I1048">
            <v>0.4</v>
          </cell>
          <cell r="J1048">
            <v>13575.1</v>
          </cell>
        </row>
        <row r="1049">
          <cell r="F1049" t="str">
            <v>Maùy haøn 23KW</v>
          </cell>
          <cell r="G1049" t="str">
            <v>ca</v>
          </cell>
          <cell r="H1049">
            <v>0.1</v>
          </cell>
          <cell r="I1049">
            <v>0.1</v>
          </cell>
          <cell r="J1049">
            <v>77338</v>
          </cell>
        </row>
        <row r="1050">
          <cell r="A1050" t="str">
            <v>NA.1520</v>
          </cell>
          <cell r="B1050" t="str">
            <v>NA.1520</v>
          </cell>
          <cell r="C1050" t="str">
            <v>Saûn xuaát lan can saét caàu thang</v>
          </cell>
          <cell r="D1050" t="str">
            <v>Taán</v>
          </cell>
          <cell r="E1050">
            <v>1</v>
          </cell>
          <cell r="F1050" t="str">
            <v>Theùp hình</v>
          </cell>
          <cell r="G1050" t="str">
            <v>Kg</v>
          </cell>
          <cell r="H1050">
            <v>625.39</v>
          </cell>
          <cell r="I1050">
            <v>625.39</v>
          </cell>
          <cell r="J1050">
            <v>3900</v>
          </cell>
          <cell r="K1050">
            <v>4491783</v>
          </cell>
          <cell r="L1050">
            <v>477125</v>
          </cell>
          <cell r="M1050">
            <v>281510</v>
          </cell>
        </row>
        <row r="1051">
          <cell r="F1051" t="str">
            <v>Theùp taám</v>
          </cell>
          <cell r="G1051" t="str">
            <v>Kg</v>
          </cell>
          <cell r="H1051">
            <v>316</v>
          </cell>
          <cell r="I1051">
            <v>316</v>
          </cell>
          <cell r="J1051">
            <v>4350</v>
          </cell>
        </row>
        <row r="1052">
          <cell r="F1052" t="str">
            <v>Saét troøn</v>
          </cell>
          <cell r="G1052" t="str">
            <v>Kg</v>
          </cell>
          <cell r="H1052">
            <v>61.4</v>
          </cell>
          <cell r="I1052">
            <v>61.4</v>
          </cell>
          <cell r="J1052">
            <v>4250</v>
          </cell>
        </row>
        <row r="1053">
          <cell r="F1053" t="str">
            <v>Que haøn</v>
          </cell>
          <cell r="G1053" t="str">
            <v>Kg</v>
          </cell>
          <cell r="H1053">
            <v>22.66</v>
          </cell>
          <cell r="I1053">
            <v>22.66</v>
          </cell>
          <cell r="J1053">
            <v>10000</v>
          </cell>
        </row>
        <row r="1054">
          <cell r="F1054" t="str">
            <v>OÂxy</v>
          </cell>
          <cell r="G1054" t="str">
            <v>chai</v>
          </cell>
          <cell r="H1054">
            <v>0.78</v>
          </cell>
          <cell r="I1054">
            <v>0.78</v>
          </cell>
          <cell r="J1054">
            <v>34200</v>
          </cell>
        </row>
        <row r="1055">
          <cell r="F1055" t="str">
            <v>Ñaát ñeøn</v>
          </cell>
          <cell r="G1055" t="str">
            <v>Kg</v>
          </cell>
          <cell r="H1055">
            <v>3.78</v>
          </cell>
          <cell r="I1055">
            <v>3.78</v>
          </cell>
          <cell r="J1055">
            <v>7200</v>
          </cell>
        </row>
        <row r="1056">
          <cell r="F1056" t="str">
            <v>NC 3.5/7</v>
          </cell>
          <cell r="G1056" t="str">
            <v>coâng</v>
          </cell>
          <cell r="H1056">
            <v>36.783999999999999</v>
          </cell>
          <cell r="I1056">
            <v>36.783999999999999</v>
          </cell>
          <cell r="J1056">
            <v>12964.99</v>
          </cell>
        </row>
        <row r="1057">
          <cell r="F1057" t="str">
            <v>Maùy haøn 23KW</v>
          </cell>
          <cell r="G1057" t="str">
            <v>ca</v>
          </cell>
          <cell r="H1057">
            <v>3.64</v>
          </cell>
          <cell r="I1057">
            <v>3.64</v>
          </cell>
          <cell r="J1057">
            <v>77338</v>
          </cell>
        </row>
        <row r="1058">
          <cell r="A1058" t="str">
            <v>TT6</v>
          </cell>
          <cell r="B1058" t="str">
            <v>TT6</v>
          </cell>
          <cell r="C1058" t="str">
            <v>Vaän chuyeån coïc baèng xe oâtoâ (1.875Taán/coïc)</v>
          </cell>
          <cell r="D1058" t="str">
            <v>T.Km</v>
          </cell>
          <cell r="J1058">
            <v>0</v>
          </cell>
          <cell r="M1058">
            <v>3200</v>
          </cell>
        </row>
        <row r="1059">
          <cell r="A1059" t="str">
            <v>TT7</v>
          </cell>
          <cell r="B1059" t="str">
            <v>TT7</v>
          </cell>
          <cell r="C1059" t="str">
            <v>SXLD khung theùp hình naép ñaäy loå thaêm</v>
          </cell>
          <cell r="D1059" t="str">
            <v>caùi</v>
          </cell>
          <cell r="E1059">
            <v>1</v>
          </cell>
          <cell r="F1059" t="str">
            <v>Naép ñaäy loå thaêm baèng tole + theùp hình</v>
          </cell>
          <cell r="G1059" t="str">
            <v>caùi</v>
          </cell>
          <cell r="H1059">
            <v>1</v>
          </cell>
          <cell r="I1059">
            <v>1</v>
          </cell>
          <cell r="J1059">
            <v>85000</v>
          </cell>
          <cell r="K1059">
            <v>85000</v>
          </cell>
          <cell r="M1059">
            <v>3200</v>
          </cell>
        </row>
        <row r="1060">
          <cell r="A1060" t="str">
            <v>OB.1310</v>
          </cell>
          <cell r="B1060" t="str">
            <v>OB.1310</v>
          </cell>
          <cell r="C1060" t="str">
            <v>Lôïp maùi tole mica trong</v>
          </cell>
          <cell r="D1060" t="str">
            <v>100m2</v>
          </cell>
          <cell r="E1060">
            <v>1</v>
          </cell>
          <cell r="F1060" t="str">
            <v>Tole mica trong</v>
          </cell>
          <cell r="G1060" t="str">
            <v>m2</v>
          </cell>
          <cell r="H1060">
            <v>131</v>
          </cell>
          <cell r="I1060">
            <v>131</v>
          </cell>
          <cell r="J1060">
            <v>65000</v>
          </cell>
          <cell r="K1060">
            <v>2960142</v>
          </cell>
          <cell r="L1060">
            <v>66412</v>
          </cell>
        </row>
        <row r="1061">
          <cell r="F1061" t="str">
            <v>Tole uùp noùc</v>
          </cell>
          <cell r="G1061" t="str">
            <v>m</v>
          </cell>
          <cell r="H1061">
            <v>8</v>
          </cell>
          <cell r="I1061">
            <v>8</v>
          </cell>
          <cell r="J1061">
            <v>35000</v>
          </cell>
        </row>
        <row r="1062">
          <cell r="F1062" t="str">
            <v>Vis + ñeäm</v>
          </cell>
          <cell r="G1062" t="str">
            <v>caùi</v>
          </cell>
          <cell r="H1062">
            <v>300</v>
          </cell>
          <cell r="I1062">
            <v>300</v>
          </cell>
          <cell r="J1062">
            <v>450</v>
          </cell>
        </row>
        <row r="1063">
          <cell r="F1063" t="str">
            <v>NC 3.5/7</v>
          </cell>
          <cell r="G1063" t="str">
            <v>coâng</v>
          </cell>
          <cell r="H1063">
            <v>5.12</v>
          </cell>
          <cell r="I1063">
            <v>5.12</v>
          </cell>
          <cell r="J1063">
            <v>12964.99</v>
          </cell>
        </row>
        <row r="1064">
          <cell r="A1064" t="str">
            <v>KA.1110</v>
          </cell>
          <cell r="B1064" t="str">
            <v>KA.1110</v>
          </cell>
          <cell r="C1064" t="str">
            <v>Vaùn khuoân goã moùng daøi, beä maùy ÑTC</v>
          </cell>
          <cell r="D1064" t="str">
            <v>100m2</v>
          </cell>
          <cell r="E1064">
            <v>1</v>
          </cell>
          <cell r="F1064" t="str">
            <v>Goã vaùn coáppha</v>
          </cell>
          <cell r="G1064" t="str">
            <v>m3</v>
          </cell>
          <cell r="H1064">
            <v>0.79200000000000004</v>
          </cell>
          <cell r="I1064">
            <v>0.79200000000000004</v>
          </cell>
          <cell r="J1064">
            <v>2100000</v>
          </cell>
          <cell r="K1064">
            <v>2690125</v>
          </cell>
          <cell r="L1064">
            <v>176535</v>
          </cell>
        </row>
        <row r="1065">
          <cell r="F1065" t="str">
            <v>Goã ñaø neïp coáppha</v>
          </cell>
          <cell r="G1065" t="str">
            <v>m3</v>
          </cell>
          <cell r="H1065">
            <v>8.6499999999999994E-2</v>
          </cell>
          <cell r="I1065">
            <v>8.6499999999999994E-2</v>
          </cell>
          <cell r="J1065">
            <v>2000000</v>
          </cell>
        </row>
        <row r="1066">
          <cell r="F1066" t="str">
            <v>Goã choáng coáppha</v>
          </cell>
          <cell r="G1066" t="str">
            <v>m3</v>
          </cell>
          <cell r="H1066">
            <v>0.45900000000000002</v>
          </cell>
          <cell r="I1066">
            <v>0.45900000000000002</v>
          </cell>
          <cell r="J1066" t="e">
            <v>#N/A</v>
          </cell>
        </row>
        <row r="1067">
          <cell r="F1067" t="str">
            <v>Ñinh coáppha</v>
          </cell>
          <cell r="G1067" t="str">
            <v>Kg</v>
          </cell>
          <cell r="H1067">
            <v>12</v>
          </cell>
          <cell r="I1067">
            <v>12</v>
          </cell>
          <cell r="J1067">
            <v>5300</v>
          </cell>
        </row>
        <row r="1068">
          <cell r="F1068" t="str">
            <v>Vaät lieäu khaùc coáppha</v>
          </cell>
          <cell r="G1068" t="str">
            <v>ñoàng</v>
          </cell>
          <cell r="H1068">
            <v>0.01</v>
          </cell>
          <cell r="I1068" t="e">
            <v>#N/A</v>
          </cell>
          <cell r="J1068">
            <v>1</v>
          </cell>
        </row>
        <row r="1069">
          <cell r="F1069" t="str">
            <v>NC 3.5/7 coáppha</v>
          </cell>
          <cell r="G1069" t="str">
            <v>coâng</v>
          </cell>
          <cell r="H1069">
            <v>13.61</v>
          </cell>
          <cell r="I1069">
            <v>13.61</v>
          </cell>
          <cell r="J1069" t="e">
            <v>#N/A</v>
          </cell>
        </row>
        <row r="1070">
          <cell r="A1070" t="str">
            <v>KA.1210</v>
          </cell>
          <cell r="B1070" t="str">
            <v>KA.1210</v>
          </cell>
          <cell r="C1070" t="str">
            <v>Vaùn khuoân goã moùng troøn, ña giaùc ÑTC</v>
          </cell>
          <cell r="D1070" t="str">
            <v>100m2</v>
          </cell>
          <cell r="E1070">
            <v>1</v>
          </cell>
          <cell r="F1070" t="str">
            <v>Goã vaùn coáppha</v>
          </cell>
          <cell r="G1070" t="str">
            <v>m3</v>
          </cell>
          <cell r="H1070">
            <v>0.93600000000000005</v>
          </cell>
          <cell r="I1070">
            <v>0.93600000000000005</v>
          </cell>
          <cell r="J1070">
            <v>2100000</v>
          </cell>
          <cell r="K1070">
            <v>3285429</v>
          </cell>
          <cell r="L1070">
            <v>632336</v>
          </cell>
        </row>
        <row r="1071">
          <cell r="F1071" t="str">
            <v>Goã ñaø neïp coáppha</v>
          </cell>
          <cell r="G1071" t="str">
            <v>m3</v>
          </cell>
          <cell r="H1071">
            <v>0.252</v>
          </cell>
          <cell r="I1071">
            <v>0.252</v>
          </cell>
          <cell r="J1071">
            <v>2000000</v>
          </cell>
        </row>
        <row r="1072">
          <cell r="F1072" t="str">
            <v>Goã choáng coáppha</v>
          </cell>
          <cell r="G1072" t="str">
            <v>m3</v>
          </cell>
          <cell r="H1072">
            <v>0.40200000000000002</v>
          </cell>
          <cell r="I1072">
            <v>0.40200000000000002</v>
          </cell>
          <cell r="J1072" t="e">
            <v>#N/A</v>
          </cell>
        </row>
        <row r="1073">
          <cell r="F1073" t="str">
            <v>Ñinh coáppha</v>
          </cell>
          <cell r="G1073" t="str">
            <v>Kg</v>
          </cell>
          <cell r="H1073">
            <v>18</v>
          </cell>
          <cell r="I1073">
            <v>18</v>
          </cell>
          <cell r="J1073">
            <v>5300</v>
          </cell>
        </row>
        <row r="1074">
          <cell r="F1074" t="str">
            <v>Vaät lieäu khaùc coáppha</v>
          </cell>
          <cell r="G1074" t="str">
            <v>ñoàng</v>
          </cell>
          <cell r="H1074">
            <v>0.01</v>
          </cell>
          <cell r="I1074" t="e">
            <v>#N/A</v>
          </cell>
          <cell r="J1074">
            <v>1</v>
          </cell>
        </row>
        <row r="1075">
          <cell r="F1075" t="str">
            <v>NC 3.5/7 coáppha</v>
          </cell>
          <cell r="G1075" t="str">
            <v>coâng</v>
          </cell>
          <cell r="H1075">
            <v>48.75</v>
          </cell>
          <cell r="I1075">
            <v>48.75</v>
          </cell>
          <cell r="J1075" t="e">
            <v>#N/A</v>
          </cell>
        </row>
        <row r="1076">
          <cell r="A1076" t="str">
            <v>KA.1220</v>
          </cell>
          <cell r="B1076" t="str">
            <v>KA.1220</v>
          </cell>
          <cell r="C1076" t="str">
            <v>Vaùn khuoân goã moùng chöõ nhaät ÑTC</v>
          </cell>
          <cell r="D1076" t="str">
            <v>100m2</v>
          </cell>
          <cell r="E1076">
            <v>1</v>
          </cell>
          <cell r="F1076" t="str">
            <v>Goã vaùn coáppha</v>
          </cell>
          <cell r="G1076" t="str">
            <v>m3</v>
          </cell>
          <cell r="H1076">
            <v>0.79200000000000004</v>
          </cell>
          <cell r="I1076">
            <v>0.79200000000000004</v>
          </cell>
          <cell r="J1076">
            <v>2100000</v>
          </cell>
          <cell r="K1076">
            <v>2763310</v>
          </cell>
          <cell r="L1076">
            <v>385239</v>
          </cell>
        </row>
        <row r="1077">
          <cell r="F1077" t="str">
            <v>Goã ñaø neïp coáppha</v>
          </cell>
          <cell r="G1077" t="str">
            <v>m3</v>
          </cell>
          <cell r="H1077">
            <v>0.21</v>
          </cell>
          <cell r="I1077">
            <v>0.21</v>
          </cell>
          <cell r="J1077">
            <v>2000000</v>
          </cell>
        </row>
        <row r="1078">
          <cell r="F1078" t="str">
            <v>Goã choáng coáppha</v>
          </cell>
          <cell r="G1078" t="str">
            <v>m3</v>
          </cell>
          <cell r="H1078">
            <v>0.33500000000000002</v>
          </cell>
          <cell r="I1078">
            <v>0.33500000000000002</v>
          </cell>
          <cell r="J1078" t="e">
            <v>#N/A</v>
          </cell>
        </row>
        <row r="1079">
          <cell r="F1079" t="str">
            <v>Ñinh coáppha</v>
          </cell>
          <cell r="G1079" t="str">
            <v>Kg</v>
          </cell>
          <cell r="H1079">
            <v>15</v>
          </cell>
          <cell r="I1079">
            <v>15</v>
          </cell>
          <cell r="J1079">
            <v>5300</v>
          </cell>
        </row>
        <row r="1080">
          <cell r="F1080" t="str">
            <v>Vaät lieäu khaùc coáppha</v>
          </cell>
          <cell r="G1080" t="str">
            <v>ñoàng</v>
          </cell>
          <cell r="H1080">
            <v>0.01</v>
          </cell>
          <cell r="I1080" t="e">
            <v>#N/A</v>
          </cell>
          <cell r="J1080">
            <v>1</v>
          </cell>
        </row>
        <row r="1081">
          <cell r="F1081" t="str">
            <v>NC 3.5/7 coáppha</v>
          </cell>
          <cell r="G1081" t="str">
            <v>coâng</v>
          </cell>
          <cell r="H1081">
            <v>29.7</v>
          </cell>
          <cell r="I1081">
            <v>29.7</v>
          </cell>
          <cell r="J1081" t="e">
            <v>#N/A</v>
          </cell>
        </row>
        <row r="1082">
          <cell r="A1082" t="str">
            <v>KA.2110</v>
          </cell>
          <cell r="B1082" t="str">
            <v>KA.2110</v>
          </cell>
          <cell r="C1082" t="str">
            <v>Vaùn khuoân goã coät troøn ÑTC</v>
          </cell>
          <cell r="D1082" t="str">
            <v>100m2</v>
          </cell>
          <cell r="E1082">
            <v>1</v>
          </cell>
          <cell r="F1082" t="str">
            <v>Goã vaùn coáppha</v>
          </cell>
          <cell r="G1082" t="str">
            <v>m3</v>
          </cell>
          <cell r="H1082">
            <v>0.93600000000000005</v>
          </cell>
          <cell r="I1082">
            <v>0.93600000000000005</v>
          </cell>
          <cell r="J1082">
            <v>2100000</v>
          </cell>
          <cell r="K1082">
            <v>3532031</v>
          </cell>
          <cell r="L1082">
            <v>1065950</v>
          </cell>
        </row>
        <row r="1083">
          <cell r="F1083" t="str">
            <v>Goã ñaø neïp coáppha</v>
          </cell>
          <cell r="G1083" t="str">
            <v>m3</v>
          </cell>
          <cell r="H1083">
            <v>0.186</v>
          </cell>
          <cell r="I1083">
            <v>0.186</v>
          </cell>
          <cell r="J1083">
            <v>2000000</v>
          </cell>
        </row>
        <row r="1084">
          <cell r="F1084" t="str">
            <v>Goã choáng coáppha</v>
          </cell>
          <cell r="G1084" t="str">
            <v>m3</v>
          </cell>
          <cell r="H1084">
            <v>0.622</v>
          </cell>
          <cell r="I1084">
            <v>0.622</v>
          </cell>
          <cell r="J1084" t="e">
            <v>#N/A</v>
          </cell>
        </row>
        <row r="1085">
          <cell r="F1085" t="str">
            <v>Ñinh coáppha</v>
          </cell>
          <cell r="G1085" t="str">
            <v>Kg</v>
          </cell>
          <cell r="H1085">
            <v>22</v>
          </cell>
          <cell r="I1085">
            <v>22</v>
          </cell>
          <cell r="J1085">
            <v>5300</v>
          </cell>
        </row>
        <row r="1086">
          <cell r="F1086" t="str">
            <v>Vaät lieäu khaùc coáppha</v>
          </cell>
          <cell r="G1086" t="str">
            <v>ñoàng</v>
          </cell>
          <cell r="H1086">
            <v>0.01</v>
          </cell>
          <cell r="I1086" t="e">
            <v>#N/A</v>
          </cell>
          <cell r="J1086">
            <v>1</v>
          </cell>
        </row>
        <row r="1087">
          <cell r="F1087" t="str">
            <v>NC 3.5/7 coáppha</v>
          </cell>
          <cell r="G1087" t="str">
            <v>coâng</v>
          </cell>
          <cell r="H1087">
            <v>78.790000000000006</v>
          </cell>
          <cell r="I1087">
            <v>78.790000000000006</v>
          </cell>
          <cell r="J1087" t="e">
            <v>#N/A</v>
          </cell>
        </row>
        <row r="1088">
          <cell r="A1088" t="str">
            <v>KA.2120</v>
          </cell>
          <cell r="B1088" t="str">
            <v>KA.2120</v>
          </cell>
          <cell r="C1088" t="str">
            <v>Vaùn khuoân goã coät chöõ nhaät ÑTC</v>
          </cell>
          <cell r="D1088" t="str">
            <v>100m2</v>
          </cell>
          <cell r="E1088">
            <v>1</v>
          </cell>
          <cell r="F1088" t="str">
            <v>Goã vaùn coáppha</v>
          </cell>
          <cell r="G1088" t="str">
            <v>m3</v>
          </cell>
          <cell r="H1088">
            <v>0.79200000000000004</v>
          </cell>
          <cell r="I1088">
            <v>0.79200000000000004</v>
          </cell>
          <cell r="J1088">
            <v>2100000</v>
          </cell>
          <cell r="K1088">
            <v>2900609</v>
          </cell>
          <cell r="L1088">
            <v>431575</v>
          </cell>
        </row>
        <row r="1089">
          <cell r="F1089" t="str">
            <v>Goã ñaø neïp coáppha</v>
          </cell>
          <cell r="G1089" t="str">
            <v>m3</v>
          </cell>
          <cell r="H1089">
            <v>0.14899999999999999</v>
          </cell>
          <cell r="I1089">
            <v>0.14899999999999999</v>
          </cell>
          <cell r="J1089">
            <v>2000000</v>
          </cell>
        </row>
        <row r="1090">
          <cell r="F1090" t="str">
            <v>Goã choáng coáppha</v>
          </cell>
          <cell r="G1090" t="str">
            <v>m3</v>
          </cell>
          <cell r="H1090">
            <v>0.496</v>
          </cell>
          <cell r="I1090">
            <v>0.496</v>
          </cell>
          <cell r="J1090" t="e">
            <v>#N/A</v>
          </cell>
        </row>
        <row r="1091">
          <cell r="F1091" t="str">
            <v>Ñinh coáppha</v>
          </cell>
          <cell r="G1091" t="str">
            <v>Kg</v>
          </cell>
          <cell r="H1091">
            <v>15</v>
          </cell>
          <cell r="I1091">
            <v>15</v>
          </cell>
          <cell r="J1091">
            <v>5300</v>
          </cell>
        </row>
        <row r="1092">
          <cell r="F1092" t="str">
            <v>Vaät lieäu khaùc coáppha</v>
          </cell>
          <cell r="G1092" t="str">
            <v>ñoàng</v>
          </cell>
          <cell r="H1092">
            <v>0.01</v>
          </cell>
          <cell r="I1092" t="e">
            <v>#N/A</v>
          </cell>
          <cell r="J1092">
            <v>1</v>
          </cell>
        </row>
        <row r="1093">
          <cell r="F1093" t="str">
            <v>NC 3.5/7 coáppha</v>
          </cell>
          <cell r="G1093" t="str">
            <v>coâng</v>
          </cell>
          <cell r="H1093">
            <v>31.9</v>
          </cell>
          <cell r="I1093">
            <v>31.9</v>
          </cell>
          <cell r="J1093" t="e">
            <v>#N/A</v>
          </cell>
        </row>
        <row r="1094">
          <cell r="A1094" t="str">
            <v>KA.2210</v>
          </cell>
          <cell r="B1094" t="str">
            <v>KA.2210</v>
          </cell>
          <cell r="C1094" t="str">
            <v>Vaùn khuoân goã daàm, giaèng ÑTC</v>
          </cell>
          <cell r="D1094" t="str">
            <v>100m2</v>
          </cell>
          <cell r="E1094">
            <v>1</v>
          </cell>
          <cell r="F1094" t="str">
            <v>Goã vaùn coáppha</v>
          </cell>
          <cell r="G1094" t="str">
            <v>m3</v>
          </cell>
          <cell r="H1094">
            <v>0.79200000000000004</v>
          </cell>
          <cell r="I1094">
            <v>0.79200000000000004</v>
          </cell>
          <cell r="J1094">
            <v>2100000</v>
          </cell>
          <cell r="K1094">
            <v>3745112</v>
          </cell>
          <cell r="L1094">
            <v>465127</v>
          </cell>
        </row>
        <row r="1095">
          <cell r="F1095" t="str">
            <v>Goã ñaø neïp coáppha</v>
          </cell>
          <cell r="G1095" t="str">
            <v>m3</v>
          </cell>
          <cell r="H1095">
            <v>0.189</v>
          </cell>
          <cell r="I1095">
            <v>0.189</v>
          </cell>
          <cell r="J1095">
            <v>2000000</v>
          </cell>
        </row>
        <row r="1096">
          <cell r="F1096" t="str">
            <v>Goã choáng coáppha</v>
          </cell>
          <cell r="G1096" t="str">
            <v>m3</v>
          </cell>
          <cell r="H1096">
            <v>0.95699999999999996</v>
          </cell>
          <cell r="I1096">
            <v>0.95699999999999996</v>
          </cell>
          <cell r="J1096" t="e">
            <v>#N/A</v>
          </cell>
        </row>
        <row r="1097">
          <cell r="F1097" t="str">
            <v>Ñinh coáppha</v>
          </cell>
          <cell r="G1097" t="str">
            <v>Kg</v>
          </cell>
          <cell r="H1097">
            <v>14.29</v>
          </cell>
          <cell r="I1097">
            <v>14.29</v>
          </cell>
          <cell r="J1097">
            <v>5300</v>
          </cell>
        </row>
        <row r="1098">
          <cell r="F1098" t="str">
            <v>Vaät lieäu khaùc coáppha</v>
          </cell>
          <cell r="G1098" t="str">
            <v>ñoàng</v>
          </cell>
          <cell r="H1098">
            <v>0.01</v>
          </cell>
          <cell r="I1098" t="e">
            <v>#N/A</v>
          </cell>
          <cell r="J1098">
            <v>1</v>
          </cell>
        </row>
        <row r="1099">
          <cell r="F1099" t="str">
            <v>NC 4/7 coáppha</v>
          </cell>
          <cell r="G1099" t="str">
            <v>coâng</v>
          </cell>
          <cell r="H1099">
            <v>34.380000000000003</v>
          </cell>
          <cell r="I1099">
            <v>34.380000000000003</v>
          </cell>
          <cell r="J1099" t="e">
            <v>#N/A</v>
          </cell>
        </row>
        <row r="1100">
          <cell r="A1100" t="str">
            <v>KA.2310</v>
          </cell>
          <cell r="B1100" t="str">
            <v>KA.2310</v>
          </cell>
          <cell r="C1100" t="str">
            <v>Vaùn khuoân goã saøn maùi ÑTC</v>
          </cell>
          <cell r="D1100" t="str">
            <v>100m2</v>
          </cell>
          <cell r="E1100">
            <v>1</v>
          </cell>
          <cell r="F1100" t="str">
            <v>Goã vaùn coáppha</v>
          </cell>
          <cell r="G1100" t="str">
            <v>m3</v>
          </cell>
          <cell r="H1100">
            <v>0.79200000000000004</v>
          </cell>
          <cell r="I1100">
            <v>0.79200000000000004</v>
          </cell>
          <cell r="J1100">
            <v>2100000</v>
          </cell>
          <cell r="K1100">
            <v>3068496</v>
          </cell>
          <cell r="L1100">
            <v>364607</v>
          </cell>
        </row>
        <row r="1101">
          <cell r="F1101" t="str">
            <v>Goã ñaø neïp coáppha</v>
          </cell>
          <cell r="G1101" t="str">
            <v>m3</v>
          </cell>
          <cell r="H1101">
            <v>0.112</v>
          </cell>
          <cell r="I1101">
            <v>0.112</v>
          </cell>
          <cell r="J1101">
            <v>2000000</v>
          </cell>
        </row>
        <row r="1102">
          <cell r="F1102" t="str">
            <v>Goã choáng coáppha</v>
          </cell>
          <cell r="G1102" t="str">
            <v>m3</v>
          </cell>
          <cell r="H1102">
            <v>0.66800000000000004</v>
          </cell>
          <cell r="I1102">
            <v>0.66800000000000004</v>
          </cell>
          <cell r="J1102" t="e">
            <v>#N/A</v>
          </cell>
        </row>
        <row r="1103">
          <cell r="F1103" t="str">
            <v>Ñinh coáppha</v>
          </cell>
          <cell r="G1103" t="str">
            <v>Kg</v>
          </cell>
          <cell r="H1103">
            <v>8.0500000000000007</v>
          </cell>
          <cell r="I1103">
            <v>8.0500000000000007</v>
          </cell>
          <cell r="J1103">
            <v>5300</v>
          </cell>
        </row>
        <row r="1104">
          <cell r="F1104" t="str">
            <v>Vaät lieäu khaùc coáppha</v>
          </cell>
          <cell r="G1104" t="str">
            <v>ñoàng</v>
          </cell>
          <cell r="H1104">
            <v>0.01</v>
          </cell>
          <cell r="I1104" t="e">
            <v>#N/A</v>
          </cell>
          <cell r="J1104">
            <v>1</v>
          </cell>
        </row>
        <row r="1105">
          <cell r="F1105" t="str">
            <v>NC 4/7 coáppha</v>
          </cell>
          <cell r="G1105" t="str">
            <v>coâng</v>
          </cell>
          <cell r="H1105">
            <v>26.95</v>
          </cell>
          <cell r="I1105">
            <v>26.95</v>
          </cell>
          <cell r="J1105" t="e">
            <v>#N/A</v>
          </cell>
        </row>
        <row r="1106">
          <cell r="A1106" t="str">
            <v>KA.2320</v>
          </cell>
          <cell r="B1106" t="str">
            <v>KA.2320</v>
          </cell>
          <cell r="C1106" t="str">
            <v>Vaùn khuoân goã lanhtoâ, maùi haét, ñan ÑTC</v>
          </cell>
          <cell r="D1106" t="str">
            <v>100m2</v>
          </cell>
          <cell r="E1106">
            <v>1</v>
          </cell>
          <cell r="F1106" t="str">
            <v>Goã vaùn coáppha</v>
          </cell>
          <cell r="G1106" t="str">
            <v>m3</v>
          </cell>
          <cell r="H1106">
            <v>0.79200000000000004</v>
          </cell>
          <cell r="I1106">
            <v>0.79200000000000004</v>
          </cell>
          <cell r="J1106">
            <v>2100000</v>
          </cell>
          <cell r="K1106">
            <v>3068496</v>
          </cell>
          <cell r="L1106">
            <v>385171</v>
          </cell>
        </row>
        <row r="1107">
          <cell r="F1107" t="str">
            <v>Goã ñaø neïp coáppha</v>
          </cell>
          <cell r="G1107" t="str">
            <v>m3</v>
          </cell>
          <cell r="H1107">
            <v>0.112</v>
          </cell>
          <cell r="I1107">
            <v>0.112</v>
          </cell>
          <cell r="J1107">
            <v>2000000</v>
          </cell>
        </row>
        <row r="1108">
          <cell r="F1108" t="str">
            <v>Goã choáng coáppha</v>
          </cell>
          <cell r="G1108" t="str">
            <v>m3</v>
          </cell>
          <cell r="H1108">
            <v>0.66800000000000004</v>
          </cell>
          <cell r="I1108">
            <v>0.66800000000000004</v>
          </cell>
          <cell r="J1108" t="e">
            <v>#N/A</v>
          </cell>
        </row>
        <row r="1109">
          <cell r="F1109" t="str">
            <v>Ñinh coáppha</v>
          </cell>
          <cell r="G1109" t="str">
            <v>Kg</v>
          </cell>
          <cell r="H1109">
            <v>8.0500000000000007</v>
          </cell>
          <cell r="I1109">
            <v>8.0500000000000007</v>
          </cell>
          <cell r="J1109">
            <v>5300</v>
          </cell>
        </row>
        <row r="1110">
          <cell r="F1110" t="str">
            <v>Vaät lieäu khaùc coáppha</v>
          </cell>
          <cell r="G1110" t="str">
            <v>ñoàng</v>
          </cell>
          <cell r="H1110">
            <v>0.01</v>
          </cell>
          <cell r="I1110" t="e">
            <v>#N/A</v>
          </cell>
          <cell r="J1110">
            <v>1</v>
          </cell>
        </row>
        <row r="1111">
          <cell r="F1111" t="str">
            <v>NC 4/7 coáppha</v>
          </cell>
          <cell r="G1111" t="str">
            <v>coâng</v>
          </cell>
          <cell r="H1111">
            <v>28.47</v>
          </cell>
          <cell r="I1111">
            <v>28.47</v>
          </cell>
          <cell r="J1111" t="e">
            <v>#N/A</v>
          </cell>
        </row>
        <row r="1112">
          <cell r="A1112" t="str">
            <v>KA.2410</v>
          </cell>
          <cell r="B1112" t="str">
            <v>KA.2410</v>
          </cell>
          <cell r="C1112" t="str">
            <v>Vaùn khuoân goã caàu thang thöôøng ÑTC</v>
          </cell>
          <cell r="D1112" t="str">
            <v>100m2</v>
          </cell>
          <cell r="E1112">
            <v>1</v>
          </cell>
          <cell r="F1112" t="str">
            <v>Goã vaùn coáppha</v>
          </cell>
          <cell r="G1112" t="str">
            <v>m3</v>
          </cell>
          <cell r="H1112">
            <v>0.79200000000000004</v>
          </cell>
          <cell r="I1112">
            <v>0.79200000000000004</v>
          </cell>
          <cell r="J1112">
            <v>2100000</v>
          </cell>
          <cell r="K1112">
            <v>3867957</v>
          </cell>
          <cell r="L1112">
            <v>619087</v>
          </cell>
        </row>
        <row r="1113">
          <cell r="F1113" t="str">
            <v>Goã choáng coáppha</v>
          </cell>
          <cell r="G1113" t="str">
            <v>m3</v>
          </cell>
          <cell r="H1113">
            <v>0.98099999999999998</v>
          </cell>
          <cell r="I1113">
            <v>0.98099999999999998</v>
          </cell>
          <cell r="J1113" t="e">
            <v>#N/A</v>
          </cell>
        </row>
        <row r="1114">
          <cell r="F1114" t="str">
            <v>Ñinh coáppha</v>
          </cell>
          <cell r="G1114" t="str">
            <v>Kg</v>
          </cell>
          <cell r="H1114">
            <v>11.45</v>
          </cell>
          <cell r="I1114">
            <v>11.45</v>
          </cell>
          <cell r="J1114">
            <v>5300</v>
          </cell>
        </row>
        <row r="1115">
          <cell r="F1115" t="str">
            <v>Ñinh ñóa</v>
          </cell>
          <cell r="G1115" t="str">
            <v>caùi</v>
          </cell>
          <cell r="H1115">
            <v>29</v>
          </cell>
          <cell r="I1115">
            <v>29</v>
          </cell>
          <cell r="J1115">
            <v>1500</v>
          </cell>
        </row>
        <row r="1116">
          <cell r="F1116" t="str">
            <v>Vaät lieäu khaùc coáppha</v>
          </cell>
          <cell r="G1116" t="str">
            <v>ñoàng</v>
          </cell>
          <cell r="H1116">
            <v>0.01</v>
          </cell>
          <cell r="I1116" t="e">
            <v>#N/A</v>
          </cell>
          <cell r="J1116">
            <v>1</v>
          </cell>
        </row>
        <row r="1117">
          <cell r="F1117" t="str">
            <v>NC 4/7 coáppha</v>
          </cell>
          <cell r="G1117" t="str">
            <v>coâng</v>
          </cell>
          <cell r="H1117">
            <v>45.76</v>
          </cell>
          <cell r="I1117">
            <v>45.76</v>
          </cell>
          <cell r="J1117" t="e">
            <v>#N/A</v>
          </cell>
        </row>
        <row r="1118">
          <cell r="A1118" t="str">
            <v>KA.2420</v>
          </cell>
          <cell r="B1118" t="str">
            <v>KA.2420</v>
          </cell>
          <cell r="C1118" t="str">
            <v>Vaùn khuoân goã caàu thang xoaùy oác ÑTC</v>
          </cell>
          <cell r="D1118" t="str">
            <v>100m2</v>
          </cell>
          <cell r="E1118">
            <v>1</v>
          </cell>
          <cell r="F1118" t="str">
            <v>Goã vaùn coáppha</v>
          </cell>
          <cell r="G1118" t="str">
            <v>m3</v>
          </cell>
          <cell r="H1118">
            <v>0.93600000000000005</v>
          </cell>
          <cell r="I1118">
            <v>0.93600000000000005</v>
          </cell>
          <cell r="J1118">
            <v>2100000</v>
          </cell>
          <cell r="K1118">
            <v>5202955</v>
          </cell>
          <cell r="L1118">
            <v>1273079</v>
          </cell>
        </row>
        <row r="1119">
          <cell r="F1119" t="str">
            <v>Goã choáng coáppha</v>
          </cell>
          <cell r="G1119" t="str">
            <v>m3</v>
          </cell>
          <cell r="H1119">
            <v>1.45</v>
          </cell>
          <cell r="I1119">
            <v>1.45</v>
          </cell>
          <cell r="J1119" t="e">
            <v>#N/A</v>
          </cell>
        </row>
        <row r="1120">
          <cell r="F1120" t="str">
            <v>Ñinh coáppha</v>
          </cell>
          <cell r="G1120" t="str">
            <v>Kg</v>
          </cell>
          <cell r="H1120">
            <v>16.93</v>
          </cell>
          <cell r="I1120">
            <v>16.93</v>
          </cell>
          <cell r="J1120">
            <v>5300</v>
          </cell>
        </row>
        <row r="1121">
          <cell r="F1121" t="str">
            <v>Ñinh ñóa</v>
          </cell>
          <cell r="G1121" t="str">
            <v>caùi</v>
          </cell>
          <cell r="H1121">
            <v>31.93</v>
          </cell>
          <cell r="I1121">
            <v>31.93</v>
          </cell>
          <cell r="J1121">
            <v>1500</v>
          </cell>
        </row>
        <row r="1122">
          <cell r="F1122" t="str">
            <v>Vaät lieäu khaùc coáppha</v>
          </cell>
          <cell r="G1122" t="str">
            <v>ñoàng</v>
          </cell>
          <cell r="H1122">
            <v>0.01</v>
          </cell>
          <cell r="I1122" t="e">
            <v>#N/A</v>
          </cell>
          <cell r="J1122">
            <v>1</v>
          </cell>
        </row>
        <row r="1123">
          <cell r="F1123" t="str">
            <v>NC 4/7 coáppha</v>
          </cell>
          <cell r="G1123" t="str">
            <v>coâng</v>
          </cell>
          <cell r="H1123">
            <v>94.1</v>
          </cell>
          <cell r="I1123">
            <v>94.1</v>
          </cell>
          <cell r="J1123" t="e">
            <v>#N/A</v>
          </cell>
        </row>
        <row r="1124">
          <cell r="A1124" t="str">
            <v>KA.2510</v>
          </cell>
          <cell r="B1124" t="str">
            <v>KA.2510</v>
          </cell>
          <cell r="C1124" t="str">
            <v>Vaùn khuoân goã töôøng thaúng &lt;=45cm ÑTC</v>
          </cell>
          <cell r="D1124" t="str">
            <v>100m2</v>
          </cell>
          <cell r="E1124">
            <v>1</v>
          </cell>
          <cell r="F1124" t="str">
            <v>Goã vaùn coáppha</v>
          </cell>
          <cell r="G1124" t="str">
            <v>m3</v>
          </cell>
          <cell r="H1124">
            <v>0.79200000000000004</v>
          </cell>
          <cell r="I1124">
            <v>0.79200000000000004</v>
          </cell>
          <cell r="J1124">
            <v>2100000</v>
          </cell>
          <cell r="K1124">
            <v>2755433</v>
          </cell>
          <cell r="L1124">
            <v>375836</v>
          </cell>
        </row>
        <row r="1125">
          <cell r="F1125" t="str">
            <v>Goã ñaø neïp coáppha</v>
          </cell>
          <cell r="G1125" t="str">
            <v>m3</v>
          </cell>
          <cell r="H1125">
            <v>0.19</v>
          </cell>
          <cell r="I1125">
            <v>0.19</v>
          </cell>
          <cell r="J1125">
            <v>2000000</v>
          </cell>
        </row>
        <row r="1126">
          <cell r="F1126" t="str">
            <v>Goã choáng coáppha</v>
          </cell>
          <cell r="G1126" t="str">
            <v>m3</v>
          </cell>
          <cell r="H1126">
            <v>0.35699999999999998</v>
          </cell>
          <cell r="I1126">
            <v>0.35699999999999998</v>
          </cell>
          <cell r="J1126" t="e">
            <v>#N/A</v>
          </cell>
        </row>
        <row r="1127">
          <cell r="F1127" t="str">
            <v>Ñinh coáppha</v>
          </cell>
          <cell r="G1127" t="str">
            <v>Kg</v>
          </cell>
          <cell r="H1127">
            <v>17.3</v>
          </cell>
          <cell r="I1127">
            <v>17.3</v>
          </cell>
          <cell r="J1127">
            <v>5300</v>
          </cell>
        </row>
        <row r="1128">
          <cell r="F1128" t="str">
            <v>Vaät lieäu khaùc coáppha</v>
          </cell>
          <cell r="G1128" t="str">
            <v>ñoàng</v>
          </cell>
          <cell r="H1128">
            <v>5.0000000000000001E-3</v>
          </cell>
          <cell r="I1128" t="e">
            <v>#N/A</v>
          </cell>
          <cell r="J1128">
            <v>1</v>
          </cell>
        </row>
        <row r="1129">
          <cell r="F1129" t="str">
            <v>NC 4/7 coáppha</v>
          </cell>
          <cell r="G1129" t="str">
            <v>coâng</v>
          </cell>
          <cell r="H1129">
            <v>27.78</v>
          </cell>
          <cell r="I1129">
            <v>27.78</v>
          </cell>
          <cell r="J1129" t="e">
            <v>#N/A</v>
          </cell>
        </row>
        <row r="1130">
          <cell r="A1130" t="str">
            <v>KA.2520</v>
          </cell>
          <cell r="B1130" t="str">
            <v>KA.2520</v>
          </cell>
          <cell r="C1130" t="str">
            <v>Vaùn khuoân goã töôøng thaúng &gt;45cm ÑTC</v>
          </cell>
          <cell r="D1130" t="str">
            <v>100m2</v>
          </cell>
          <cell r="E1130">
            <v>1</v>
          </cell>
          <cell r="F1130" t="str">
            <v>Goã vaùn coáppha</v>
          </cell>
          <cell r="G1130" t="str">
            <v>m3</v>
          </cell>
          <cell r="H1130">
            <v>0.79200000000000004</v>
          </cell>
          <cell r="I1130">
            <v>0.79200000000000004</v>
          </cell>
          <cell r="J1130">
            <v>2100000</v>
          </cell>
          <cell r="K1130">
            <v>3026732</v>
          </cell>
          <cell r="L1130">
            <v>441181</v>
          </cell>
        </row>
        <row r="1131">
          <cell r="F1131" t="str">
            <v>Goã ñaø neïp coáppha</v>
          </cell>
          <cell r="G1131" t="str">
            <v>m3</v>
          </cell>
          <cell r="H1131">
            <v>0.19</v>
          </cell>
          <cell r="I1131">
            <v>0.19</v>
          </cell>
          <cell r="J1131">
            <v>2000000</v>
          </cell>
        </row>
        <row r="1132">
          <cell r="F1132" t="str">
            <v>Goã choáng coáppha</v>
          </cell>
          <cell r="G1132" t="str">
            <v>m3</v>
          </cell>
          <cell r="H1132">
            <v>0.45500000000000002</v>
          </cell>
          <cell r="I1132">
            <v>0.45500000000000002</v>
          </cell>
          <cell r="J1132" t="e">
            <v>#N/A</v>
          </cell>
        </row>
        <row r="1133">
          <cell r="F1133" t="str">
            <v>Boulon M16</v>
          </cell>
          <cell r="G1133" t="str">
            <v>caùi</v>
          </cell>
          <cell r="H1133">
            <v>2.6</v>
          </cell>
          <cell r="I1133">
            <v>2.6</v>
          </cell>
          <cell r="J1133">
            <v>25000</v>
          </cell>
        </row>
        <row r="1134">
          <cell r="F1134" t="str">
            <v>Ñinh coáppha</v>
          </cell>
          <cell r="G1134" t="str">
            <v>Kg</v>
          </cell>
          <cell r="H1134">
            <v>4.5999999999999996</v>
          </cell>
          <cell r="I1134">
            <v>4.5999999999999996</v>
          </cell>
          <cell r="J1134">
            <v>5300</v>
          </cell>
        </row>
        <row r="1135">
          <cell r="F1135" t="str">
            <v>Ñinh ñóa</v>
          </cell>
          <cell r="G1135" t="str">
            <v>caùi</v>
          </cell>
          <cell r="H1135">
            <v>10.26</v>
          </cell>
          <cell r="I1135">
            <v>10.26</v>
          </cell>
          <cell r="J1135">
            <v>1500</v>
          </cell>
        </row>
        <row r="1136">
          <cell r="F1136" t="str">
            <v>Daây theùp</v>
          </cell>
          <cell r="G1136" t="str">
            <v>Kg</v>
          </cell>
          <cell r="H1136">
            <v>11.4</v>
          </cell>
          <cell r="I1136">
            <v>11.4</v>
          </cell>
          <cell r="J1136">
            <v>5300</v>
          </cell>
        </row>
        <row r="1137">
          <cell r="F1137" t="str">
            <v>Tender F14</v>
          </cell>
          <cell r="G1137" t="str">
            <v>caùi</v>
          </cell>
          <cell r="H1137">
            <v>5.0999999999999996</v>
          </cell>
          <cell r="I1137">
            <v>5.0999999999999996</v>
          </cell>
          <cell r="J1137">
            <v>15000</v>
          </cell>
        </row>
        <row r="1138">
          <cell r="F1138" t="str">
            <v>Vaät lieäu khaùc coáppha</v>
          </cell>
          <cell r="G1138" t="str">
            <v>ñoàng</v>
          </cell>
          <cell r="H1138">
            <v>0.01</v>
          </cell>
          <cell r="I1138" t="e">
            <v>#N/A</v>
          </cell>
          <cell r="J1138">
            <v>1</v>
          </cell>
        </row>
        <row r="1139">
          <cell r="F1139" t="str">
            <v>NC 4/7 coáppha</v>
          </cell>
          <cell r="G1139" t="str">
            <v>coâng</v>
          </cell>
          <cell r="H1139">
            <v>32.61</v>
          </cell>
          <cell r="I1139">
            <v>32.61</v>
          </cell>
          <cell r="J1139" t="e">
            <v>#N/A</v>
          </cell>
        </row>
        <row r="1140">
          <cell r="A1140" t="str">
            <v>KA.2610</v>
          </cell>
          <cell r="B1140" t="str">
            <v>KA.2610</v>
          </cell>
          <cell r="C1140" t="str">
            <v>Vaùn khuoân goã töôøng cong nghieâng &lt;=45cm ÑTC</v>
          </cell>
          <cell r="D1140" t="str">
            <v>100m2</v>
          </cell>
          <cell r="E1140">
            <v>1</v>
          </cell>
          <cell r="F1140" t="str">
            <v>Goã vaùn coáppha</v>
          </cell>
          <cell r="G1140" t="str">
            <v>m3</v>
          </cell>
          <cell r="H1140">
            <v>0.93600000000000005</v>
          </cell>
          <cell r="I1140">
            <v>0.93600000000000005</v>
          </cell>
          <cell r="J1140">
            <v>2100000</v>
          </cell>
          <cell r="K1140">
            <v>3425608</v>
          </cell>
          <cell r="L1140">
            <v>586753</v>
          </cell>
        </row>
        <row r="1141">
          <cell r="F1141" t="str">
            <v>Goã ñaø neïp coáppha</v>
          </cell>
          <cell r="G1141" t="str">
            <v>m3</v>
          </cell>
          <cell r="H1141">
            <v>0.28000000000000003</v>
          </cell>
          <cell r="I1141">
            <v>0.28000000000000003</v>
          </cell>
          <cell r="J1141">
            <v>2000000</v>
          </cell>
        </row>
        <row r="1142">
          <cell r="F1142" t="str">
            <v>Goã choáng coáppha</v>
          </cell>
          <cell r="G1142" t="str">
            <v>m3</v>
          </cell>
          <cell r="H1142">
            <v>0.44600000000000001</v>
          </cell>
          <cell r="I1142">
            <v>0.44600000000000001</v>
          </cell>
          <cell r="J1142" t="e">
            <v>#N/A</v>
          </cell>
        </row>
        <row r="1143">
          <cell r="F1143" t="str">
            <v>Ñinh coáppha</v>
          </cell>
          <cell r="G1143" t="str">
            <v>Kg</v>
          </cell>
          <cell r="H1143">
            <v>22.5</v>
          </cell>
          <cell r="I1143">
            <v>22.5</v>
          </cell>
          <cell r="J1143">
            <v>5300</v>
          </cell>
        </row>
        <row r="1144">
          <cell r="F1144" t="str">
            <v>Vaät lieäu khaùc coáppha</v>
          </cell>
          <cell r="G1144" t="str">
            <v>ñoàng</v>
          </cell>
          <cell r="H1144">
            <v>5.0000000000000001E-3</v>
          </cell>
          <cell r="I1144" t="e">
            <v>#N/A</v>
          </cell>
          <cell r="J1144">
            <v>1</v>
          </cell>
        </row>
        <row r="1145">
          <cell r="F1145" t="str">
            <v>NC 4/7 coáppha</v>
          </cell>
          <cell r="G1145" t="str">
            <v>coâng</v>
          </cell>
          <cell r="H1145">
            <v>43.37</v>
          </cell>
          <cell r="I1145">
            <v>43.37</v>
          </cell>
          <cell r="J1145" t="e">
            <v>#N/A</v>
          </cell>
        </row>
        <row r="1146">
          <cell r="A1146" t="str">
            <v>KA.2620</v>
          </cell>
          <cell r="B1146" t="str">
            <v>KA.2620</v>
          </cell>
          <cell r="C1146" t="str">
            <v>Vaùn khuoân goã töôøng cong nghieâng &gt;45cm ÑTC</v>
          </cell>
          <cell r="D1146" t="str">
            <v>100m2</v>
          </cell>
          <cell r="E1146">
            <v>1</v>
          </cell>
          <cell r="F1146" t="str">
            <v>Goã vaùn coáppha</v>
          </cell>
          <cell r="G1146" t="str">
            <v>m3</v>
          </cell>
          <cell r="H1146">
            <v>0.93600000000000005</v>
          </cell>
          <cell r="I1146">
            <v>0.93600000000000005</v>
          </cell>
          <cell r="J1146">
            <v>2100000</v>
          </cell>
          <cell r="K1146">
            <v>3781018</v>
          </cell>
          <cell r="L1146">
            <v>705673</v>
          </cell>
        </row>
        <row r="1147">
          <cell r="F1147" t="str">
            <v>Goã ñaø neïp coáppha</v>
          </cell>
          <cell r="G1147" t="str">
            <v>m3</v>
          </cell>
          <cell r="H1147">
            <v>0.28000000000000003</v>
          </cell>
          <cell r="I1147">
            <v>0.28000000000000003</v>
          </cell>
          <cell r="J1147">
            <v>2000000</v>
          </cell>
        </row>
        <row r="1148">
          <cell r="F1148" t="str">
            <v>Goã choáng coáppha</v>
          </cell>
          <cell r="G1148" t="str">
            <v>m3</v>
          </cell>
          <cell r="H1148">
            <v>0.55600000000000005</v>
          </cell>
          <cell r="I1148">
            <v>0.55600000000000005</v>
          </cell>
          <cell r="J1148" t="e">
            <v>#N/A</v>
          </cell>
        </row>
        <row r="1149">
          <cell r="F1149" t="str">
            <v>Boulon M16</v>
          </cell>
          <cell r="G1149" t="str">
            <v>caùi</v>
          </cell>
          <cell r="H1149">
            <v>3.8</v>
          </cell>
          <cell r="I1149">
            <v>3.8</v>
          </cell>
          <cell r="J1149">
            <v>25000</v>
          </cell>
        </row>
        <row r="1150">
          <cell r="F1150" t="str">
            <v>Ñinh coáppha</v>
          </cell>
          <cell r="G1150" t="str">
            <v>Kg</v>
          </cell>
          <cell r="H1150">
            <v>6.8</v>
          </cell>
          <cell r="I1150">
            <v>6.8</v>
          </cell>
          <cell r="J1150">
            <v>5300</v>
          </cell>
        </row>
        <row r="1151">
          <cell r="F1151" t="str">
            <v>Ñinh ñóa coáppha</v>
          </cell>
          <cell r="G1151" t="str">
            <v>caùi</v>
          </cell>
          <cell r="H1151">
            <v>15.13</v>
          </cell>
          <cell r="I1151">
            <v>15.13</v>
          </cell>
          <cell r="J1151">
            <v>1500</v>
          </cell>
        </row>
        <row r="1152">
          <cell r="F1152" t="str">
            <v>Daây theùp</v>
          </cell>
          <cell r="G1152" t="str">
            <v>Kg</v>
          </cell>
          <cell r="H1152">
            <v>16.850000000000001</v>
          </cell>
          <cell r="I1152">
            <v>16.850000000000001</v>
          </cell>
          <cell r="J1152">
            <v>5300</v>
          </cell>
        </row>
        <row r="1153">
          <cell r="F1153" t="str">
            <v>Tender F14</v>
          </cell>
          <cell r="G1153" t="str">
            <v>caùi</v>
          </cell>
          <cell r="H1153">
            <v>7.53</v>
          </cell>
          <cell r="I1153">
            <v>7.53</v>
          </cell>
          <cell r="J1153">
            <v>15000</v>
          </cell>
        </row>
        <row r="1154">
          <cell r="F1154" t="str">
            <v>Vaät lieäu khaùc coáppha</v>
          </cell>
          <cell r="G1154" t="str">
            <v>ñoàng</v>
          </cell>
          <cell r="H1154">
            <v>0.01</v>
          </cell>
          <cell r="I1154" t="e">
            <v>#N/A</v>
          </cell>
          <cell r="J1154">
            <v>1</v>
          </cell>
        </row>
        <row r="1155">
          <cell r="F1155" t="str">
            <v>NC 4/7 coáppha</v>
          </cell>
          <cell r="G1155" t="str">
            <v>coâng</v>
          </cell>
          <cell r="H1155">
            <v>52.16</v>
          </cell>
          <cell r="I1155">
            <v>52.16</v>
          </cell>
          <cell r="J1155" t="e">
            <v>#N/A</v>
          </cell>
        </row>
        <row r="1156">
          <cell r="A1156" t="str">
            <v>KP.2110</v>
          </cell>
          <cell r="B1156" t="str">
            <v>KP.2110</v>
          </cell>
          <cell r="C1156" t="str">
            <v>Vaùn khuoân goã coät CKÑS</v>
          </cell>
          <cell r="D1156" t="str">
            <v>100m2</v>
          </cell>
          <cell r="E1156">
            <v>1</v>
          </cell>
          <cell r="F1156" t="str">
            <v>Goã vaùn coáppha</v>
          </cell>
          <cell r="G1156" t="str">
            <v>m3</v>
          </cell>
          <cell r="H1156">
            <v>8.3000000000000004E-2</v>
          </cell>
          <cell r="I1156">
            <v>8.3000000000000004E-2</v>
          </cell>
          <cell r="J1156">
            <v>2100000</v>
          </cell>
          <cell r="K1156">
            <v>234674</v>
          </cell>
          <cell r="L1156">
            <v>356377</v>
          </cell>
        </row>
        <row r="1157">
          <cell r="F1157" t="str">
            <v>Goã ñaø neïp coáppha</v>
          </cell>
          <cell r="G1157" t="str">
            <v>m3</v>
          </cell>
          <cell r="H1157">
            <v>1.5E-3</v>
          </cell>
          <cell r="I1157">
            <v>1.5E-3</v>
          </cell>
          <cell r="J1157">
            <v>2000000</v>
          </cell>
        </row>
        <row r="1158">
          <cell r="F1158" t="str">
            <v>Ñinh coáppha</v>
          </cell>
          <cell r="G1158" t="str">
            <v>Kg</v>
          </cell>
          <cell r="H1158">
            <v>10</v>
          </cell>
          <cell r="I1158">
            <v>10</v>
          </cell>
          <cell r="J1158">
            <v>5300</v>
          </cell>
        </row>
        <row r="1159">
          <cell r="F1159" t="str">
            <v>Vaät lieäu khaùc coáppha</v>
          </cell>
          <cell r="G1159" t="str">
            <v>ñoàng</v>
          </cell>
          <cell r="H1159">
            <v>0.01</v>
          </cell>
          <cell r="I1159">
            <v>2303</v>
          </cell>
          <cell r="J1159">
            <v>1</v>
          </cell>
        </row>
        <row r="1160">
          <cell r="F1160" t="str">
            <v>NC 3.5/7 coáppha</v>
          </cell>
          <cell r="G1160" t="str">
            <v>coâng</v>
          </cell>
          <cell r="H1160">
            <v>28.71</v>
          </cell>
          <cell r="I1160">
            <v>28.71</v>
          </cell>
          <cell r="J1160" t="e">
            <v>#N/A</v>
          </cell>
        </row>
        <row r="1161">
          <cell r="A1161" t="str">
            <v>KP.2210</v>
          </cell>
          <cell r="B1161" t="str">
            <v>KP.2210</v>
          </cell>
          <cell r="C1161" t="str">
            <v>Vaùn khuoân goã daàm CKÑS</v>
          </cell>
          <cell r="D1161" t="str">
            <v>100m2</v>
          </cell>
          <cell r="E1161">
            <v>1</v>
          </cell>
          <cell r="F1161" t="str">
            <v>Goã vaùn coáppha</v>
          </cell>
          <cell r="G1161" t="str">
            <v>m3</v>
          </cell>
          <cell r="H1161">
            <v>8.3000000000000004E-2</v>
          </cell>
          <cell r="I1161">
            <v>8.3000000000000004E-2</v>
          </cell>
          <cell r="J1161">
            <v>2100000</v>
          </cell>
          <cell r="K1161">
            <v>694461</v>
          </cell>
          <cell r="L1161">
            <v>411959</v>
          </cell>
        </row>
        <row r="1162">
          <cell r="F1162" t="str">
            <v>Goã ñaø neïp coáppha</v>
          </cell>
          <cell r="G1162" t="str">
            <v>m3</v>
          </cell>
          <cell r="H1162">
            <v>0.21</v>
          </cell>
          <cell r="I1162">
            <v>0.21</v>
          </cell>
          <cell r="J1162">
            <v>2000000</v>
          </cell>
        </row>
        <row r="1163">
          <cell r="F1163" t="str">
            <v>Ñinh coáppha</v>
          </cell>
          <cell r="G1163" t="str">
            <v>Kg</v>
          </cell>
          <cell r="H1163">
            <v>4.97</v>
          </cell>
          <cell r="I1163">
            <v>4.97</v>
          </cell>
          <cell r="J1163">
            <v>5300</v>
          </cell>
        </row>
        <row r="1164">
          <cell r="F1164" t="str">
            <v>Ñinh ñóa coáppha</v>
          </cell>
          <cell r="G1164" t="str">
            <v>caùi</v>
          </cell>
          <cell r="H1164">
            <v>30</v>
          </cell>
          <cell r="I1164">
            <v>30</v>
          </cell>
          <cell r="J1164">
            <v>1500</v>
          </cell>
        </row>
        <row r="1165">
          <cell r="F1165" t="str">
            <v>Vaät lieäu khaùc coáppha</v>
          </cell>
          <cell r="G1165" t="str">
            <v>ñoàng</v>
          </cell>
          <cell r="H1165">
            <v>0.01</v>
          </cell>
          <cell r="I1165">
            <v>6656.41</v>
          </cell>
          <cell r="J1165">
            <v>1</v>
          </cell>
        </row>
        <row r="1166">
          <cell r="F1166" t="str">
            <v>NC 3.5/7 coáppha</v>
          </cell>
          <cell r="G1166" t="str">
            <v>coâng</v>
          </cell>
          <cell r="H1166">
            <v>31.76</v>
          </cell>
          <cell r="I1166">
            <v>31.76</v>
          </cell>
          <cell r="J1166" t="e">
            <v>#N/A</v>
          </cell>
        </row>
        <row r="1167">
          <cell r="A1167" t="str">
            <v>KP.2310</v>
          </cell>
          <cell r="B1167" t="str">
            <v>KP.2310</v>
          </cell>
          <cell r="C1167" t="str">
            <v>Vaùn khuoân goã ñan, taám chôùp CKÑS</v>
          </cell>
          <cell r="D1167" t="str">
            <v>100m2</v>
          </cell>
          <cell r="E1167">
            <v>1</v>
          </cell>
          <cell r="F1167" t="str">
            <v>Goã vaùn coáppha</v>
          </cell>
          <cell r="G1167" t="str">
            <v>m3</v>
          </cell>
          <cell r="H1167">
            <v>0.123</v>
          </cell>
          <cell r="I1167">
            <v>0.123</v>
          </cell>
          <cell r="J1167">
            <v>2100000</v>
          </cell>
          <cell r="K1167">
            <v>261770</v>
          </cell>
          <cell r="L1167">
            <v>318021</v>
          </cell>
        </row>
        <row r="1168">
          <cell r="F1168" t="str">
            <v>Ñinh coáppha</v>
          </cell>
          <cell r="G1168" t="str">
            <v>Kg</v>
          </cell>
          <cell r="H1168">
            <v>0.16</v>
          </cell>
          <cell r="I1168">
            <v>0.16</v>
          </cell>
          <cell r="J1168">
            <v>5300</v>
          </cell>
        </row>
        <row r="1169">
          <cell r="F1169" t="str">
            <v>Vaät lieäu khaùc coáppha</v>
          </cell>
          <cell r="G1169" t="str">
            <v>ñoàng</v>
          </cell>
          <cell r="H1169">
            <v>0.01</v>
          </cell>
          <cell r="I1169">
            <v>2591.48</v>
          </cell>
          <cell r="J1169">
            <v>1</v>
          </cell>
        </row>
        <row r="1170">
          <cell r="F1170" t="str">
            <v>NC 3/7 coáppha</v>
          </cell>
          <cell r="G1170" t="str">
            <v>coâng</v>
          </cell>
          <cell r="H1170">
            <v>25.62</v>
          </cell>
          <cell r="I1170">
            <v>25.62</v>
          </cell>
          <cell r="J1170" t="e">
            <v>#N/A</v>
          </cell>
        </row>
        <row r="1171">
          <cell r="A1171" t="str">
            <v>CA.4010</v>
          </cell>
          <cell r="B1171" t="str">
            <v>CA.4010</v>
          </cell>
          <cell r="C1171" t="str">
            <v>Laøm töôøng chaén ñaát hoá ñaøo</v>
          </cell>
          <cell r="D1171" t="str">
            <v>100m2</v>
          </cell>
          <cell r="E1171">
            <v>1</v>
          </cell>
          <cell r="F1171" t="str">
            <v>Goã taïp</v>
          </cell>
          <cell r="G1171" t="str">
            <v>m3</v>
          </cell>
          <cell r="H1171">
            <v>0.8</v>
          </cell>
          <cell r="I1171">
            <v>0.8</v>
          </cell>
          <cell r="J1171">
            <v>2000000</v>
          </cell>
          <cell r="K1171">
            <v>1829850</v>
          </cell>
          <cell r="L1171">
            <v>344805</v>
          </cell>
        </row>
        <row r="1172">
          <cell r="F1172" t="str">
            <v>Caây choáng</v>
          </cell>
          <cell r="G1172" t="str">
            <v>caây</v>
          </cell>
          <cell r="H1172">
            <v>45</v>
          </cell>
          <cell r="I1172">
            <v>45</v>
          </cell>
          <cell r="J1172">
            <v>11000</v>
          </cell>
        </row>
        <row r="1173">
          <cell r="F1173" t="str">
            <v>Ñinh coáppha</v>
          </cell>
          <cell r="G1173" t="str">
            <v>Kg</v>
          </cell>
          <cell r="H1173">
            <v>15</v>
          </cell>
          <cell r="I1173">
            <v>15</v>
          </cell>
          <cell r="J1173">
            <v>5300</v>
          </cell>
        </row>
        <row r="1174">
          <cell r="F1174" t="str">
            <v>NC 3/7</v>
          </cell>
          <cell r="G1174" t="str">
            <v>coâng</v>
          </cell>
          <cell r="H1174">
            <v>27.78</v>
          </cell>
          <cell r="I1174">
            <v>27.78</v>
          </cell>
          <cell r="J1174">
            <v>12354.87</v>
          </cell>
        </row>
        <row r="1198">
          <cell r="C1198" t="str">
            <v>COÂNG TAÙC VAÄN CHUYEÅN VAÄT LIEÄU CÖÏ LY 110M NGOAØI PHAÏM VI 30 MEÙT QUI ÑÒNH:</v>
          </cell>
        </row>
        <row r="1199">
          <cell r="A1199" t="str">
            <v>VC.01</v>
          </cell>
          <cell r="C1199" t="str">
            <v>Caùt neàn</v>
          </cell>
          <cell r="D1199" t="str">
            <v>m3</v>
          </cell>
          <cell r="H1199">
            <v>1842</v>
          </cell>
          <cell r="I1199">
            <v>1308</v>
          </cell>
          <cell r="J1199">
            <v>298</v>
          </cell>
          <cell r="L1199">
            <v>6130</v>
          </cell>
        </row>
        <row r="1200">
          <cell r="A1200" t="str">
            <v>VC.02</v>
          </cell>
          <cell r="C1200" t="str">
            <v>Caùt vaøng</v>
          </cell>
          <cell r="D1200" t="str">
            <v>m3</v>
          </cell>
          <cell r="H1200">
            <v>1961</v>
          </cell>
          <cell r="I1200">
            <v>1367</v>
          </cell>
          <cell r="J1200">
            <v>310</v>
          </cell>
          <cell r="L1200">
            <v>6428</v>
          </cell>
        </row>
        <row r="1201">
          <cell r="A1201" t="str">
            <v>VC.15</v>
          </cell>
          <cell r="C1201" t="str">
            <v>Coïc BT 25x25</v>
          </cell>
          <cell r="D1201" t="str">
            <v>m3</v>
          </cell>
          <cell r="H1201">
            <v>5646</v>
          </cell>
          <cell r="I1201">
            <v>2448</v>
          </cell>
          <cell r="J1201">
            <v>1747</v>
          </cell>
          <cell r="L1201">
            <v>25564</v>
          </cell>
        </row>
        <row r="1202">
          <cell r="A1202" t="str">
            <v>VC.19</v>
          </cell>
          <cell r="C1202" t="str">
            <v>Gaïch boâng 20x20</v>
          </cell>
          <cell r="D1202" t="str">
            <v>1000V</v>
          </cell>
          <cell r="H1202">
            <v>3685</v>
          </cell>
          <cell r="I1202">
            <v>950</v>
          </cell>
          <cell r="J1202">
            <v>344</v>
          </cell>
          <cell r="L1202">
            <v>8075</v>
          </cell>
        </row>
        <row r="1203">
          <cell r="A1203" t="str">
            <v>VC.22</v>
          </cell>
          <cell r="C1203" t="str">
            <v>Gaïch Ceramic caùc loaïi</v>
          </cell>
          <cell r="D1203" t="str">
            <v>1000V</v>
          </cell>
          <cell r="H1203">
            <v>2425</v>
          </cell>
          <cell r="I1203">
            <v>535</v>
          </cell>
          <cell r="J1203">
            <v>238</v>
          </cell>
          <cell r="L1203">
            <v>5340</v>
          </cell>
        </row>
        <row r="1204">
          <cell r="A1204" t="str">
            <v>VC.20</v>
          </cell>
          <cell r="C1204" t="str">
            <v>Gaïch ñinh 4x8x19</v>
          </cell>
          <cell r="D1204" t="str">
            <v>1000V</v>
          </cell>
          <cell r="H1204">
            <v>4718</v>
          </cell>
          <cell r="I1204">
            <v>1486</v>
          </cell>
          <cell r="J1204">
            <v>463</v>
          </cell>
          <cell r="L1204">
            <v>10834</v>
          </cell>
        </row>
        <row r="1205">
          <cell r="A1205" t="str">
            <v>VC.21</v>
          </cell>
          <cell r="C1205" t="str">
            <v>Gaïch oáng 8x8x19</v>
          </cell>
          <cell r="D1205" t="str">
            <v>1000V</v>
          </cell>
          <cell r="H1205">
            <v>5420</v>
          </cell>
          <cell r="I1205">
            <v>1711</v>
          </cell>
          <cell r="J1205">
            <v>535</v>
          </cell>
          <cell r="L1205">
            <v>12481</v>
          </cell>
        </row>
        <row r="1206">
          <cell r="A1206" t="str">
            <v>VC.13</v>
          </cell>
          <cell r="C1206" t="str">
            <v>Goã caùc loaïi</v>
          </cell>
          <cell r="D1206" t="str">
            <v>m3</v>
          </cell>
          <cell r="H1206">
            <v>2710</v>
          </cell>
          <cell r="I1206">
            <v>1723</v>
          </cell>
          <cell r="J1206">
            <v>594</v>
          </cell>
          <cell r="L1206">
            <v>10373</v>
          </cell>
        </row>
        <row r="1207">
          <cell r="A1207" t="str">
            <v>VC.07</v>
          </cell>
          <cell r="C1207" t="str">
            <v>Ñaù 1x2 vaø 4x6</v>
          </cell>
          <cell r="D1207" t="str">
            <v>m3</v>
          </cell>
          <cell r="H1207">
            <v>4279</v>
          </cell>
          <cell r="I1207">
            <v>1236</v>
          </cell>
          <cell r="J1207">
            <v>368</v>
          </cell>
          <cell r="L1207">
            <v>9195</v>
          </cell>
        </row>
        <row r="1208">
          <cell r="A1208" t="str">
            <v>VC.18</v>
          </cell>
          <cell r="C1208" t="str">
            <v>Theùp taám</v>
          </cell>
          <cell r="D1208" t="str">
            <v>Taán</v>
          </cell>
          <cell r="H1208">
            <v>4754</v>
          </cell>
          <cell r="I1208">
            <v>2353</v>
          </cell>
          <cell r="J1208">
            <v>1105</v>
          </cell>
          <cell r="L1208">
            <v>18157</v>
          </cell>
        </row>
        <row r="1209">
          <cell r="A1209" t="str">
            <v>VC.17</v>
          </cell>
          <cell r="C1209" t="str">
            <v>Theùp troøn F 10 _ 25 vaø theùp hình caùc loaïi</v>
          </cell>
          <cell r="D1209" t="str">
            <v>Taán</v>
          </cell>
          <cell r="H1209">
            <v>4456</v>
          </cell>
          <cell r="I1209">
            <v>2198</v>
          </cell>
          <cell r="J1209">
            <v>1105</v>
          </cell>
          <cell r="L1209">
            <v>17704</v>
          </cell>
        </row>
        <row r="1210">
          <cell r="A1210" t="str">
            <v>VC.16</v>
          </cell>
          <cell r="C1210" t="str">
            <v>Theùp troøn F 6 _ 8</v>
          </cell>
          <cell r="D1210" t="str">
            <v>Taán</v>
          </cell>
          <cell r="H1210">
            <v>4042</v>
          </cell>
          <cell r="I1210">
            <v>1961</v>
          </cell>
          <cell r="J1210">
            <v>986</v>
          </cell>
          <cell r="L1210">
            <v>15863</v>
          </cell>
        </row>
        <row r="1211">
          <cell r="A1211" t="str">
            <v>VC.09</v>
          </cell>
          <cell r="C1211" t="str">
            <v>Voâi cuïc</v>
          </cell>
          <cell r="D1211" t="str">
            <v>Taán</v>
          </cell>
          <cell r="H1211">
            <v>2852</v>
          </cell>
          <cell r="I1211">
            <v>1129</v>
          </cell>
          <cell r="J1211">
            <v>487</v>
          </cell>
          <cell r="L1211">
            <v>8851</v>
          </cell>
        </row>
        <row r="1212">
          <cell r="A1212" t="str">
            <v>VC.29</v>
          </cell>
          <cell r="C1212" t="str">
            <v>Xi maêng PC 30 vaø XM traéng</v>
          </cell>
          <cell r="D1212" t="str">
            <v>Taán</v>
          </cell>
          <cell r="H1212">
            <v>2198</v>
          </cell>
          <cell r="I1212">
            <v>1129</v>
          </cell>
          <cell r="J1212">
            <v>344</v>
          </cell>
          <cell r="L1212">
            <v>6767</v>
          </cell>
        </row>
        <row r="1213">
          <cell r="A1213" t="str">
            <v>VC.05</v>
          </cell>
          <cell r="C1213" t="str">
            <v>Ñaù traéng nhoû vaø boät ñaù</v>
          </cell>
          <cell r="D1213" t="str">
            <v>Taán</v>
          </cell>
          <cell r="H1213">
            <v>4873</v>
          </cell>
          <cell r="I1213">
            <v>1236</v>
          </cell>
          <cell r="J1213">
            <v>368</v>
          </cell>
          <cell r="L1213">
            <v>9789</v>
          </cell>
        </row>
        <row r="1214">
          <cell r="A1214" t="str">
            <v>VC.26</v>
          </cell>
          <cell r="C1214" t="str">
            <v>Toân caùc loaïi</v>
          </cell>
          <cell r="D1214" t="str">
            <v>100m2</v>
          </cell>
          <cell r="H1214">
            <v>1783</v>
          </cell>
          <cell r="I1214">
            <v>1236</v>
          </cell>
          <cell r="J1214">
            <v>1486</v>
          </cell>
          <cell r="L1214">
            <v>17879</v>
          </cell>
        </row>
      </sheetData>
      <sheetData sheetId="1">
        <row r="1">
          <cell r="B1" t="str">
            <v>BAÛNG PHAÂN TÍCH VAÄT TÖ</v>
          </cell>
        </row>
      </sheetData>
      <sheetData sheetId="2">
        <row r="1">
          <cell r="B1" t="str">
            <v>BAÛNG PHAÂN TÍCH VAÄT TÖ</v>
          </cell>
        </row>
      </sheetData>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xz"/>
      <sheetName val="BG SLAND"/>
      <sheetName val="l7"/>
    </sheetNames>
    <sheetDataSet>
      <sheetData sheetId="0" refreshError="1"/>
      <sheetData sheetId="1" refreshError="1"/>
      <sheetData sheetId="2" refreshError="1">
        <row r="12">
          <cell r="A12" t="str">
            <v>A</v>
          </cell>
        </row>
        <row r="15">
          <cell r="A15">
            <v>1</v>
          </cell>
        </row>
        <row r="16">
          <cell r="A16">
            <v>2</v>
          </cell>
        </row>
        <row r="17">
          <cell r="A17">
            <v>3</v>
          </cell>
        </row>
        <row r="18">
          <cell r="A18">
            <v>4</v>
          </cell>
        </row>
        <row r="19">
          <cell r="A19">
            <v>5</v>
          </cell>
        </row>
        <row r="20">
          <cell r="A20">
            <v>6</v>
          </cell>
        </row>
        <row r="21">
          <cell r="A21">
            <v>7</v>
          </cell>
        </row>
        <row r="22">
          <cell r="A22">
            <v>8</v>
          </cell>
        </row>
        <row r="23">
          <cell r="A23">
            <v>9</v>
          </cell>
        </row>
        <row r="24">
          <cell r="A24">
            <v>10</v>
          </cell>
        </row>
        <row r="25">
          <cell r="A25">
            <v>11</v>
          </cell>
        </row>
        <row r="26">
          <cell r="A26">
            <v>12</v>
          </cell>
        </row>
        <row r="27">
          <cell r="A27">
            <v>13</v>
          </cell>
        </row>
        <row r="28">
          <cell r="A28">
            <v>14</v>
          </cell>
        </row>
        <row r="29">
          <cell r="A29">
            <v>15</v>
          </cell>
        </row>
        <row r="30">
          <cell r="A30">
            <v>16</v>
          </cell>
        </row>
        <row r="32">
          <cell r="A32">
            <v>1</v>
          </cell>
        </row>
        <row r="33">
          <cell r="A33">
            <v>2</v>
          </cell>
        </row>
        <row r="34">
          <cell r="A34">
            <v>3</v>
          </cell>
        </row>
        <row r="35">
          <cell r="A35">
            <v>3</v>
          </cell>
        </row>
        <row r="36">
          <cell r="A36">
            <v>4</v>
          </cell>
        </row>
        <row r="37">
          <cell r="A37">
            <v>5</v>
          </cell>
        </row>
        <row r="38">
          <cell r="A38">
            <v>6</v>
          </cell>
        </row>
        <row r="39">
          <cell r="A39">
            <v>7</v>
          </cell>
        </row>
        <row r="40">
          <cell r="A40">
            <v>8</v>
          </cell>
        </row>
        <row r="41">
          <cell r="A41">
            <v>9</v>
          </cell>
        </row>
        <row r="42">
          <cell r="A42">
            <v>10</v>
          </cell>
        </row>
        <row r="43">
          <cell r="A43">
            <v>11</v>
          </cell>
        </row>
        <row r="44">
          <cell r="A44">
            <v>12</v>
          </cell>
        </row>
        <row r="45">
          <cell r="A45">
            <v>13</v>
          </cell>
        </row>
        <row r="46">
          <cell r="A46">
            <v>14</v>
          </cell>
        </row>
        <row r="47">
          <cell r="A47">
            <v>15</v>
          </cell>
        </row>
        <row r="48">
          <cell r="A48">
            <v>16</v>
          </cell>
        </row>
        <row r="49">
          <cell r="A49">
            <v>17</v>
          </cell>
        </row>
        <row r="50">
          <cell r="A50">
            <v>18</v>
          </cell>
        </row>
        <row r="51">
          <cell r="A51">
            <v>19</v>
          </cell>
        </row>
        <row r="52">
          <cell r="A52">
            <v>20</v>
          </cell>
        </row>
        <row r="53">
          <cell r="A53">
            <v>21</v>
          </cell>
        </row>
        <row r="54">
          <cell r="A54">
            <v>22</v>
          </cell>
        </row>
        <row r="55">
          <cell r="A55">
            <v>23</v>
          </cell>
        </row>
        <row r="56">
          <cell r="A56">
            <v>24</v>
          </cell>
        </row>
        <row r="57">
          <cell r="A57">
            <v>25</v>
          </cell>
        </row>
        <row r="58">
          <cell r="A58">
            <v>26</v>
          </cell>
        </row>
        <row r="59">
          <cell r="A59">
            <v>27</v>
          </cell>
        </row>
        <row r="61">
          <cell r="A61">
            <v>1</v>
          </cell>
        </row>
        <row r="62">
          <cell r="A62">
            <v>2</v>
          </cell>
        </row>
        <row r="63">
          <cell r="A63">
            <v>3</v>
          </cell>
        </row>
        <row r="64">
          <cell r="A64">
            <v>4</v>
          </cell>
        </row>
        <row r="65">
          <cell r="A65">
            <v>5</v>
          </cell>
        </row>
        <row r="66">
          <cell r="A66">
            <v>6</v>
          </cell>
        </row>
        <row r="67">
          <cell r="A67">
            <v>7</v>
          </cell>
        </row>
        <row r="68">
          <cell r="A68">
            <v>8</v>
          </cell>
        </row>
        <row r="69">
          <cell r="A69">
            <v>9</v>
          </cell>
        </row>
        <row r="70">
          <cell r="A70">
            <v>10</v>
          </cell>
        </row>
        <row r="71">
          <cell r="A71">
            <v>11</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G"/>
      <sheetName val="BG ĐC MD KLB"/>
    </sheetNames>
    <sheetDataSet>
      <sheetData sheetId="0">
        <row r="13">
          <cell r="C13" t="str">
            <v>Cửa gió nan KT 4500x1000
尺寸50x50箱钢门框、Z形条系，75mm宽铝合金，各条均匀间隔 40mm，同步配件，浅灰色面漆
khung cửa thép hộp KT50x50, hệ nan chữ Z hợp kim nhôm rộng 75mm, các nan cách đều 40mm, phụ kiện đồng bộ, sơn dầu hoàn thiện màu xám nhạt</v>
          </cell>
          <cell r="L13" t="str">
            <v>個
Cái</v>
          </cell>
          <cell r="M13">
            <v>61</v>
          </cell>
        </row>
        <row r="14">
          <cell r="C14" t="str">
            <v>Cửa gió nan KT 4500x800
尺寸50x50箱钢门框、Z形条系，75mm宽铝合金，各条均匀间隔 40mm，同步配件，浅灰色面漆
khung cửa thép hộp KT50x50, hệ nan chữ Z hợp kim nhôm rộng 75mm, các nan cách đều 40mm, phụ kiện đồng bộ, sơn dầu hoàn thiện màu xám nhạt</v>
          </cell>
          <cell r="L14" t="str">
            <v>個
Cái</v>
          </cell>
          <cell r="M14">
            <v>0</v>
          </cell>
        </row>
        <row r="15">
          <cell r="C15" t="str">
            <v>Cửa gió nan KT 4500x700
尺寸50x50箱钢门框、Z形条系，75mm宽铝合金，各条均匀间隔 40mm，同步配件，浅灰色面漆
khung cửa thép hộp KT50x50, hệ nan chữ Z hợp kim nhôm rộng 75mm, các nan cách đều 40mm, phụ kiện đồng bộ, sơn dầu hoàn thiện màu xám nhạt</v>
          </cell>
          <cell r="L15" t="str">
            <v>個
Cái</v>
          </cell>
          <cell r="M15">
            <v>11</v>
          </cell>
        </row>
        <row r="16">
          <cell r="C16" t="str">
            <v>Cửa gió nan KT 2500x1800
尺寸50x50箱钢门框、Z形条系，75mm宽铝合金，各条均匀间隔 40mm，同步配件，浅灰色面漆
khung cửa thép hộp KT50x50, hệ nan chữ Z hợp kim nhôm rộng 75mm, các nan cách đều 40mm, phụ kiện đồng bộ, sơn dầu hoàn thiện màu xám nhạt</v>
          </cell>
          <cell r="L16" t="str">
            <v>個
Cái</v>
          </cell>
          <cell r="M16">
            <v>10</v>
          </cell>
        </row>
        <row r="17">
          <cell r="C17" t="str">
            <v>Cửa gió nan KT 2000x2000
尺寸50x50箱钢门框、Z形条系，75mm宽铝合金，各条均匀间隔 40mm，同步配件，浅灰色面漆
khung cửa thép hộp KT50x50, hệ nan chữ Z hợp kim nhôm rộng 75mm, các nan cách đều 40mm, phụ kiện đồng bộ, sơn dầu hoàn thiện màu xám nhạt</v>
          </cell>
          <cell r="L17" t="str">
            <v>個
Cái</v>
          </cell>
          <cell r="M17">
            <v>5</v>
          </cell>
        </row>
        <row r="18">
          <cell r="C18" t="str">
            <v>Cửa gió nan KT 2000x1800
尺寸50x50箱钢门框、Z形条系，75mm宽铝合金，各条均匀间隔 40mm，同步配件，浅灰色面漆
khung cửa thép hộp KT50x50, hệ nan chữ Z hợp kim nhôm rộng 75mm, các nan cách đều 40mm, phụ kiện đồng bộ, sơn dầu hoàn thiện màu xám nhạt</v>
          </cell>
          <cell r="L18" t="str">
            <v>個
Cái</v>
          </cell>
          <cell r="M18">
            <v>2</v>
          </cell>
        </row>
        <row r="19">
          <cell r="C19" t="str">
            <v>Cửa gió nan KT 2000x1000
尺寸50x50箱钢门框、Z形条系，75mm宽铝合金，各条均匀间隔 40mm，同步配件，浅灰色面漆
khung cửa thép hộp KT50x50, hệ nan chữ Z hợp kim nhôm rộng 75mm, các nan cách đều 40mm, phụ kiện đồng bộ, sơn dầu hoàn thiện màu xám nhạt</v>
          </cell>
          <cell r="L19" t="str">
            <v>個
Cái</v>
          </cell>
          <cell r="M19">
            <v>7</v>
          </cell>
        </row>
        <row r="20">
          <cell r="C20" t="str">
            <v>Cửa gió nan KT 1500x1500
尺寸50x50箱钢门框、Z形条系，75mm宽铝合金，各条均匀间隔 40mm，同步配件，浅灰色面漆
khung cửa thép hộp KT50x50, hệ nan chữ Z hợp kim nhôm rộng 75mm, các nan cách đều 40mm, phụ kiện đồng bộ, sơn dầu hoàn thiện màu xám nhạt</v>
          </cell>
          <cell r="L20" t="str">
            <v>個
Cái</v>
          </cell>
          <cell r="M20">
            <v>26</v>
          </cell>
        </row>
        <row r="21">
          <cell r="C21" t="str">
            <v>Cửa gió nan KT 1000x1000
尺寸50x50箱钢门框、Z形条系，75mm宽铝合金，各条均匀间隔 40mm，同步配件，浅灰色面漆
khung cửa thép hộp KT50x50, hệ nan chữ Z hợp kim nhôm rộng 75mm, các nan cách đều 40mm, phụ kiện đồng bộ, sơn dầu hoàn thiện màu xám nhạt</v>
          </cell>
          <cell r="L21" t="str">
            <v>個
Cái</v>
          </cell>
          <cell r="M21">
            <v>12</v>
          </cell>
        </row>
        <row r="22">
          <cell r="C22" t="str">
            <v>Cửa gió nan KT 1000x700
尺寸50x50箱钢门框、Z形条系，75mm宽铝合金，各条均匀间隔 40mm，同步配件，浅灰色面漆
khung cửa thép hộp KT50x50, hệ nan chữ Z hợp kim nhôm rộng 75mm, các nan cách đều 40mm, phụ kiện đồng bộ, sơn dầu hoàn thiện màu xám nhạt</v>
          </cell>
          <cell r="L22" t="str">
            <v>個
Cái</v>
          </cell>
          <cell r="M22">
            <v>37</v>
          </cell>
        </row>
        <row r="23">
          <cell r="C23" t="str">
            <v>Cửa gió nan KT 800x1500
尺寸50x50箱钢门框、Z形条系，75mm宽铝合金，各条均匀间隔 40mm，同步配件，浅灰色面漆
khung cửa thép hộp KT50x50, hệ nan chữ Z hợp kim nhôm rộng 75mm, các nan cách đều 40mm, phụ kiện đồng bộ, sơn dầu hoàn thiện màu xám nhạt</v>
          </cell>
          <cell r="L23" t="str">
            <v>個
Cái</v>
          </cell>
          <cell r="M23">
            <v>1</v>
          </cell>
        </row>
        <row r="24">
          <cell r="C24" t="str">
            <v>風門含SEG 1200x600+OBD 流量調節閥含配件及安裝Cửa gió kèm van điều chỉnh lưu lượng SEG 1200x600+OBD Bao gồm nhân công phụ kiện lắp đặt</v>
          </cell>
          <cell r="L24" t="str">
            <v>個
Cái</v>
          </cell>
          <cell r="M24">
            <v>164</v>
          </cell>
        </row>
        <row r="25">
          <cell r="C25" t="str">
            <v>風門含SEG 600x600+OBD 流量調節閥含配件及安裝Cửa gió kèm van điều chỉnh lưu lượng SEG 600x600+OBD Bao gồm nhân công phụ kiện lắp đặt</v>
          </cell>
          <cell r="L25" t="str">
            <v>個
Cái</v>
          </cell>
          <cell r="M25">
            <v>14</v>
          </cell>
        </row>
        <row r="26">
          <cell r="C26" t="str">
            <v>風門含PAG 500x500 流量調節閥含配件及安裝 Cửa gió kèm van điều chỉnh lưu lượng PAG 500x500 Bao gồm nhân công phụ kiện lắp đặt</v>
          </cell>
          <cell r="L26" t="str">
            <v>Cái
個</v>
          </cell>
          <cell r="M26">
            <v>42</v>
          </cell>
        </row>
        <row r="27">
          <cell r="C27" t="str">
            <v xml:space="preserve">空調鍍鋅鐵皮排風管 1400x700mm, δ=1.15mm 含製作及安裝
Ống thoát gió bằng tôn mạ kẽm 1400x700mm , δ=1.15mm bao gồm gia công chế tạo và lắp đặt. </v>
          </cell>
          <cell r="L27" t="str">
            <v>m2</v>
          </cell>
          <cell r="M27">
            <v>1560</v>
          </cell>
        </row>
        <row r="28">
          <cell r="C28" t="str">
            <v xml:space="preserve">空調鍍鋅鐵皮排風管 1400x500mm, δ=1.15mm 含製作及安裝
Ống thoát gió bằng tôn mạ kẽm 1400x500mm , δ=1.15mm bao gồm gia công chế tạo và lắp đặt. </v>
          </cell>
          <cell r="L28" t="str">
            <v>m2</v>
          </cell>
          <cell r="M28">
            <v>32</v>
          </cell>
        </row>
        <row r="29">
          <cell r="C29" t="str">
            <v xml:space="preserve">空調鍍鋅鐵皮排風管 1000x600mm, δ=1.15mm 含製作及安裝
Ống thoát gió bằng tôn mạ kẽm 1000x600mm , δ=1.15mm bao gồm gia công chế tạo và lắp đặt. </v>
          </cell>
          <cell r="L29" t="str">
            <v>m2</v>
          </cell>
          <cell r="M29">
            <v>863</v>
          </cell>
        </row>
        <row r="30">
          <cell r="C30" t="str">
            <v xml:space="preserve">空調鍍鋅鐵皮排風管 1000x500mm, δ=1.15mm 含製作及安裝
Ống thoát gió bằng tôn mạ kẽm 1000x500mm , δ=1.15mm bao gồm gia công chế tạo và lắp đặt. </v>
          </cell>
          <cell r="L30" t="str">
            <v>m2</v>
          </cell>
          <cell r="M30">
            <v>144</v>
          </cell>
        </row>
        <row r="31">
          <cell r="C31" t="str">
            <v xml:space="preserve">空調鍍鋅鐵皮排風管 1000x350mm, δ=1.15mm 含製作及安裝
Ống thoát gió bằng tôn mạ kẽm 1000x350mm , δ=1.15mm bao gồm gia công chế tạo và lắp đặt. </v>
          </cell>
          <cell r="L31" t="str">
            <v>m2</v>
          </cell>
          <cell r="M31">
            <v>116</v>
          </cell>
        </row>
        <row r="32">
          <cell r="C32" t="str">
            <v xml:space="preserve">空調鍍鋅鐵皮排風管 600x600mm, δ=0.75mm 含製作及安裝
Ống thoát gió bằng tôn mạ kẽm 600x600mm , δ=0.75mm bao gồm gia công chế tạo và lắp đặt. </v>
          </cell>
          <cell r="L32" t="str">
            <v>m2</v>
          </cell>
          <cell r="M32">
            <v>539</v>
          </cell>
        </row>
        <row r="33">
          <cell r="C33" t="str">
            <v xml:space="preserve">空調鍍鋅鐵皮排風管 500x500mm, δ=0.75mm 含製作及安裝
Ống thoát gió bằng tôn mạ kẽm 500x500mm , δ=0.75mm bao gồm gia công chế tạo và lắp đặt. </v>
          </cell>
          <cell r="L33" t="str">
            <v>m2</v>
          </cell>
          <cell r="M33">
            <v>54</v>
          </cell>
        </row>
        <row r="34">
          <cell r="C34" t="str">
            <v>空調鍍鋅鐵皮排風管1200x400mm EI45, 含製作及安裝 （含越南消防及救護-救難警察局檢定費用）
Ống thoát gió bằng tôn mạ kẽm 1200x400mm, EI45,bao gồm gia công chế tạo và lắp đặt. （Bao gồm chi phí kiểm định của cục cảnh sát pccc &amp; CNCH Việt Nam)</v>
          </cell>
          <cell r="L34" t="str">
            <v>m2</v>
          </cell>
          <cell r="M34">
            <v>6703</v>
          </cell>
        </row>
        <row r="35">
          <cell r="C35" t="str">
            <v>空調鍍鋅鐵皮排風管1600x400mm ,EI45, 含製作及安裝 （含越南消防及救護-救難警察局檢定費用）
Ống thoát gió bằng tôn mạ kẽm 1600x400mm, EI45,  bao gồm gia công chế tạo và lắp đặt. （Bao gồm chi phí kiểm định của cục cảnh sát pccc &amp; CNCH Việt Nam)</v>
          </cell>
          <cell r="L35" t="str">
            <v>m2</v>
          </cell>
          <cell r="M35">
            <v>88</v>
          </cell>
        </row>
        <row r="36">
          <cell r="C36" t="str">
            <v>空調鍍鋅鐵皮排風管1800x400mm EI45,  含製作及安裝 （含越南消防及救護-救難警察局檢定費用）
Ống thoát gió bằng tôn mạ kẽm 1800x400mm, EI45,  bao gồm gia công chế tạo và lắp đặt. （Bao gồm chi phí kiểm định của cục cảnh sát pccc &amp; CNCH Việt Nam)</v>
          </cell>
          <cell r="L36" t="str">
            <v>m2</v>
          </cell>
          <cell r="M36">
            <v>1235</v>
          </cell>
        </row>
        <row r="37">
          <cell r="C37" t="str">
            <v>空調鍍鋅鐵皮排風管2000x400mm EI45, 含製作及安裝 （含越南消防及救護-救難警察局檢定費用）
Ống thoát gió bằng tôn mạ kẽm 2000x400mm, EI45, bao gồm gia công chế tạo và lắp đặt. （Bao gồm chi phí kiểm định của cục cảnh sát pccc &amp; CNCH Việt Nam)</v>
          </cell>
          <cell r="L37" t="str">
            <v>m2</v>
          </cell>
          <cell r="M37">
            <v>5200</v>
          </cell>
        </row>
        <row r="38">
          <cell r="C38" t="str">
            <v>空調鍍鋅鐵皮排風管1500x500mm EI30, 含製作及安裝 （含越南消防及救護-救難警察局檢定費用）
Ống thoát gió bằng tôn mạ kẽm 1500x500mm, EI30, bao gồm gia công chế tạo và lắp đặt. （Bao gồm chi phí kiểm định của cục cảnh sát pccc &amp; CNCH Việt Nam)</v>
          </cell>
          <cell r="L38" t="str">
            <v>m2</v>
          </cell>
          <cell r="M38">
            <v>570</v>
          </cell>
        </row>
        <row r="39">
          <cell r="C39" t="str">
            <v>空調鍍鋅鐵皮排風管500x500mm EI30, 含製作及安裝 （含越南消防及救護-救難警察局檢定費用）
Ống thoát gió bằng tôn mạ kẽm 500x500mm, EI30, bao gồm gia công chế tạo và lắp đặt. （Bao gồm chi phí kiểm định của cục cảnh sát pccc &amp; CNCH Việt Nam)</v>
          </cell>
          <cell r="L39" t="str">
            <v>m2</v>
          </cell>
          <cell r="M39">
            <v>39</v>
          </cell>
        </row>
        <row r="40">
          <cell r="C40" t="str">
            <v>空調鍍鋅鐵皮排風管700x350mm EI30, 含製作及安裝 （含越南消防及救護-救難警察局檢定費用）
Ống thoát gió bằng tôn mạ kẽm 700x350mm, EI30, bao gồm gia công chế tạo và lắp đặt. （Bao gồm chi phí kiểm định của cục cảnh sát pccc &amp; CNCH Việt Nam)</v>
          </cell>
          <cell r="L40" t="str">
            <v>m2</v>
          </cell>
          <cell r="M40">
            <v>476</v>
          </cell>
        </row>
        <row r="41">
          <cell r="C41" t="str">
            <v>空調鍍鋅鐵皮排風管1000x350mm EI30, 含製作及安裝 （含越南消防及救護-救難警察局檢定費用）
Ống thoát gió bằng tôn mạ kẽm 1000x350mm, EI30, bao gồm gia công chế tạo và lắp đặt. （Bao gồm chi phí kiểm định của cục cảnh sát pccc &amp; CNCH Việt Nam)</v>
          </cell>
          <cell r="L41" t="str">
            <v>m2</v>
          </cell>
          <cell r="M41">
            <v>232</v>
          </cell>
        </row>
        <row r="42">
          <cell r="C42" t="str">
            <v>大小頭、彎頭、三通等連接配件，含安裝Phụ kiện kết nối côn, cút, tê…. bao gồm lắp đặt</v>
          </cell>
          <cell r="L42" t="str">
            <v>Khoản
式</v>
          </cell>
          <cell r="M42">
            <v>1</v>
          </cell>
        </row>
        <row r="43">
          <cell r="C43" t="str">
            <v>MFD單葉閥2000x400 ，on/off DC 24v電動機, EI45
Van MFD 1 lá 2000x400, động cơ điện on/off DC 24v, EI45</v>
          </cell>
          <cell r="L43" t="str">
            <v>Cái
個</v>
          </cell>
          <cell r="M43">
            <v>49</v>
          </cell>
        </row>
        <row r="44">
          <cell r="C44" t="str">
            <v>MFD單葉閥1200x400 ，on/off DC 24v電動機, EI45
Van MFD 1 lá 1200x400, động cơ điện on/off DC 24v, EI45</v>
          </cell>
          <cell r="L44" t="str">
            <v>Cái
個</v>
          </cell>
          <cell r="M44">
            <v>8</v>
          </cell>
        </row>
        <row r="45">
          <cell r="C45" t="str">
            <v>MFD單葉閥1000x350 ，on/off DC 24v電動機, EI45
Van MFD 1 lá 1000x350, động cơ điện on/off DC 24v, EI45</v>
          </cell>
          <cell r="L45" t="str">
            <v>Cái
個</v>
          </cell>
          <cell r="M45">
            <v>7</v>
          </cell>
        </row>
        <row r="46">
          <cell r="C46" t="str">
            <v>MD單葉閥4500x1000 ，on/off DC 24v電動機
Van MD 1 lá 4500x1000, động cơ điện on/off DC 24v</v>
          </cell>
          <cell r="L46" t="str">
            <v>Cái
個</v>
          </cell>
          <cell r="M46">
            <v>61</v>
          </cell>
        </row>
        <row r="47">
          <cell r="C47" t="str">
            <v>MD單葉閥4500x900 ，on/off DC 24v電動機
Van MD 1 lá 4500x900, động cơ điện on/off DC 24v</v>
          </cell>
          <cell r="L47" t="str">
            <v>Cái
個</v>
          </cell>
          <cell r="M47">
            <v>0</v>
          </cell>
        </row>
        <row r="48">
          <cell r="C48" t="str">
            <v>MD單葉閥4500x700 ，on/off DC 24v電動機
Van MD 1 lá 4500x700, động cơ điện on/off DC 24v</v>
          </cell>
          <cell r="L48" t="str">
            <v>Cái
個</v>
          </cell>
          <cell r="M48">
            <v>11</v>
          </cell>
        </row>
        <row r="49">
          <cell r="C49" t="str">
            <v>MD單葉閥2500x1800 ，on/off DC 24v電動機
Van MD 1 lá 2500x1800, động cơ điện on/off DC 24v</v>
          </cell>
          <cell r="L49" t="str">
            <v>Cái
個</v>
          </cell>
          <cell r="M49">
            <v>10</v>
          </cell>
        </row>
        <row r="50">
          <cell r="C50" t="str">
            <v>MD單葉閥2000x2000 ，on/off DC 24v電動機
Van MD 1 lá 2000x2000, động cơ điện on/off DC 24v</v>
          </cell>
          <cell r="L50" t="str">
            <v>Cái
個</v>
          </cell>
          <cell r="M50">
            <v>5</v>
          </cell>
        </row>
        <row r="51">
          <cell r="C51" t="str">
            <v>MD單葉閥2000x1800 ，on/off DC 24v電動機
Van MD 1 lá 2000x1800, động cơ điện on/off DC 24v</v>
          </cell>
          <cell r="L51" t="str">
            <v>Cái
個</v>
          </cell>
          <cell r="M51">
            <v>2</v>
          </cell>
        </row>
        <row r="52">
          <cell r="C52" t="str">
            <v>MD單葉閥2000x1000 ，on/off DC 24v電動機
Van MD 1 lá 2000x1000, động cơ điện on/off DC 24v</v>
          </cell>
          <cell r="L52" t="str">
            <v>Cái
個</v>
          </cell>
          <cell r="M52">
            <v>7</v>
          </cell>
        </row>
        <row r="53">
          <cell r="C53" t="str">
            <v>MD單葉閥1500x1500 ，on/off DC 24v電動機
Van MD 1 lá 1500x1500, động cơ điện on/off DC 24v</v>
          </cell>
          <cell r="L53" t="str">
            <v>Cái
個</v>
          </cell>
          <cell r="M53">
            <v>26</v>
          </cell>
        </row>
        <row r="54">
          <cell r="C54" t="str">
            <v>MD單葉閥1000x1000 ，on/off DC 24v電動機
Van MD 1 lá 1000x1000, động cơ điện on/off DC 24v</v>
          </cell>
          <cell r="L54" t="str">
            <v>Cái
個</v>
          </cell>
          <cell r="M54">
            <v>12</v>
          </cell>
        </row>
        <row r="55">
          <cell r="C55" t="str">
            <v>MD單葉閥1000x700 ，on/off DC 24v電動機
Van MD 1 lá 1000x700, động cơ điện on/off DC 24v</v>
          </cell>
          <cell r="L55" t="str">
            <v>Cái
個</v>
          </cell>
          <cell r="M55">
            <v>37</v>
          </cell>
        </row>
        <row r="56">
          <cell r="C56" t="str">
            <v>MD單葉閥800x1500 ，on/off DC 24v電動機
Van MD 1 lá 800x1500, động cơ điện on/off DC 24v</v>
          </cell>
          <cell r="L56" t="str">
            <v>Cái
個</v>
          </cell>
          <cell r="M56">
            <v>1</v>
          </cell>
        </row>
        <row r="57">
          <cell r="C57" t="str">
            <v>1800×1000止回阀安装 Van 1 chiều 1800x1000</v>
          </cell>
          <cell r="L57" t="str">
            <v>Cái
個</v>
          </cell>
          <cell r="M57">
            <v>9</v>
          </cell>
        </row>
        <row r="58">
          <cell r="C58" t="str">
            <v>单向止回风阀（NRD）1400×500 mm Van 1 chiều NRD 1400x500</v>
          </cell>
          <cell r="L58" t="str">
            <v>Cái
個</v>
          </cell>
          <cell r="M58">
            <v>7</v>
          </cell>
        </row>
        <row r="59">
          <cell r="C59" t="str">
            <v>1000×500配重式泄压阀安装 Van xả áp kiểu đối trọng KT:1000x500</v>
          </cell>
          <cell r="L59" t="str">
            <v>Cái
個</v>
          </cell>
          <cell r="M59">
            <v>21</v>
          </cell>
        </row>
        <row r="60">
          <cell r="C60" t="str">
            <v>手動抽煙啟動按鈕。含安裝及與監控模塊鏈接配件
Nút ấn khởi động hút khói bằng tay (testing). Bao gồm nhân công lắp đặt, phụ kiện liên kết</v>
          </cell>
          <cell r="L60" t="str">
            <v>個
Cái</v>
          </cell>
          <cell r="M60">
            <v>37</v>
          </cell>
        </row>
        <row r="61">
          <cell r="C61" t="str">
            <v>L50x50x5mm吊架，含製造與施工（含一道底漆，及兩道乳白色面漆）
Giá treo L50x50x5mm bao gồm chế tạo và thi công ( gồm sơn 1 lớp sơn lót và 2 lớp sơn phủ màu sữa)</v>
          </cell>
          <cell r="L61" t="str">
            <v>套
Bộ</v>
          </cell>
          <cell r="M61">
            <v>2577</v>
          </cell>
        </row>
        <row r="62">
          <cell r="C62" t="str">
            <v>Khớp nối mềm kèm bích đầu quạt Bao gồm nhân công phụ kiện lắp đặt
軟接頭含抽煙機頭法蘭。含配件及安裝</v>
          </cell>
          <cell r="L62" t="str">
            <v>個
Cái</v>
          </cell>
          <cell r="M62">
            <v>58</v>
          </cell>
        </row>
        <row r="63">
          <cell r="C63" t="str">
            <v>Cửa gió louver thải khói + lưới chắn côn trùng 1800x1000
louver風門排煙+擋昆蟲網1800x1000</v>
          </cell>
          <cell r="L63" t="str">
            <v>個
Cái</v>
          </cell>
          <cell r="M63">
            <v>9</v>
          </cell>
        </row>
        <row r="64">
          <cell r="C64" t="str">
            <v>Cửa gió louver thải khói + lưới chắn côn trùng 1400x500
louver風門排煙+擋昆蟲網1400x500</v>
          </cell>
          <cell r="L64" t="str">
            <v>個
Cái</v>
          </cell>
          <cell r="M64">
            <v>9</v>
          </cell>
        </row>
        <row r="65">
          <cell r="C65" t="str">
            <v>Cửa gió louver thải khói + lưới chắn côn trùng 1000x600
louver風門排煙+擋昆蟲網1000x600</v>
          </cell>
          <cell r="L65" t="str">
            <v>個
Cái</v>
          </cell>
          <cell r="M65">
            <v>6</v>
          </cell>
        </row>
        <row r="66">
          <cell r="C66" t="str">
            <v>Cửa gió louver thải khói + lưới chắn côn trùng 1000x500
louver風門排煙+擋昆蟲網1000x500</v>
          </cell>
          <cell r="L66" t="str">
            <v>個
Cái</v>
          </cell>
          <cell r="M66">
            <v>13</v>
          </cell>
        </row>
        <row r="67">
          <cell r="C67" t="str">
            <v>Côn thu đầu quạt 1400x700/DQ-L800. Bao gồm nhân công lắp đặt, phụ kiện bích nối, zoăng làm kín, kẹp C, bulong+ốc+long đen
 1400x700/DQ-L800抽煙機頭變徑。含安裝及鏈接法蘭、墊圈、C夾、螺栓螺絲等</v>
          </cell>
          <cell r="L67" t="str">
            <v>個
Cái</v>
          </cell>
          <cell r="M67">
            <v>9</v>
          </cell>
        </row>
        <row r="68">
          <cell r="C68" t="str">
            <v>Côn thu đầu quạt 1400x500/DQ-L800. Bao gồm nhân công lắp đặt, phụ kiện bích nối, zoăng làm kín, kẹp C, bulong+ốc+long đen
 1400x500/DQ-L800抽煙機頭變徑。含安裝及鏈接法蘭、墊圈、C夾、螺栓螺絲等</v>
          </cell>
          <cell r="L68" t="str">
            <v>個
Cái</v>
          </cell>
          <cell r="M68">
            <v>4</v>
          </cell>
        </row>
        <row r="69">
          <cell r="C69" t="str">
            <v>Côn thu đầu quạt 1000x350/DQ-L800. Bao gồm nhân công lắp đặt, phụ kiện bích nối, zoăng làm kín, kẹp C, bulong+ốc+long đen
 1000x350/DQ-L800抽煙機頭變徑。含安裝及鏈接法蘭、墊圈、C夾、螺栓螺絲等</v>
          </cell>
          <cell r="L69" t="str">
            <v>個
Cái</v>
          </cell>
          <cell r="M69">
            <v>7</v>
          </cell>
        </row>
        <row r="70">
          <cell r="C70" t="str">
            <v>Côn thu đầu quạt 1000x600/DQ-L800. Bao gồm nhân công lắp đặt, phụ kiện bích nối, zoăng làm kín, kẹp C, bulong+ốc+long đen
 1000x600/DQ-L800抽煙機頭變徑。含安裝及鏈接法蘭、墊圈、C夾、螺栓螺絲等</v>
          </cell>
          <cell r="L70" t="str">
            <v>個
Cái</v>
          </cell>
          <cell r="M70">
            <v>12</v>
          </cell>
        </row>
        <row r="71">
          <cell r="C71" t="str">
            <v>Côn thu đầu quạt 1000x500/DQ-L800. Bao gồm nhân công lắp đặt, phụ kiện bích nối, zoăng làm kín, kẹp C, bulong+ốc+long đen
 1000x500/DQ-L800抽煙機頭變徑。含安裝及鏈接法蘭、墊圈、C夾、螺栓螺絲等</v>
          </cell>
          <cell r="L71" t="str">
            <v>個
Cái</v>
          </cell>
          <cell r="M71">
            <v>26</v>
          </cell>
        </row>
        <row r="72">
          <cell r="C72" t="str">
            <v>D820排风帽（带防虫网）制作与安装. Chụp thải gió kèm lưới chắn côn trùng D820</v>
          </cell>
          <cell r="L72" t="str">
            <v>個
Cái</v>
          </cell>
          <cell r="M72">
            <v>12</v>
          </cell>
        </row>
        <row r="73">
          <cell r="C73" t="str">
            <v>Cút 90 độ 1800x1000R1000. Bao gồm nhân công lắp đặt, phụ kiện bích nối, zoăng làm kín, kẹp C, bulong+ốc+long đen
1800x1000R1000 90度彎頭含安裝及鏈接法蘭、墊圈、C夾、螺栓螺絲等</v>
          </cell>
          <cell r="L73" t="str">
            <v>個
Cái</v>
          </cell>
          <cell r="M73">
            <v>9</v>
          </cell>
        </row>
        <row r="74">
          <cell r="C74" t="str">
            <v>45°弯头（1800×1000，TDC法兰）+ 304不锈钢防虫网（4–6mm），板厚0.95mm.  Cút 45 độ KT: 1800x1000 - TDC+Lưới chắn côn trùng inox 304 (mắt lưới 4-6mm), chiều dày tôn 0,95mm</v>
          </cell>
          <cell r="L74" t="str">
            <v>個
Cái</v>
          </cell>
          <cell r="M74">
            <v>9</v>
          </cell>
        </row>
        <row r="75">
          <cell r="C75" t="str">
            <v>Cút 90 độ 1400x500R500. Bao gồm nhân công lắp đặt, phụ kiện bích nối, zoăng làm kín, kẹp C, bulong+ốc+long đen
1400x500R500 90度彎頭含安裝及鏈接法蘭、墊圈、C夾、螺栓螺絲等</v>
          </cell>
          <cell r="L75" t="str">
            <v>個
Cái</v>
          </cell>
          <cell r="M75">
            <v>7</v>
          </cell>
        </row>
        <row r="76">
          <cell r="C76" t="str">
            <v>45°弯头（1400x500，TDC法兰）+ 304不锈钢防虫网（4–6mm），板厚0.95mm. Cút 45 độ KT: 1400x500 - TDC+Lưới chắn côn trùng inox 304 (mắt lưới 4-6mm), chiều dày tôn 0,95mm</v>
          </cell>
          <cell r="L76" t="str">
            <v>個
Cái</v>
          </cell>
          <cell r="M76">
            <v>7</v>
          </cell>
        </row>
        <row r="77">
          <cell r="C77" t="str">
            <v>Cút 90 độ 1000x500R500. Bao gồm nhân công lắp đặt, phụ kiện bích nối, zoăng làm kín, kẹp C, bulong+ốc+long đen
1000x500R500 90度彎頭含安裝及鏈接法蘭、墊圈、C夾、螺栓螺絲等</v>
          </cell>
          <cell r="L77" t="str">
            <v>個
Cái</v>
          </cell>
          <cell r="M77">
            <v>0</v>
          </cell>
        </row>
      </sheetData>
      <sheetData sheetId="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LB 24V"/>
      <sheetName val="BG"/>
    </sheetNames>
    <sheetDataSet>
      <sheetData sheetId="0" refreshError="1"/>
      <sheetData sheetId="1">
        <row r="13">
          <cell r="C13" t="str">
            <v>百叶风口 4700x1500 Cửa Louver KT 4700x1500
尺寸50x50箱钢门框、Z形条系，75mm宽铝合金，各条均匀间隔 40mm，同步配件，浅灰色面漆
khung cửa thép hộp KT50x50, hệ nan chữ Z hợp kim nhôm rộng 75mm, các nan cách đều 40mm, phụ kiện đồng bộ, sơn dầu hoàn thiện màu xám nhạt</v>
          </cell>
          <cell r="L13" t="str">
            <v>個
Cái</v>
          </cell>
          <cell r="M13">
            <v>2</v>
          </cell>
        </row>
        <row r="14">
          <cell r="C14" t="str">
            <v>百叶风口 4500x1000 Cửa Louver KT 4500x1000
尺寸50x50箱钢门框、Z形条系，75mm宽铝合金，各条均匀间隔 40mm，同步配件，浅灰色面漆
khung cửa thép hộp KT50x50, hệ nan chữ Z hợp kim nhôm rộng 75mm, các nan cách đều 40mm, phụ kiện đồng bộ, sơn dầu hoàn thiện màu xám nhạt</v>
          </cell>
          <cell r="L14" t="str">
            <v>個
Cái</v>
          </cell>
          <cell r="M14">
            <v>26</v>
          </cell>
        </row>
        <row r="15">
          <cell r="C15" t="str">
            <v>百叶风口 4500x800 Cửa Louver KT 4500x800
尺寸50x50箱钢门框、Z形条系，75mm宽铝合金，各条均匀间隔 40mm，同步配件，浅灰色面漆
khung cửa thép hộp KT50x50, hệ nan chữ Z hợp kim nhôm rộng 75mm, các nan cách đều 40mm, phụ kiện đồng bộ, sơn dầu hoàn thiện màu xám nhạt</v>
          </cell>
          <cell r="L15" t="str">
            <v>個
Cái</v>
          </cell>
          <cell r="M15">
            <v>16</v>
          </cell>
        </row>
        <row r="16">
          <cell r="C16" t="str">
            <v>百叶风口 3500x1600 Cửa Louver KT 3500x1600
尺寸50x50箱钢门框、Z形条系，75mm宽铝合金，各条均匀间隔 40mm，同步配件，浅灰色面漆
khung cửa thép hộp KT50x50, hệ nan chữ Z hợp kim nhôm rộng 75mm, các nan cách đều 40mm, phụ kiện đồng bộ, sơn dầu hoàn thiện màu xám nhạt</v>
          </cell>
          <cell r="L16" t="str">
            <v>個
Cái</v>
          </cell>
          <cell r="M16">
            <v>2</v>
          </cell>
        </row>
        <row r="17">
          <cell r="C17" t="str">
            <v>百叶风口 2500x1500 Cửa Louver KT 2500x1500
尺寸50x50箱钢门框、Z形条系，75mm宽铝合金，各条均匀间隔 40mm，同步配件，浅灰色面漆
khung cửa thép hộp KT50x50, hệ nan chữ Z hợp kim nhôm rộng 75mm, các nan cách đều 40mm, phụ kiện đồng bộ, sơn dầu hoàn thiện màu xám nhạt</v>
          </cell>
          <cell r="L17" t="str">
            <v>個
Cái</v>
          </cell>
          <cell r="M17">
            <v>2</v>
          </cell>
        </row>
        <row r="18">
          <cell r="C18" t="str">
            <v>百叶风口 2300x1500 Cửa Louver KT 2300x1500
尺寸50x50箱钢门框、Z形条系，75mm宽铝合金，各条均匀间隔 40mm，同步配件，浅灰色面漆
khung cửa thép hộp KT50x50, hệ nan chữ Z hợp kim nhôm rộng 75mm, các nan cách đều 40mm, phụ kiện đồng bộ, sơn dầu hoàn thiện màu xám nhạt</v>
          </cell>
          <cell r="L18" t="str">
            <v>個
Cái</v>
          </cell>
          <cell r="M18">
            <v>2</v>
          </cell>
        </row>
        <row r="19">
          <cell r="C19" t="str">
            <v>百叶风口 2000x1500 Cửa Louver KT 2000x1500
尺寸50x50箱钢门框、Z形条系，75mm宽铝合金，各条均匀间隔 40mm，同步配件，浅灰色面漆
khung cửa thép hộp KT50x50, hệ nan chữ Z hợp kim nhôm rộng 75mm, các nan cách đều 40mm, phụ kiện đồng bộ, sơn dầu hoàn thiện màu xám nhạt</v>
          </cell>
          <cell r="L19" t="str">
            <v>個
Cái</v>
          </cell>
          <cell r="M19">
            <v>4</v>
          </cell>
        </row>
        <row r="20">
          <cell r="C20" t="str">
            <v>百叶风口 1500x1500 Cửa Louver KT 1500x1500
尺寸50x50箱钢门框、Z形条系，75mm宽铝合金，各条均匀间隔 40mm，同步配件，浅灰色面漆
khung cửa thép hộp KT50x50, hệ nan chữ Z hợp kim nhôm rộng 75mm, các nan cách đều 40mm, phụ kiện đồng bộ, sơn dầu hoàn thiện màu xám nhạt</v>
          </cell>
          <cell r="L20" t="str">
            <v>個
Cái</v>
          </cell>
          <cell r="M20">
            <v>33</v>
          </cell>
        </row>
        <row r="21">
          <cell r="C21" t="str">
            <v>百叶风口 1300x700 Cửa Louver KT 1300x700
尺寸50x50箱钢门框、Z形条系，75mm宽铝合金，各条均匀间隔 40mm，同步配件，浅灰色面漆
khung cửa thép hộp KT50x50, hệ nan chữ Z hợp kim nhôm rộng 75mm, các nan cách đều 40mm, phụ kiện đồng bộ, sơn dầu hoàn thiện màu xám nhạt</v>
          </cell>
          <cell r="L21" t="str">
            <v>個
Cái</v>
          </cell>
          <cell r="M21">
            <v>8</v>
          </cell>
        </row>
        <row r="22">
          <cell r="C22" t="str">
            <v>百叶风口 1000x1000 Cửa Louver KT 1000x1000
尺寸50x50箱钢门框、Z形条系，75mm宽铝合金，各条均匀间隔 40mm，同步配件，浅灰色面漆
khung cửa thép hộp KT50x50, hệ nan chữ Z hợp kim nhôm rộng 75mm, các nan cách đều 40mm, phụ kiện đồng bộ, sơn dầu hoàn thiện màu xám nhạt</v>
          </cell>
          <cell r="L22" t="str">
            <v>個
Cái</v>
          </cell>
          <cell r="M22">
            <v>12</v>
          </cell>
        </row>
        <row r="23">
          <cell r="C23" t="str">
            <v>百叶风口 1000x700 Cửa Louver KT 1000x700
尺寸50x50箱钢门框、Z形条系，75mm宽铝合金，各条均匀间隔 40mm，同步配件，浅灰色面漆
khung cửa thép hộp KT50x50, hệ nan chữ Z hợp kim nhôm rộng 75mm, các nan cách đều 40mm, phụ kiện đồng bộ, sơn dầu hoàn thiện màu xám nhạt</v>
          </cell>
          <cell r="L23" t="str">
            <v>個
Cái</v>
          </cell>
          <cell r="M23">
            <v>16</v>
          </cell>
        </row>
        <row r="24">
          <cell r="C24" t="str">
            <v>風門含SEG 1200x600+OBD 流量調節閥含配件及安裝Cửa gió kèm van điều chỉnh lưu lượng SEG 1200x600+OBD Bao gồm nhân công phụ kiện lắp đặt</v>
          </cell>
          <cell r="L24" t="str">
            <v>個
Cái</v>
          </cell>
          <cell r="M24">
            <v>168</v>
          </cell>
        </row>
        <row r="25">
          <cell r="C25" t="str">
            <v>風門含SEG 600x600+OBD 流量調節閥含配件及安裝Cửa gió kèm van điều chỉnh lưu lượng SEG 600x600+OBD Bao gồm nhân công phụ kiện lắp đặt</v>
          </cell>
          <cell r="L25" t="str">
            <v>個
Cái</v>
          </cell>
          <cell r="M25">
            <v>24</v>
          </cell>
        </row>
        <row r="26">
          <cell r="C26" t="str">
            <v>風門含PAG 500x500 流量調節閥含配件及安裝 Cửa gió kèm van điều chỉnh lưu lượng PAG 500x500 Bao gồm nhân công phụ kiện lắp đặt</v>
          </cell>
          <cell r="L26" t="str">
            <v>Cái
個</v>
          </cell>
          <cell r="M26">
            <v>42</v>
          </cell>
        </row>
        <row r="27">
          <cell r="C27" t="str">
            <v xml:space="preserve">空調鍍鋅鐵皮排風管 4000x500mm, δ=1.15mm 含製作及安裝
Ống thoát gió bằng tôn mạ kẽm 4000x500mm , δ=1.15mm bao gồm gia công chế tạo và lắp đặt. </v>
          </cell>
          <cell r="L27" t="str">
            <v>m2</v>
          </cell>
          <cell r="M27">
            <v>70</v>
          </cell>
        </row>
        <row r="28">
          <cell r="C28" t="str">
            <v xml:space="preserve">空調鍍鋅鐵皮排風管 3000x300mm, δ=1.15mm 含製作及安裝
Ống thoát gió bằng tôn mạ kẽm 3000x300mm , δ=1.15mm bao gồm gia công chế tạo và lắp đặt. </v>
          </cell>
          <cell r="L28" t="str">
            <v>m2</v>
          </cell>
          <cell r="M28">
            <v>0</v>
          </cell>
        </row>
        <row r="29">
          <cell r="C29" t="str">
            <v xml:space="preserve">空調鍍鋅鐵皮排風管 2000x500mm, δ=1.15mm 含製作及安裝
Ống thoát gió bằng tôn mạ kẽm 2000x500mm , δ=1.15mm bao gồm gia công chế tạo và lắp đặt. </v>
          </cell>
          <cell r="L29" t="str">
            <v>m2</v>
          </cell>
          <cell r="M29">
            <v>248</v>
          </cell>
        </row>
        <row r="30">
          <cell r="C30" t="str">
            <v xml:space="preserve">空調鍍鋅鐵皮排風管 1200x500mm, δ=0.95mm 含製作及安裝
Ống thoát gió bằng tôn mạ kẽm 1200x500mm , δ=0.95mm bao gồm gia công chế tạo và lắp đặt. </v>
          </cell>
          <cell r="L30" t="str">
            <v>m2</v>
          </cell>
          <cell r="M30">
            <v>94</v>
          </cell>
        </row>
        <row r="31">
          <cell r="C31" t="str">
            <v xml:space="preserve">空調鍍鋅鐵皮排風管 1050x1200mm, δ=0.95mm 含製作及安裝
Ống thoát gió bằng tôn mạ kẽm 1050x1200mm , δ=0.95mm bao gồm gia công chế tạo và lắp đặt. </v>
          </cell>
          <cell r="L31" t="str">
            <v>m2</v>
          </cell>
          <cell r="M31">
            <v>1597</v>
          </cell>
        </row>
        <row r="32">
          <cell r="C32" t="str">
            <v xml:space="preserve">空調鍍鋅鐵皮排風管 550x1200mm, δ=0.95mm 含製作及安裝
Ống thoát gió bằng tôn mạ kẽm 550x1200mm , δ=0.95mm bao gồm gia công chế tạo và lắp đặt. </v>
          </cell>
          <cell r="L32" t="str">
            <v>m2</v>
          </cell>
          <cell r="M32">
            <v>1363</v>
          </cell>
        </row>
        <row r="33">
          <cell r="C33" t="str">
            <v xml:space="preserve">空調鍍鋅鐵皮排風管 400x1200mm, δ=0.95mm 含製作及安裝
Ống thoát gió bằng tôn mạ kẽm 400x1200mm , δ=0.95mm bao gồm gia công chế tạo và lắp đặt. </v>
          </cell>
          <cell r="L33" t="str">
            <v>m2</v>
          </cell>
          <cell r="M33">
            <v>132</v>
          </cell>
        </row>
        <row r="34">
          <cell r="C34" t="str">
            <v xml:space="preserve">空調鍍鋅鐵皮排風管 800x500mm, δ=0.95mm 含製作及安裝
Ống thoát gió bằng tôn mạ kẽm 800x500mm , δ=0.95mm bao gồm gia công chế tạo và lắp đặt. </v>
          </cell>
          <cell r="L34" t="str">
            <v>m2</v>
          </cell>
          <cell r="M34">
            <v>72</v>
          </cell>
        </row>
        <row r="35">
          <cell r="C35" t="str">
            <v xml:space="preserve">空調鍍鋅鐵皮排風管 500x500mm, δ=0.75mm 含製作及安裝
Ống thoát gió bằng tôn mạ kẽm 500x500mm , δ=0.75mm bao gồm gia công chế tạo và lắp đặt. </v>
          </cell>
          <cell r="L35" t="str">
            <v>m2</v>
          </cell>
          <cell r="M35">
            <v>47</v>
          </cell>
        </row>
        <row r="36">
          <cell r="C36" t="str">
            <v>空調鍍鋅鐵皮排風管2200x350mm EI45, 含製作及安裝 （含越南消防及救護-救難警察局檢定費用）
Ống thoát gió bằng tôn mạ kẽm 2200x350mm, EI45, bao gồm gia công chế tạo và lắp đặt. （Bao gồm chi phí kiểm định của cục cảnh sát pccc &amp; CNCH Việt Nam)</v>
          </cell>
          <cell r="L36" t="str">
            <v>m2</v>
          </cell>
          <cell r="M36">
            <v>8632.2599999999984</v>
          </cell>
        </row>
        <row r="37">
          <cell r="C37" t="str">
            <v>空調鍍鋅鐵皮排風管2000x350mm EI45, 含製作及安裝 （含越南消防及救護-救難警察局檢定費用）
Ống thoát gió bằng tôn mạ kẽm 2000x350mm, EI45, bao gồm gia công chế tạo và lắp đặt. （Bao gồm chi phí kiểm định của cục cảnh sát pccc &amp; CNCH Việt Nam)</v>
          </cell>
          <cell r="L37" t="str">
            <v>m2</v>
          </cell>
          <cell r="M37">
            <v>207</v>
          </cell>
        </row>
        <row r="38">
          <cell r="C38" t="str">
            <v>空調鍍鋅鐵皮排風管1800x350mm EI45, 含製作及安裝 （含越南消防及救護-救難警察局檢定費用）
Ống thoát gió bằng tôn mạ kẽm 1800x350mm, EI45, bao gồm gia công chế tạo và lắp đặt. （Bao gồm chi phí kiểm định của cục cảnh sát pccc &amp; CNCH Việt Nam)</v>
          </cell>
          <cell r="L38" t="str">
            <v>m2</v>
          </cell>
          <cell r="M38">
            <v>209</v>
          </cell>
        </row>
        <row r="39">
          <cell r="C39" t="str">
            <v>空調鍍鋅鐵皮排風管1500x350mm EI45, 含製作及安裝 （含越南消防及救護-救難警察局檢定費用）
Ống thoát gió bằng tôn mạ kẽm 1500x350mm, EI45, bao gồm gia công chế tạo và lắp đặt. （Bao gồm chi phí kiểm định của cục cảnh sát pccc &amp; CNCH Việt Nam)</v>
          </cell>
          <cell r="L39" t="str">
            <v>m2</v>
          </cell>
          <cell r="M39">
            <v>3042</v>
          </cell>
        </row>
        <row r="40">
          <cell r="C40" t="str">
            <v>空調鍍鋅鐵皮排風管1200x300mm EI45, 含製作及安裝 （含越南消防及救護-救難警察局檢定費用）
Ống thoát gió bằng tôn mạ kẽm 1200x300mm, EI45, bao gồm gia công chế tạo và lắp đặt. （Bao gồm chi phí kiểm định của cục cảnh sát pccc &amp; CNCH Việt Nam)</v>
          </cell>
          <cell r="L40" t="str">
            <v>m2</v>
          </cell>
          <cell r="M40">
            <v>347</v>
          </cell>
        </row>
        <row r="41">
          <cell r="C41" t="str">
            <v>空調鍍鋅鐵皮排風管700x300mm EI45, 含製作及安裝 （含越南消防及救護-救難警察局檢定費用）
Ống thoát gió bằng tôn mạ kẽm 700x300mm, EI45, bao gồm gia công chế tạo và lắp đặt. （Bao gồm chi phí kiểm định của cục cảnh sát pccc &amp; CNCH Việt Nam)</v>
          </cell>
          <cell r="L41" t="str">
            <v>m2</v>
          </cell>
          <cell r="M41">
            <v>759</v>
          </cell>
        </row>
        <row r="42">
          <cell r="C42" t="str">
            <v>空調鍍鋅鐵皮排風管3000x500mm EI30, 含製作及安裝 （含越南消防及救護-救難警察局檢定費用）
Ống thoát gió bằng tôn mạ kẽm 3000x500mm, EI30, bao gồm gia công chế tạo và lắp đặt. （Bao gồm chi phí kiểm định của cục cảnh sát pccc &amp; CNCH Việt Nam)</v>
          </cell>
          <cell r="L42" t="str">
            <v>m2</v>
          </cell>
          <cell r="M42">
            <v>185</v>
          </cell>
        </row>
        <row r="43">
          <cell r="C43" t="str">
            <v>空調鍍鋅鐵皮排風管3000x300mm EI30, 含製作及安裝 （含越南消防及救護-救難警察局檢定費用）
Ống thoát gió bằng tôn mạ kẽm 3000x300mm, EI30, bao gồm gia công chế tạo và lắp đặt. （Bao gồm chi phí kiểm định của cục cảnh sát pccc &amp; CNCH Việt Nam)</v>
          </cell>
          <cell r="L43" t="str">
            <v>m2</v>
          </cell>
          <cell r="M43">
            <v>981</v>
          </cell>
        </row>
        <row r="44">
          <cell r="C44" t="str">
            <v>大小頭、彎頭、三通等連接配件，含安裝Phụ kiện kết nối côn, cút, tê…. bao gồm lắp đặt</v>
          </cell>
          <cell r="L44" t="str">
            <v>Khoản
式</v>
          </cell>
          <cell r="M44">
            <v>1</v>
          </cell>
        </row>
        <row r="45">
          <cell r="C45" t="str">
            <v>MFD單葉閥2000x350 ，on/off DC 24v電動機, EI45
Van MFD 1 lá 2000x350, động cơ điện on/off DC 24v, EI45</v>
          </cell>
          <cell r="L45" t="str">
            <v>Cái
個</v>
          </cell>
          <cell r="M45">
            <v>18</v>
          </cell>
        </row>
        <row r="46">
          <cell r="C46" t="str">
            <v>MFD單葉閥1500x350 ，on/off DC 24v電動機, EI45
Van MFD 1 lá 1500x350, động cơ điện on/off DC 24v, EI45</v>
          </cell>
          <cell r="L46" t="str">
            <v>Cái
個</v>
          </cell>
          <cell r="M46">
            <v>20</v>
          </cell>
        </row>
        <row r="47">
          <cell r="C47" t="str">
            <v>MFD單葉閥1500x300 ，on/off DC 24v電動機, EI45
Van MFD 1 lá 1500x300, động cơ điện on/off DC 24v, EI45</v>
          </cell>
          <cell r="L47" t="str">
            <v>Cái
個</v>
          </cell>
          <cell r="M47">
            <v>24</v>
          </cell>
        </row>
        <row r="48">
          <cell r="C48" t="str">
            <v>MFD單葉閥1050x1200 ，on/off DC 24v電動機, EI45
Van MFD 1 lá 1050x1200, động cơ điện on/off DC 24v, EI45</v>
          </cell>
          <cell r="L48" t="str">
            <v>Cái
個</v>
          </cell>
          <cell r="M48">
            <v>36</v>
          </cell>
        </row>
        <row r="49">
          <cell r="C49" t="str">
            <v>MFD單葉閥1200x300 ，on/off DC 24v電動機, EI45
Van MFD 1 lá 1200x300, động cơ điện on/off DC 24v, EI45</v>
          </cell>
          <cell r="L49" t="str">
            <v>Cái
個</v>
          </cell>
          <cell r="M49">
            <v>12</v>
          </cell>
        </row>
        <row r="50">
          <cell r="C50" t="str">
            <v>MD單葉閥4700x1500 ，on/off DC 24v電動機
Van MD 1 lá 4700x1500, động cơ điện on/off DC 24v</v>
          </cell>
          <cell r="L50" t="str">
            <v>Cái
個</v>
          </cell>
          <cell r="M50">
            <v>2</v>
          </cell>
        </row>
        <row r="51">
          <cell r="C51" t="str">
            <v>MD單葉閥4500x1000 ，on/off DC 24v電動機
Van MD 1 lá 4500x1000, động cơ điện on/off DC 24v</v>
          </cell>
          <cell r="L51" t="str">
            <v>Cái
個</v>
          </cell>
          <cell r="M51">
            <v>26</v>
          </cell>
        </row>
        <row r="52">
          <cell r="C52" t="str">
            <v>MD單葉閥4500x800 ，on/off DC 24v電動機
Van MD 1 lá 4500x800, động cơ điện on/off DC 24v</v>
          </cell>
          <cell r="L52" t="str">
            <v>Cái
個</v>
          </cell>
          <cell r="M52">
            <v>16</v>
          </cell>
        </row>
        <row r="53">
          <cell r="C53" t="str">
            <v>MD單葉閥3500x1600 ，on/off DC 24v電動機
Van MD 1 lá 3500x1600, động cơ điện on/off DC 24v</v>
          </cell>
          <cell r="L53" t="str">
            <v>Cái
個</v>
          </cell>
          <cell r="M53">
            <v>2</v>
          </cell>
        </row>
        <row r="54">
          <cell r="C54" t="str">
            <v>MD單葉閥3000x1500 ，on/off DC 24v電動機
Van MD 1 lá 3000x1500, động cơ điện on/off DC 24v</v>
          </cell>
          <cell r="L54" t="str">
            <v>Cái
個</v>
          </cell>
          <cell r="M54">
            <v>12</v>
          </cell>
        </row>
        <row r="55">
          <cell r="C55" t="str">
            <v>MD單葉閥2500x1500 ，on/off DC 24v電動機
Van MD 1 lá 2500x1500, động cơ điện on/off DC 24v</v>
          </cell>
          <cell r="L55" t="str">
            <v>Cái
個</v>
          </cell>
          <cell r="M55">
            <v>2</v>
          </cell>
        </row>
        <row r="56">
          <cell r="C56" t="str">
            <v>MD單葉閥2300x1500 ，on/off DC 24v電動機
Van MD 1 lá 2300x1500, động cơ điện on/off DC 24v</v>
          </cell>
          <cell r="L56" t="str">
            <v>Cái
個</v>
          </cell>
          <cell r="M56">
            <v>2</v>
          </cell>
        </row>
        <row r="57">
          <cell r="C57" t="str">
            <v>MD單葉閥2000x2000 ，on/off DC 24v電動機
Van MD 1 lá 2000x2000, động cơ điện on/off DC 24v</v>
          </cell>
          <cell r="L57" t="str">
            <v>Cái
個</v>
          </cell>
          <cell r="M57">
            <v>9</v>
          </cell>
        </row>
        <row r="58">
          <cell r="C58" t="str">
            <v>MD單葉閥2000x1500 ，on/off DC 24v電動機
Van MD 1 lá 2000x1500, động cơ điện on/off DC 24v</v>
          </cell>
          <cell r="L58" t="str">
            <v>Cái
個</v>
          </cell>
          <cell r="M58">
            <v>4</v>
          </cell>
        </row>
        <row r="59">
          <cell r="C59" t="str">
            <v>MD單葉閥1500x1500 ，on/off DC 24v電動機
Van MD 1 lá 1500x1500, động cơ điện on/off DC 24v</v>
          </cell>
          <cell r="L59" t="str">
            <v>Cái
個</v>
          </cell>
          <cell r="M59">
            <v>33</v>
          </cell>
        </row>
        <row r="60">
          <cell r="C60" t="str">
            <v>MD單葉閥1300x700 ，on/off DC 24v電動機
Van MD 1 lá 1300x700, động cơ điện on/off DC 24v</v>
          </cell>
          <cell r="L60" t="str">
            <v>Cái
個</v>
          </cell>
          <cell r="M60">
            <v>8</v>
          </cell>
        </row>
        <row r="61">
          <cell r="C61" t="str">
            <v>MD單葉閥1000x1000 ，on/off DC 24v電動機
Van MD 1 lá 1000x1000, động cơ điện on/off DC 24v</v>
          </cell>
          <cell r="L61" t="str">
            <v>Cái
個</v>
          </cell>
          <cell r="M61">
            <v>12</v>
          </cell>
        </row>
        <row r="62">
          <cell r="C62" t="str">
            <v>MD單葉閥1000x700 ，on/off DC 24v電動機
Van MD 1 lá 1000x700, động cơ điện on/off DC 24v</v>
          </cell>
          <cell r="L62" t="str">
            <v>Cái
個</v>
          </cell>
          <cell r="M62">
            <v>16</v>
          </cell>
        </row>
        <row r="63">
          <cell r="C63" t="str">
            <v>1800×1500止回阀安装 Van 1 chiều 1800x1500</v>
          </cell>
          <cell r="L63" t="str">
            <v>Cái
個</v>
          </cell>
          <cell r="M63">
            <v>9</v>
          </cell>
        </row>
        <row r="64">
          <cell r="C64" t="str">
            <v>1200×1000止回阀安装 Van 1 chiều 1200x1000</v>
          </cell>
          <cell r="L64" t="str">
            <v>Cái
個</v>
          </cell>
          <cell r="M64">
            <v>7</v>
          </cell>
        </row>
        <row r="65">
          <cell r="C65" t="str">
            <v>500×500配重式泄压阀安装 Van xả áp kiểu đối trọng KT:500x500</v>
          </cell>
          <cell r="L65" t="str">
            <v>Cái
個</v>
          </cell>
          <cell r="M65">
            <v>59</v>
          </cell>
        </row>
        <row r="66">
          <cell r="C66" t="str">
            <v>L50x50x5mm吊架，含製造與施工（含一道底漆，及兩道乳白色面漆）
Giá treo L50x50x5mm bao gồm chế tạo và thi công ( gồm sơn 1 lớp sơn lót và 2 lớp sơn phủ màu sữa)</v>
          </cell>
          <cell r="L66" t="str">
            <v>套
Bộ</v>
          </cell>
          <cell r="M66">
            <v>2097</v>
          </cell>
        </row>
        <row r="67">
          <cell r="C67" t="str">
            <v>Khớp nối mềm kèm bích đầu quạt Bao gồm nhân công phụ kiện lắp đặt
軟接頭含抽煙機頭法蘭。含配件及安裝</v>
          </cell>
          <cell r="L67" t="str">
            <v>個
Cái</v>
          </cell>
          <cell r="M67">
            <v>31</v>
          </cell>
        </row>
        <row r="68">
          <cell r="C68" t="str">
            <v>Cửa gió louver thải khói + lưới chắn côn trùng 1800x1500
louver風門排煙+擋昆蟲網1800x1500</v>
          </cell>
          <cell r="L68" t="str">
            <v>個
Cái</v>
          </cell>
          <cell r="M68">
            <v>9</v>
          </cell>
        </row>
        <row r="69">
          <cell r="C69" t="str">
            <v>Cửa gió louver thải khói + lưới chắn côn trùng 1200x1000
louver風門排煙+擋昆蟲網1200x1000</v>
          </cell>
          <cell r="L69" t="str">
            <v>個
Cái</v>
          </cell>
          <cell r="M69">
            <v>7</v>
          </cell>
        </row>
        <row r="70">
          <cell r="C70" t="str">
            <v>Côn thu đầu quạt 1050x1200/DQ-L800. Bao gồm nhân công lắp đặt, phụ kiện bích nối, zoăng làm kín, kẹp C, bulong+ốc+long đen
 1050x1200/DQ-L800抽煙機頭變徑。含安裝及鏈接法蘭、墊圈、C夾、螺栓螺絲等</v>
          </cell>
          <cell r="L70" t="str">
            <v>個
Cái</v>
          </cell>
          <cell r="M70">
            <v>9</v>
          </cell>
        </row>
        <row r="71">
          <cell r="C71" t="str">
            <v>Côn thu đầu quạt 550x1200/DQ-L800. Bao gồm nhân công lắp đặt, phụ kiện bích nối, zoăng làm kín, kẹp C, bulong+ốc+long đen
 550x1200/DQ-L800抽煙機頭變徑。含安裝及鏈接法蘭、墊圈、C夾、螺栓螺絲等</v>
          </cell>
          <cell r="L71" t="str">
            <v>個
Cái</v>
          </cell>
          <cell r="M71">
            <v>7</v>
          </cell>
        </row>
        <row r="72">
          <cell r="C72" t="str">
            <v>Côn thu đầu quạt 2000x500/DQ-L800. Bao gồm nhân công lắp đặt, phụ kiện bích nối, zoăng làm kín, kẹp C, bulong+ốc+long đen
 2000x500/DQ-L800抽煙機頭變徑。含安裝及鏈接法蘭、墊圈、C夾、螺栓螺絲等</v>
          </cell>
          <cell r="L72" t="str">
            <v>個
Cái</v>
          </cell>
          <cell r="M72">
            <v>5</v>
          </cell>
        </row>
        <row r="73">
          <cell r="C73" t="str">
            <v>Côn thu đầu quạt 800x500/DQ-L800. Bao gồm nhân công lắp đặt, phụ kiện bích nối, zoăng làm kín, kẹp C, bulong+ốc+long đen
 800x500/DQ-L800抽煙機頭變徑。含安裝及鏈接法蘭、墊圈、C夾、螺栓螺絲等</v>
          </cell>
          <cell r="L73" t="str">
            <v>個
Cái</v>
          </cell>
          <cell r="M73">
            <v>6</v>
          </cell>
        </row>
        <row r="74">
          <cell r="C74" t="str">
            <v>Côn thu đầu quạt 1200x500/DQ-L800. Bao gồm nhân công lắp đặt, phụ kiện bích nối, zoăng làm kín, kẹp C, bulong+ốc+long đen
 1200x500/DQ-L800抽煙機頭變徑。含安裝及鏈接法蘭、墊圈、C夾、螺栓螺絲等</v>
          </cell>
          <cell r="L74" t="str">
            <v>個
Cái</v>
          </cell>
          <cell r="M74">
            <v>4</v>
          </cell>
        </row>
        <row r="75">
          <cell r="C75" t="str">
            <v>D820排风帽（带防虫网）制作与安装. Chụp thải gió kèm lưới chắn côn trùng D820</v>
          </cell>
          <cell r="L75" t="str">
            <v>個
Cái</v>
          </cell>
          <cell r="M75">
            <v>31</v>
          </cell>
        </row>
        <row r="76">
          <cell r="C76" t="str">
            <v>Cút 90 độ 1800x1500R1000. Bao gồm nhân công lắp đặt, phụ kiện bích nối, zoăng làm kín, kẹp C, bulong+ốc+long đen
1800x1500R1000 90度彎頭含安裝及鏈接法蘭、墊圈、C夾、螺栓螺絲等</v>
          </cell>
          <cell r="L76" t="str">
            <v>個
Cái</v>
          </cell>
          <cell r="M76">
            <v>9</v>
          </cell>
        </row>
        <row r="77">
          <cell r="C77" t="str">
            <v>Cút 90 độ 1200x1000R1000. Bao gồm nhân công lắp đặt, phụ kiện bích nối, zoăng làm kín, kẹp C, bulong+ốc+long đen
1200x1000R1000 90度彎頭含安裝及鏈接法蘭、墊圈、C夾、螺栓螺絲等</v>
          </cell>
          <cell r="L77" t="str">
            <v>個
Cái</v>
          </cell>
          <cell r="M77">
            <v>7</v>
          </cell>
        </row>
        <row r="78">
          <cell r="C78" t="str">
            <v>45°弯头（1500×1000，TDC法兰）+ 304不锈钢防虫网（4–6mm），板厚0.95mm. Cút 45 độ KT: 1500x1000 - TDC+Lưới chắn côn trùng inox 304 (mắt lưới 4-6mm), chiều dày tôn 0,95mm</v>
          </cell>
          <cell r="L78" t="str">
            <v>個
Cái</v>
          </cell>
          <cell r="M78">
            <v>15</v>
          </cell>
        </row>
        <row r="79">
          <cell r="C79" t="str">
            <v>Nút ấn khởi động hút khói bằng tay (testing). Bao gồm nhân công lắp đặt, phụ kiện liên kết
手動抽煙啟動按鈕。含安裝及與監控模塊鏈接配件</v>
          </cell>
          <cell r="L79" t="str">
            <v>個
Cái</v>
          </cell>
          <cell r="M79">
            <v>31</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tabSelected="1" workbookViewId="0">
      <selection activeCell="G12" sqref="G12"/>
    </sheetView>
  </sheetViews>
  <sheetFormatPr defaultRowHeight="14.4"/>
  <cols>
    <col min="1" max="1" width="9.109375" style="107"/>
    <col min="2" max="2" width="11.6640625" bestFit="1" customWidth="1"/>
    <col min="3" max="5" width="14.88671875" style="109" customWidth="1"/>
    <col min="6" max="6" width="19.88671875" customWidth="1"/>
    <col min="7" max="7" width="17" customWidth="1"/>
    <col min="8" max="8" width="15.44140625" customWidth="1"/>
  </cols>
  <sheetData>
    <row r="1" spans="1:8" s="105" customFormat="1" ht="28.8">
      <c r="A1" s="110" t="s">
        <v>196</v>
      </c>
      <c r="B1" s="111" t="s">
        <v>197</v>
      </c>
      <c r="C1" s="112" t="s">
        <v>198</v>
      </c>
      <c r="D1" s="112" t="s">
        <v>199</v>
      </c>
      <c r="E1" s="112" t="s">
        <v>200</v>
      </c>
      <c r="F1" s="105" t="s">
        <v>206</v>
      </c>
    </row>
    <row r="2" spans="1:8">
      <c r="A2" s="106">
        <v>1</v>
      </c>
      <c r="B2" s="104" t="s">
        <v>201</v>
      </c>
      <c r="C2" s="108">
        <f>'A22'!O73</f>
        <v>2198240574.4597316</v>
      </c>
      <c r="D2" s="108">
        <f>C2*0.08</f>
        <v>175859245.95677853</v>
      </c>
      <c r="E2" s="108">
        <f>C2+D2</f>
        <v>2374099820.4165101</v>
      </c>
      <c r="F2">
        <f>'A22'!S73</f>
        <v>2578591000</v>
      </c>
      <c r="G2">
        <f>F2*0.08</f>
        <v>206287280</v>
      </c>
      <c r="H2">
        <f>G2+F2</f>
        <v>2784878280</v>
      </c>
    </row>
    <row r="3" spans="1:8">
      <c r="A3" s="106">
        <f>A2+1</f>
        <v>2</v>
      </c>
      <c r="B3" s="104" t="s">
        <v>202</v>
      </c>
      <c r="C3" s="108">
        <f>'A05'!O69</f>
        <v>2060356618.6858392</v>
      </c>
      <c r="D3" s="108">
        <f t="shared" ref="D3:D5" si="0">C3*0.08</f>
        <v>164828529.49486715</v>
      </c>
      <c r="E3" s="108">
        <f t="shared" ref="E3:E5" si="1">C3+D3</f>
        <v>2225185148.1807065</v>
      </c>
      <c r="F3">
        <f>'A05'!R69</f>
        <v>2249620000</v>
      </c>
      <c r="G3">
        <f t="shared" ref="G3:G5" si="2">F3*0.08</f>
        <v>179969600</v>
      </c>
      <c r="H3">
        <f t="shared" ref="H3:H5" si="3">G3+F3</f>
        <v>2429589600</v>
      </c>
    </row>
    <row r="4" spans="1:8">
      <c r="A4" s="106">
        <f t="shared" ref="A4:A5" si="4">A3+1</f>
        <v>3</v>
      </c>
      <c r="B4" s="104" t="s">
        <v>203</v>
      </c>
      <c r="C4" s="108">
        <f>'A06'!O82</f>
        <v>2305329870.346242</v>
      </c>
      <c r="D4" s="108">
        <f t="shared" si="0"/>
        <v>184426389.62769935</v>
      </c>
      <c r="E4" s="108">
        <f t="shared" si="1"/>
        <v>2489756259.9739413</v>
      </c>
      <c r="F4">
        <f>'A06'!R82</f>
        <v>1692590000</v>
      </c>
      <c r="G4">
        <f t="shared" si="2"/>
        <v>135407200</v>
      </c>
      <c r="H4">
        <f t="shared" si="3"/>
        <v>1827997200</v>
      </c>
    </row>
    <row r="5" spans="1:8">
      <c r="A5" s="106">
        <f t="shared" si="4"/>
        <v>4</v>
      </c>
      <c r="B5" s="104" t="s">
        <v>204</v>
      </c>
      <c r="C5" s="108">
        <f>'A07'!O86</f>
        <v>2406986726.5924835</v>
      </c>
      <c r="D5" s="108">
        <f t="shared" si="0"/>
        <v>192558938.1273987</v>
      </c>
      <c r="E5" s="108">
        <f t="shared" si="1"/>
        <v>2599545664.719882</v>
      </c>
      <c r="F5">
        <f>'A07'!R86</f>
        <v>2478842000</v>
      </c>
      <c r="G5">
        <f t="shared" si="2"/>
        <v>198307360</v>
      </c>
      <c r="H5">
        <f t="shared" si="3"/>
        <v>2677149360</v>
      </c>
    </row>
    <row r="6" spans="1:8">
      <c r="A6" s="114" t="s">
        <v>205</v>
      </c>
      <c r="B6" s="115"/>
      <c r="C6" s="113">
        <f>SUM(C2:C5)</f>
        <v>8970913790.0842972</v>
      </c>
      <c r="D6" s="113">
        <f t="shared" ref="D6:E6" si="5">SUM(D2:D5)</f>
        <v>717673103.20674372</v>
      </c>
      <c r="E6" s="113">
        <f t="shared" si="5"/>
        <v>9688586893.2910385</v>
      </c>
      <c r="H6">
        <f>SUM(H2:H5)</f>
        <v>9719614440</v>
      </c>
    </row>
    <row r="7" spans="1:8">
      <c r="H7" s="163">
        <f>H6-E6</f>
        <v>31027546.708961487</v>
      </c>
    </row>
  </sheetData>
  <mergeCells count="1">
    <mergeCell ref="A6:B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175"/>
  <sheetViews>
    <sheetView topLeftCell="B66" zoomScale="80" zoomScaleNormal="80" workbookViewId="0">
      <selection activeCell="Q31" sqref="Q31"/>
    </sheetView>
  </sheetViews>
  <sheetFormatPr defaultColWidth="7.5546875" defaultRowHeight="15.6"/>
  <cols>
    <col min="1" max="1" width="4.109375" style="9" customWidth="1"/>
    <col min="2" max="2" width="44.88671875" style="92" customWidth="1"/>
    <col min="3" max="3" width="14.33203125" style="93" customWidth="1"/>
    <col min="4" max="4" width="9.5546875" style="93" customWidth="1"/>
    <col min="5" max="5" width="5.6640625" style="93" customWidth="1"/>
    <col min="6" max="6" width="5.5546875" style="93" customWidth="1"/>
    <col min="7" max="9" width="5.6640625" style="93" customWidth="1"/>
    <col min="10" max="10" width="4" style="93" customWidth="1"/>
    <col min="11" max="11" width="5" style="94" customWidth="1"/>
    <col min="12" max="12" width="6.6640625" style="95" customWidth="1"/>
    <col min="13" max="13" width="8" style="96" customWidth="1"/>
    <col min="14" max="14" width="13" style="97" customWidth="1"/>
    <col min="15" max="15" width="14" style="98" customWidth="1"/>
    <col min="16" max="16" width="38" style="99" customWidth="1"/>
    <col min="17" max="17" width="17" style="9" customWidth="1"/>
    <col min="18" max="18" width="24" style="9" customWidth="1"/>
    <col min="19" max="19" width="23.109375" style="9" customWidth="1"/>
    <col min="20" max="16384" width="7.5546875" style="9"/>
  </cols>
  <sheetData>
    <row r="1" spans="1:19" ht="6.75" customHeight="1">
      <c r="A1" s="1"/>
      <c r="B1" s="100"/>
      <c r="C1" s="2"/>
      <c r="D1" s="2"/>
      <c r="E1" s="2"/>
      <c r="F1" s="2"/>
      <c r="G1" s="2"/>
      <c r="H1" s="2"/>
      <c r="I1" s="2"/>
      <c r="J1" s="2"/>
      <c r="K1" s="3"/>
      <c r="L1" s="4"/>
      <c r="M1" s="5"/>
      <c r="N1" s="6"/>
      <c r="O1" s="7"/>
      <c r="P1" s="8"/>
    </row>
    <row r="2" spans="1:19" ht="15">
      <c r="A2" s="1"/>
      <c r="B2" s="10"/>
      <c r="C2" s="122" t="s">
        <v>75</v>
      </c>
      <c r="D2" s="122"/>
      <c r="E2" s="122"/>
      <c r="F2" s="122"/>
      <c r="G2" s="122"/>
      <c r="H2" s="122"/>
      <c r="I2" s="122"/>
      <c r="J2" s="122"/>
      <c r="K2" s="122"/>
      <c r="L2" s="122"/>
      <c r="M2" s="122"/>
      <c r="N2" s="122"/>
      <c r="O2" s="122"/>
      <c r="P2" s="122"/>
    </row>
    <row r="3" spans="1:19" ht="15">
      <c r="A3" s="1"/>
      <c r="B3" s="123"/>
      <c r="C3" s="124" t="s">
        <v>76</v>
      </c>
      <c r="D3" s="124"/>
      <c r="E3" s="124"/>
      <c r="F3" s="124"/>
      <c r="G3" s="124"/>
      <c r="H3" s="124"/>
      <c r="I3" s="124"/>
      <c r="J3" s="124"/>
      <c r="K3" s="124"/>
      <c r="L3" s="124"/>
      <c r="M3" s="124"/>
      <c r="N3" s="124"/>
      <c r="O3" s="124"/>
      <c r="P3" s="124"/>
    </row>
    <row r="4" spans="1:19" ht="15">
      <c r="A4" s="1"/>
      <c r="B4" s="123"/>
      <c r="C4" s="124" t="s">
        <v>77</v>
      </c>
      <c r="D4" s="124"/>
      <c r="E4" s="124"/>
      <c r="F4" s="124"/>
      <c r="G4" s="124"/>
      <c r="H4" s="124"/>
      <c r="I4" s="124"/>
      <c r="J4" s="124"/>
      <c r="K4" s="124"/>
      <c r="L4" s="124"/>
      <c r="M4" s="124"/>
      <c r="N4" s="124"/>
      <c r="O4" s="124"/>
      <c r="P4" s="124"/>
    </row>
    <row r="5" spans="1:19" ht="15">
      <c r="A5" s="11"/>
      <c r="B5" s="12"/>
      <c r="C5" s="125" t="s">
        <v>78</v>
      </c>
      <c r="D5" s="125"/>
      <c r="E5" s="125"/>
      <c r="F5" s="125"/>
      <c r="G5" s="125"/>
      <c r="H5" s="125"/>
      <c r="I5" s="125"/>
      <c r="J5" s="125"/>
      <c r="K5" s="125"/>
      <c r="L5" s="125"/>
      <c r="M5" s="125"/>
      <c r="N5" s="125"/>
      <c r="O5" s="125"/>
      <c r="P5" s="125"/>
    </row>
    <row r="6" spans="1:19" s="13" customFormat="1" ht="30" customHeight="1">
      <c r="A6" s="126" t="s">
        <v>79</v>
      </c>
      <c r="B6" s="126"/>
      <c r="C6" s="126"/>
      <c r="D6" s="126"/>
      <c r="E6" s="126"/>
      <c r="F6" s="126"/>
      <c r="G6" s="126"/>
      <c r="H6" s="126"/>
      <c r="I6" s="126"/>
      <c r="J6" s="126"/>
      <c r="K6" s="126"/>
      <c r="L6" s="126"/>
      <c r="M6" s="126"/>
      <c r="N6" s="126"/>
      <c r="O6" s="126"/>
      <c r="P6" s="126"/>
    </row>
    <row r="7" spans="1:19" s="13" customFormat="1" ht="39" customHeight="1">
      <c r="A7" s="127" t="s">
        <v>135</v>
      </c>
      <c r="B7" s="128"/>
      <c r="C7" s="128"/>
      <c r="D7" s="128"/>
      <c r="E7" s="128"/>
      <c r="F7" s="128"/>
      <c r="G7" s="128"/>
      <c r="H7" s="128"/>
      <c r="I7" s="128"/>
      <c r="J7" s="128"/>
      <c r="K7" s="128"/>
      <c r="L7" s="129"/>
      <c r="M7" s="14" t="s">
        <v>80</v>
      </c>
      <c r="N7" s="15"/>
      <c r="O7" s="16"/>
      <c r="P7" s="17" t="s">
        <v>136</v>
      </c>
    </row>
    <row r="8" spans="1:19" s="13" customFormat="1" ht="18.75" customHeight="1">
      <c r="A8" s="127" t="s">
        <v>0</v>
      </c>
      <c r="B8" s="128"/>
      <c r="C8" s="128"/>
      <c r="D8" s="128"/>
      <c r="E8" s="128"/>
      <c r="F8" s="128"/>
      <c r="G8" s="128"/>
      <c r="H8" s="128"/>
      <c r="I8" s="128"/>
      <c r="J8" s="128"/>
      <c r="K8" s="128"/>
      <c r="L8" s="129"/>
      <c r="M8" s="14" t="s">
        <v>81</v>
      </c>
      <c r="N8" s="18"/>
      <c r="O8" s="18"/>
      <c r="P8" s="19" t="s">
        <v>82</v>
      </c>
    </row>
    <row r="9" spans="1:19" s="13" customFormat="1" ht="18.75" customHeight="1">
      <c r="A9" s="127" t="s">
        <v>83</v>
      </c>
      <c r="B9" s="128"/>
      <c r="C9" s="128"/>
      <c r="D9" s="128"/>
      <c r="E9" s="128"/>
      <c r="F9" s="128"/>
      <c r="G9" s="128"/>
      <c r="H9" s="128"/>
      <c r="I9" s="128"/>
      <c r="J9" s="128"/>
      <c r="K9" s="128"/>
      <c r="L9" s="129"/>
      <c r="M9" s="14" t="s">
        <v>84</v>
      </c>
      <c r="N9" s="15"/>
      <c r="O9" s="16"/>
      <c r="P9" s="20" t="s">
        <v>85</v>
      </c>
    </row>
    <row r="10" spans="1:19" s="13" customFormat="1" ht="28.5" customHeight="1">
      <c r="A10" s="127" t="s">
        <v>86</v>
      </c>
      <c r="B10" s="128"/>
      <c r="C10" s="127" t="s">
        <v>1</v>
      </c>
      <c r="D10" s="128"/>
      <c r="E10" s="128"/>
      <c r="F10" s="128"/>
      <c r="G10" s="128"/>
      <c r="H10" s="128"/>
      <c r="I10" s="128"/>
      <c r="J10" s="128"/>
      <c r="K10" s="128"/>
      <c r="L10" s="129"/>
      <c r="M10" s="21" t="s">
        <v>87</v>
      </c>
      <c r="N10" s="119" t="s">
        <v>137</v>
      </c>
      <c r="O10" s="120"/>
      <c r="P10" s="121"/>
    </row>
    <row r="11" spans="1:19" s="13" customFormat="1" ht="12.75" customHeight="1">
      <c r="A11" s="147" t="s">
        <v>88</v>
      </c>
      <c r="B11" s="147" t="s">
        <v>89</v>
      </c>
      <c r="C11" s="148" t="s">
        <v>90</v>
      </c>
      <c r="D11" s="148" t="s">
        <v>2</v>
      </c>
      <c r="E11" s="157" t="s">
        <v>91</v>
      </c>
      <c r="F11" s="157"/>
      <c r="G11" s="157"/>
      <c r="H11" s="157"/>
      <c r="I11" s="146" t="s">
        <v>92</v>
      </c>
      <c r="J11" s="146" t="s">
        <v>93</v>
      </c>
      <c r="K11" s="148" t="s">
        <v>94</v>
      </c>
      <c r="L11" s="150" t="s">
        <v>95</v>
      </c>
      <c r="M11" s="152" t="s">
        <v>96</v>
      </c>
      <c r="N11" s="154" t="s">
        <v>97</v>
      </c>
      <c r="O11" s="154" t="s">
        <v>98</v>
      </c>
      <c r="P11" s="116" t="s">
        <v>99</v>
      </c>
    </row>
    <row r="12" spans="1:19" s="13" customFormat="1" ht="27" customHeight="1">
      <c r="A12" s="156"/>
      <c r="B12" s="156"/>
      <c r="C12" s="149"/>
      <c r="D12" s="149" t="s">
        <v>2</v>
      </c>
      <c r="E12" s="22" t="s">
        <v>100</v>
      </c>
      <c r="F12" s="22" t="s">
        <v>101</v>
      </c>
      <c r="G12" s="22" t="s">
        <v>102</v>
      </c>
      <c r="H12" s="22" t="s">
        <v>103</v>
      </c>
      <c r="I12" s="146"/>
      <c r="J12" s="146"/>
      <c r="K12" s="149"/>
      <c r="L12" s="151"/>
      <c r="M12" s="153"/>
      <c r="N12" s="155"/>
      <c r="O12" s="155"/>
      <c r="P12" s="117"/>
    </row>
    <row r="13" spans="1:19" s="13" customFormat="1" ht="13.8">
      <c r="A13" s="156"/>
      <c r="B13" s="156"/>
      <c r="C13" s="149"/>
      <c r="D13" s="149"/>
      <c r="E13" s="118" t="s">
        <v>104</v>
      </c>
      <c r="F13" s="118"/>
      <c r="G13" s="118" t="s">
        <v>105</v>
      </c>
      <c r="H13" s="118"/>
      <c r="I13" s="147"/>
      <c r="J13" s="147"/>
      <c r="K13" s="149"/>
      <c r="L13" s="151"/>
      <c r="M13" s="153"/>
      <c r="N13" s="155"/>
      <c r="O13" s="155"/>
      <c r="P13" s="117"/>
    </row>
    <row r="14" spans="1:19" s="13" customFormat="1" ht="13.8">
      <c r="A14" s="23"/>
      <c r="B14" s="23"/>
      <c r="C14" s="24"/>
      <c r="D14" s="24"/>
      <c r="E14" s="25"/>
      <c r="F14" s="25"/>
      <c r="G14" s="25"/>
      <c r="H14" s="25"/>
      <c r="I14" s="23"/>
      <c r="J14" s="23"/>
      <c r="K14" s="24"/>
      <c r="L14" s="26"/>
      <c r="M14" s="27"/>
      <c r="N14" s="28"/>
      <c r="O14" s="28"/>
      <c r="P14" s="29"/>
    </row>
    <row r="15" spans="1:19" s="30" customFormat="1" ht="13.2">
      <c r="A15" s="31">
        <f>+[23]l7!A15</f>
        <v>1</v>
      </c>
      <c r="B15" s="34" t="s">
        <v>4</v>
      </c>
      <c r="C15" s="31"/>
      <c r="D15" s="31"/>
      <c r="E15" s="31"/>
      <c r="F15" s="31"/>
      <c r="G15" s="31"/>
      <c r="H15" s="31"/>
      <c r="I15" s="31"/>
      <c r="J15" s="31"/>
      <c r="K15" s="31"/>
      <c r="L15" s="31"/>
      <c r="M15" s="35"/>
      <c r="N15" s="32"/>
      <c r="O15" s="32"/>
      <c r="P15" s="33"/>
    </row>
    <row r="16" spans="1:19" s="30" customFormat="1" ht="158.4">
      <c r="A16" s="31">
        <f>+[23]l7!A16</f>
        <v>2</v>
      </c>
      <c r="B16" s="34" t="s">
        <v>6</v>
      </c>
      <c r="C16" s="31" t="s">
        <v>133</v>
      </c>
      <c r="D16" s="31" t="s">
        <v>106</v>
      </c>
      <c r="E16" s="31">
        <v>4500</v>
      </c>
      <c r="F16" s="31">
        <v>1000</v>
      </c>
      <c r="G16" s="31">
        <f>+E16-50</f>
        <v>4450</v>
      </c>
      <c r="H16" s="31">
        <f>+F16-50</f>
        <v>950</v>
      </c>
      <c r="I16" s="31"/>
      <c r="J16" s="31"/>
      <c r="K16" s="31"/>
      <c r="L16" s="31" t="s">
        <v>7</v>
      </c>
      <c r="M16" s="35">
        <v>54</v>
      </c>
      <c r="N16" s="32">
        <v>5396600</v>
      </c>
      <c r="O16" s="32">
        <f>+N16*M16</f>
        <v>291416400</v>
      </c>
      <c r="P16" s="33" t="s">
        <v>134</v>
      </c>
      <c r="Q16" s="160">
        <v>5600000</v>
      </c>
      <c r="R16" s="158" t="s">
        <v>6</v>
      </c>
      <c r="S16" s="160">
        <f>Q16*M16</f>
        <v>302400000</v>
      </c>
    </row>
    <row r="17" spans="1:19" s="30" customFormat="1" ht="158.4">
      <c r="A17" s="31">
        <f>+[23]l7!A17</f>
        <v>3</v>
      </c>
      <c r="B17" s="34" t="s">
        <v>8</v>
      </c>
      <c r="C17" s="31" t="s">
        <v>133</v>
      </c>
      <c r="D17" s="31" t="s">
        <v>106</v>
      </c>
      <c r="E17" s="31">
        <v>4000</v>
      </c>
      <c r="F17" s="31">
        <v>1500</v>
      </c>
      <c r="G17" s="31">
        <f t="shared" ref="G17:H31" si="0">+E17-50</f>
        <v>3950</v>
      </c>
      <c r="H17" s="31">
        <f t="shared" si="0"/>
        <v>1450</v>
      </c>
      <c r="I17" s="31"/>
      <c r="J17" s="31"/>
      <c r="K17" s="31"/>
      <c r="L17" s="31" t="s">
        <v>7</v>
      </c>
      <c r="M17" s="35">
        <v>45</v>
      </c>
      <c r="N17" s="32">
        <v>7069700.0000000009</v>
      </c>
      <c r="O17" s="32">
        <f t="shared" ref="O17:O41" si="1">+N17*M17</f>
        <v>318136500.00000006</v>
      </c>
      <c r="P17" s="33" t="s">
        <v>134</v>
      </c>
      <c r="Q17" s="160">
        <v>7300000</v>
      </c>
      <c r="R17" s="158" t="s">
        <v>8</v>
      </c>
      <c r="S17" s="160">
        <f t="shared" ref="S17:S72" si="2">Q17*M17</f>
        <v>328500000</v>
      </c>
    </row>
    <row r="18" spans="1:19" s="30" customFormat="1" ht="158.4">
      <c r="A18" s="31">
        <f>+[23]l7!A18</f>
        <v>4</v>
      </c>
      <c r="B18" s="34" t="s">
        <v>9</v>
      </c>
      <c r="C18" s="31" t="s">
        <v>133</v>
      </c>
      <c r="D18" s="31" t="s">
        <v>106</v>
      </c>
      <c r="E18" s="31">
        <v>4000</v>
      </c>
      <c r="F18" s="31">
        <v>1000</v>
      </c>
      <c r="G18" s="31">
        <f t="shared" si="0"/>
        <v>3950</v>
      </c>
      <c r="H18" s="31">
        <f t="shared" si="0"/>
        <v>950</v>
      </c>
      <c r="I18" s="31"/>
      <c r="J18" s="31"/>
      <c r="K18" s="31"/>
      <c r="L18" s="31" t="s">
        <v>7</v>
      </c>
      <c r="M18" s="35">
        <v>8</v>
      </c>
      <c r="N18" s="32">
        <v>4803700</v>
      </c>
      <c r="O18" s="32">
        <f t="shared" si="1"/>
        <v>38429600</v>
      </c>
      <c r="P18" s="33" t="s">
        <v>134</v>
      </c>
      <c r="Q18" s="160">
        <v>4910000</v>
      </c>
      <c r="R18" s="158" t="s">
        <v>9</v>
      </c>
      <c r="S18" s="160">
        <f t="shared" si="2"/>
        <v>39280000</v>
      </c>
    </row>
    <row r="19" spans="1:19" s="30" customFormat="1" ht="158.4">
      <c r="A19" s="31">
        <f>+[23]l7!A19</f>
        <v>5</v>
      </c>
      <c r="B19" s="34" t="s">
        <v>10</v>
      </c>
      <c r="C19" s="31" t="s">
        <v>133</v>
      </c>
      <c r="D19" s="31" t="s">
        <v>106</v>
      </c>
      <c r="E19" s="31">
        <v>3500</v>
      </c>
      <c r="F19" s="31">
        <v>500</v>
      </c>
      <c r="G19" s="31">
        <f t="shared" si="0"/>
        <v>3450</v>
      </c>
      <c r="H19" s="31">
        <f t="shared" si="0"/>
        <v>450</v>
      </c>
      <c r="I19" s="31"/>
      <c r="J19" s="31"/>
      <c r="K19" s="31"/>
      <c r="L19" s="31" t="s">
        <v>7</v>
      </c>
      <c r="M19" s="35">
        <v>1</v>
      </c>
      <c r="N19" s="32">
        <v>2226400</v>
      </c>
      <c r="O19" s="32">
        <f t="shared" si="1"/>
        <v>2226400</v>
      </c>
      <c r="P19" s="33" t="s">
        <v>134</v>
      </c>
      <c r="Q19" s="160">
        <v>2250000</v>
      </c>
      <c r="R19" s="158" t="s">
        <v>10</v>
      </c>
      <c r="S19" s="160">
        <f t="shared" si="2"/>
        <v>2250000</v>
      </c>
    </row>
    <row r="20" spans="1:19" s="30" customFormat="1" ht="158.4">
      <c r="A20" s="31">
        <f>+[23]l7!A20</f>
        <v>6</v>
      </c>
      <c r="B20" s="34" t="s">
        <v>11</v>
      </c>
      <c r="C20" s="31" t="s">
        <v>133</v>
      </c>
      <c r="D20" s="31" t="s">
        <v>106</v>
      </c>
      <c r="E20" s="31">
        <v>3000</v>
      </c>
      <c r="F20" s="31">
        <v>2000</v>
      </c>
      <c r="G20" s="31">
        <f t="shared" si="0"/>
        <v>2950</v>
      </c>
      <c r="H20" s="31">
        <f t="shared" si="0"/>
        <v>1950</v>
      </c>
      <c r="I20" s="31"/>
      <c r="J20" s="31"/>
      <c r="K20" s="31"/>
      <c r="L20" s="31" t="s">
        <v>7</v>
      </c>
      <c r="M20" s="35">
        <v>0</v>
      </c>
      <c r="N20" s="32">
        <v>7030100.0000000009</v>
      </c>
      <c r="O20" s="32">
        <f t="shared" si="1"/>
        <v>0</v>
      </c>
      <c r="P20" s="33" t="s">
        <v>134</v>
      </c>
      <c r="Q20" s="160">
        <v>7020000</v>
      </c>
      <c r="R20" s="158" t="s">
        <v>11</v>
      </c>
      <c r="S20" s="160">
        <f t="shared" si="2"/>
        <v>0</v>
      </c>
    </row>
    <row r="21" spans="1:19" s="30" customFormat="1" ht="158.4">
      <c r="A21" s="31">
        <f>+[23]l7!A21</f>
        <v>7</v>
      </c>
      <c r="B21" s="34" t="s">
        <v>12</v>
      </c>
      <c r="C21" s="31" t="s">
        <v>133</v>
      </c>
      <c r="D21" s="31" t="s">
        <v>106</v>
      </c>
      <c r="E21" s="31">
        <v>2400</v>
      </c>
      <c r="F21" s="31">
        <v>1600</v>
      </c>
      <c r="G21" s="31">
        <f t="shared" si="0"/>
        <v>2350</v>
      </c>
      <c r="H21" s="31">
        <f t="shared" si="0"/>
        <v>1550</v>
      </c>
      <c r="I21" s="31"/>
      <c r="J21" s="31"/>
      <c r="K21" s="31"/>
      <c r="L21" s="31" t="s">
        <v>7</v>
      </c>
      <c r="M21" s="35">
        <v>24</v>
      </c>
      <c r="N21" s="32">
        <v>4528700</v>
      </c>
      <c r="O21" s="32">
        <f t="shared" si="1"/>
        <v>108688800</v>
      </c>
      <c r="P21" s="33" t="s">
        <v>127</v>
      </c>
      <c r="Q21" s="160">
        <v>4890000</v>
      </c>
      <c r="R21" s="158" t="s">
        <v>12</v>
      </c>
      <c r="S21" s="160">
        <f t="shared" si="2"/>
        <v>117360000</v>
      </c>
    </row>
    <row r="22" spans="1:19" s="30" customFormat="1" ht="158.4">
      <c r="A22" s="31">
        <f>+[23]l7!A22</f>
        <v>8</v>
      </c>
      <c r="B22" s="34" t="s">
        <v>13</v>
      </c>
      <c r="C22" s="31" t="s">
        <v>133</v>
      </c>
      <c r="D22" s="31" t="s">
        <v>106</v>
      </c>
      <c r="E22" s="31">
        <v>2000</v>
      </c>
      <c r="F22" s="31">
        <v>1300</v>
      </c>
      <c r="G22" s="31">
        <f t="shared" si="0"/>
        <v>1950</v>
      </c>
      <c r="H22" s="31">
        <f t="shared" si="0"/>
        <v>1250</v>
      </c>
      <c r="I22" s="31"/>
      <c r="J22" s="31"/>
      <c r="K22" s="31"/>
      <c r="L22" s="31" t="s">
        <v>7</v>
      </c>
      <c r="M22" s="35">
        <v>1</v>
      </c>
      <c r="N22" s="32">
        <v>3161400.0000000005</v>
      </c>
      <c r="O22" s="32">
        <f t="shared" si="1"/>
        <v>3161400.0000000005</v>
      </c>
      <c r="P22" s="33" t="s">
        <v>127</v>
      </c>
      <c r="Q22" s="160">
        <v>3210000</v>
      </c>
      <c r="R22" s="158" t="s">
        <v>13</v>
      </c>
      <c r="S22" s="160">
        <f t="shared" si="2"/>
        <v>3210000</v>
      </c>
    </row>
    <row r="23" spans="1:19" s="30" customFormat="1" ht="158.4">
      <c r="A23" s="31">
        <f>+[23]l7!A23</f>
        <v>9</v>
      </c>
      <c r="B23" s="34" t="s">
        <v>14</v>
      </c>
      <c r="C23" s="31" t="s">
        <v>133</v>
      </c>
      <c r="D23" s="31" t="s">
        <v>106</v>
      </c>
      <c r="E23" s="31">
        <v>2000</v>
      </c>
      <c r="F23" s="31">
        <v>1000</v>
      </c>
      <c r="G23" s="31">
        <f t="shared" si="0"/>
        <v>1950</v>
      </c>
      <c r="H23" s="31">
        <f t="shared" si="0"/>
        <v>950</v>
      </c>
      <c r="I23" s="31"/>
      <c r="J23" s="31"/>
      <c r="K23" s="31"/>
      <c r="L23" s="31" t="s">
        <v>7</v>
      </c>
      <c r="M23" s="35">
        <v>10</v>
      </c>
      <c r="N23" s="32">
        <v>2435400</v>
      </c>
      <c r="O23" s="32">
        <f t="shared" si="1"/>
        <v>24354000</v>
      </c>
      <c r="P23" s="33" t="s">
        <v>127</v>
      </c>
      <c r="Q23" s="160">
        <v>2450000</v>
      </c>
      <c r="R23" s="158" t="s">
        <v>14</v>
      </c>
      <c r="S23" s="160">
        <f t="shared" si="2"/>
        <v>24500000</v>
      </c>
    </row>
    <row r="24" spans="1:19" s="30" customFormat="1" ht="158.4">
      <c r="A24" s="31">
        <f>+[23]l7!A24</f>
        <v>10</v>
      </c>
      <c r="B24" s="34" t="s">
        <v>15</v>
      </c>
      <c r="C24" s="31" t="s">
        <v>133</v>
      </c>
      <c r="D24" s="31" t="s">
        <v>106</v>
      </c>
      <c r="E24" s="31">
        <v>2000</v>
      </c>
      <c r="F24" s="31">
        <v>800</v>
      </c>
      <c r="G24" s="31">
        <f t="shared" si="0"/>
        <v>1950</v>
      </c>
      <c r="H24" s="31">
        <f t="shared" si="0"/>
        <v>750</v>
      </c>
      <c r="I24" s="31"/>
      <c r="J24" s="31"/>
      <c r="K24" s="31"/>
      <c r="L24" s="31" t="s">
        <v>7</v>
      </c>
      <c r="M24" s="35">
        <v>12</v>
      </c>
      <c r="N24" s="32">
        <v>2016300.0000000002</v>
      </c>
      <c r="O24" s="32">
        <f t="shared" si="1"/>
        <v>24195600.000000004</v>
      </c>
      <c r="P24" s="33" t="s">
        <v>127</v>
      </c>
      <c r="Q24" s="160">
        <v>2000000</v>
      </c>
      <c r="R24" s="158" t="s">
        <v>15</v>
      </c>
      <c r="S24" s="160">
        <f t="shared" si="2"/>
        <v>24000000</v>
      </c>
    </row>
    <row r="25" spans="1:19" s="30" customFormat="1" ht="158.4">
      <c r="A25" s="31">
        <f>+[23]l7!A25</f>
        <v>11</v>
      </c>
      <c r="B25" s="34" t="s">
        <v>16</v>
      </c>
      <c r="C25" s="31" t="s">
        <v>133</v>
      </c>
      <c r="D25" s="31" t="s">
        <v>106</v>
      </c>
      <c r="E25" s="31">
        <v>1500</v>
      </c>
      <c r="F25" s="31">
        <v>1500</v>
      </c>
      <c r="G25" s="31">
        <f t="shared" si="0"/>
        <v>1450</v>
      </c>
      <c r="H25" s="31">
        <f t="shared" si="0"/>
        <v>1450</v>
      </c>
      <c r="I25" s="31"/>
      <c r="J25" s="31"/>
      <c r="K25" s="31"/>
      <c r="L25" s="31" t="s">
        <v>7</v>
      </c>
      <c r="M25" s="35">
        <v>10</v>
      </c>
      <c r="N25" s="32">
        <v>2708200</v>
      </c>
      <c r="O25" s="32">
        <f t="shared" si="1"/>
        <v>27082000</v>
      </c>
      <c r="P25" s="33" t="s">
        <v>127</v>
      </c>
      <c r="Q25" s="160">
        <v>2860000</v>
      </c>
      <c r="R25" s="158" t="s">
        <v>16</v>
      </c>
      <c r="S25" s="160">
        <f t="shared" si="2"/>
        <v>28600000</v>
      </c>
    </row>
    <row r="26" spans="1:19" s="30" customFormat="1" ht="158.4">
      <c r="A26" s="31">
        <f>+[23]l7!A26</f>
        <v>12</v>
      </c>
      <c r="B26" s="34" t="s">
        <v>17</v>
      </c>
      <c r="C26" s="31" t="s">
        <v>133</v>
      </c>
      <c r="D26" s="31" t="s">
        <v>106</v>
      </c>
      <c r="E26" s="31">
        <v>1000</v>
      </c>
      <c r="F26" s="31">
        <v>1500</v>
      </c>
      <c r="G26" s="31">
        <f t="shared" si="0"/>
        <v>950</v>
      </c>
      <c r="H26" s="31">
        <f t="shared" si="0"/>
        <v>1450</v>
      </c>
      <c r="I26" s="31"/>
      <c r="J26" s="31"/>
      <c r="K26" s="31"/>
      <c r="L26" s="31" t="s">
        <v>7</v>
      </c>
      <c r="M26" s="35">
        <v>1</v>
      </c>
      <c r="N26" s="32">
        <v>1835900.0000000002</v>
      </c>
      <c r="O26" s="32">
        <f t="shared" si="1"/>
        <v>1835900.0000000002</v>
      </c>
      <c r="P26" s="33" t="s">
        <v>127</v>
      </c>
      <c r="Q26" s="160">
        <v>2000000</v>
      </c>
      <c r="R26" s="158" t="s">
        <v>17</v>
      </c>
      <c r="S26" s="160">
        <f t="shared" si="2"/>
        <v>2000000</v>
      </c>
    </row>
    <row r="27" spans="1:19" s="30" customFormat="1" ht="158.4">
      <c r="A27" s="31">
        <f>+[23]l7!A27</f>
        <v>13</v>
      </c>
      <c r="B27" s="34" t="s">
        <v>18</v>
      </c>
      <c r="C27" s="31" t="s">
        <v>133</v>
      </c>
      <c r="D27" s="31" t="s">
        <v>106</v>
      </c>
      <c r="E27" s="31">
        <v>1200</v>
      </c>
      <c r="F27" s="31">
        <v>1000</v>
      </c>
      <c r="G27" s="31">
        <f t="shared" si="0"/>
        <v>1150</v>
      </c>
      <c r="H27" s="31">
        <f t="shared" si="0"/>
        <v>950</v>
      </c>
      <c r="I27" s="31"/>
      <c r="J27" s="31"/>
      <c r="K27" s="31"/>
      <c r="L27" s="31" t="s">
        <v>7</v>
      </c>
      <c r="M27" s="35">
        <v>10</v>
      </c>
      <c r="N27" s="32">
        <v>1487200.0000000002</v>
      </c>
      <c r="O27" s="32">
        <f t="shared" si="1"/>
        <v>14872000.000000002</v>
      </c>
      <c r="P27" s="33" t="s">
        <v>127</v>
      </c>
      <c r="Q27" s="160">
        <v>1540000</v>
      </c>
      <c r="R27" s="158" t="s">
        <v>18</v>
      </c>
      <c r="S27" s="160">
        <f t="shared" si="2"/>
        <v>15400000</v>
      </c>
    </row>
    <row r="28" spans="1:19" s="30" customFormat="1" ht="158.4">
      <c r="A28" s="31">
        <f>+[23]l7!A28</f>
        <v>14</v>
      </c>
      <c r="B28" s="34" t="s">
        <v>19</v>
      </c>
      <c r="C28" s="31" t="s">
        <v>133</v>
      </c>
      <c r="D28" s="31" t="s">
        <v>106</v>
      </c>
      <c r="E28" s="31">
        <v>1000</v>
      </c>
      <c r="F28" s="31">
        <v>1000</v>
      </c>
      <c r="G28" s="31">
        <f t="shared" si="0"/>
        <v>950</v>
      </c>
      <c r="H28" s="31">
        <f t="shared" si="0"/>
        <v>950</v>
      </c>
      <c r="I28" s="31"/>
      <c r="J28" s="31"/>
      <c r="K28" s="31"/>
      <c r="L28" s="31" t="s">
        <v>7</v>
      </c>
      <c r="M28" s="35">
        <v>1</v>
      </c>
      <c r="N28" s="32">
        <v>1250700</v>
      </c>
      <c r="O28" s="32">
        <f t="shared" si="1"/>
        <v>1250700</v>
      </c>
      <c r="P28" s="33" t="s">
        <v>127</v>
      </c>
      <c r="Q28" s="160">
        <v>1320000</v>
      </c>
      <c r="R28" s="158" t="s">
        <v>19</v>
      </c>
      <c r="S28" s="160">
        <f t="shared" si="2"/>
        <v>1320000</v>
      </c>
    </row>
    <row r="29" spans="1:19" s="30" customFormat="1" ht="158.4">
      <c r="A29" s="31">
        <f>+[23]l7!A29</f>
        <v>15</v>
      </c>
      <c r="B29" s="34" t="s">
        <v>20</v>
      </c>
      <c r="C29" s="31" t="s">
        <v>133</v>
      </c>
      <c r="D29" s="31" t="s">
        <v>106</v>
      </c>
      <c r="E29" s="31">
        <v>800</v>
      </c>
      <c r="F29" s="31">
        <v>1500</v>
      </c>
      <c r="G29" s="31">
        <f t="shared" si="0"/>
        <v>750</v>
      </c>
      <c r="H29" s="31">
        <f t="shared" si="0"/>
        <v>1450</v>
      </c>
      <c r="I29" s="31"/>
      <c r="J29" s="31"/>
      <c r="K29" s="31"/>
      <c r="L29" s="31" t="s">
        <v>7</v>
      </c>
      <c r="M29" s="35">
        <v>2</v>
      </c>
      <c r="N29" s="32">
        <v>1487200.0000000002</v>
      </c>
      <c r="O29" s="32">
        <f t="shared" si="1"/>
        <v>2974400.0000000005</v>
      </c>
      <c r="P29" s="33" t="s">
        <v>127</v>
      </c>
      <c r="Q29" s="160">
        <v>1520000</v>
      </c>
      <c r="R29" s="158" t="s">
        <v>20</v>
      </c>
      <c r="S29" s="160">
        <f t="shared" si="2"/>
        <v>3040000</v>
      </c>
    </row>
    <row r="30" spans="1:19" s="30" customFormat="1" ht="92.4">
      <c r="A30" s="31">
        <f>+[23]l7!A30</f>
        <v>16</v>
      </c>
      <c r="B30" s="34" t="s">
        <v>22</v>
      </c>
      <c r="C30" s="31" t="s">
        <v>107</v>
      </c>
      <c r="D30" s="31" t="s">
        <v>106</v>
      </c>
      <c r="E30" s="31">
        <v>1200</v>
      </c>
      <c r="F30" s="31">
        <v>600</v>
      </c>
      <c r="G30" s="31">
        <f t="shared" si="0"/>
        <v>1150</v>
      </c>
      <c r="H30" s="31">
        <f t="shared" si="0"/>
        <v>550</v>
      </c>
      <c r="I30" s="31"/>
      <c r="J30" s="31"/>
      <c r="K30" s="31"/>
      <c r="L30" s="31" t="s">
        <v>7</v>
      </c>
      <c r="M30" s="35">
        <v>32</v>
      </c>
      <c r="N30" s="102">
        <v>1051600</v>
      </c>
      <c r="O30" s="32">
        <f t="shared" si="1"/>
        <v>33651200</v>
      </c>
      <c r="P30" s="33" t="s">
        <v>126</v>
      </c>
      <c r="Q30" s="160">
        <v>1230000</v>
      </c>
      <c r="R30" s="158" t="s">
        <v>22</v>
      </c>
      <c r="S30" s="160">
        <f t="shared" si="2"/>
        <v>39360000</v>
      </c>
    </row>
    <row r="31" spans="1:19" s="30" customFormat="1" ht="79.2">
      <c r="A31" s="31"/>
      <c r="B31" s="34" t="s">
        <v>23</v>
      </c>
      <c r="C31" s="31" t="s">
        <v>107</v>
      </c>
      <c r="D31" s="31" t="s">
        <v>106</v>
      </c>
      <c r="E31" s="31">
        <v>600</v>
      </c>
      <c r="F31" s="31">
        <v>600</v>
      </c>
      <c r="G31" s="31">
        <f t="shared" si="0"/>
        <v>550</v>
      </c>
      <c r="H31" s="31">
        <f t="shared" si="0"/>
        <v>550</v>
      </c>
      <c r="I31" s="31"/>
      <c r="J31" s="31"/>
      <c r="K31" s="31"/>
      <c r="L31" s="31" t="s">
        <v>7</v>
      </c>
      <c r="M31" s="35">
        <v>10</v>
      </c>
      <c r="N31" s="102">
        <v>556600</v>
      </c>
      <c r="O31" s="32">
        <f t="shared" si="1"/>
        <v>5566000</v>
      </c>
      <c r="P31" s="33" t="s">
        <v>126</v>
      </c>
      <c r="Q31" s="160">
        <v>590000</v>
      </c>
      <c r="R31" s="158" t="s">
        <v>23</v>
      </c>
      <c r="S31" s="160">
        <f t="shared" si="2"/>
        <v>5900000</v>
      </c>
    </row>
    <row r="32" spans="1:19" s="30" customFormat="1" ht="92.4">
      <c r="A32" s="31">
        <f>+[23]l7!A32</f>
        <v>1</v>
      </c>
      <c r="B32" s="34" t="s">
        <v>25</v>
      </c>
      <c r="C32" s="31"/>
      <c r="D32" s="31"/>
      <c r="E32" s="31"/>
      <c r="F32" s="31"/>
      <c r="G32" s="31"/>
      <c r="H32" s="31"/>
      <c r="I32" s="31"/>
      <c r="J32" s="31"/>
      <c r="K32" s="31"/>
      <c r="L32" s="31" t="s">
        <v>26</v>
      </c>
      <c r="M32" s="35">
        <v>742</v>
      </c>
      <c r="N32" s="32"/>
      <c r="O32" s="32">
        <f t="shared" si="1"/>
        <v>0</v>
      </c>
      <c r="P32" s="33"/>
      <c r="Q32" s="160"/>
      <c r="R32" s="158" t="s">
        <v>25</v>
      </c>
      <c r="S32" s="160">
        <f t="shared" si="2"/>
        <v>0</v>
      </c>
    </row>
    <row r="33" spans="1:19" s="30" customFormat="1" ht="92.4">
      <c r="A33" s="31">
        <f>+[23]l7!A33</f>
        <v>2</v>
      </c>
      <c r="B33" s="34" t="s">
        <v>27</v>
      </c>
      <c r="C33" s="31"/>
      <c r="D33" s="31"/>
      <c r="E33" s="31"/>
      <c r="F33" s="31"/>
      <c r="G33" s="31"/>
      <c r="H33" s="31"/>
      <c r="I33" s="31"/>
      <c r="J33" s="31"/>
      <c r="K33" s="31"/>
      <c r="L33" s="31" t="s">
        <v>26</v>
      </c>
      <c r="M33" s="35">
        <v>319</v>
      </c>
      <c r="N33" s="32"/>
      <c r="O33" s="32">
        <f t="shared" si="1"/>
        <v>0</v>
      </c>
      <c r="P33" s="33"/>
      <c r="Q33" s="160"/>
      <c r="R33" s="158" t="s">
        <v>27</v>
      </c>
      <c r="S33" s="160">
        <f t="shared" si="2"/>
        <v>0</v>
      </c>
    </row>
    <row r="34" spans="1:19" s="30" customFormat="1" ht="145.19999999999999">
      <c r="A34" s="31">
        <f>+[23]l7!A34</f>
        <v>3</v>
      </c>
      <c r="B34" s="34" t="s">
        <v>28</v>
      </c>
      <c r="C34" s="31"/>
      <c r="D34" s="31"/>
      <c r="E34" s="31"/>
      <c r="F34" s="31"/>
      <c r="G34" s="31"/>
      <c r="H34" s="31"/>
      <c r="I34" s="31"/>
      <c r="J34" s="31"/>
      <c r="K34" s="31"/>
      <c r="L34" s="31" t="s">
        <v>26</v>
      </c>
      <c r="M34" s="35">
        <v>821</v>
      </c>
      <c r="N34" s="32"/>
      <c r="O34" s="32">
        <f t="shared" si="1"/>
        <v>0</v>
      </c>
      <c r="P34" s="33"/>
      <c r="Q34" s="160"/>
      <c r="R34" s="158" t="s">
        <v>28</v>
      </c>
      <c r="S34" s="160">
        <f t="shared" si="2"/>
        <v>0</v>
      </c>
    </row>
    <row r="35" spans="1:19" s="30" customFormat="1" ht="145.19999999999999">
      <c r="A35" s="31">
        <f>+[23]l7!A35</f>
        <v>3</v>
      </c>
      <c r="B35" s="34" t="s">
        <v>29</v>
      </c>
      <c r="C35" s="31"/>
      <c r="D35" s="31"/>
      <c r="E35" s="31"/>
      <c r="F35" s="31"/>
      <c r="G35" s="31"/>
      <c r="H35" s="31"/>
      <c r="I35" s="31"/>
      <c r="J35" s="31"/>
      <c r="K35" s="31"/>
      <c r="L35" s="31" t="s">
        <v>26</v>
      </c>
      <c r="M35" s="35">
        <v>151</v>
      </c>
      <c r="N35" s="32"/>
      <c r="O35" s="32">
        <f t="shared" si="1"/>
        <v>0</v>
      </c>
      <c r="P35" s="33"/>
      <c r="Q35" s="160"/>
      <c r="R35" s="158" t="s">
        <v>29</v>
      </c>
      <c r="S35" s="160">
        <f t="shared" si="2"/>
        <v>0</v>
      </c>
    </row>
    <row r="36" spans="1:19" s="30" customFormat="1" ht="145.19999999999999">
      <c r="A36" s="31">
        <f>+[23]l7!A36</f>
        <v>4</v>
      </c>
      <c r="B36" s="34" t="s">
        <v>30</v>
      </c>
      <c r="C36" s="31"/>
      <c r="D36" s="31"/>
      <c r="E36" s="31"/>
      <c r="F36" s="31"/>
      <c r="G36" s="31"/>
      <c r="H36" s="31"/>
      <c r="I36" s="31"/>
      <c r="J36" s="31"/>
      <c r="K36" s="31"/>
      <c r="L36" s="31" t="s">
        <v>26</v>
      </c>
      <c r="M36" s="35">
        <v>671</v>
      </c>
      <c r="N36" s="32"/>
      <c r="O36" s="32">
        <f t="shared" si="1"/>
        <v>0</v>
      </c>
      <c r="P36" s="33"/>
      <c r="Q36" s="160"/>
      <c r="R36" s="158" t="s">
        <v>30</v>
      </c>
      <c r="S36" s="160">
        <f t="shared" si="2"/>
        <v>0</v>
      </c>
    </row>
    <row r="37" spans="1:19" s="30" customFormat="1" ht="145.19999999999999">
      <c r="A37" s="31">
        <f>+[23]l7!A37</f>
        <v>5</v>
      </c>
      <c r="B37" s="34" t="s">
        <v>31</v>
      </c>
      <c r="C37" s="31"/>
      <c r="D37" s="31"/>
      <c r="E37" s="31"/>
      <c r="F37" s="31"/>
      <c r="G37" s="31"/>
      <c r="H37" s="31"/>
      <c r="I37" s="31"/>
      <c r="J37" s="31"/>
      <c r="K37" s="31"/>
      <c r="L37" s="31" t="s">
        <v>26</v>
      </c>
      <c r="M37" s="35">
        <v>808</v>
      </c>
      <c r="N37" s="32"/>
      <c r="O37" s="32">
        <f t="shared" si="1"/>
        <v>0</v>
      </c>
      <c r="P37" s="33"/>
      <c r="Q37" s="160"/>
      <c r="R37" s="158" t="s">
        <v>31</v>
      </c>
      <c r="S37" s="160">
        <f t="shared" si="2"/>
        <v>0</v>
      </c>
    </row>
    <row r="38" spans="1:19" s="30" customFormat="1" ht="145.19999999999999">
      <c r="A38" s="31">
        <f>+[23]l7!A38</f>
        <v>6</v>
      </c>
      <c r="B38" s="34" t="s">
        <v>32</v>
      </c>
      <c r="C38" s="31"/>
      <c r="D38" s="31"/>
      <c r="E38" s="31"/>
      <c r="F38" s="31"/>
      <c r="G38" s="31"/>
      <c r="H38" s="31"/>
      <c r="I38" s="31"/>
      <c r="J38" s="31"/>
      <c r="K38" s="31"/>
      <c r="L38" s="31" t="s">
        <v>26</v>
      </c>
      <c r="M38" s="35">
        <v>140</v>
      </c>
      <c r="N38" s="32"/>
      <c r="O38" s="32">
        <f t="shared" si="1"/>
        <v>0</v>
      </c>
      <c r="P38" s="33"/>
      <c r="Q38" s="160"/>
      <c r="R38" s="158" t="s">
        <v>32</v>
      </c>
      <c r="S38" s="160">
        <f t="shared" si="2"/>
        <v>0</v>
      </c>
    </row>
    <row r="39" spans="1:19" s="30" customFormat="1" ht="145.19999999999999">
      <c r="A39" s="31">
        <f>+[23]l7!A39</f>
        <v>7</v>
      </c>
      <c r="B39" s="34" t="s">
        <v>33</v>
      </c>
      <c r="C39" s="31"/>
      <c r="D39" s="31"/>
      <c r="E39" s="31"/>
      <c r="F39" s="31"/>
      <c r="G39" s="31"/>
      <c r="H39" s="31"/>
      <c r="I39" s="31"/>
      <c r="J39" s="31"/>
      <c r="K39" s="31"/>
      <c r="L39" s="31" t="s">
        <v>26</v>
      </c>
      <c r="M39" s="35">
        <v>276</v>
      </c>
      <c r="N39" s="32"/>
      <c r="O39" s="32">
        <f t="shared" si="1"/>
        <v>0</v>
      </c>
      <c r="P39" s="33"/>
      <c r="Q39" s="160"/>
      <c r="R39" s="158" t="s">
        <v>33</v>
      </c>
      <c r="S39" s="160">
        <f t="shared" si="2"/>
        <v>0</v>
      </c>
    </row>
    <row r="40" spans="1:19" s="30" customFormat="1" ht="145.19999999999999">
      <c r="A40" s="31">
        <f>+[23]l7!A40</f>
        <v>8</v>
      </c>
      <c r="B40" s="34" t="s">
        <v>34</v>
      </c>
      <c r="C40" s="31"/>
      <c r="D40" s="31"/>
      <c r="E40" s="31"/>
      <c r="F40" s="31"/>
      <c r="G40" s="31"/>
      <c r="H40" s="31"/>
      <c r="I40" s="31"/>
      <c r="J40" s="31"/>
      <c r="K40" s="31"/>
      <c r="L40" s="31" t="s">
        <v>26</v>
      </c>
      <c r="M40" s="35">
        <v>138</v>
      </c>
      <c r="N40" s="32"/>
      <c r="O40" s="32">
        <f t="shared" si="1"/>
        <v>0</v>
      </c>
      <c r="P40" s="33"/>
      <c r="Q40" s="160"/>
      <c r="R40" s="158" t="s">
        <v>34</v>
      </c>
      <c r="S40" s="160">
        <f t="shared" si="2"/>
        <v>0</v>
      </c>
    </row>
    <row r="41" spans="1:19" s="30" customFormat="1" ht="52.8">
      <c r="A41" s="31">
        <f>+[23]l7!A41</f>
        <v>9</v>
      </c>
      <c r="B41" s="34" t="s">
        <v>35</v>
      </c>
      <c r="C41" s="31"/>
      <c r="D41" s="31"/>
      <c r="E41" s="31"/>
      <c r="F41" s="31"/>
      <c r="G41" s="31"/>
      <c r="H41" s="31"/>
      <c r="I41" s="31"/>
      <c r="J41" s="31"/>
      <c r="K41" s="31"/>
      <c r="L41" s="31" t="s">
        <v>36</v>
      </c>
      <c r="M41" s="35">
        <v>1</v>
      </c>
      <c r="N41" s="32"/>
      <c r="O41" s="32">
        <f t="shared" si="1"/>
        <v>0</v>
      </c>
      <c r="P41" s="33"/>
      <c r="Q41" s="160"/>
      <c r="R41" s="158" t="s">
        <v>35</v>
      </c>
      <c r="S41" s="160">
        <f t="shared" si="2"/>
        <v>0</v>
      </c>
    </row>
    <row r="42" spans="1:19" s="30" customFormat="1" ht="79.2">
      <c r="A42" s="31">
        <f>+[23]l7!A42</f>
        <v>10</v>
      </c>
      <c r="B42" s="34" t="s">
        <v>38</v>
      </c>
      <c r="C42" s="31" t="s">
        <v>123</v>
      </c>
      <c r="D42" s="31" t="s">
        <v>106</v>
      </c>
      <c r="E42" s="31">
        <v>2000</v>
      </c>
      <c r="F42" s="31">
        <v>400</v>
      </c>
      <c r="G42" s="31"/>
      <c r="H42" s="31"/>
      <c r="I42" s="31">
        <v>2</v>
      </c>
      <c r="J42" s="31">
        <v>200</v>
      </c>
      <c r="K42" s="31">
        <v>1.1499999999999999</v>
      </c>
      <c r="L42" s="31" t="s">
        <v>39</v>
      </c>
      <c r="M42" s="35">
        <v>11</v>
      </c>
      <c r="N42" s="32">
        <v>9387821.2268456407</v>
      </c>
      <c r="O42" s="32">
        <f>+N42*M42</f>
        <v>103266033.49530205</v>
      </c>
      <c r="P42" s="33" t="s">
        <v>128</v>
      </c>
      <c r="Q42" s="160">
        <v>7920000</v>
      </c>
      <c r="R42" s="158" t="s">
        <v>38</v>
      </c>
      <c r="S42" s="160">
        <f t="shared" si="2"/>
        <v>87120000</v>
      </c>
    </row>
    <row r="43" spans="1:19" s="30" customFormat="1" ht="79.2">
      <c r="A43" s="31">
        <f>+[23]l7!A43</f>
        <v>11</v>
      </c>
      <c r="B43" s="34" t="s">
        <v>40</v>
      </c>
      <c r="C43" s="31" t="s">
        <v>123</v>
      </c>
      <c r="D43" s="31" t="s">
        <v>106</v>
      </c>
      <c r="E43" s="31">
        <v>1800</v>
      </c>
      <c r="F43" s="31">
        <v>400</v>
      </c>
      <c r="G43" s="31"/>
      <c r="H43" s="31"/>
      <c r="I43" s="31">
        <v>2</v>
      </c>
      <c r="J43" s="31">
        <v>200</v>
      </c>
      <c r="K43" s="31">
        <v>1.1499999999999999</v>
      </c>
      <c r="L43" s="31" t="s">
        <v>39</v>
      </c>
      <c r="M43" s="35">
        <v>5</v>
      </c>
      <c r="N43" s="32">
        <v>8957893.3457718138</v>
      </c>
      <c r="O43" s="32">
        <f>+N43*M43</f>
        <v>44789466.728859067</v>
      </c>
      <c r="P43" s="33" t="s">
        <v>128</v>
      </c>
      <c r="Q43" s="160">
        <v>7700000</v>
      </c>
      <c r="R43" s="158" t="s">
        <v>40</v>
      </c>
      <c r="S43" s="160">
        <f t="shared" si="2"/>
        <v>38500000</v>
      </c>
    </row>
    <row r="44" spans="1:19" s="30" customFormat="1" ht="79.2">
      <c r="A44" s="31">
        <f>+[23]l7!A44</f>
        <v>12</v>
      </c>
      <c r="B44" s="34" t="s">
        <v>41</v>
      </c>
      <c r="C44" s="31" t="s">
        <v>123</v>
      </c>
      <c r="D44" s="31" t="s">
        <v>106</v>
      </c>
      <c r="E44" s="31">
        <v>1000</v>
      </c>
      <c r="F44" s="31">
        <v>350</v>
      </c>
      <c r="G44" s="31"/>
      <c r="H44" s="31"/>
      <c r="I44" s="31"/>
      <c r="J44" s="31">
        <v>200</v>
      </c>
      <c r="K44" s="31">
        <v>1.1499999999999999</v>
      </c>
      <c r="L44" s="31" t="s">
        <v>39</v>
      </c>
      <c r="M44" s="35">
        <v>6</v>
      </c>
      <c r="N44" s="32">
        <v>4531029.0392617462</v>
      </c>
      <c r="O44" s="32">
        <f>+N44*M44</f>
        <v>27186174.235570475</v>
      </c>
      <c r="P44" s="33" t="s">
        <v>128</v>
      </c>
      <c r="Q44" s="160">
        <v>4030000</v>
      </c>
      <c r="R44" s="158" t="s">
        <v>41</v>
      </c>
      <c r="S44" s="160">
        <f t="shared" si="2"/>
        <v>24180000</v>
      </c>
    </row>
    <row r="45" spans="1:19" s="30" customFormat="1" ht="52.8">
      <c r="A45" s="31">
        <f>+[23]l7!A45</f>
        <v>13</v>
      </c>
      <c r="B45" s="34" t="s">
        <v>43</v>
      </c>
      <c r="C45" s="31" t="s">
        <v>42</v>
      </c>
      <c r="D45" s="31" t="s">
        <v>106</v>
      </c>
      <c r="E45" s="31">
        <v>4500</v>
      </c>
      <c r="F45" s="31">
        <v>1000</v>
      </c>
      <c r="G45" s="31"/>
      <c r="H45" s="31"/>
      <c r="I45" s="31"/>
      <c r="J45" s="31">
        <v>200</v>
      </c>
      <c r="K45" s="31">
        <v>1.1499999999999999</v>
      </c>
      <c r="L45" s="31" t="s">
        <v>39</v>
      </c>
      <c r="M45" s="35">
        <v>54</v>
      </c>
      <c r="N45" s="32">
        <v>7523250</v>
      </c>
      <c r="O45" s="32">
        <f t="shared" ref="O45:O71" si="3">+N45*M45</f>
        <v>406255500</v>
      </c>
      <c r="P45" s="33" t="s">
        <v>129</v>
      </c>
      <c r="Q45" s="160">
        <v>10260000</v>
      </c>
      <c r="R45" s="158" t="s">
        <v>43</v>
      </c>
      <c r="S45" s="160">
        <f t="shared" si="2"/>
        <v>554040000</v>
      </c>
    </row>
    <row r="46" spans="1:19" s="30" customFormat="1" ht="52.8">
      <c r="A46" s="31">
        <f>+[23]l7!A46</f>
        <v>14</v>
      </c>
      <c r="B46" s="34" t="s">
        <v>44</v>
      </c>
      <c r="C46" s="31" t="s">
        <v>42</v>
      </c>
      <c r="D46" s="31" t="s">
        <v>106</v>
      </c>
      <c r="E46" s="31">
        <v>4000</v>
      </c>
      <c r="F46" s="31">
        <v>2000</v>
      </c>
      <c r="G46" s="31"/>
      <c r="H46" s="31"/>
      <c r="I46" s="31"/>
      <c r="J46" s="31">
        <v>200</v>
      </c>
      <c r="K46" s="31">
        <v>1.1499999999999999</v>
      </c>
      <c r="L46" s="31" t="s">
        <v>7</v>
      </c>
      <c r="M46" s="35">
        <v>0</v>
      </c>
      <c r="N46" s="32">
        <v>12866437.5</v>
      </c>
      <c r="O46" s="32">
        <f t="shared" si="3"/>
        <v>0</v>
      </c>
      <c r="P46" s="33" t="s">
        <v>130</v>
      </c>
      <c r="Q46" s="160">
        <v>19400000</v>
      </c>
      <c r="R46" s="158" t="s">
        <v>44</v>
      </c>
      <c r="S46" s="160">
        <f t="shared" si="2"/>
        <v>0</v>
      </c>
    </row>
    <row r="47" spans="1:19" s="30" customFormat="1" ht="52.8">
      <c r="A47" s="31">
        <f>+[23]l7!A47</f>
        <v>15</v>
      </c>
      <c r="B47" s="34" t="s">
        <v>45</v>
      </c>
      <c r="C47" s="31" t="s">
        <v>42</v>
      </c>
      <c r="D47" s="31" t="s">
        <v>106</v>
      </c>
      <c r="E47" s="31">
        <v>4000</v>
      </c>
      <c r="F47" s="31">
        <v>1500</v>
      </c>
      <c r="G47" s="31"/>
      <c r="H47" s="31"/>
      <c r="I47" s="31"/>
      <c r="J47" s="31">
        <v>200</v>
      </c>
      <c r="K47" s="31">
        <v>1.1499999999999999</v>
      </c>
      <c r="L47" s="31" t="s">
        <v>7</v>
      </c>
      <c r="M47" s="35">
        <v>45</v>
      </c>
      <c r="N47" s="32">
        <v>8250375</v>
      </c>
      <c r="O47" s="32">
        <f t="shared" si="3"/>
        <v>371266875</v>
      </c>
      <c r="P47" s="33" t="s">
        <v>129</v>
      </c>
      <c r="Q47" s="160">
        <v>11310000</v>
      </c>
      <c r="R47" s="158" t="s">
        <v>45</v>
      </c>
      <c r="S47" s="160">
        <f t="shared" si="2"/>
        <v>508950000</v>
      </c>
    </row>
    <row r="48" spans="1:19" s="30" customFormat="1" ht="52.8">
      <c r="A48" s="31">
        <f>+[23]l7!A48</f>
        <v>16</v>
      </c>
      <c r="B48" s="34" t="s">
        <v>46</v>
      </c>
      <c r="C48" s="31" t="s">
        <v>42</v>
      </c>
      <c r="D48" s="31" t="s">
        <v>106</v>
      </c>
      <c r="E48" s="31">
        <v>4000</v>
      </c>
      <c r="F48" s="31">
        <v>1000</v>
      </c>
      <c r="G48" s="31"/>
      <c r="H48" s="31"/>
      <c r="I48" s="31"/>
      <c r="J48" s="31">
        <v>200</v>
      </c>
      <c r="K48" s="31">
        <v>1.1499999999999999</v>
      </c>
      <c r="L48" s="31" t="s">
        <v>7</v>
      </c>
      <c r="M48" s="35">
        <v>8</v>
      </c>
      <c r="N48" s="32">
        <v>7134750</v>
      </c>
      <c r="O48" s="32">
        <f t="shared" si="3"/>
        <v>57078000</v>
      </c>
      <c r="P48" s="33" t="s">
        <v>129</v>
      </c>
      <c r="Q48" s="160">
        <v>9700000</v>
      </c>
      <c r="R48" s="158" t="s">
        <v>46</v>
      </c>
      <c r="S48" s="160">
        <f t="shared" si="2"/>
        <v>77600000</v>
      </c>
    </row>
    <row r="49" spans="1:19" s="30" customFormat="1" ht="52.8">
      <c r="A49" s="31">
        <f>+[23]l7!A49</f>
        <v>17</v>
      </c>
      <c r="B49" s="34" t="s">
        <v>47</v>
      </c>
      <c r="C49" s="31" t="s">
        <v>42</v>
      </c>
      <c r="D49" s="31" t="s">
        <v>106</v>
      </c>
      <c r="E49" s="31">
        <v>3500</v>
      </c>
      <c r="F49" s="31">
        <v>500</v>
      </c>
      <c r="G49" s="31"/>
      <c r="H49" s="31"/>
      <c r="I49" s="31"/>
      <c r="J49" s="31">
        <v>200</v>
      </c>
      <c r="K49" s="31">
        <v>1.1499999999999999</v>
      </c>
      <c r="L49" s="31" t="s">
        <v>7</v>
      </c>
      <c r="M49" s="35">
        <v>1</v>
      </c>
      <c r="N49" s="32">
        <v>4072687.5</v>
      </c>
      <c r="O49" s="32">
        <f t="shared" si="3"/>
        <v>4072687.5</v>
      </c>
      <c r="P49" s="33" t="s">
        <v>131</v>
      </c>
      <c r="Q49" s="160">
        <v>5305000</v>
      </c>
      <c r="R49" s="158" t="s">
        <v>47</v>
      </c>
      <c r="S49" s="160">
        <f t="shared" si="2"/>
        <v>5305000</v>
      </c>
    </row>
    <row r="50" spans="1:19" s="30" customFormat="1" ht="52.8">
      <c r="A50" s="31">
        <f>+[23]l7!A50</f>
        <v>18</v>
      </c>
      <c r="B50" s="34" t="s">
        <v>48</v>
      </c>
      <c r="C50" s="31" t="s">
        <v>42</v>
      </c>
      <c r="D50" s="31" t="s">
        <v>106</v>
      </c>
      <c r="E50" s="31">
        <v>2000</v>
      </c>
      <c r="F50" s="31">
        <v>1000</v>
      </c>
      <c r="G50" s="31"/>
      <c r="H50" s="31"/>
      <c r="I50" s="31"/>
      <c r="J50" s="31">
        <v>200</v>
      </c>
      <c r="K50" s="31">
        <v>1.1499999999999999</v>
      </c>
      <c r="L50" s="31" t="s">
        <v>7</v>
      </c>
      <c r="M50" s="35">
        <v>10</v>
      </c>
      <c r="N50" s="32">
        <v>3903375</v>
      </c>
      <c r="O50" s="32">
        <f t="shared" si="3"/>
        <v>39033750</v>
      </c>
      <c r="P50" s="33" t="s">
        <v>131</v>
      </c>
      <c r="Q50" s="160">
        <v>5060000</v>
      </c>
      <c r="R50" s="158" t="s">
        <v>48</v>
      </c>
      <c r="S50" s="160">
        <f t="shared" si="2"/>
        <v>50600000</v>
      </c>
    </row>
    <row r="51" spans="1:19" s="30" customFormat="1" ht="52.8">
      <c r="A51" s="31">
        <f>+[23]l7!A51</f>
        <v>19</v>
      </c>
      <c r="B51" s="34" t="s">
        <v>49</v>
      </c>
      <c r="C51" s="31" t="s">
        <v>42</v>
      </c>
      <c r="D51" s="31" t="s">
        <v>106</v>
      </c>
      <c r="E51" s="31">
        <v>2000</v>
      </c>
      <c r="F51" s="31">
        <v>800</v>
      </c>
      <c r="G51" s="31"/>
      <c r="H51" s="31"/>
      <c r="I51" s="31"/>
      <c r="J51" s="31">
        <v>200</v>
      </c>
      <c r="K51" s="31">
        <v>1.1499999999999999</v>
      </c>
      <c r="L51" s="31" t="s">
        <v>7</v>
      </c>
      <c r="M51" s="35">
        <v>12</v>
      </c>
      <c r="N51" s="32">
        <v>3651375</v>
      </c>
      <c r="O51" s="32">
        <f t="shared" si="3"/>
        <v>43816500</v>
      </c>
      <c r="P51" s="33" t="s">
        <v>131</v>
      </c>
      <c r="Q51" s="160">
        <v>4696000</v>
      </c>
      <c r="R51" s="158" t="s">
        <v>49</v>
      </c>
      <c r="S51" s="160">
        <f t="shared" si="2"/>
        <v>56352000</v>
      </c>
    </row>
    <row r="52" spans="1:19" s="30" customFormat="1" ht="52.8">
      <c r="A52" s="31">
        <f>+[23]l7!A52</f>
        <v>20</v>
      </c>
      <c r="B52" s="34" t="s">
        <v>50</v>
      </c>
      <c r="C52" s="31" t="s">
        <v>42</v>
      </c>
      <c r="D52" s="31" t="s">
        <v>106</v>
      </c>
      <c r="E52" s="31">
        <v>1500</v>
      </c>
      <c r="F52" s="31">
        <v>1500</v>
      </c>
      <c r="G52" s="31"/>
      <c r="H52" s="31"/>
      <c r="I52" s="31"/>
      <c r="J52" s="31">
        <v>200</v>
      </c>
      <c r="K52" s="31">
        <v>1.1499999999999999</v>
      </c>
      <c r="L52" s="31" t="s">
        <v>7</v>
      </c>
      <c r="M52" s="35">
        <v>10</v>
      </c>
      <c r="N52" s="32">
        <v>4024125</v>
      </c>
      <c r="O52" s="32">
        <f t="shared" si="3"/>
        <v>40241250</v>
      </c>
      <c r="P52" s="33" t="s">
        <v>131</v>
      </c>
      <c r="Q52" s="160">
        <v>4035000</v>
      </c>
      <c r="R52" s="158" t="s">
        <v>50</v>
      </c>
      <c r="S52" s="160">
        <f t="shared" si="2"/>
        <v>40350000</v>
      </c>
    </row>
    <row r="53" spans="1:19" s="30" customFormat="1" ht="52.8">
      <c r="A53" s="31">
        <f>+[23]l7!A53</f>
        <v>21</v>
      </c>
      <c r="B53" s="34" t="s">
        <v>51</v>
      </c>
      <c r="C53" s="31" t="s">
        <v>42</v>
      </c>
      <c r="D53" s="31" t="s">
        <v>106</v>
      </c>
      <c r="E53" s="31">
        <v>1200</v>
      </c>
      <c r="F53" s="31">
        <v>1000</v>
      </c>
      <c r="G53" s="31"/>
      <c r="H53" s="31"/>
      <c r="I53" s="31"/>
      <c r="J53" s="31">
        <v>200</v>
      </c>
      <c r="K53" s="31">
        <v>1.1499999999999999</v>
      </c>
      <c r="L53" s="31" t="s">
        <v>7</v>
      </c>
      <c r="M53" s="35">
        <v>10</v>
      </c>
      <c r="N53" s="32">
        <v>3282562.5</v>
      </c>
      <c r="O53" s="32">
        <f t="shared" si="3"/>
        <v>32825625</v>
      </c>
      <c r="P53" s="33" t="s">
        <v>131</v>
      </c>
      <c r="Q53" s="160">
        <v>2964000</v>
      </c>
      <c r="R53" s="158" t="s">
        <v>51</v>
      </c>
      <c r="S53" s="160">
        <f t="shared" si="2"/>
        <v>29640000</v>
      </c>
    </row>
    <row r="54" spans="1:19" s="30" customFormat="1" ht="52.8">
      <c r="A54" s="31">
        <f>+[23]l7!A54</f>
        <v>22</v>
      </c>
      <c r="B54" s="34" t="s">
        <v>52</v>
      </c>
      <c r="C54" s="31" t="s">
        <v>42</v>
      </c>
      <c r="D54" s="31" t="s">
        <v>106</v>
      </c>
      <c r="E54" s="31">
        <v>1000</v>
      </c>
      <c r="F54" s="31">
        <v>1000</v>
      </c>
      <c r="G54" s="31"/>
      <c r="H54" s="31"/>
      <c r="I54" s="31"/>
      <c r="J54" s="31">
        <v>200</v>
      </c>
      <c r="K54" s="31">
        <v>1.1499999999999999</v>
      </c>
      <c r="L54" s="31" t="s">
        <v>7</v>
      </c>
      <c r="M54" s="35">
        <v>1</v>
      </c>
      <c r="N54" s="32">
        <v>2287687.5</v>
      </c>
      <c r="O54" s="32">
        <f t="shared" si="3"/>
        <v>2287687.5</v>
      </c>
      <c r="P54" s="33" t="s">
        <v>132</v>
      </c>
      <c r="Q54" s="160">
        <v>2740000</v>
      </c>
      <c r="R54" s="158" t="s">
        <v>52</v>
      </c>
      <c r="S54" s="160">
        <f t="shared" si="2"/>
        <v>2740000</v>
      </c>
    </row>
    <row r="55" spans="1:19" s="30" customFormat="1" ht="52.8">
      <c r="A55" s="31">
        <f>+[23]l7!A55</f>
        <v>23</v>
      </c>
      <c r="B55" s="34" t="s">
        <v>53</v>
      </c>
      <c r="C55" s="31" t="s">
        <v>42</v>
      </c>
      <c r="D55" s="31" t="s">
        <v>106</v>
      </c>
      <c r="E55" s="31">
        <v>800</v>
      </c>
      <c r="F55" s="31">
        <v>1500</v>
      </c>
      <c r="G55" s="31"/>
      <c r="H55" s="31"/>
      <c r="I55" s="31"/>
      <c r="J55" s="31">
        <v>200</v>
      </c>
      <c r="K55" s="31">
        <v>1.1499999999999999</v>
      </c>
      <c r="L55" s="31" t="s">
        <v>7</v>
      </c>
      <c r="M55" s="35">
        <v>2</v>
      </c>
      <c r="N55" s="32">
        <v>2471437.5</v>
      </c>
      <c r="O55" s="32">
        <f t="shared" si="3"/>
        <v>4942875</v>
      </c>
      <c r="P55" s="33" t="s">
        <v>132</v>
      </c>
      <c r="Q55" s="160">
        <v>3006000</v>
      </c>
      <c r="R55" s="158" t="s">
        <v>53</v>
      </c>
      <c r="S55" s="160">
        <f t="shared" si="2"/>
        <v>6012000</v>
      </c>
    </row>
    <row r="56" spans="1:19" s="30" customFormat="1" ht="52.8">
      <c r="A56" s="31">
        <f>+[23]l7!A56</f>
        <v>24</v>
      </c>
      <c r="B56" s="34" t="s">
        <v>54</v>
      </c>
      <c r="C56" s="31" t="s">
        <v>42</v>
      </c>
      <c r="D56" s="31" t="s">
        <v>106</v>
      </c>
      <c r="E56" s="31">
        <v>2600</v>
      </c>
      <c r="F56" s="31">
        <v>1000</v>
      </c>
      <c r="G56" s="31"/>
      <c r="H56" s="31"/>
      <c r="I56" s="31"/>
      <c r="J56" s="31">
        <v>200</v>
      </c>
      <c r="K56" s="31">
        <v>1.1499999999999999</v>
      </c>
      <c r="L56" s="31" t="s">
        <v>7</v>
      </c>
      <c r="M56" s="35">
        <v>24</v>
      </c>
      <c r="N56" s="32">
        <v>4369312.5</v>
      </c>
      <c r="O56" s="32">
        <f t="shared" si="3"/>
        <v>104863500</v>
      </c>
      <c r="P56" s="33" t="s">
        <v>131</v>
      </c>
      <c r="Q56" s="160">
        <v>5732000</v>
      </c>
      <c r="R56" s="158" t="s">
        <v>54</v>
      </c>
      <c r="S56" s="160">
        <f t="shared" si="2"/>
        <v>137568000</v>
      </c>
    </row>
    <row r="57" spans="1:19" s="30" customFormat="1" ht="52.8">
      <c r="A57" s="31">
        <f>+[23]l7!A57</f>
        <v>25</v>
      </c>
      <c r="B57" s="34" t="s">
        <v>55</v>
      </c>
      <c r="C57" s="31" t="s">
        <v>42</v>
      </c>
      <c r="D57" s="31" t="s">
        <v>106</v>
      </c>
      <c r="E57" s="31">
        <v>2000</v>
      </c>
      <c r="F57" s="31">
        <v>1300</v>
      </c>
      <c r="G57" s="31"/>
      <c r="H57" s="31"/>
      <c r="I57" s="31"/>
      <c r="J57" s="31">
        <v>200</v>
      </c>
      <c r="K57" s="31">
        <v>1.1499999999999999</v>
      </c>
      <c r="L57" s="31" t="s">
        <v>7</v>
      </c>
      <c r="M57" s="35">
        <v>1</v>
      </c>
      <c r="N57" s="32">
        <v>4281375</v>
      </c>
      <c r="O57" s="32">
        <f t="shared" si="3"/>
        <v>4281375</v>
      </c>
      <c r="P57" s="33" t="s">
        <v>131</v>
      </c>
      <c r="Q57" s="160">
        <v>5606000</v>
      </c>
      <c r="R57" s="158" t="s">
        <v>55</v>
      </c>
      <c r="S57" s="160">
        <f t="shared" si="2"/>
        <v>5606000</v>
      </c>
    </row>
    <row r="58" spans="1:19" s="30" customFormat="1" ht="52.8">
      <c r="A58" s="31">
        <f>+[23]l7!A58</f>
        <v>26</v>
      </c>
      <c r="B58" s="34" t="s">
        <v>56</v>
      </c>
      <c r="C58" s="31" t="s">
        <v>42</v>
      </c>
      <c r="D58" s="31" t="s">
        <v>106</v>
      </c>
      <c r="E58" s="31">
        <v>1000</v>
      </c>
      <c r="F58" s="31">
        <v>1500</v>
      </c>
      <c r="G58" s="31"/>
      <c r="H58" s="31"/>
      <c r="I58" s="31"/>
      <c r="J58" s="31">
        <v>200</v>
      </c>
      <c r="K58" s="31">
        <v>1.1499999999999999</v>
      </c>
      <c r="L58" s="31" t="s">
        <v>7</v>
      </c>
      <c r="M58" s="35">
        <v>1</v>
      </c>
      <c r="N58" s="32">
        <v>2674875</v>
      </c>
      <c r="O58" s="32">
        <f t="shared" si="3"/>
        <v>2674875</v>
      </c>
      <c r="P58" s="33" t="s">
        <v>132</v>
      </c>
      <c r="Q58" s="160">
        <v>3300000</v>
      </c>
      <c r="R58" s="158" t="s">
        <v>56</v>
      </c>
      <c r="S58" s="160">
        <f t="shared" si="2"/>
        <v>3300000</v>
      </c>
    </row>
    <row r="59" spans="1:19" s="30" customFormat="1" ht="26.4">
      <c r="A59" s="31">
        <f>+[23]l7!A59</f>
        <v>27</v>
      </c>
      <c r="B59" s="34" t="s">
        <v>58</v>
      </c>
      <c r="C59" s="31" t="s">
        <v>57</v>
      </c>
      <c r="D59" s="31" t="s">
        <v>106</v>
      </c>
      <c r="E59" s="31">
        <v>1800</v>
      </c>
      <c r="F59" s="31">
        <v>1000</v>
      </c>
      <c r="G59" s="31"/>
      <c r="H59" s="31"/>
      <c r="I59" s="31"/>
      <c r="J59" s="31">
        <v>200</v>
      </c>
      <c r="K59" s="31">
        <v>1.1499999999999999</v>
      </c>
      <c r="L59" s="31" t="s">
        <v>39</v>
      </c>
      <c r="M59" s="35">
        <v>4</v>
      </c>
      <c r="N59" s="32">
        <v>1970000</v>
      </c>
      <c r="O59" s="32">
        <f t="shared" si="3"/>
        <v>7880000</v>
      </c>
      <c r="P59" s="33"/>
      <c r="Q59" s="160">
        <v>2436000</v>
      </c>
      <c r="R59" s="158" t="s">
        <v>58</v>
      </c>
      <c r="S59" s="160">
        <f t="shared" si="2"/>
        <v>9744000</v>
      </c>
    </row>
    <row r="60" spans="1:19" s="30" customFormat="1" ht="26.4">
      <c r="A60" s="31"/>
      <c r="B60" s="34" t="s">
        <v>59</v>
      </c>
      <c r="C60" s="31" t="s">
        <v>57</v>
      </c>
      <c r="D60" s="31" t="s">
        <v>106</v>
      </c>
      <c r="E60" s="31">
        <v>1400</v>
      </c>
      <c r="F60" s="31">
        <v>500</v>
      </c>
      <c r="G60" s="31"/>
      <c r="H60" s="31"/>
      <c r="I60" s="31"/>
      <c r="J60" s="31">
        <v>200</v>
      </c>
      <c r="K60" s="31">
        <v>1.1499999999999999</v>
      </c>
      <c r="L60" s="31" t="s">
        <v>39</v>
      </c>
      <c r="M60" s="35">
        <v>3</v>
      </c>
      <c r="N60" s="32">
        <v>1212500</v>
      </c>
      <c r="O60" s="32">
        <f t="shared" si="3"/>
        <v>3637500</v>
      </c>
      <c r="P60" s="33"/>
      <c r="Q60" s="160">
        <v>1288000</v>
      </c>
      <c r="R60" s="158" t="s">
        <v>59</v>
      </c>
      <c r="S60" s="160">
        <f t="shared" si="2"/>
        <v>3864000</v>
      </c>
    </row>
    <row r="61" spans="1:19" s="30" customFormat="1" ht="39.6">
      <c r="A61" s="31">
        <f>+[23]l7!A61</f>
        <v>1</v>
      </c>
      <c r="B61" s="34" t="s">
        <v>60</v>
      </c>
      <c r="C61" s="31" t="s">
        <v>133</v>
      </c>
      <c r="D61" s="31" t="s">
        <v>106</v>
      </c>
      <c r="E61" s="31">
        <v>1800</v>
      </c>
      <c r="F61" s="31">
        <v>1000</v>
      </c>
      <c r="G61" s="31"/>
      <c r="H61" s="31"/>
      <c r="I61" s="31"/>
      <c r="J61" s="31"/>
      <c r="K61" s="31"/>
      <c r="L61" s="31" t="s">
        <v>7</v>
      </c>
      <c r="M61" s="35">
        <v>0</v>
      </c>
      <c r="N61" s="32">
        <v>2472140</v>
      </c>
      <c r="O61" s="32">
        <f t="shared" si="3"/>
        <v>0</v>
      </c>
      <c r="P61" s="33" t="s">
        <v>127</v>
      </c>
      <c r="Q61" s="160">
        <v>2770000</v>
      </c>
      <c r="R61" s="158"/>
      <c r="S61" s="160">
        <f t="shared" si="2"/>
        <v>0</v>
      </c>
    </row>
    <row r="62" spans="1:19" s="30" customFormat="1" ht="26.4">
      <c r="A62" s="31">
        <f>+[23]l7!A62</f>
        <v>2</v>
      </c>
      <c r="B62" s="34" t="s">
        <v>61</v>
      </c>
      <c r="C62" s="31" t="s">
        <v>133</v>
      </c>
      <c r="D62" s="31" t="s">
        <v>106</v>
      </c>
      <c r="E62" s="31">
        <v>1000</v>
      </c>
      <c r="F62" s="31">
        <v>500</v>
      </c>
      <c r="G62" s="31"/>
      <c r="H62" s="31"/>
      <c r="I62" s="31"/>
      <c r="J62" s="31"/>
      <c r="K62" s="31"/>
      <c r="L62" s="31" t="s">
        <v>7</v>
      </c>
      <c r="M62" s="35">
        <v>0</v>
      </c>
      <c r="N62" s="32">
        <v>736010.00000000012</v>
      </c>
      <c r="O62" s="32">
        <f t="shared" si="3"/>
        <v>0</v>
      </c>
      <c r="P62" s="33" t="s">
        <v>127</v>
      </c>
      <c r="Q62" s="160">
        <v>665000</v>
      </c>
      <c r="R62" s="158"/>
      <c r="S62" s="160">
        <f t="shared" si="2"/>
        <v>0</v>
      </c>
    </row>
    <row r="63" spans="1:19" s="30" customFormat="1" ht="79.2">
      <c r="A63" s="31">
        <f>+[23]l7!A63</f>
        <v>3</v>
      </c>
      <c r="B63" s="34" t="s">
        <v>63</v>
      </c>
      <c r="C63" s="31"/>
      <c r="D63" s="31"/>
      <c r="E63" s="31"/>
      <c r="F63" s="31"/>
      <c r="G63" s="31"/>
      <c r="H63" s="31"/>
      <c r="I63" s="31"/>
      <c r="J63" s="31"/>
      <c r="K63" s="31"/>
      <c r="L63" s="31" t="s">
        <v>7</v>
      </c>
      <c r="M63" s="35">
        <v>4</v>
      </c>
      <c r="N63" s="32"/>
      <c r="O63" s="32">
        <f t="shared" si="3"/>
        <v>0</v>
      </c>
      <c r="P63" s="33"/>
      <c r="R63" s="158"/>
      <c r="S63" s="160">
        <f t="shared" si="2"/>
        <v>0</v>
      </c>
    </row>
    <row r="64" spans="1:19" s="30" customFormat="1" ht="66">
      <c r="A64" s="31">
        <f>+[23]l7!A64</f>
        <v>4</v>
      </c>
      <c r="B64" s="34" t="s">
        <v>64</v>
      </c>
      <c r="C64" s="31"/>
      <c r="D64" s="31"/>
      <c r="E64" s="31"/>
      <c r="F64" s="31"/>
      <c r="G64" s="31"/>
      <c r="H64" s="31"/>
      <c r="I64" s="31"/>
      <c r="J64" s="31"/>
      <c r="K64" s="31"/>
      <c r="L64" s="31" t="s">
        <v>7</v>
      </c>
      <c r="M64" s="35">
        <v>3</v>
      </c>
      <c r="N64" s="32"/>
      <c r="O64" s="32">
        <f t="shared" si="3"/>
        <v>0</v>
      </c>
      <c r="P64" s="33"/>
      <c r="R64" s="158"/>
      <c r="S64" s="160">
        <f t="shared" si="2"/>
        <v>0</v>
      </c>
    </row>
    <row r="65" spans="1:19" s="30" customFormat="1" ht="26.4">
      <c r="A65" s="31">
        <f>+[23]l7!A65</f>
        <v>5</v>
      </c>
      <c r="B65" s="34" t="s">
        <v>66</v>
      </c>
      <c r="C65" s="31"/>
      <c r="D65" s="31"/>
      <c r="E65" s="31"/>
      <c r="F65" s="31"/>
      <c r="G65" s="31"/>
      <c r="H65" s="31"/>
      <c r="I65" s="31"/>
      <c r="J65" s="31"/>
      <c r="K65" s="31"/>
      <c r="L65" s="31" t="s">
        <v>7</v>
      </c>
      <c r="M65" s="35">
        <v>0</v>
      </c>
      <c r="N65" s="32"/>
      <c r="O65" s="32">
        <f t="shared" si="3"/>
        <v>0</v>
      </c>
      <c r="P65" s="33"/>
      <c r="R65" s="158"/>
      <c r="S65" s="160">
        <f t="shared" si="2"/>
        <v>0</v>
      </c>
    </row>
    <row r="66" spans="1:19" s="30" customFormat="1" ht="79.2">
      <c r="A66" s="31">
        <f>+[23]l7!A66</f>
        <v>6</v>
      </c>
      <c r="B66" s="34" t="s">
        <v>68</v>
      </c>
      <c r="C66" s="31"/>
      <c r="D66" s="31"/>
      <c r="E66" s="31"/>
      <c r="F66" s="31"/>
      <c r="G66" s="31"/>
      <c r="H66" s="31"/>
      <c r="I66" s="31"/>
      <c r="J66" s="31"/>
      <c r="K66" s="31"/>
      <c r="L66" s="31" t="s">
        <v>7</v>
      </c>
      <c r="M66" s="35">
        <v>4</v>
      </c>
      <c r="N66" s="32"/>
      <c r="O66" s="32">
        <f t="shared" si="3"/>
        <v>0</v>
      </c>
      <c r="P66" s="33"/>
      <c r="R66" s="158"/>
      <c r="S66" s="160">
        <f t="shared" si="2"/>
        <v>0</v>
      </c>
    </row>
    <row r="67" spans="1:19" s="30" customFormat="1" ht="52.8">
      <c r="A67" s="31">
        <f>+[23]l7!A67</f>
        <v>7</v>
      </c>
      <c r="B67" s="34" t="s">
        <v>69</v>
      </c>
      <c r="C67" s="31"/>
      <c r="D67" s="31"/>
      <c r="E67" s="31"/>
      <c r="F67" s="31"/>
      <c r="G67" s="31"/>
      <c r="H67" s="31"/>
      <c r="I67" s="31"/>
      <c r="J67" s="31"/>
      <c r="K67" s="31"/>
      <c r="L67" s="31" t="s">
        <v>7</v>
      </c>
      <c r="M67" s="35">
        <v>4</v>
      </c>
      <c r="N67" s="32"/>
      <c r="O67" s="32">
        <f t="shared" si="3"/>
        <v>0</v>
      </c>
      <c r="P67" s="33"/>
      <c r="R67" s="158"/>
      <c r="S67" s="160">
        <f t="shared" si="2"/>
        <v>0</v>
      </c>
    </row>
    <row r="68" spans="1:19" s="30" customFormat="1" ht="79.2">
      <c r="A68" s="31">
        <f>+[23]l7!A68</f>
        <v>8</v>
      </c>
      <c r="B68" s="34" t="s">
        <v>70</v>
      </c>
      <c r="C68" s="31"/>
      <c r="D68" s="31"/>
      <c r="E68" s="31"/>
      <c r="F68" s="31"/>
      <c r="G68" s="31"/>
      <c r="H68" s="31"/>
      <c r="I68" s="31"/>
      <c r="J68" s="31"/>
      <c r="K68" s="31"/>
      <c r="L68" s="31" t="s">
        <v>7</v>
      </c>
      <c r="M68" s="35">
        <v>3</v>
      </c>
      <c r="N68" s="32"/>
      <c r="O68" s="32">
        <f t="shared" si="3"/>
        <v>0</v>
      </c>
      <c r="P68" s="33"/>
      <c r="R68" s="158"/>
      <c r="S68" s="160">
        <f t="shared" si="2"/>
        <v>0</v>
      </c>
    </row>
    <row r="69" spans="1:19" s="30" customFormat="1" ht="52.8">
      <c r="A69" s="31">
        <f>+[23]l7!A69</f>
        <v>9</v>
      </c>
      <c r="B69" s="34" t="s">
        <v>71</v>
      </c>
      <c r="C69" s="31"/>
      <c r="D69" s="31"/>
      <c r="E69" s="31"/>
      <c r="F69" s="31"/>
      <c r="G69" s="31"/>
      <c r="H69" s="31"/>
      <c r="I69" s="31"/>
      <c r="J69" s="31"/>
      <c r="K69" s="31"/>
      <c r="L69" s="31" t="s">
        <v>7</v>
      </c>
      <c r="M69" s="35">
        <v>3</v>
      </c>
      <c r="N69" s="32"/>
      <c r="O69" s="32">
        <f t="shared" si="3"/>
        <v>0</v>
      </c>
      <c r="P69" s="33"/>
      <c r="R69" s="158"/>
      <c r="S69" s="160">
        <f t="shared" si="2"/>
        <v>0</v>
      </c>
    </row>
    <row r="70" spans="1:19" s="30" customFormat="1" ht="26.4">
      <c r="A70" s="31">
        <f>+[23]l7!A70</f>
        <v>10</v>
      </c>
      <c r="B70" s="34" t="s">
        <v>72</v>
      </c>
      <c r="C70" s="31"/>
      <c r="D70" s="31"/>
      <c r="E70" s="31"/>
      <c r="F70" s="31"/>
      <c r="G70" s="31"/>
      <c r="H70" s="31"/>
      <c r="I70" s="31"/>
      <c r="J70" s="31"/>
      <c r="K70" s="31"/>
      <c r="L70" s="31" t="s">
        <v>7</v>
      </c>
      <c r="M70" s="35">
        <v>44</v>
      </c>
      <c r="N70" s="32"/>
      <c r="O70" s="32">
        <f t="shared" si="3"/>
        <v>0</v>
      </c>
      <c r="P70" s="33"/>
      <c r="R70" s="158"/>
      <c r="S70" s="160">
        <f t="shared" si="2"/>
        <v>0</v>
      </c>
    </row>
    <row r="71" spans="1:19" s="30" customFormat="1" ht="21.75" customHeight="1">
      <c r="A71" s="31">
        <f>+[23]l7!A71</f>
        <v>11</v>
      </c>
      <c r="B71" s="34" t="s">
        <v>73</v>
      </c>
      <c r="C71" s="31"/>
      <c r="D71" s="31"/>
      <c r="E71" s="31"/>
      <c r="F71" s="31"/>
      <c r="G71" s="31"/>
      <c r="H71" s="31"/>
      <c r="I71" s="31"/>
      <c r="J71" s="31"/>
      <c r="K71" s="31"/>
      <c r="L71" s="31" t="s">
        <v>74</v>
      </c>
      <c r="M71" s="35">
        <v>1</v>
      </c>
      <c r="N71" s="32"/>
      <c r="O71" s="32">
        <f t="shared" si="3"/>
        <v>0</v>
      </c>
      <c r="P71" s="33" t="s">
        <v>138</v>
      </c>
      <c r="R71" s="158"/>
      <c r="S71" s="160">
        <f t="shared" si="2"/>
        <v>0</v>
      </c>
    </row>
    <row r="72" spans="1:19" s="30" customFormat="1" ht="29.4" customHeight="1">
      <c r="A72" s="31"/>
      <c r="B72" s="34" t="s">
        <v>139</v>
      </c>
      <c r="C72" s="31"/>
      <c r="D72" s="31"/>
      <c r="E72" s="31"/>
      <c r="F72" s="31"/>
      <c r="G72" s="31"/>
      <c r="H72" s="31"/>
      <c r="I72" s="31"/>
      <c r="J72" s="31"/>
      <c r="K72" s="31"/>
      <c r="L72" s="31" t="s">
        <v>74</v>
      </c>
      <c r="M72" s="31">
        <v>1</v>
      </c>
      <c r="N72" s="32">
        <v>0</v>
      </c>
      <c r="O72" s="32"/>
      <c r="P72" s="34" t="s">
        <v>140</v>
      </c>
      <c r="R72" s="158"/>
      <c r="S72" s="160">
        <f t="shared" si="2"/>
        <v>0</v>
      </c>
    </row>
    <row r="73" spans="1:19" s="30" customFormat="1" ht="32.25" customHeight="1">
      <c r="A73" s="140" t="s">
        <v>108</v>
      </c>
      <c r="B73" s="141"/>
      <c r="C73" s="141"/>
      <c r="D73" s="141"/>
      <c r="E73" s="141"/>
      <c r="F73" s="141"/>
      <c r="G73" s="141"/>
      <c r="H73" s="141"/>
      <c r="I73" s="141"/>
      <c r="J73" s="141"/>
      <c r="K73" s="141"/>
      <c r="L73" s="141"/>
      <c r="M73" s="141"/>
      <c r="N73" s="142"/>
      <c r="O73" s="36">
        <f>SUM(O15:O72)</f>
        <v>2198240574.4597316</v>
      </c>
      <c r="P73" s="37"/>
      <c r="R73" s="158"/>
      <c r="S73" s="162">
        <f>SUM(S16:S72)</f>
        <v>2578591000</v>
      </c>
    </row>
    <row r="74" spans="1:19" s="30" customFormat="1" ht="32.25" customHeight="1">
      <c r="A74" s="143" t="s">
        <v>124</v>
      </c>
      <c r="B74" s="144"/>
      <c r="C74" s="144"/>
      <c r="D74" s="144"/>
      <c r="E74" s="144"/>
      <c r="F74" s="144"/>
      <c r="G74" s="144"/>
      <c r="H74" s="144"/>
      <c r="I74" s="144"/>
      <c r="J74" s="144"/>
      <c r="K74" s="144"/>
      <c r="L74" s="144"/>
      <c r="M74" s="144"/>
      <c r="N74" s="145"/>
      <c r="O74" s="38">
        <f>O73*0.08</f>
        <v>175859245.95677853</v>
      </c>
      <c r="P74" s="39"/>
      <c r="R74" s="158"/>
      <c r="S74" s="161">
        <f>S73*10%</f>
        <v>257859100</v>
      </c>
    </row>
    <row r="75" spans="1:19" s="30" customFormat="1" ht="32.25" customHeight="1">
      <c r="A75" s="136" t="s">
        <v>125</v>
      </c>
      <c r="B75" s="137"/>
      <c r="C75" s="137"/>
      <c r="D75" s="137"/>
      <c r="E75" s="137"/>
      <c r="F75" s="137"/>
      <c r="G75" s="137"/>
      <c r="H75" s="137"/>
      <c r="I75" s="137"/>
      <c r="J75" s="137"/>
      <c r="K75" s="137"/>
      <c r="L75" s="137"/>
      <c r="M75" s="137"/>
      <c r="N75" s="138"/>
      <c r="O75" s="40">
        <f>SUM(O73:O74)</f>
        <v>2374099820.4165101</v>
      </c>
      <c r="P75" s="41"/>
      <c r="R75" s="158"/>
      <c r="S75" s="161">
        <f>S73+S74</f>
        <v>2836450100</v>
      </c>
    </row>
    <row r="76" spans="1:19" s="50" customFormat="1" ht="15" customHeight="1">
      <c r="A76" s="42"/>
      <c r="B76" s="43"/>
      <c r="C76" s="44"/>
      <c r="D76" s="44"/>
      <c r="E76" s="44"/>
      <c r="F76" s="44"/>
      <c r="G76" s="44"/>
      <c r="H76" s="44"/>
      <c r="I76" s="44"/>
      <c r="J76" s="44"/>
      <c r="K76" s="45"/>
      <c r="L76" s="46"/>
      <c r="M76" s="47"/>
      <c r="N76" s="48"/>
      <c r="O76" s="48"/>
      <c r="P76" s="49"/>
      <c r="R76" s="159"/>
    </row>
    <row r="77" spans="1:19" s="50" customFormat="1" ht="15" customHeight="1">
      <c r="A77" s="51"/>
      <c r="B77" s="52" t="s">
        <v>109</v>
      </c>
      <c r="C77" s="53"/>
      <c r="D77" s="53"/>
      <c r="E77" s="53"/>
      <c r="F77" s="54"/>
      <c r="G77" s="53"/>
      <c r="H77" s="51"/>
      <c r="I77" s="51"/>
      <c r="J77" s="51"/>
      <c r="K77" s="51"/>
      <c r="L77" s="51"/>
      <c r="M77" s="55"/>
      <c r="N77" s="55"/>
      <c r="O77" s="56"/>
      <c r="P77" s="57"/>
      <c r="R77" s="159"/>
    </row>
    <row r="78" spans="1:19" s="50" customFormat="1" ht="15" customHeight="1">
      <c r="A78" s="51"/>
      <c r="B78" s="58" t="s">
        <v>111</v>
      </c>
      <c r="C78" s="59"/>
      <c r="D78" s="59"/>
      <c r="E78" s="59"/>
      <c r="F78" s="60"/>
      <c r="G78" s="60"/>
      <c r="H78" s="51"/>
      <c r="I78" s="51"/>
      <c r="J78" s="51"/>
      <c r="K78" s="51"/>
      <c r="L78" s="61"/>
      <c r="M78" s="62"/>
      <c r="N78" s="139" t="s">
        <v>110</v>
      </c>
      <c r="O78" s="139"/>
      <c r="P78" s="57"/>
      <c r="R78" s="159"/>
    </row>
    <row r="79" spans="1:19" s="50" customFormat="1" ht="15" customHeight="1">
      <c r="A79" s="51"/>
      <c r="B79" s="58" t="s">
        <v>112</v>
      </c>
      <c r="C79" s="59"/>
      <c r="D79" s="59"/>
      <c r="E79" s="59"/>
      <c r="F79" s="60"/>
      <c r="G79" s="60"/>
      <c r="H79" s="51"/>
      <c r="I79" s="51"/>
      <c r="J79" s="51"/>
      <c r="K79" s="51"/>
      <c r="L79" s="61"/>
      <c r="M79" s="62"/>
      <c r="N79" s="62"/>
      <c r="O79" s="56"/>
      <c r="P79" s="57"/>
      <c r="R79" s="159"/>
    </row>
    <row r="80" spans="1:19" s="50" customFormat="1" ht="15" customHeight="1">
      <c r="A80" s="51"/>
      <c r="B80" s="58" t="s">
        <v>113</v>
      </c>
      <c r="C80" s="59"/>
      <c r="D80" s="59"/>
      <c r="E80" s="59"/>
      <c r="F80" s="60"/>
      <c r="G80" s="60"/>
      <c r="H80" s="51"/>
      <c r="I80" s="51"/>
      <c r="J80" s="51"/>
      <c r="K80" s="51"/>
      <c r="L80" s="61"/>
      <c r="M80" s="62"/>
      <c r="N80" s="62"/>
      <c r="O80" s="56"/>
      <c r="P80" s="57"/>
      <c r="R80" s="159"/>
    </row>
    <row r="81" spans="1:18" s="50" customFormat="1" ht="15" customHeight="1">
      <c r="A81" s="51"/>
      <c r="B81" s="58" t="s">
        <v>114</v>
      </c>
      <c r="C81" s="59"/>
      <c r="D81" s="59"/>
      <c r="E81" s="59"/>
      <c r="F81" s="60"/>
      <c r="G81" s="60"/>
      <c r="H81" s="51"/>
      <c r="I81" s="51"/>
      <c r="J81" s="51"/>
      <c r="K81" s="51"/>
      <c r="L81" s="61"/>
      <c r="M81" s="62"/>
      <c r="N81" s="62"/>
      <c r="O81" s="56"/>
      <c r="P81" s="57"/>
      <c r="R81" s="159"/>
    </row>
    <row r="82" spans="1:18" s="50" customFormat="1" ht="15" customHeight="1">
      <c r="A82" s="51"/>
      <c r="B82" s="63" t="s">
        <v>115</v>
      </c>
      <c r="C82" s="64"/>
      <c r="D82" s="64"/>
      <c r="E82" s="64"/>
      <c r="F82" s="65"/>
      <c r="G82" s="65"/>
      <c r="H82" s="51"/>
      <c r="I82" s="51"/>
      <c r="J82" s="51"/>
      <c r="K82" s="51"/>
      <c r="L82" s="61"/>
      <c r="M82" s="66"/>
      <c r="N82" s="67"/>
      <c r="O82" s="68"/>
      <c r="P82" s="57"/>
      <c r="R82" s="159"/>
    </row>
    <row r="83" spans="1:18" s="50" customFormat="1" ht="15" customHeight="1">
      <c r="A83" s="51"/>
      <c r="B83" s="69" t="s">
        <v>116</v>
      </c>
      <c r="C83" s="69"/>
      <c r="D83" s="69"/>
      <c r="E83" s="69"/>
      <c r="F83" s="69"/>
      <c r="G83" s="69"/>
      <c r="H83" s="51"/>
      <c r="I83" s="51"/>
      <c r="J83" s="51"/>
      <c r="K83" s="51"/>
      <c r="L83" s="61"/>
      <c r="M83" s="66"/>
      <c r="N83" s="67"/>
      <c r="O83" s="68"/>
      <c r="P83" s="57"/>
      <c r="R83" s="159"/>
    </row>
    <row r="84" spans="1:18" s="50" customFormat="1" ht="15" customHeight="1">
      <c r="A84" s="51"/>
      <c r="B84" s="70" t="s">
        <v>117</v>
      </c>
      <c r="C84" s="59"/>
      <c r="D84" s="59"/>
      <c r="E84" s="59"/>
      <c r="F84" s="65"/>
      <c r="G84" s="65"/>
      <c r="H84" s="51"/>
      <c r="I84" s="51"/>
      <c r="J84" s="51"/>
      <c r="K84" s="51"/>
      <c r="L84" s="61"/>
      <c r="M84" s="66"/>
      <c r="N84" s="67"/>
      <c r="O84" s="68"/>
      <c r="P84" s="57"/>
      <c r="R84" s="159"/>
    </row>
    <row r="85" spans="1:18" s="50" customFormat="1" ht="15" customHeight="1">
      <c r="A85" s="51"/>
      <c r="B85" s="71" t="s">
        <v>118</v>
      </c>
      <c r="C85" s="72"/>
      <c r="D85" s="72"/>
      <c r="E85" s="72"/>
      <c r="F85" s="73"/>
      <c r="G85" s="73"/>
      <c r="H85" s="51"/>
      <c r="I85" s="51"/>
      <c r="J85" s="51"/>
      <c r="K85" s="51"/>
      <c r="L85" s="61"/>
      <c r="M85" s="66"/>
      <c r="N85" s="67"/>
      <c r="O85" s="74"/>
      <c r="P85" s="57"/>
    </row>
    <row r="86" spans="1:18" s="50" customFormat="1" ht="15" customHeight="1">
      <c r="A86" s="51"/>
      <c r="B86" s="69" t="s">
        <v>119</v>
      </c>
      <c r="C86" s="69"/>
      <c r="D86" s="69"/>
      <c r="E86" s="69"/>
      <c r="F86" s="69"/>
      <c r="G86" s="69"/>
      <c r="H86" s="51"/>
      <c r="I86" s="51"/>
      <c r="J86" s="51"/>
      <c r="K86" s="51"/>
      <c r="L86" s="61"/>
      <c r="M86" s="66"/>
      <c r="N86" s="67"/>
      <c r="O86" s="74"/>
      <c r="P86" s="57"/>
    </row>
    <row r="87" spans="1:18" s="50" customFormat="1" ht="15" customHeight="1">
      <c r="A87" s="45"/>
      <c r="B87" s="69" t="s">
        <v>120</v>
      </c>
      <c r="C87" s="69"/>
      <c r="D87" s="69"/>
      <c r="E87" s="69"/>
      <c r="F87" s="69"/>
      <c r="G87" s="69"/>
      <c r="H87" s="51"/>
      <c r="I87" s="45"/>
      <c r="J87" s="45"/>
      <c r="K87" s="75"/>
      <c r="L87" s="130"/>
      <c r="M87" s="130"/>
      <c r="N87" s="130"/>
      <c r="O87" s="131"/>
      <c r="P87" s="57"/>
    </row>
    <row r="88" spans="1:18" s="50" customFormat="1" ht="15" customHeight="1">
      <c r="A88" s="76"/>
      <c r="B88" s="77" t="s">
        <v>121</v>
      </c>
      <c r="C88" s="69"/>
      <c r="D88" s="69"/>
      <c r="E88" s="69"/>
      <c r="F88" s="69"/>
      <c r="G88" s="69"/>
      <c r="H88" s="78"/>
      <c r="I88" s="76"/>
      <c r="J88" s="76"/>
      <c r="K88" s="76"/>
      <c r="L88" s="132"/>
      <c r="M88" s="132"/>
      <c r="N88" s="132"/>
      <c r="O88" s="133"/>
      <c r="P88" s="57"/>
    </row>
    <row r="89" spans="1:18" s="13" customFormat="1" ht="15" customHeight="1">
      <c r="A89" s="79"/>
      <c r="B89" s="77" t="s">
        <v>122</v>
      </c>
      <c r="C89" s="69"/>
      <c r="D89" s="69"/>
      <c r="E89" s="69"/>
      <c r="F89" s="69"/>
      <c r="G89" s="69"/>
      <c r="H89" s="78"/>
      <c r="I89" s="80"/>
      <c r="J89" s="80"/>
      <c r="K89" s="81"/>
      <c r="L89" s="134"/>
      <c r="M89" s="134"/>
      <c r="N89" s="134"/>
      <c r="O89" s="135"/>
      <c r="P89" s="82"/>
    </row>
    <row r="90" spans="1:18" s="50" customFormat="1" ht="15" customHeight="1">
      <c r="A90" s="42"/>
      <c r="B90" s="83"/>
      <c r="C90" s="72"/>
      <c r="D90" s="72"/>
      <c r="E90" s="72"/>
      <c r="F90" s="73"/>
      <c r="G90" s="73"/>
      <c r="H90" s="80"/>
      <c r="I90" s="44"/>
      <c r="J90" s="45"/>
      <c r="K90" s="46"/>
      <c r="L90" s="47"/>
      <c r="M90" s="84"/>
      <c r="N90" s="84"/>
      <c r="O90" s="85"/>
      <c r="P90" s="57"/>
    </row>
    <row r="91" spans="1:18" s="50" customFormat="1" ht="15" customHeight="1">
      <c r="A91" s="42"/>
      <c r="B91" s="43"/>
      <c r="C91" s="44"/>
      <c r="D91" s="44"/>
      <c r="E91" s="44"/>
      <c r="F91" s="44"/>
      <c r="G91" s="44"/>
      <c r="H91" s="44"/>
      <c r="I91" s="44"/>
      <c r="J91" s="44"/>
      <c r="K91" s="45"/>
      <c r="L91" s="46"/>
      <c r="M91" s="47"/>
      <c r="N91" s="48"/>
      <c r="O91" s="48"/>
      <c r="P91" s="49"/>
    </row>
    <row r="92" spans="1:18" s="50" customFormat="1" ht="15" customHeight="1">
      <c r="A92" s="42"/>
      <c r="B92" s="43"/>
      <c r="C92" s="44"/>
      <c r="D92" s="44"/>
      <c r="E92" s="44"/>
      <c r="F92" s="44"/>
      <c r="G92" s="44"/>
      <c r="H92" s="44"/>
      <c r="I92" s="44"/>
      <c r="J92" s="44"/>
      <c r="K92" s="45"/>
      <c r="L92" s="46"/>
      <c r="M92" s="47"/>
      <c r="N92" s="48"/>
      <c r="O92" s="48"/>
      <c r="P92" s="49"/>
    </row>
    <row r="93" spans="1:18" s="50" customFormat="1" ht="15" customHeight="1">
      <c r="A93" s="42"/>
      <c r="B93" s="43"/>
      <c r="C93" s="44"/>
      <c r="D93" s="44"/>
      <c r="E93" s="44"/>
      <c r="F93" s="44"/>
      <c r="G93" s="44"/>
      <c r="H93" s="44"/>
      <c r="I93" s="44"/>
      <c r="J93" s="44"/>
      <c r="K93" s="45"/>
      <c r="L93" s="46"/>
      <c r="M93" s="47"/>
      <c r="N93" s="48"/>
      <c r="O93" s="48"/>
      <c r="P93" s="49"/>
    </row>
    <row r="94" spans="1:18" s="50" customFormat="1" ht="15" customHeight="1">
      <c r="A94" s="42"/>
      <c r="B94" s="43"/>
      <c r="C94" s="44"/>
      <c r="D94" s="44"/>
      <c r="E94" s="44"/>
      <c r="F94" s="44"/>
      <c r="G94" s="44"/>
      <c r="H94" s="44"/>
      <c r="I94" s="44"/>
      <c r="J94" s="44"/>
      <c r="K94" s="45"/>
      <c r="L94" s="46"/>
      <c r="M94" s="47"/>
      <c r="N94" s="48"/>
      <c r="O94" s="48"/>
      <c r="P94" s="49"/>
    </row>
    <row r="95" spans="1:18" s="50" customFormat="1" ht="15" customHeight="1">
      <c r="A95" s="42"/>
      <c r="B95" s="43"/>
      <c r="C95" s="44"/>
      <c r="D95" s="44"/>
      <c r="E95" s="44"/>
      <c r="F95" s="44"/>
      <c r="G95" s="44"/>
      <c r="H95" s="44"/>
      <c r="I95" s="44"/>
      <c r="J95" s="44"/>
      <c r="K95" s="45"/>
      <c r="L95" s="46"/>
      <c r="M95" s="47"/>
      <c r="N95" s="48"/>
      <c r="O95" s="48"/>
      <c r="P95" s="49"/>
    </row>
    <row r="96" spans="1:18" s="50" customFormat="1" ht="15" customHeight="1">
      <c r="A96" s="42"/>
      <c r="B96" s="43"/>
      <c r="C96" s="44"/>
      <c r="D96" s="44"/>
      <c r="E96" s="44"/>
      <c r="F96" s="44"/>
      <c r="G96" s="44"/>
      <c r="H96" s="44"/>
      <c r="I96" s="44"/>
      <c r="J96" s="44"/>
      <c r="K96" s="45"/>
      <c r="L96" s="46"/>
      <c r="M96" s="47"/>
      <c r="N96" s="48"/>
      <c r="O96" s="48"/>
      <c r="P96" s="49"/>
    </row>
    <row r="97" spans="1:16" s="50" customFormat="1" ht="15" customHeight="1">
      <c r="A97" s="42"/>
      <c r="B97" s="43"/>
      <c r="C97" s="44"/>
      <c r="D97" s="44"/>
      <c r="E97" s="44"/>
      <c r="F97" s="44"/>
      <c r="G97" s="44"/>
      <c r="H97" s="44"/>
      <c r="I97" s="44"/>
      <c r="J97" s="44"/>
      <c r="K97" s="45"/>
      <c r="L97" s="46"/>
      <c r="M97" s="47"/>
      <c r="N97" s="48"/>
      <c r="O97" s="48"/>
      <c r="P97" s="49"/>
    </row>
    <row r="98" spans="1:16" s="50" customFormat="1" ht="15" customHeight="1">
      <c r="A98" s="42"/>
      <c r="B98" s="43"/>
      <c r="C98" s="44"/>
      <c r="D98" s="44"/>
      <c r="E98" s="44"/>
      <c r="F98" s="44"/>
      <c r="G98" s="44"/>
      <c r="H98" s="44"/>
      <c r="I98" s="44"/>
      <c r="J98" s="44"/>
      <c r="K98" s="45"/>
      <c r="L98" s="46"/>
      <c r="M98" s="47"/>
      <c r="N98" s="48"/>
      <c r="O98" s="48"/>
      <c r="P98" s="49"/>
    </row>
    <row r="99" spans="1:16" s="50" customFormat="1" ht="13.2">
      <c r="A99" s="42"/>
      <c r="B99" s="43"/>
      <c r="C99" s="44"/>
      <c r="D99" s="44"/>
      <c r="E99" s="44"/>
      <c r="F99" s="44"/>
      <c r="G99" s="44"/>
      <c r="H99" s="44"/>
      <c r="I99" s="44"/>
      <c r="J99" s="44"/>
      <c r="K99" s="45"/>
      <c r="L99" s="46"/>
      <c r="M99" s="47"/>
      <c r="N99" s="48"/>
      <c r="O99" s="48"/>
      <c r="P99" s="49"/>
    </row>
    <row r="100" spans="1:16" s="50" customFormat="1" ht="13.2">
      <c r="A100" s="42"/>
      <c r="B100" s="43"/>
      <c r="C100" s="44"/>
      <c r="D100" s="44"/>
      <c r="E100" s="44"/>
      <c r="F100" s="44"/>
      <c r="G100" s="44"/>
      <c r="H100" s="44"/>
      <c r="I100" s="44"/>
      <c r="J100" s="44"/>
      <c r="K100" s="45"/>
      <c r="L100" s="46"/>
      <c r="M100" s="47"/>
      <c r="N100" s="48"/>
      <c r="O100" s="48"/>
      <c r="P100" s="49"/>
    </row>
    <row r="101" spans="1:16" s="50" customFormat="1" ht="13.2">
      <c r="B101" s="86"/>
      <c r="C101" s="87"/>
      <c r="D101" s="87"/>
      <c r="E101" s="87"/>
      <c r="F101" s="87"/>
      <c r="G101" s="87"/>
      <c r="H101" s="87"/>
      <c r="I101" s="87"/>
      <c r="J101" s="87"/>
      <c r="K101" s="88"/>
      <c r="L101" s="89"/>
      <c r="M101" s="90"/>
      <c r="N101" s="57"/>
      <c r="O101" s="57"/>
      <c r="P101" s="91"/>
    </row>
    <row r="102" spans="1:16" s="50" customFormat="1" ht="13.2">
      <c r="B102" s="86"/>
      <c r="C102" s="87"/>
      <c r="D102" s="87"/>
      <c r="E102" s="87"/>
      <c r="F102" s="87"/>
      <c r="G102" s="87"/>
      <c r="H102" s="87"/>
      <c r="I102" s="87"/>
      <c r="J102" s="87"/>
      <c r="K102" s="88"/>
      <c r="L102" s="89"/>
      <c r="M102" s="90"/>
      <c r="N102" s="57"/>
      <c r="O102" s="57"/>
      <c r="P102" s="91"/>
    </row>
    <row r="103" spans="1:16" s="50" customFormat="1" ht="13.2">
      <c r="B103" s="86"/>
      <c r="C103" s="87"/>
      <c r="D103" s="87"/>
      <c r="E103" s="87"/>
      <c r="F103" s="87"/>
      <c r="G103" s="87"/>
      <c r="H103" s="87"/>
      <c r="I103" s="87"/>
      <c r="J103" s="87"/>
      <c r="K103" s="88"/>
      <c r="L103" s="89"/>
      <c r="M103" s="90"/>
      <c r="N103" s="57"/>
      <c r="O103" s="57"/>
      <c r="P103" s="91"/>
    </row>
    <row r="104" spans="1:16" s="50" customFormat="1" ht="13.2">
      <c r="B104" s="86"/>
      <c r="C104" s="87"/>
      <c r="D104" s="87"/>
      <c r="E104" s="87"/>
      <c r="F104" s="87"/>
      <c r="G104" s="87"/>
      <c r="H104" s="87"/>
      <c r="I104" s="87"/>
      <c r="J104" s="87"/>
      <c r="K104" s="88"/>
      <c r="L104" s="89"/>
      <c r="M104" s="90"/>
      <c r="N104" s="57"/>
      <c r="O104" s="57"/>
      <c r="P104" s="91"/>
    </row>
    <row r="105" spans="1:16" s="50" customFormat="1" ht="13.2">
      <c r="B105" s="86"/>
      <c r="C105" s="87"/>
      <c r="D105" s="87"/>
      <c r="E105" s="87"/>
      <c r="F105" s="87"/>
      <c r="G105" s="87"/>
      <c r="H105" s="87"/>
      <c r="I105" s="87"/>
      <c r="J105" s="87"/>
      <c r="K105" s="88"/>
      <c r="L105" s="89"/>
      <c r="M105" s="90"/>
      <c r="N105" s="57"/>
      <c r="O105" s="57"/>
      <c r="P105" s="91"/>
    </row>
    <row r="106" spans="1:16" s="50" customFormat="1" ht="13.2">
      <c r="B106" s="86"/>
      <c r="C106" s="87"/>
      <c r="D106" s="87"/>
      <c r="E106" s="87"/>
      <c r="F106" s="87"/>
      <c r="G106" s="87"/>
      <c r="H106" s="87"/>
      <c r="I106" s="87"/>
      <c r="J106" s="87"/>
      <c r="K106" s="88"/>
      <c r="L106" s="89"/>
      <c r="M106" s="90"/>
      <c r="N106" s="57"/>
      <c r="O106" s="57"/>
      <c r="P106" s="91"/>
    </row>
    <row r="107" spans="1:16" s="50" customFormat="1" ht="13.2">
      <c r="B107" s="86"/>
      <c r="C107" s="87"/>
      <c r="D107" s="87"/>
      <c r="E107" s="87"/>
      <c r="F107" s="87"/>
      <c r="G107" s="87"/>
      <c r="H107" s="87"/>
      <c r="I107" s="87"/>
      <c r="J107" s="87"/>
      <c r="K107" s="88"/>
      <c r="L107" s="89"/>
      <c r="M107" s="90"/>
      <c r="N107" s="57"/>
      <c r="O107" s="57"/>
      <c r="P107" s="91"/>
    </row>
    <row r="108" spans="1:16" s="50" customFormat="1" ht="13.2">
      <c r="B108" s="86"/>
      <c r="C108" s="87"/>
      <c r="D108" s="87"/>
      <c r="E108" s="87"/>
      <c r="F108" s="87"/>
      <c r="G108" s="87"/>
      <c r="H108" s="87"/>
      <c r="I108" s="87"/>
      <c r="J108" s="87"/>
      <c r="K108" s="88"/>
      <c r="L108" s="89"/>
      <c r="M108" s="90"/>
      <c r="N108" s="57"/>
      <c r="O108" s="57"/>
      <c r="P108" s="91"/>
    </row>
    <row r="109" spans="1:16" s="50" customFormat="1" ht="13.2">
      <c r="B109" s="86"/>
      <c r="C109" s="87"/>
      <c r="D109" s="87"/>
      <c r="E109" s="87"/>
      <c r="F109" s="87"/>
      <c r="G109" s="87"/>
      <c r="H109" s="87"/>
      <c r="I109" s="87"/>
      <c r="J109" s="87"/>
      <c r="K109" s="88"/>
      <c r="L109" s="89"/>
      <c r="M109" s="90"/>
      <c r="N109" s="57"/>
      <c r="O109" s="57"/>
      <c r="P109" s="91"/>
    </row>
    <row r="110" spans="1:16" s="50" customFormat="1" ht="13.2">
      <c r="B110" s="86"/>
      <c r="C110" s="87"/>
      <c r="D110" s="87"/>
      <c r="E110" s="87"/>
      <c r="F110" s="87"/>
      <c r="G110" s="87"/>
      <c r="H110" s="87"/>
      <c r="I110" s="87"/>
      <c r="J110" s="87"/>
      <c r="K110" s="88"/>
      <c r="L110" s="89"/>
      <c r="M110" s="90"/>
      <c r="N110" s="57"/>
      <c r="O110" s="57"/>
      <c r="P110" s="91"/>
    </row>
    <row r="111" spans="1:16" s="50" customFormat="1" ht="13.2">
      <c r="B111" s="86"/>
      <c r="C111" s="87"/>
      <c r="D111" s="87"/>
      <c r="E111" s="87"/>
      <c r="F111" s="87"/>
      <c r="G111" s="87"/>
      <c r="H111" s="87"/>
      <c r="I111" s="87"/>
      <c r="J111" s="87"/>
      <c r="K111" s="88"/>
      <c r="L111" s="89"/>
      <c r="M111" s="90"/>
      <c r="N111" s="57"/>
      <c r="O111" s="57"/>
      <c r="P111" s="91"/>
    </row>
    <row r="112" spans="1:16" s="50" customFormat="1" ht="13.2">
      <c r="B112" s="86"/>
      <c r="C112" s="87"/>
      <c r="D112" s="87"/>
      <c r="E112" s="87"/>
      <c r="F112" s="87"/>
      <c r="G112" s="87"/>
      <c r="H112" s="87"/>
      <c r="I112" s="87"/>
      <c r="J112" s="87"/>
      <c r="K112" s="88"/>
      <c r="L112" s="89"/>
      <c r="M112" s="90"/>
      <c r="N112" s="57"/>
      <c r="O112" s="57"/>
      <c r="P112" s="91"/>
    </row>
    <row r="113" spans="2:16" s="50" customFormat="1" ht="13.2">
      <c r="B113" s="86"/>
      <c r="C113" s="87"/>
      <c r="D113" s="87"/>
      <c r="E113" s="87"/>
      <c r="F113" s="87"/>
      <c r="G113" s="87"/>
      <c r="H113" s="87"/>
      <c r="I113" s="87"/>
      <c r="J113" s="87"/>
      <c r="K113" s="88"/>
      <c r="L113" s="89"/>
      <c r="M113" s="90"/>
      <c r="N113" s="57"/>
      <c r="O113" s="57"/>
      <c r="P113" s="91"/>
    </row>
    <row r="114" spans="2:16" s="50" customFormat="1" ht="13.2">
      <c r="B114" s="86"/>
      <c r="C114" s="87"/>
      <c r="D114" s="87"/>
      <c r="E114" s="87"/>
      <c r="F114" s="87"/>
      <c r="G114" s="87"/>
      <c r="H114" s="87"/>
      <c r="I114" s="87"/>
      <c r="J114" s="87"/>
      <c r="K114" s="88"/>
      <c r="L114" s="89"/>
      <c r="M114" s="90"/>
      <c r="N114" s="57"/>
      <c r="O114" s="57"/>
      <c r="P114" s="91"/>
    </row>
    <row r="115" spans="2:16" s="50" customFormat="1" ht="13.2">
      <c r="B115" s="86"/>
      <c r="C115" s="87"/>
      <c r="D115" s="87"/>
      <c r="E115" s="87"/>
      <c r="F115" s="87"/>
      <c r="G115" s="87"/>
      <c r="H115" s="87"/>
      <c r="I115" s="87"/>
      <c r="J115" s="87"/>
      <c r="K115" s="88"/>
      <c r="L115" s="89"/>
      <c r="M115" s="90"/>
      <c r="N115" s="57"/>
      <c r="O115" s="57"/>
      <c r="P115" s="91"/>
    </row>
    <row r="116" spans="2:16" s="50" customFormat="1" ht="13.2">
      <c r="B116" s="86"/>
      <c r="C116" s="87"/>
      <c r="D116" s="87"/>
      <c r="E116" s="87"/>
      <c r="F116" s="87"/>
      <c r="G116" s="87"/>
      <c r="H116" s="87"/>
      <c r="I116" s="87"/>
      <c r="J116" s="87"/>
      <c r="K116" s="88"/>
      <c r="L116" s="89"/>
      <c r="M116" s="90"/>
      <c r="N116" s="57"/>
      <c r="O116" s="57"/>
      <c r="P116" s="91"/>
    </row>
    <row r="117" spans="2:16" s="50" customFormat="1" ht="13.2">
      <c r="B117" s="86"/>
      <c r="C117" s="87"/>
      <c r="D117" s="87"/>
      <c r="E117" s="87"/>
      <c r="F117" s="87"/>
      <c r="G117" s="87"/>
      <c r="H117" s="87"/>
      <c r="I117" s="87"/>
      <c r="J117" s="87"/>
      <c r="K117" s="88"/>
      <c r="L117" s="89"/>
      <c r="M117" s="90"/>
      <c r="N117" s="57"/>
      <c r="O117" s="57"/>
      <c r="P117" s="91"/>
    </row>
    <row r="118" spans="2:16" s="50" customFormat="1" ht="13.2">
      <c r="B118" s="86"/>
      <c r="C118" s="87"/>
      <c r="D118" s="87"/>
      <c r="E118" s="87"/>
      <c r="F118" s="87"/>
      <c r="G118" s="87"/>
      <c r="H118" s="87"/>
      <c r="I118" s="87"/>
      <c r="J118" s="87"/>
      <c r="K118" s="88"/>
      <c r="L118" s="89"/>
      <c r="M118" s="90"/>
      <c r="N118" s="57"/>
      <c r="O118" s="57"/>
      <c r="P118" s="91"/>
    </row>
    <row r="119" spans="2:16" s="50" customFormat="1" ht="13.2">
      <c r="B119" s="86"/>
      <c r="C119" s="87"/>
      <c r="D119" s="87"/>
      <c r="E119" s="87"/>
      <c r="F119" s="87"/>
      <c r="G119" s="87"/>
      <c r="H119" s="87"/>
      <c r="I119" s="87"/>
      <c r="J119" s="87"/>
      <c r="K119" s="88"/>
      <c r="L119" s="89"/>
      <c r="M119" s="90"/>
      <c r="N119" s="57"/>
      <c r="O119" s="57"/>
      <c r="P119" s="91"/>
    </row>
    <row r="120" spans="2:16" s="50" customFormat="1" ht="13.2">
      <c r="B120" s="86"/>
      <c r="C120" s="87"/>
      <c r="D120" s="87"/>
      <c r="E120" s="87"/>
      <c r="F120" s="87"/>
      <c r="G120" s="87"/>
      <c r="H120" s="87"/>
      <c r="I120" s="87"/>
      <c r="J120" s="87"/>
      <c r="K120" s="88"/>
      <c r="L120" s="89"/>
      <c r="M120" s="90"/>
      <c r="N120" s="57"/>
      <c r="O120" s="57"/>
      <c r="P120" s="91"/>
    </row>
    <row r="121" spans="2:16" s="50" customFormat="1" ht="13.2">
      <c r="B121" s="86"/>
      <c r="C121" s="87"/>
      <c r="D121" s="87"/>
      <c r="E121" s="87"/>
      <c r="F121" s="87"/>
      <c r="G121" s="87"/>
      <c r="H121" s="87"/>
      <c r="I121" s="87"/>
      <c r="J121" s="87"/>
      <c r="K121" s="88"/>
      <c r="L121" s="89"/>
      <c r="M121" s="90"/>
      <c r="N121" s="57"/>
      <c r="O121" s="57"/>
      <c r="P121" s="91"/>
    </row>
    <row r="122" spans="2:16" s="50" customFormat="1" ht="13.2">
      <c r="B122" s="86"/>
      <c r="C122" s="87"/>
      <c r="D122" s="87"/>
      <c r="E122" s="87"/>
      <c r="F122" s="87"/>
      <c r="G122" s="87"/>
      <c r="H122" s="87"/>
      <c r="I122" s="87"/>
      <c r="J122" s="87"/>
      <c r="K122" s="88"/>
      <c r="L122" s="89"/>
      <c r="M122" s="90"/>
      <c r="N122" s="57"/>
      <c r="O122" s="57"/>
      <c r="P122" s="91"/>
    </row>
    <row r="123" spans="2:16" s="50" customFormat="1" ht="13.2">
      <c r="B123" s="86"/>
      <c r="C123" s="87"/>
      <c r="D123" s="87"/>
      <c r="E123" s="87"/>
      <c r="F123" s="87"/>
      <c r="G123" s="87"/>
      <c r="H123" s="87"/>
      <c r="I123" s="87"/>
      <c r="J123" s="87"/>
      <c r="K123" s="88"/>
      <c r="L123" s="89"/>
      <c r="M123" s="90"/>
      <c r="N123" s="57"/>
      <c r="O123" s="57"/>
      <c r="P123" s="91"/>
    </row>
    <row r="124" spans="2:16" s="50" customFormat="1" ht="13.2">
      <c r="B124" s="86"/>
      <c r="C124" s="87"/>
      <c r="D124" s="87"/>
      <c r="E124" s="87"/>
      <c r="F124" s="87"/>
      <c r="G124" s="87"/>
      <c r="H124" s="87"/>
      <c r="I124" s="87"/>
      <c r="J124" s="87"/>
      <c r="K124" s="88"/>
      <c r="L124" s="89"/>
      <c r="M124" s="90"/>
      <c r="N124" s="57"/>
      <c r="O124" s="57"/>
      <c r="P124" s="91"/>
    </row>
    <row r="125" spans="2:16" s="50" customFormat="1" ht="13.2">
      <c r="B125" s="86"/>
      <c r="C125" s="87"/>
      <c r="D125" s="87"/>
      <c r="E125" s="87"/>
      <c r="F125" s="87"/>
      <c r="G125" s="87"/>
      <c r="H125" s="87"/>
      <c r="I125" s="87"/>
      <c r="J125" s="87"/>
      <c r="K125" s="88"/>
      <c r="L125" s="89"/>
      <c r="M125" s="90"/>
      <c r="N125" s="57"/>
      <c r="O125" s="57"/>
      <c r="P125" s="91"/>
    </row>
    <row r="126" spans="2:16" s="50" customFormat="1" ht="13.2">
      <c r="B126" s="86"/>
      <c r="C126" s="87"/>
      <c r="D126" s="87"/>
      <c r="E126" s="87"/>
      <c r="F126" s="87"/>
      <c r="G126" s="87"/>
      <c r="H126" s="87"/>
      <c r="I126" s="87"/>
      <c r="J126" s="87"/>
      <c r="K126" s="88"/>
      <c r="L126" s="89"/>
      <c r="M126" s="90"/>
      <c r="N126" s="57"/>
      <c r="O126" s="57"/>
      <c r="P126" s="91"/>
    </row>
    <row r="127" spans="2:16" s="50" customFormat="1" ht="13.2">
      <c r="B127" s="86"/>
      <c r="C127" s="87"/>
      <c r="D127" s="87"/>
      <c r="E127" s="87"/>
      <c r="F127" s="87"/>
      <c r="G127" s="87"/>
      <c r="H127" s="87"/>
      <c r="I127" s="87"/>
      <c r="J127" s="87"/>
      <c r="K127" s="88"/>
      <c r="L127" s="89"/>
      <c r="M127" s="90"/>
      <c r="N127" s="57"/>
      <c r="O127" s="57"/>
      <c r="P127" s="91"/>
    </row>
    <row r="128" spans="2:16" s="50" customFormat="1" ht="13.2">
      <c r="B128" s="86"/>
      <c r="C128" s="87"/>
      <c r="D128" s="87"/>
      <c r="E128" s="87"/>
      <c r="F128" s="87"/>
      <c r="G128" s="87"/>
      <c r="H128" s="87"/>
      <c r="I128" s="87"/>
      <c r="J128" s="87"/>
      <c r="K128" s="88"/>
      <c r="L128" s="89"/>
      <c r="M128" s="90"/>
      <c r="N128" s="57"/>
      <c r="O128" s="57"/>
      <c r="P128" s="91"/>
    </row>
    <row r="129" spans="2:16" s="50" customFormat="1" ht="13.2">
      <c r="B129" s="86"/>
      <c r="C129" s="87"/>
      <c r="D129" s="87"/>
      <c r="E129" s="87"/>
      <c r="F129" s="87"/>
      <c r="G129" s="87"/>
      <c r="H129" s="87"/>
      <c r="I129" s="87"/>
      <c r="J129" s="87"/>
      <c r="K129" s="88"/>
      <c r="L129" s="89"/>
      <c r="M129" s="90"/>
      <c r="N129" s="57"/>
      <c r="O129" s="57"/>
      <c r="P129" s="91"/>
    </row>
    <row r="130" spans="2:16" s="50" customFormat="1" ht="13.2">
      <c r="B130" s="86"/>
      <c r="C130" s="87"/>
      <c r="D130" s="87"/>
      <c r="E130" s="87"/>
      <c r="F130" s="87"/>
      <c r="G130" s="87"/>
      <c r="H130" s="87"/>
      <c r="I130" s="87"/>
      <c r="J130" s="87"/>
      <c r="K130" s="88"/>
      <c r="L130" s="89"/>
      <c r="M130" s="90"/>
      <c r="N130" s="57"/>
      <c r="O130" s="57"/>
      <c r="P130" s="91"/>
    </row>
    <row r="131" spans="2:16" s="50" customFormat="1" ht="13.2">
      <c r="B131" s="86"/>
      <c r="C131" s="87"/>
      <c r="D131" s="87"/>
      <c r="E131" s="87"/>
      <c r="F131" s="87"/>
      <c r="G131" s="87"/>
      <c r="H131" s="87"/>
      <c r="I131" s="87"/>
      <c r="J131" s="87"/>
      <c r="K131" s="88"/>
      <c r="L131" s="89"/>
      <c r="M131" s="90"/>
      <c r="N131" s="57"/>
      <c r="O131" s="57"/>
      <c r="P131" s="91"/>
    </row>
    <row r="132" spans="2:16" s="50" customFormat="1" ht="13.2">
      <c r="B132" s="86"/>
      <c r="C132" s="87"/>
      <c r="D132" s="87"/>
      <c r="E132" s="87"/>
      <c r="F132" s="87"/>
      <c r="G132" s="87"/>
      <c r="H132" s="87"/>
      <c r="I132" s="87"/>
      <c r="J132" s="87"/>
      <c r="K132" s="88"/>
      <c r="L132" s="89"/>
      <c r="M132" s="90"/>
      <c r="N132" s="57"/>
      <c r="O132" s="57"/>
      <c r="P132" s="91"/>
    </row>
    <row r="133" spans="2:16" s="50" customFormat="1" ht="13.2">
      <c r="B133" s="86"/>
      <c r="C133" s="87"/>
      <c r="D133" s="87"/>
      <c r="E133" s="87"/>
      <c r="F133" s="87"/>
      <c r="G133" s="87"/>
      <c r="H133" s="87"/>
      <c r="I133" s="87"/>
      <c r="J133" s="87"/>
      <c r="K133" s="88"/>
      <c r="L133" s="89"/>
      <c r="M133" s="90"/>
      <c r="N133" s="57"/>
      <c r="O133" s="57"/>
      <c r="P133" s="91"/>
    </row>
    <row r="134" spans="2:16" s="50" customFormat="1" ht="13.2">
      <c r="B134" s="86"/>
      <c r="C134" s="87"/>
      <c r="D134" s="87"/>
      <c r="E134" s="87"/>
      <c r="F134" s="87"/>
      <c r="G134" s="87"/>
      <c r="H134" s="87"/>
      <c r="I134" s="87"/>
      <c r="J134" s="87"/>
      <c r="K134" s="88"/>
      <c r="L134" s="89"/>
      <c r="M134" s="90"/>
      <c r="N134" s="57"/>
      <c r="O134" s="57"/>
      <c r="P134" s="91"/>
    </row>
    <row r="135" spans="2:16" s="50" customFormat="1" ht="13.2">
      <c r="B135" s="86"/>
      <c r="C135" s="87"/>
      <c r="D135" s="87"/>
      <c r="E135" s="87"/>
      <c r="F135" s="87"/>
      <c r="G135" s="87"/>
      <c r="H135" s="87"/>
      <c r="I135" s="87"/>
      <c r="J135" s="87"/>
      <c r="K135" s="88"/>
      <c r="L135" s="89"/>
      <c r="M135" s="90"/>
      <c r="N135" s="57"/>
      <c r="O135" s="57"/>
      <c r="P135" s="91"/>
    </row>
    <row r="136" spans="2:16" s="50" customFormat="1" ht="13.2">
      <c r="B136" s="86"/>
      <c r="C136" s="87"/>
      <c r="D136" s="87"/>
      <c r="E136" s="87"/>
      <c r="F136" s="87"/>
      <c r="G136" s="87"/>
      <c r="H136" s="87"/>
      <c r="I136" s="87"/>
      <c r="J136" s="87"/>
      <c r="K136" s="88"/>
      <c r="L136" s="89"/>
      <c r="M136" s="90"/>
      <c r="N136" s="57"/>
      <c r="O136" s="57"/>
      <c r="P136" s="91"/>
    </row>
    <row r="137" spans="2:16" s="50" customFormat="1" ht="13.2">
      <c r="B137" s="86"/>
      <c r="C137" s="87"/>
      <c r="D137" s="87"/>
      <c r="E137" s="87"/>
      <c r="F137" s="87"/>
      <c r="G137" s="87"/>
      <c r="H137" s="87"/>
      <c r="I137" s="87"/>
      <c r="J137" s="87"/>
      <c r="K137" s="88"/>
      <c r="L137" s="89"/>
      <c r="M137" s="90"/>
      <c r="N137" s="57"/>
      <c r="O137" s="57"/>
      <c r="P137" s="91"/>
    </row>
    <row r="138" spans="2:16" s="50" customFormat="1" ht="13.2">
      <c r="B138" s="86"/>
      <c r="C138" s="87"/>
      <c r="D138" s="87"/>
      <c r="E138" s="87"/>
      <c r="F138" s="87"/>
      <c r="G138" s="87"/>
      <c r="H138" s="87"/>
      <c r="I138" s="87"/>
      <c r="J138" s="87"/>
      <c r="K138" s="88"/>
      <c r="L138" s="89"/>
      <c r="M138" s="90"/>
      <c r="N138" s="57"/>
      <c r="O138" s="57"/>
      <c r="P138" s="91"/>
    </row>
    <row r="139" spans="2:16" s="50" customFormat="1" ht="13.2">
      <c r="B139" s="86"/>
      <c r="C139" s="87"/>
      <c r="D139" s="87"/>
      <c r="E139" s="87"/>
      <c r="F139" s="87"/>
      <c r="G139" s="87"/>
      <c r="H139" s="87"/>
      <c r="I139" s="87"/>
      <c r="J139" s="87"/>
      <c r="K139" s="88"/>
      <c r="L139" s="89"/>
      <c r="M139" s="90"/>
      <c r="N139" s="57"/>
      <c r="O139" s="57"/>
      <c r="P139" s="91"/>
    </row>
    <row r="140" spans="2:16" s="50" customFormat="1" ht="13.2">
      <c r="B140" s="86"/>
      <c r="C140" s="87"/>
      <c r="D140" s="87"/>
      <c r="E140" s="87"/>
      <c r="F140" s="87"/>
      <c r="G140" s="87"/>
      <c r="H140" s="87"/>
      <c r="I140" s="87"/>
      <c r="J140" s="87"/>
      <c r="K140" s="88"/>
      <c r="L140" s="89"/>
      <c r="M140" s="90"/>
      <c r="N140" s="57"/>
      <c r="O140" s="57"/>
      <c r="P140" s="91"/>
    </row>
    <row r="141" spans="2:16" s="50" customFormat="1" ht="13.2">
      <c r="B141" s="86"/>
      <c r="C141" s="87"/>
      <c r="D141" s="87"/>
      <c r="E141" s="87"/>
      <c r="F141" s="87"/>
      <c r="G141" s="87"/>
      <c r="H141" s="87"/>
      <c r="I141" s="87"/>
      <c r="J141" s="87"/>
      <c r="K141" s="88"/>
      <c r="L141" s="89"/>
      <c r="M141" s="90"/>
      <c r="N141" s="57"/>
      <c r="O141" s="57"/>
      <c r="P141" s="91"/>
    </row>
    <row r="142" spans="2:16" s="50" customFormat="1" ht="13.2">
      <c r="B142" s="86"/>
      <c r="C142" s="87"/>
      <c r="D142" s="87"/>
      <c r="E142" s="87"/>
      <c r="F142" s="87"/>
      <c r="G142" s="87"/>
      <c r="H142" s="87"/>
      <c r="I142" s="87"/>
      <c r="J142" s="87"/>
      <c r="K142" s="88"/>
      <c r="L142" s="89"/>
      <c r="M142" s="90"/>
      <c r="N142" s="57"/>
      <c r="O142" s="57"/>
      <c r="P142" s="91"/>
    </row>
    <row r="143" spans="2:16" s="50" customFormat="1" ht="13.2">
      <c r="B143" s="86"/>
      <c r="C143" s="87"/>
      <c r="D143" s="87"/>
      <c r="E143" s="87"/>
      <c r="F143" s="87"/>
      <c r="G143" s="87"/>
      <c r="H143" s="87"/>
      <c r="I143" s="87"/>
      <c r="J143" s="87"/>
      <c r="K143" s="88"/>
      <c r="L143" s="89"/>
      <c r="M143" s="90"/>
      <c r="N143" s="57"/>
      <c r="O143" s="57"/>
      <c r="P143" s="91"/>
    </row>
    <row r="144" spans="2:16" s="50" customFormat="1" ht="13.2">
      <c r="B144" s="86"/>
      <c r="C144" s="87"/>
      <c r="D144" s="87"/>
      <c r="E144" s="87"/>
      <c r="F144" s="87"/>
      <c r="G144" s="87"/>
      <c r="H144" s="87"/>
      <c r="I144" s="87"/>
      <c r="J144" s="87"/>
      <c r="K144" s="88"/>
      <c r="L144" s="89"/>
      <c r="M144" s="90"/>
      <c r="N144" s="57"/>
      <c r="O144" s="57"/>
      <c r="P144" s="91"/>
    </row>
    <row r="145" spans="2:16" s="50" customFormat="1" ht="13.2">
      <c r="B145" s="86"/>
      <c r="C145" s="87"/>
      <c r="D145" s="87"/>
      <c r="E145" s="87"/>
      <c r="F145" s="87"/>
      <c r="G145" s="87"/>
      <c r="H145" s="87"/>
      <c r="I145" s="87"/>
      <c r="J145" s="87"/>
      <c r="K145" s="88"/>
      <c r="L145" s="89"/>
      <c r="M145" s="90"/>
      <c r="N145" s="57"/>
      <c r="O145" s="57"/>
      <c r="P145" s="91"/>
    </row>
    <row r="146" spans="2:16" s="50" customFormat="1" ht="13.2">
      <c r="B146" s="86"/>
      <c r="C146" s="87"/>
      <c r="D146" s="87"/>
      <c r="E146" s="87"/>
      <c r="F146" s="87"/>
      <c r="G146" s="87"/>
      <c r="H146" s="87"/>
      <c r="I146" s="87"/>
      <c r="J146" s="87"/>
      <c r="K146" s="88"/>
      <c r="L146" s="89"/>
      <c r="M146" s="90"/>
      <c r="N146" s="57"/>
      <c r="O146" s="57"/>
      <c r="P146" s="91"/>
    </row>
    <row r="147" spans="2:16" s="50" customFormat="1" ht="13.2">
      <c r="B147" s="86"/>
      <c r="C147" s="87"/>
      <c r="D147" s="87"/>
      <c r="E147" s="87"/>
      <c r="F147" s="87"/>
      <c r="G147" s="87"/>
      <c r="H147" s="87"/>
      <c r="I147" s="87"/>
      <c r="J147" s="87"/>
      <c r="K147" s="88"/>
      <c r="L147" s="89"/>
      <c r="M147" s="90"/>
      <c r="N147" s="57"/>
      <c r="O147" s="57"/>
      <c r="P147" s="91"/>
    </row>
    <row r="148" spans="2:16" s="50" customFormat="1" ht="13.2">
      <c r="B148" s="86"/>
      <c r="C148" s="87"/>
      <c r="D148" s="87"/>
      <c r="E148" s="87"/>
      <c r="F148" s="87"/>
      <c r="G148" s="87"/>
      <c r="H148" s="87"/>
      <c r="I148" s="87"/>
      <c r="J148" s="87"/>
      <c r="K148" s="88"/>
      <c r="L148" s="89"/>
      <c r="M148" s="90"/>
      <c r="N148" s="57"/>
      <c r="O148" s="57"/>
      <c r="P148" s="91"/>
    </row>
    <row r="149" spans="2:16" s="50" customFormat="1" ht="13.2">
      <c r="B149" s="86"/>
      <c r="C149" s="87"/>
      <c r="D149" s="87"/>
      <c r="E149" s="87"/>
      <c r="F149" s="87"/>
      <c r="G149" s="87"/>
      <c r="H149" s="87"/>
      <c r="I149" s="87"/>
      <c r="J149" s="87"/>
      <c r="K149" s="88"/>
      <c r="L149" s="89"/>
      <c r="M149" s="90"/>
      <c r="N149" s="57"/>
      <c r="O149" s="57"/>
      <c r="P149" s="91"/>
    </row>
    <row r="150" spans="2:16" s="50" customFormat="1" ht="13.2">
      <c r="B150" s="86"/>
      <c r="C150" s="87"/>
      <c r="D150" s="87"/>
      <c r="E150" s="87"/>
      <c r="F150" s="87"/>
      <c r="G150" s="87"/>
      <c r="H150" s="87"/>
      <c r="I150" s="87"/>
      <c r="J150" s="87"/>
      <c r="K150" s="88"/>
      <c r="L150" s="89"/>
      <c r="M150" s="90"/>
      <c r="N150" s="57"/>
      <c r="O150" s="57"/>
      <c r="P150" s="91"/>
    </row>
    <row r="151" spans="2:16" s="50" customFormat="1" ht="13.2">
      <c r="B151" s="86"/>
      <c r="C151" s="87"/>
      <c r="D151" s="87"/>
      <c r="E151" s="87"/>
      <c r="F151" s="87"/>
      <c r="G151" s="87"/>
      <c r="H151" s="87"/>
      <c r="I151" s="87"/>
      <c r="J151" s="87"/>
      <c r="K151" s="88"/>
      <c r="L151" s="89"/>
      <c r="M151" s="90"/>
      <c r="N151" s="57"/>
      <c r="O151" s="57"/>
      <c r="P151" s="91"/>
    </row>
    <row r="152" spans="2:16" s="50" customFormat="1" ht="13.2">
      <c r="B152" s="86"/>
      <c r="C152" s="87"/>
      <c r="D152" s="87"/>
      <c r="E152" s="87"/>
      <c r="F152" s="87"/>
      <c r="G152" s="87"/>
      <c r="H152" s="87"/>
      <c r="I152" s="87"/>
      <c r="J152" s="87"/>
      <c r="K152" s="88"/>
      <c r="L152" s="89"/>
      <c r="M152" s="90"/>
      <c r="N152" s="57"/>
      <c r="O152" s="57"/>
      <c r="P152" s="91"/>
    </row>
    <row r="153" spans="2:16" s="50" customFormat="1" ht="13.2">
      <c r="B153" s="86"/>
      <c r="C153" s="87"/>
      <c r="D153" s="87"/>
      <c r="E153" s="87"/>
      <c r="F153" s="87"/>
      <c r="G153" s="87"/>
      <c r="H153" s="87"/>
      <c r="I153" s="87"/>
      <c r="J153" s="87"/>
      <c r="K153" s="88"/>
      <c r="L153" s="89"/>
      <c r="M153" s="90"/>
      <c r="N153" s="57"/>
      <c r="O153" s="57"/>
      <c r="P153" s="91"/>
    </row>
    <row r="154" spans="2:16" s="50" customFormat="1" ht="13.2">
      <c r="B154" s="86"/>
      <c r="C154" s="87"/>
      <c r="D154" s="87"/>
      <c r="E154" s="87"/>
      <c r="F154" s="87"/>
      <c r="G154" s="87"/>
      <c r="H154" s="87"/>
      <c r="I154" s="87"/>
      <c r="J154" s="87"/>
      <c r="K154" s="88"/>
      <c r="L154" s="89"/>
      <c r="M154" s="90"/>
      <c r="N154" s="57"/>
      <c r="O154" s="57"/>
      <c r="P154" s="91"/>
    </row>
    <row r="155" spans="2:16" s="50" customFormat="1" ht="13.2">
      <c r="B155" s="86"/>
      <c r="C155" s="87"/>
      <c r="D155" s="87"/>
      <c r="E155" s="87"/>
      <c r="F155" s="87"/>
      <c r="G155" s="87"/>
      <c r="H155" s="87"/>
      <c r="I155" s="87"/>
      <c r="J155" s="87"/>
      <c r="K155" s="88"/>
      <c r="L155" s="89"/>
      <c r="M155" s="90"/>
      <c r="N155" s="57"/>
      <c r="O155" s="57"/>
      <c r="P155" s="91"/>
    </row>
    <row r="156" spans="2:16" s="50" customFormat="1" ht="13.2">
      <c r="B156" s="86"/>
      <c r="C156" s="87"/>
      <c r="D156" s="87"/>
      <c r="E156" s="87"/>
      <c r="F156" s="87"/>
      <c r="G156" s="87"/>
      <c r="H156" s="87"/>
      <c r="I156" s="87"/>
      <c r="J156" s="87"/>
      <c r="K156" s="88"/>
      <c r="L156" s="89"/>
      <c r="M156" s="90"/>
      <c r="N156" s="57"/>
      <c r="O156" s="57"/>
      <c r="P156" s="91"/>
    </row>
    <row r="157" spans="2:16" s="50" customFormat="1" ht="13.2">
      <c r="B157" s="86"/>
      <c r="C157" s="87"/>
      <c r="D157" s="87"/>
      <c r="E157" s="87"/>
      <c r="F157" s="87"/>
      <c r="G157" s="87"/>
      <c r="H157" s="87"/>
      <c r="I157" s="87"/>
      <c r="J157" s="87"/>
      <c r="K157" s="88"/>
      <c r="L157" s="89"/>
      <c r="M157" s="90"/>
      <c r="N157" s="57"/>
      <c r="O157" s="57"/>
      <c r="P157" s="91"/>
    </row>
    <row r="158" spans="2:16" s="50" customFormat="1" ht="13.2">
      <c r="B158" s="86"/>
      <c r="C158" s="87"/>
      <c r="D158" s="87"/>
      <c r="E158" s="87"/>
      <c r="F158" s="87"/>
      <c r="G158" s="87"/>
      <c r="H158" s="87"/>
      <c r="I158" s="87"/>
      <c r="J158" s="87"/>
      <c r="K158" s="88"/>
      <c r="L158" s="89"/>
      <c r="M158" s="90"/>
      <c r="N158" s="57"/>
      <c r="O158" s="57"/>
      <c r="P158" s="91"/>
    </row>
    <row r="159" spans="2:16" s="50" customFormat="1" ht="13.2">
      <c r="B159" s="86"/>
      <c r="C159" s="87"/>
      <c r="D159" s="87"/>
      <c r="E159" s="87"/>
      <c r="F159" s="87"/>
      <c r="G159" s="87"/>
      <c r="H159" s="87"/>
      <c r="I159" s="87"/>
      <c r="J159" s="87"/>
      <c r="K159" s="88"/>
      <c r="L159" s="89"/>
      <c r="M159" s="90"/>
      <c r="N159" s="57"/>
      <c r="O159" s="57"/>
      <c r="P159" s="91"/>
    </row>
    <row r="160" spans="2:16" s="50" customFormat="1" ht="13.2">
      <c r="B160" s="86"/>
      <c r="C160" s="87"/>
      <c r="D160" s="87"/>
      <c r="E160" s="87"/>
      <c r="F160" s="87"/>
      <c r="G160" s="87"/>
      <c r="H160" s="87"/>
      <c r="I160" s="87"/>
      <c r="J160" s="87"/>
      <c r="K160" s="88"/>
      <c r="L160" s="89"/>
      <c r="M160" s="90"/>
      <c r="N160" s="57"/>
      <c r="O160" s="57"/>
      <c r="P160" s="91"/>
    </row>
    <row r="161" spans="2:16" s="50" customFormat="1" ht="13.2">
      <c r="B161" s="86"/>
      <c r="C161" s="87"/>
      <c r="D161" s="87"/>
      <c r="E161" s="87"/>
      <c r="F161" s="87"/>
      <c r="G161" s="87"/>
      <c r="H161" s="87"/>
      <c r="I161" s="87"/>
      <c r="J161" s="87"/>
      <c r="K161" s="88"/>
      <c r="L161" s="89"/>
      <c r="M161" s="90"/>
      <c r="N161" s="57"/>
      <c r="O161" s="57"/>
      <c r="P161" s="91"/>
    </row>
    <row r="162" spans="2:16" s="50" customFormat="1" ht="13.2">
      <c r="B162" s="86"/>
      <c r="C162" s="87"/>
      <c r="D162" s="87"/>
      <c r="E162" s="87"/>
      <c r="F162" s="87"/>
      <c r="G162" s="87"/>
      <c r="H162" s="87"/>
      <c r="I162" s="87"/>
      <c r="J162" s="87"/>
      <c r="K162" s="88"/>
      <c r="L162" s="89"/>
      <c r="M162" s="90"/>
      <c r="N162" s="57"/>
      <c r="O162" s="57"/>
      <c r="P162" s="91"/>
    </row>
    <row r="163" spans="2:16" s="50" customFormat="1" ht="13.2">
      <c r="B163" s="86"/>
      <c r="C163" s="87"/>
      <c r="D163" s="87"/>
      <c r="E163" s="87"/>
      <c r="F163" s="87"/>
      <c r="G163" s="87"/>
      <c r="H163" s="87"/>
      <c r="I163" s="87"/>
      <c r="J163" s="87"/>
      <c r="K163" s="88"/>
      <c r="L163" s="89"/>
      <c r="M163" s="90"/>
      <c r="N163" s="57"/>
      <c r="O163" s="57"/>
      <c r="P163" s="91"/>
    </row>
    <row r="164" spans="2:16" s="50" customFormat="1" ht="13.2">
      <c r="B164" s="86"/>
      <c r="C164" s="87"/>
      <c r="D164" s="87"/>
      <c r="E164" s="87"/>
      <c r="F164" s="87"/>
      <c r="G164" s="87"/>
      <c r="H164" s="87"/>
      <c r="I164" s="87"/>
      <c r="J164" s="87"/>
      <c r="K164" s="88"/>
      <c r="L164" s="89"/>
      <c r="M164" s="90"/>
      <c r="N164" s="57"/>
      <c r="O164" s="57"/>
      <c r="P164" s="91"/>
    </row>
    <row r="165" spans="2:16" s="50" customFormat="1" ht="13.2">
      <c r="B165" s="86"/>
      <c r="C165" s="87"/>
      <c r="D165" s="87"/>
      <c r="E165" s="87"/>
      <c r="F165" s="87"/>
      <c r="G165" s="87"/>
      <c r="H165" s="87"/>
      <c r="I165" s="87"/>
      <c r="J165" s="87"/>
      <c r="K165" s="88"/>
      <c r="L165" s="89"/>
      <c r="M165" s="90"/>
      <c r="N165" s="57"/>
      <c r="O165" s="57"/>
      <c r="P165" s="91"/>
    </row>
    <row r="166" spans="2:16" s="50" customFormat="1" ht="13.2">
      <c r="B166" s="86"/>
      <c r="C166" s="87"/>
      <c r="D166" s="87"/>
      <c r="E166" s="87"/>
      <c r="F166" s="87"/>
      <c r="G166" s="87"/>
      <c r="H166" s="87"/>
      <c r="I166" s="87"/>
      <c r="J166" s="87"/>
      <c r="K166" s="88"/>
      <c r="L166" s="89"/>
      <c r="M166" s="90"/>
      <c r="N166" s="57"/>
      <c r="O166" s="57"/>
      <c r="P166" s="91"/>
    </row>
    <row r="167" spans="2:16" s="50" customFormat="1" ht="13.2">
      <c r="B167" s="86"/>
      <c r="C167" s="87"/>
      <c r="D167" s="87"/>
      <c r="E167" s="87"/>
      <c r="F167" s="87"/>
      <c r="G167" s="87"/>
      <c r="H167" s="87"/>
      <c r="I167" s="87"/>
      <c r="J167" s="87"/>
      <c r="K167" s="88"/>
      <c r="L167" s="89"/>
      <c r="M167" s="90"/>
      <c r="N167" s="57"/>
      <c r="O167" s="57"/>
      <c r="P167" s="91"/>
    </row>
    <row r="168" spans="2:16" s="50" customFormat="1" ht="13.2">
      <c r="B168" s="86"/>
      <c r="C168" s="87"/>
      <c r="D168" s="87"/>
      <c r="E168" s="87"/>
      <c r="F168" s="87"/>
      <c r="G168" s="87"/>
      <c r="H168" s="87"/>
      <c r="I168" s="87"/>
      <c r="J168" s="87"/>
      <c r="K168" s="88"/>
      <c r="L168" s="89"/>
      <c r="M168" s="90"/>
      <c r="N168" s="57"/>
      <c r="O168" s="57"/>
      <c r="P168" s="91"/>
    </row>
    <row r="169" spans="2:16" s="50" customFormat="1" ht="13.2">
      <c r="B169" s="86"/>
      <c r="C169" s="87"/>
      <c r="D169" s="87"/>
      <c r="E169" s="87"/>
      <c r="F169" s="87"/>
      <c r="G169" s="87"/>
      <c r="H169" s="87"/>
      <c r="I169" s="87"/>
      <c r="J169" s="87"/>
      <c r="K169" s="88"/>
      <c r="L169" s="89"/>
      <c r="M169" s="90"/>
      <c r="N169" s="57"/>
      <c r="O169" s="57"/>
      <c r="P169" s="91"/>
    </row>
    <row r="170" spans="2:16" s="50" customFormat="1" ht="13.2">
      <c r="B170" s="86"/>
      <c r="C170" s="87"/>
      <c r="D170" s="87"/>
      <c r="E170" s="87"/>
      <c r="F170" s="87"/>
      <c r="G170" s="87"/>
      <c r="H170" s="87"/>
      <c r="I170" s="87"/>
      <c r="J170" s="87"/>
      <c r="K170" s="88"/>
      <c r="L170" s="89"/>
      <c r="M170" s="90"/>
      <c r="N170" s="57"/>
      <c r="O170" s="57"/>
      <c r="P170" s="91"/>
    </row>
    <row r="171" spans="2:16" s="50" customFormat="1" ht="13.2">
      <c r="B171" s="86"/>
      <c r="C171" s="87"/>
      <c r="D171" s="87"/>
      <c r="E171" s="87"/>
      <c r="F171" s="87"/>
      <c r="G171" s="87"/>
      <c r="H171" s="87"/>
      <c r="I171" s="87"/>
      <c r="J171" s="87"/>
      <c r="K171" s="88"/>
      <c r="L171" s="89"/>
      <c r="M171" s="90"/>
      <c r="N171" s="57"/>
      <c r="O171" s="57"/>
      <c r="P171" s="91"/>
    </row>
    <row r="172" spans="2:16" s="50" customFormat="1" ht="13.2">
      <c r="B172" s="86"/>
      <c r="C172" s="87"/>
      <c r="D172" s="87"/>
      <c r="E172" s="87"/>
      <c r="F172" s="87"/>
      <c r="G172" s="87"/>
      <c r="H172" s="87"/>
      <c r="I172" s="87"/>
      <c r="J172" s="87"/>
      <c r="K172" s="88"/>
      <c r="L172" s="89"/>
      <c r="M172" s="90"/>
      <c r="N172" s="57"/>
      <c r="O172" s="57"/>
      <c r="P172" s="91"/>
    </row>
    <row r="173" spans="2:16" s="50" customFormat="1" ht="13.2">
      <c r="B173" s="86"/>
      <c r="C173" s="87"/>
      <c r="D173" s="87"/>
      <c r="E173" s="87"/>
      <c r="F173" s="87"/>
      <c r="G173" s="87"/>
      <c r="H173" s="87"/>
      <c r="I173" s="87"/>
      <c r="J173" s="87"/>
      <c r="K173" s="88"/>
      <c r="L173" s="89"/>
      <c r="M173" s="90"/>
      <c r="N173" s="57"/>
      <c r="O173" s="57"/>
      <c r="P173" s="91"/>
    </row>
    <row r="174" spans="2:16" s="50" customFormat="1" ht="13.2">
      <c r="B174" s="86"/>
      <c r="C174" s="87"/>
      <c r="D174" s="87"/>
      <c r="E174" s="87"/>
      <c r="F174" s="87"/>
      <c r="G174" s="87"/>
      <c r="H174" s="87"/>
      <c r="I174" s="87"/>
      <c r="J174" s="87"/>
      <c r="K174" s="88"/>
      <c r="L174" s="89"/>
      <c r="M174" s="90"/>
      <c r="N174" s="57"/>
      <c r="O174" s="57"/>
      <c r="P174" s="91"/>
    </row>
    <row r="175" spans="2:16" s="50" customFormat="1" ht="13.2">
      <c r="B175" s="86"/>
      <c r="C175" s="87"/>
      <c r="D175" s="87"/>
      <c r="E175" s="87"/>
      <c r="F175" s="87"/>
      <c r="G175" s="87"/>
      <c r="H175" s="87"/>
      <c r="I175" s="87"/>
      <c r="J175" s="87"/>
      <c r="K175" s="88"/>
      <c r="L175" s="89"/>
      <c r="M175" s="90"/>
      <c r="N175" s="57"/>
      <c r="O175" s="57"/>
      <c r="P175" s="91"/>
    </row>
    <row r="176" spans="2:16" s="50" customFormat="1" ht="13.2">
      <c r="B176" s="86"/>
      <c r="C176" s="87"/>
      <c r="D176" s="87"/>
      <c r="E176" s="87"/>
      <c r="F176" s="87"/>
      <c r="G176" s="87"/>
      <c r="H176" s="87"/>
      <c r="I176" s="87"/>
      <c r="J176" s="87"/>
      <c r="K176" s="88"/>
      <c r="L176" s="89"/>
      <c r="M176" s="90"/>
      <c r="N176" s="57"/>
      <c r="O176" s="57"/>
      <c r="P176" s="91"/>
    </row>
    <row r="177" spans="2:16" s="50" customFormat="1" ht="13.2">
      <c r="B177" s="86"/>
      <c r="C177" s="87"/>
      <c r="D177" s="87"/>
      <c r="E177" s="87"/>
      <c r="F177" s="87"/>
      <c r="G177" s="87"/>
      <c r="H177" s="87"/>
      <c r="I177" s="87"/>
      <c r="J177" s="87"/>
      <c r="K177" s="88"/>
      <c r="L177" s="89"/>
      <c r="M177" s="90"/>
      <c r="N177" s="57"/>
      <c r="O177" s="57"/>
      <c r="P177" s="91"/>
    </row>
    <row r="178" spans="2:16" s="50" customFormat="1" ht="13.2">
      <c r="B178" s="86"/>
      <c r="C178" s="87"/>
      <c r="D178" s="87"/>
      <c r="E178" s="87"/>
      <c r="F178" s="87"/>
      <c r="G178" s="87"/>
      <c r="H178" s="87"/>
      <c r="I178" s="87"/>
      <c r="J178" s="87"/>
      <c r="K178" s="88"/>
      <c r="L178" s="89"/>
      <c r="M178" s="90"/>
      <c r="N178" s="57"/>
      <c r="O178" s="57"/>
      <c r="P178" s="91"/>
    </row>
    <row r="179" spans="2:16" s="50" customFormat="1" ht="13.2">
      <c r="B179" s="86"/>
      <c r="C179" s="87"/>
      <c r="D179" s="87"/>
      <c r="E179" s="87"/>
      <c r="F179" s="87"/>
      <c r="G179" s="87"/>
      <c r="H179" s="87"/>
      <c r="I179" s="87"/>
      <c r="J179" s="87"/>
      <c r="K179" s="88"/>
      <c r="L179" s="89"/>
      <c r="M179" s="90"/>
      <c r="N179" s="57"/>
      <c r="O179" s="57"/>
      <c r="P179" s="91"/>
    </row>
    <row r="180" spans="2:16" s="50" customFormat="1" ht="13.2">
      <c r="B180" s="86"/>
      <c r="C180" s="87"/>
      <c r="D180" s="87"/>
      <c r="E180" s="87"/>
      <c r="F180" s="87"/>
      <c r="G180" s="87"/>
      <c r="H180" s="87"/>
      <c r="I180" s="87"/>
      <c r="J180" s="87"/>
      <c r="K180" s="88"/>
      <c r="L180" s="89"/>
      <c r="M180" s="90"/>
      <c r="N180" s="57"/>
      <c r="O180" s="57"/>
      <c r="P180" s="91"/>
    </row>
    <row r="181" spans="2:16" s="50" customFormat="1" ht="13.2">
      <c r="B181" s="86"/>
      <c r="C181" s="87"/>
      <c r="D181" s="87"/>
      <c r="E181" s="87"/>
      <c r="F181" s="87"/>
      <c r="G181" s="87"/>
      <c r="H181" s="87"/>
      <c r="I181" s="87"/>
      <c r="J181" s="87"/>
      <c r="K181" s="88"/>
      <c r="L181" s="89"/>
      <c r="M181" s="90"/>
      <c r="N181" s="57"/>
      <c r="O181" s="57"/>
      <c r="P181" s="91"/>
    </row>
    <row r="182" spans="2:16" s="50" customFormat="1" ht="13.2">
      <c r="B182" s="86"/>
      <c r="C182" s="87"/>
      <c r="D182" s="87"/>
      <c r="E182" s="87"/>
      <c r="F182" s="87"/>
      <c r="G182" s="87"/>
      <c r="H182" s="87"/>
      <c r="I182" s="87"/>
      <c r="J182" s="87"/>
      <c r="K182" s="88"/>
      <c r="L182" s="89"/>
      <c r="M182" s="90"/>
      <c r="N182" s="57"/>
      <c r="O182" s="57"/>
      <c r="P182" s="91"/>
    </row>
    <row r="183" spans="2:16" s="50" customFormat="1" ht="13.2">
      <c r="B183" s="86"/>
      <c r="C183" s="87"/>
      <c r="D183" s="87"/>
      <c r="E183" s="87"/>
      <c r="F183" s="87"/>
      <c r="G183" s="87"/>
      <c r="H183" s="87"/>
      <c r="I183" s="87"/>
      <c r="J183" s="87"/>
      <c r="K183" s="88"/>
      <c r="L183" s="89"/>
      <c r="M183" s="90"/>
      <c r="N183" s="57"/>
      <c r="O183" s="57"/>
      <c r="P183" s="91"/>
    </row>
    <row r="184" spans="2:16" s="50" customFormat="1" ht="13.2">
      <c r="B184" s="86"/>
      <c r="C184" s="87"/>
      <c r="D184" s="87"/>
      <c r="E184" s="87"/>
      <c r="F184" s="87"/>
      <c r="G184" s="87"/>
      <c r="H184" s="87"/>
      <c r="I184" s="87"/>
      <c r="J184" s="87"/>
      <c r="K184" s="88"/>
      <c r="L184" s="89"/>
      <c r="M184" s="90"/>
      <c r="N184" s="57"/>
      <c r="O184" s="57"/>
      <c r="P184" s="91"/>
    </row>
    <row r="185" spans="2:16" s="50" customFormat="1" ht="13.2">
      <c r="B185" s="86"/>
      <c r="C185" s="87"/>
      <c r="D185" s="87"/>
      <c r="E185" s="87"/>
      <c r="F185" s="87"/>
      <c r="G185" s="87"/>
      <c r="H185" s="87"/>
      <c r="I185" s="87"/>
      <c r="J185" s="87"/>
      <c r="K185" s="88"/>
      <c r="L185" s="89"/>
      <c r="M185" s="90"/>
      <c r="N185" s="57"/>
      <c r="O185" s="57"/>
      <c r="P185" s="91"/>
    </row>
    <row r="186" spans="2:16" s="50" customFormat="1" ht="13.2">
      <c r="B186" s="86"/>
      <c r="C186" s="87"/>
      <c r="D186" s="87"/>
      <c r="E186" s="87"/>
      <c r="F186" s="87"/>
      <c r="G186" s="87"/>
      <c r="H186" s="87"/>
      <c r="I186" s="87"/>
      <c r="J186" s="87"/>
      <c r="K186" s="88"/>
      <c r="L186" s="89"/>
      <c r="M186" s="90"/>
      <c r="N186" s="57"/>
      <c r="O186" s="57"/>
      <c r="P186" s="91"/>
    </row>
    <row r="187" spans="2:16" s="50" customFormat="1" ht="13.2">
      <c r="B187" s="86"/>
      <c r="C187" s="87"/>
      <c r="D187" s="87"/>
      <c r="E187" s="87"/>
      <c r="F187" s="87"/>
      <c r="G187" s="87"/>
      <c r="H187" s="87"/>
      <c r="I187" s="87"/>
      <c r="J187" s="87"/>
      <c r="K187" s="88"/>
      <c r="L187" s="89"/>
      <c r="M187" s="90"/>
      <c r="N187" s="57"/>
      <c r="O187" s="57"/>
      <c r="P187" s="91"/>
    </row>
    <row r="188" spans="2:16" s="50" customFormat="1" ht="13.2">
      <c r="B188" s="86"/>
      <c r="C188" s="87"/>
      <c r="D188" s="87"/>
      <c r="E188" s="87"/>
      <c r="F188" s="87"/>
      <c r="G188" s="87"/>
      <c r="H188" s="87"/>
      <c r="I188" s="87"/>
      <c r="J188" s="87"/>
      <c r="K188" s="88"/>
      <c r="L188" s="89"/>
      <c r="M188" s="90"/>
      <c r="N188" s="57"/>
      <c r="O188" s="57"/>
      <c r="P188" s="91"/>
    </row>
    <row r="189" spans="2:16" s="50" customFormat="1" ht="13.2">
      <c r="B189" s="86"/>
      <c r="C189" s="87"/>
      <c r="D189" s="87"/>
      <c r="E189" s="87"/>
      <c r="F189" s="87"/>
      <c r="G189" s="87"/>
      <c r="H189" s="87"/>
      <c r="I189" s="87"/>
      <c r="J189" s="87"/>
      <c r="K189" s="88"/>
      <c r="L189" s="89"/>
      <c r="M189" s="90"/>
      <c r="N189" s="57"/>
      <c r="O189" s="57"/>
      <c r="P189" s="91"/>
    </row>
    <row r="190" spans="2:16" s="50" customFormat="1" ht="13.2">
      <c r="B190" s="86"/>
      <c r="C190" s="87"/>
      <c r="D190" s="87"/>
      <c r="E190" s="87"/>
      <c r="F190" s="87"/>
      <c r="G190" s="87"/>
      <c r="H190" s="87"/>
      <c r="I190" s="87"/>
      <c r="J190" s="87"/>
      <c r="K190" s="88"/>
      <c r="L190" s="89"/>
      <c r="M190" s="90"/>
      <c r="N190" s="57"/>
      <c r="O190" s="57"/>
      <c r="P190" s="91"/>
    </row>
    <row r="191" spans="2:16" s="50" customFormat="1" ht="13.2">
      <c r="B191" s="86"/>
      <c r="C191" s="87"/>
      <c r="D191" s="87"/>
      <c r="E191" s="87"/>
      <c r="F191" s="87"/>
      <c r="G191" s="87"/>
      <c r="H191" s="87"/>
      <c r="I191" s="87"/>
      <c r="J191" s="87"/>
      <c r="K191" s="88"/>
      <c r="L191" s="89"/>
      <c r="M191" s="90"/>
      <c r="N191" s="57"/>
      <c r="O191" s="57"/>
      <c r="P191" s="91"/>
    </row>
    <row r="192" spans="2:16" s="50" customFormat="1" ht="13.2">
      <c r="B192" s="86"/>
      <c r="C192" s="87"/>
      <c r="D192" s="87"/>
      <c r="E192" s="87"/>
      <c r="F192" s="87"/>
      <c r="G192" s="87"/>
      <c r="H192" s="87"/>
      <c r="I192" s="87"/>
      <c r="J192" s="87"/>
      <c r="K192" s="88"/>
      <c r="L192" s="89"/>
      <c r="M192" s="90"/>
      <c r="N192" s="57"/>
      <c r="O192" s="57"/>
      <c r="P192" s="91"/>
    </row>
    <row r="193" spans="2:16" s="50" customFormat="1" ht="13.2">
      <c r="B193" s="86"/>
      <c r="C193" s="87"/>
      <c r="D193" s="87"/>
      <c r="E193" s="87"/>
      <c r="F193" s="87"/>
      <c r="G193" s="87"/>
      <c r="H193" s="87"/>
      <c r="I193" s="87"/>
      <c r="J193" s="87"/>
      <c r="K193" s="88"/>
      <c r="L193" s="89"/>
      <c r="M193" s="90"/>
      <c r="N193" s="57"/>
      <c r="O193" s="57"/>
      <c r="P193" s="91"/>
    </row>
    <row r="194" spans="2:16" s="50" customFormat="1" ht="13.2">
      <c r="B194" s="86"/>
      <c r="C194" s="87"/>
      <c r="D194" s="87"/>
      <c r="E194" s="87"/>
      <c r="F194" s="87"/>
      <c r="G194" s="87"/>
      <c r="H194" s="87"/>
      <c r="I194" s="87"/>
      <c r="J194" s="87"/>
      <c r="K194" s="88"/>
      <c r="L194" s="89"/>
      <c r="M194" s="90"/>
      <c r="N194" s="57"/>
      <c r="O194" s="57"/>
      <c r="P194" s="91"/>
    </row>
    <row r="195" spans="2:16" s="50" customFormat="1" ht="13.2">
      <c r="B195" s="86"/>
      <c r="C195" s="87"/>
      <c r="D195" s="87"/>
      <c r="E195" s="87"/>
      <c r="F195" s="87"/>
      <c r="G195" s="87"/>
      <c r="H195" s="87"/>
      <c r="I195" s="87"/>
      <c r="J195" s="87"/>
      <c r="K195" s="88"/>
      <c r="L195" s="89"/>
      <c r="M195" s="90"/>
      <c r="N195" s="57"/>
      <c r="O195" s="57"/>
      <c r="P195" s="91"/>
    </row>
    <row r="196" spans="2:16" s="50" customFormat="1" ht="13.2">
      <c r="B196" s="86"/>
      <c r="C196" s="87"/>
      <c r="D196" s="87"/>
      <c r="E196" s="87"/>
      <c r="F196" s="87"/>
      <c r="G196" s="87"/>
      <c r="H196" s="87"/>
      <c r="I196" s="87"/>
      <c r="J196" s="87"/>
      <c r="K196" s="88"/>
      <c r="L196" s="89"/>
      <c r="M196" s="90"/>
      <c r="N196" s="57"/>
      <c r="O196" s="57"/>
      <c r="P196" s="91"/>
    </row>
    <row r="197" spans="2:16" s="50" customFormat="1" ht="13.2">
      <c r="B197" s="86"/>
      <c r="C197" s="87"/>
      <c r="D197" s="87"/>
      <c r="E197" s="87"/>
      <c r="F197" s="87"/>
      <c r="G197" s="87"/>
      <c r="H197" s="87"/>
      <c r="I197" s="87"/>
      <c r="J197" s="87"/>
      <c r="K197" s="88"/>
      <c r="L197" s="89"/>
      <c r="M197" s="90"/>
      <c r="N197" s="57"/>
      <c r="O197" s="57"/>
      <c r="P197" s="91"/>
    </row>
    <row r="198" spans="2:16" s="50" customFormat="1" ht="13.2">
      <c r="B198" s="86"/>
      <c r="C198" s="87"/>
      <c r="D198" s="87"/>
      <c r="E198" s="87"/>
      <c r="F198" s="87"/>
      <c r="G198" s="87"/>
      <c r="H198" s="87"/>
      <c r="I198" s="87"/>
      <c r="J198" s="87"/>
      <c r="K198" s="88"/>
      <c r="L198" s="89"/>
      <c r="M198" s="90"/>
      <c r="N198" s="57"/>
      <c r="O198" s="57"/>
      <c r="P198" s="91"/>
    </row>
    <row r="199" spans="2:16" s="50" customFormat="1" ht="13.2">
      <c r="B199" s="86"/>
      <c r="C199" s="87"/>
      <c r="D199" s="87"/>
      <c r="E199" s="87"/>
      <c r="F199" s="87"/>
      <c r="G199" s="87"/>
      <c r="H199" s="87"/>
      <c r="I199" s="87"/>
      <c r="J199" s="87"/>
      <c r="K199" s="88"/>
      <c r="L199" s="89"/>
      <c r="M199" s="90"/>
      <c r="N199" s="57"/>
      <c r="O199" s="57"/>
      <c r="P199" s="91"/>
    </row>
    <row r="200" spans="2:16" s="50" customFormat="1" ht="13.2">
      <c r="B200" s="86"/>
      <c r="C200" s="87"/>
      <c r="D200" s="87"/>
      <c r="E200" s="87"/>
      <c r="F200" s="87"/>
      <c r="G200" s="87"/>
      <c r="H200" s="87"/>
      <c r="I200" s="87"/>
      <c r="J200" s="87"/>
      <c r="K200" s="88"/>
      <c r="L200" s="89"/>
      <c r="M200" s="90"/>
      <c r="N200" s="57"/>
      <c r="O200" s="57"/>
      <c r="P200" s="91"/>
    </row>
    <row r="201" spans="2:16" s="50" customFormat="1" ht="13.2">
      <c r="B201" s="86"/>
      <c r="C201" s="87"/>
      <c r="D201" s="87"/>
      <c r="E201" s="87"/>
      <c r="F201" s="87"/>
      <c r="G201" s="87"/>
      <c r="H201" s="87"/>
      <c r="I201" s="87"/>
      <c r="J201" s="87"/>
      <c r="K201" s="88"/>
      <c r="L201" s="89"/>
      <c r="M201" s="90"/>
      <c r="N201" s="57"/>
      <c r="O201" s="57"/>
      <c r="P201" s="91"/>
    </row>
    <row r="202" spans="2:16" s="50" customFormat="1" ht="13.2">
      <c r="B202" s="86"/>
      <c r="C202" s="87"/>
      <c r="D202" s="87"/>
      <c r="E202" s="87"/>
      <c r="F202" s="87"/>
      <c r="G202" s="87"/>
      <c r="H202" s="87"/>
      <c r="I202" s="87"/>
      <c r="J202" s="87"/>
      <c r="K202" s="88"/>
      <c r="L202" s="89"/>
      <c r="M202" s="90"/>
      <c r="N202" s="57"/>
      <c r="O202" s="57"/>
      <c r="P202" s="91"/>
    </row>
    <row r="203" spans="2:16" s="50" customFormat="1" ht="13.2">
      <c r="B203" s="86"/>
      <c r="C203" s="87"/>
      <c r="D203" s="87"/>
      <c r="E203" s="87"/>
      <c r="F203" s="87"/>
      <c r="G203" s="87"/>
      <c r="H203" s="87"/>
      <c r="I203" s="87"/>
      <c r="J203" s="87"/>
      <c r="K203" s="88"/>
      <c r="L203" s="89"/>
      <c r="M203" s="90"/>
      <c r="N203" s="57"/>
      <c r="O203" s="57"/>
      <c r="P203" s="91"/>
    </row>
    <row r="204" spans="2:16" s="50" customFormat="1" ht="13.2">
      <c r="B204" s="86"/>
      <c r="C204" s="87"/>
      <c r="D204" s="87"/>
      <c r="E204" s="87"/>
      <c r="F204" s="87"/>
      <c r="G204" s="87"/>
      <c r="H204" s="87"/>
      <c r="I204" s="87"/>
      <c r="J204" s="87"/>
      <c r="K204" s="88"/>
      <c r="L204" s="89"/>
      <c r="M204" s="90"/>
      <c r="N204" s="57"/>
      <c r="O204" s="57"/>
      <c r="P204" s="91"/>
    </row>
    <row r="205" spans="2:16" s="50" customFormat="1" ht="13.2">
      <c r="B205" s="86"/>
      <c r="C205" s="87"/>
      <c r="D205" s="87"/>
      <c r="E205" s="87"/>
      <c r="F205" s="87"/>
      <c r="G205" s="87"/>
      <c r="H205" s="87"/>
      <c r="I205" s="87"/>
      <c r="J205" s="87"/>
      <c r="K205" s="88"/>
      <c r="L205" s="89"/>
      <c r="M205" s="90"/>
      <c r="N205" s="57"/>
      <c r="O205" s="57"/>
      <c r="P205" s="91"/>
    </row>
    <row r="206" spans="2:16" s="50" customFormat="1" ht="13.2">
      <c r="B206" s="86"/>
      <c r="C206" s="87"/>
      <c r="D206" s="87"/>
      <c r="E206" s="87"/>
      <c r="F206" s="87"/>
      <c r="G206" s="87"/>
      <c r="H206" s="87"/>
      <c r="I206" s="87"/>
      <c r="J206" s="87"/>
      <c r="K206" s="88"/>
      <c r="L206" s="89"/>
      <c r="M206" s="90"/>
      <c r="N206" s="57"/>
      <c r="O206" s="57"/>
      <c r="P206" s="91"/>
    </row>
    <row r="207" spans="2:16" s="50" customFormat="1" ht="13.2">
      <c r="B207" s="86"/>
      <c r="C207" s="87"/>
      <c r="D207" s="87"/>
      <c r="E207" s="87"/>
      <c r="F207" s="87"/>
      <c r="G207" s="87"/>
      <c r="H207" s="87"/>
      <c r="I207" s="87"/>
      <c r="J207" s="87"/>
      <c r="K207" s="88"/>
      <c r="L207" s="89"/>
      <c r="M207" s="90"/>
      <c r="N207" s="57"/>
      <c r="O207" s="57"/>
      <c r="P207" s="91"/>
    </row>
    <row r="208" spans="2:16" s="50" customFormat="1" ht="13.2">
      <c r="B208" s="86"/>
      <c r="C208" s="87"/>
      <c r="D208" s="87"/>
      <c r="E208" s="87"/>
      <c r="F208" s="87"/>
      <c r="G208" s="87"/>
      <c r="H208" s="87"/>
      <c r="I208" s="87"/>
      <c r="J208" s="87"/>
      <c r="K208" s="88"/>
      <c r="L208" s="89"/>
      <c r="M208" s="90"/>
      <c r="N208" s="57"/>
      <c r="O208" s="57"/>
      <c r="P208" s="91"/>
    </row>
    <row r="209" spans="2:16" s="50" customFormat="1" ht="13.2">
      <c r="B209" s="86"/>
      <c r="C209" s="87"/>
      <c r="D209" s="87"/>
      <c r="E209" s="87"/>
      <c r="F209" s="87"/>
      <c r="G209" s="87"/>
      <c r="H209" s="87"/>
      <c r="I209" s="87"/>
      <c r="J209" s="87"/>
      <c r="K209" s="88"/>
      <c r="L209" s="89"/>
      <c r="M209" s="90"/>
      <c r="N209" s="57"/>
      <c r="O209" s="57"/>
      <c r="P209" s="91"/>
    </row>
    <row r="210" spans="2:16" s="50" customFormat="1" ht="13.2">
      <c r="B210" s="86"/>
      <c r="C210" s="87"/>
      <c r="D210" s="87"/>
      <c r="E210" s="87"/>
      <c r="F210" s="87"/>
      <c r="G210" s="87"/>
      <c r="H210" s="87"/>
      <c r="I210" s="87"/>
      <c r="J210" s="87"/>
      <c r="K210" s="88"/>
      <c r="L210" s="89"/>
      <c r="M210" s="90"/>
      <c r="N210" s="57"/>
      <c r="O210" s="57"/>
      <c r="P210" s="91"/>
    </row>
    <row r="211" spans="2:16" s="50" customFormat="1" ht="13.2">
      <c r="B211" s="86"/>
      <c r="C211" s="87"/>
      <c r="D211" s="87"/>
      <c r="E211" s="87"/>
      <c r="F211" s="87"/>
      <c r="G211" s="87"/>
      <c r="H211" s="87"/>
      <c r="I211" s="87"/>
      <c r="J211" s="87"/>
      <c r="K211" s="88"/>
      <c r="L211" s="89"/>
      <c r="M211" s="90"/>
      <c r="N211" s="57"/>
      <c r="O211" s="57"/>
      <c r="P211" s="91"/>
    </row>
    <row r="212" spans="2:16" s="50" customFormat="1" ht="13.2">
      <c r="B212" s="86"/>
      <c r="C212" s="87"/>
      <c r="D212" s="87"/>
      <c r="E212" s="87"/>
      <c r="F212" s="87"/>
      <c r="G212" s="87"/>
      <c r="H212" s="87"/>
      <c r="I212" s="87"/>
      <c r="J212" s="87"/>
      <c r="K212" s="88"/>
      <c r="L212" s="89"/>
      <c r="M212" s="90"/>
      <c r="N212" s="57"/>
      <c r="O212" s="57"/>
      <c r="P212" s="91"/>
    </row>
    <row r="213" spans="2:16" s="50" customFormat="1" ht="13.2">
      <c r="B213" s="86"/>
      <c r="C213" s="87"/>
      <c r="D213" s="87"/>
      <c r="E213" s="87"/>
      <c r="F213" s="87"/>
      <c r="G213" s="87"/>
      <c r="H213" s="87"/>
      <c r="I213" s="87"/>
      <c r="J213" s="87"/>
      <c r="K213" s="88"/>
      <c r="L213" s="89"/>
      <c r="M213" s="90"/>
      <c r="N213" s="57"/>
      <c r="O213" s="57"/>
      <c r="P213" s="91"/>
    </row>
    <row r="214" spans="2:16" s="50" customFormat="1" ht="13.2">
      <c r="B214" s="86"/>
      <c r="C214" s="87"/>
      <c r="D214" s="87"/>
      <c r="E214" s="87"/>
      <c r="F214" s="87"/>
      <c r="G214" s="87"/>
      <c r="H214" s="87"/>
      <c r="I214" s="87"/>
      <c r="J214" s="87"/>
      <c r="K214" s="88"/>
      <c r="L214" s="89"/>
      <c r="M214" s="90"/>
      <c r="N214" s="57"/>
      <c r="O214" s="57"/>
      <c r="P214" s="91"/>
    </row>
    <row r="215" spans="2:16" s="50" customFormat="1" ht="13.2">
      <c r="B215" s="86"/>
      <c r="C215" s="87"/>
      <c r="D215" s="87"/>
      <c r="E215" s="87"/>
      <c r="F215" s="87"/>
      <c r="G215" s="87"/>
      <c r="H215" s="87"/>
      <c r="I215" s="87"/>
      <c r="J215" s="87"/>
      <c r="K215" s="88"/>
      <c r="L215" s="89"/>
      <c r="M215" s="90"/>
      <c r="N215" s="57"/>
      <c r="O215" s="57"/>
      <c r="P215" s="91"/>
    </row>
    <row r="216" spans="2:16" s="50" customFormat="1" ht="13.2">
      <c r="B216" s="86"/>
      <c r="C216" s="87"/>
      <c r="D216" s="87"/>
      <c r="E216" s="87"/>
      <c r="F216" s="87"/>
      <c r="G216" s="87"/>
      <c r="H216" s="87"/>
      <c r="I216" s="87"/>
      <c r="J216" s="87"/>
      <c r="K216" s="88"/>
      <c r="L216" s="89"/>
      <c r="M216" s="90"/>
      <c r="N216" s="57"/>
      <c r="O216" s="57"/>
      <c r="P216" s="91"/>
    </row>
    <row r="217" spans="2:16" s="50" customFormat="1" ht="13.2">
      <c r="B217" s="86"/>
      <c r="C217" s="87"/>
      <c r="D217" s="87"/>
      <c r="E217" s="87"/>
      <c r="F217" s="87"/>
      <c r="G217" s="87"/>
      <c r="H217" s="87"/>
      <c r="I217" s="87"/>
      <c r="J217" s="87"/>
      <c r="K217" s="88"/>
      <c r="L217" s="89"/>
      <c r="M217" s="90"/>
      <c r="N217" s="57"/>
      <c r="O217" s="57"/>
      <c r="P217" s="91"/>
    </row>
    <row r="218" spans="2:16" s="50" customFormat="1" ht="13.2">
      <c r="B218" s="86"/>
      <c r="C218" s="87"/>
      <c r="D218" s="87"/>
      <c r="E218" s="87"/>
      <c r="F218" s="87"/>
      <c r="G218" s="87"/>
      <c r="H218" s="87"/>
      <c r="I218" s="87"/>
      <c r="J218" s="87"/>
      <c r="K218" s="88"/>
      <c r="L218" s="89"/>
      <c r="M218" s="90"/>
      <c r="N218" s="57"/>
      <c r="O218" s="57"/>
      <c r="P218" s="91"/>
    </row>
    <row r="219" spans="2:16" s="50" customFormat="1" ht="13.2">
      <c r="B219" s="86"/>
      <c r="C219" s="87"/>
      <c r="D219" s="87"/>
      <c r="E219" s="87"/>
      <c r="F219" s="87"/>
      <c r="G219" s="87"/>
      <c r="H219" s="87"/>
      <c r="I219" s="87"/>
      <c r="J219" s="87"/>
      <c r="K219" s="88"/>
      <c r="L219" s="89"/>
      <c r="M219" s="90"/>
      <c r="N219" s="57"/>
      <c r="O219" s="57"/>
      <c r="P219" s="91"/>
    </row>
    <row r="220" spans="2:16" s="50" customFormat="1" ht="13.2">
      <c r="B220" s="86"/>
      <c r="C220" s="87"/>
      <c r="D220" s="87"/>
      <c r="E220" s="87"/>
      <c r="F220" s="87"/>
      <c r="G220" s="87"/>
      <c r="H220" s="87"/>
      <c r="I220" s="87"/>
      <c r="J220" s="87"/>
      <c r="K220" s="88"/>
      <c r="L220" s="89"/>
      <c r="M220" s="90"/>
      <c r="N220" s="57"/>
      <c r="O220" s="57"/>
      <c r="P220" s="91"/>
    </row>
    <row r="221" spans="2:16" s="50" customFormat="1" ht="13.2">
      <c r="B221" s="86"/>
      <c r="C221" s="87"/>
      <c r="D221" s="87"/>
      <c r="E221" s="87"/>
      <c r="F221" s="87"/>
      <c r="G221" s="87"/>
      <c r="H221" s="87"/>
      <c r="I221" s="87"/>
      <c r="J221" s="87"/>
      <c r="K221" s="88"/>
      <c r="L221" s="89"/>
      <c r="M221" s="90"/>
      <c r="N221" s="57"/>
      <c r="O221" s="57"/>
      <c r="P221" s="91"/>
    </row>
    <row r="222" spans="2:16" s="50" customFormat="1" ht="13.2">
      <c r="B222" s="86"/>
      <c r="C222" s="87"/>
      <c r="D222" s="87"/>
      <c r="E222" s="87"/>
      <c r="F222" s="87"/>
      <c r="G222" s="87"/>
      <c r="H222" s="87"/>
      <c r="I222" s="87"/>
      <c r="J222" s="87"/>
      <c r="K222" s="88"/>
      <c r="L222" s="89"/>
      <c r="M222" s="90"/>
      <c r="N222" s="57"/>
      <c r="O222" s="57"/>
      <c r="P222" s="91"/>
    </row>
    <row r="223" spans="2:16" s="50" customFormat="1" ht="13.2">
      <c r="B223" s="86"/>
      <c r="C223" s="87"/>
      <c r="D223" s="87"/>
      <c r="E223" s="87"/>
      <c r="F223" s="87"/>
      <c r="G223" s="87"/>
      <c r="H223" s="87"/>
      <c r="I223" s="87"/>
      <c r="J223" s="87"/>
      <c r="K223" s="88"/>
      <c r="L223" s="89"/>
      <c r="M223" s="90"/>
      <c r="N223" s="57"/>
      <c r="O223" s="57"/>
      <c r="P223" s="91"/>
    </row>
    <row r="224" spans="2:16" s="50" customFormat="1" ht="13.2">
      <c r="B224" s="86"/>
      <c r="C224" s="87"/>
      <c r="D224" s="87"/>
      <c r="E224" s="87"/>
      <c r="F224" s="87"/>
      <c r="G224" s="87"/>
      <c r="H224" s="87"/>
      <c r="I224" s="87"/>
      <c r="J224" s="87"/>
      <c r="K224" s="88"/>
      <c r="L224" s="89"/>
      <c r="M224" s="90"/>
      <c r="N224" s="57"/>
      <c r="O224" s="57"/>
      <c r="P224" s="91"/>
    </row>
    <row r="225" spans="2:16" s="50" customFormat="1" ht="13.2">
      <c r="B225" s="86"/>
      <c r="C225" s="87"/>
      <c r="D225" s="87"/>
      <c r="E225" s="87"/>
      <c r="F225" s="87"/>
      <c r="G225" s="87"/>
      <c r="H225" s="87"/>
      <c r="I225" s="87"/>
      <c r="J225" s="87"/>
      <c r="K225" s="88"/>
      <c r="L225" s="89"/>
      <c r="M225" s="90"/>
      <c r="N225" s="57"/>
      <c r="O225" s="57"/>
      <c r="P225" s="91"/>
    </row>
    <row r="226" spans="2:16" s="50" customFormat="1" ht="13.2">
      <c r="B226" s="86"/>
      <c r="C226" s="87"/>
      <c r="D226" s="87"/>
      <c r="E226" s="87"/>
      <c r="F226" s="87"/>
      <c r="G226" s="87"/>
      <c r="H226" s="87"/>
      <c r="I226" s="87"/>
      <c r="J226" s="87"/>
      <c r="K226" s="88"/>
      <c r="L226" s="89"/>
      <c r="M226" s="90"/>
      <c r="N226" s="57"/>
      <c r="O226" s="57"/>
      <c r="P226" s="91"/>
    </row>
    <row r="227" spans="2:16" s="50" customFormat="1" ht="13.2">
      <c r="B227" s="86"/>
      <c r="C227" s="87"/>
      <c r="D227" s="87"/>
      <c r="E227" s="87"/>
      <c r="F227" s="87"/>
      <c r="G227" s="87"/>
      <c r="H227" s="87"/>
      <c r="I227" s="87"/>
      <c r="J227" s="87"/>
      <c r="K227" s="88"/>
      <c r="L227" s="89"/>
      <c r="M227" s="90"/>
      <c r="N227" s="57"/>
      <c r="O227" s="57"/>
      <c r="P227" s="91"/>
    </row>
    <row r="228" spans="2:16" s="50" customFormat="1" ht="13.2">
      <c r="B228" s="86"/>
      <c r="C228" s="87"/>
      <c r="D228" s="87"/>
      <c r="E228" s="87"/>
      <c r="F228" s="87"/>
      <c r="G228" s="87"/>
      <c r="H228" s="87"/>
      <c r="I228" s="87"/>
      <c r="J228" s="87"/>
      <c r="K228" s="88"/>
      <c r="L228" s="89"/>
      <c r="M228" s="90"/>
      <c r="N228" s="57"/>
      <c r="O228" s="57"/>
      <c r="P228" s="91"/>
    </row>
    <row r="229" spans="2:16" s="50" customFormat="1" ht="13.2">
      <c r="B229" s="86"/>
      <c r="C229" s="87"/>
      <c r="D229" s="87"/>
      <c r="E229" s="87"/>
      <c r="F229" s="87"/>
      <c r="G229" s="87"/>
      <c r="H229" s="87"/>
      <c r="I229" s="87"/>
      <c r="J229" s="87"/>
      <c r="K229" s="88"/>
      <c r="L229" s="89"/>
      <c r="M229" s="90"/>
      <c r="N229" s="57"/>
      <c r="O229" s="57"/>
      <c r="P229" s="91"/>
    </row>
    <row r="230" spans="2:16" s="50" customFormat="1" ht="13.2">
      <c r="B230" s="86"/>
      <c r="C230" s="87"/>
      <c r="D230" s="87"/>
      <c r="E230" s="87"/>
      <c r="F230" s="87"/>
      <c r="G230" s="87"/>
      <c r="H230" s="87"/>
      <c r="I230" s="87"/>
      <c r="J230" s="87"/>
      <c r="K230" s="88"/>
      <c r="L230" s="89"/>
      <c r="M230" s="90"/>
      <c r="N230" s="57"/>
      <c r="O230" s="57"/>
      <c r="P230" s="91"/>
    </row>
    <row r="231" spans="2:16" s="50" customFormat="1" ht="13.2">
      <c r="B231" s="86"/>
      <c r="C231" s="87"/>
      <c r="D231" s="87"/>
      <c r="E231" s="87"/>
      <c r="F231" s="87"/>
      <c r="G231" s="87"/>
      <c r="H231" s="87"/>
      <c r="I231" s="87"/>
      <c r="J231" s="87"/>
      <c r="K231" s="88"/>
      <c r="L231" s="89"/>
      <c r="M231" s="90"/>
      <c r="N231" s="57"/>
      <c r="O231" s="57"/>
      <c r="P231" s="91"/>
    </row>
    <row r="232" spans="2:16" s="50" customFormat="1" ht="13.2">
      <c r="B232" s="86"/>
      <c r="C232" s="87"/>
      <c r="D232" s="87"/>
      <c r="E232" s="87"/>
      <c r="F232" s="87"/>
      <c r="G232" s="87"/>
      <c r="H232" s="87"/>
      <c r="I232" s="87"/>
      <c r="J232" s="87"/>
      <c r="K232" s="88"/>
      <c r="L232" s="89"/>
      <c r="M232" s="90"/>
      <c r="N232" s="57"/>
      <c r="O232" s="57"/>
      <c r="P232" s="91"/>
    </row>
    <row r="233" spans="2:16" s="50" customFormat="1" ht="13.2">
      <c r="B233" s="86"/>
      <c r="C233" s="87"/>
      <c r="D233" s="87"/>
      <c r="E233" s="87"/>
      <c r="F233" s="87"/>
      <c r="G233" s="87"/>
      <c r="H233" s="87"/>
      <c r="I233" s="87"/>
      <c r="J233" s="87"/>
      <c r="K233" s="88"/>
      <c r="L233" s="89"/>
      <c r="M233" s="90"/>
      <c r="N233" s="57"/>
      <c r="O233" s="57"/>
      <c r="P233" s="91"/>
    </row>
    <row r="234" spans="2:16" s="50" customFormat="1" ht="13.2">
      <c r="B234" s="86"/>
      <c r="C234" s="87"/>
      <c r="D234" s="87"/>
      <c r="E234" s="87"/>
      <c r="F234" s="87"/>
      <c r="G234" s="87"/>
      <c r="H234" s="87"/>
      <c r="I234" s="87"/>
      <c r="J234" s="87"/>
      <c r="K234" s="88"/>
      <c r="L234" s="89"/>
      <c r="M234" s="90"/>
      <c r="N234" s="57"/>
      <c r="O234" s="57"/>
      <c r="P234" s="91"/>
    </row>
    <row r="235" spans="2:16" s="50" customFormat="1" ht="13.2">
      <c r="B235" s="86"/>
      <c r="C235" s="87"/>
      <c r="D235" s="87"/>
      <c r="E235" s="87"/>
      <c r="F235" s="87"/>
      <c r="G235" s="87"/>
      <c r="H235" s="87"/>
      <c r="I235" s="87"/>
      <c r="J235" s="87"/>
      <c r="K235" s="88"/>
      <c r="L235" s="89"/>
      <c r="M235" s="90"/>
      <c r="N235" s="57"/>
      <c r="O235" s="57"/>
      <c r="P235" s="91"/>
    </row>
    <row r="236" spans="2:16" s="50" customFormat="1" ht="13.2">
      <c r="B236" s="86"/>
      <c r="C236" s="87"/>
      <c r="D236" s="87"/>
      <c r="E236" s="87"/>
      <c r="F236" s="87"/>
      <c r="G236" s="87"/>
      <c r="H236" s="87"/>
      <c r="I236" s="87"/>
      <c r="J236" s="87"/>
      <c r="K236" s="88"/>
      <c r="L236" s="89"/>
      <c r="M236" s="90"/>
      <c r="N236" s="57"/>
      <c r="O236" s="57"/>
      <c r="P236" s="91"/>
    </row>
    <row r="237" spans="2:16" s="50" customFormat="1" ht="13.2">
      <c r="B237" s="86"/>
      <c r="C237" s="87"/>
      <c r="D237" s="87"/>
      <c r="E237" s="87"/>
      <c r="F237" s="87"/>
      <c r="G237" s="87"/>
      <c r="H237" s="87"/>
      <c r="I237" s="87"/>
      <c r="J237" s="87"/>
      <c r="K237" s="88"/>
      <c r="L237" s="89"/>
      <c r="M237" s="90"/>
      <c r="N237" s="57"/>
      <c r="O237" s="57"/>
      <c r="P237" s="91"/>
    </row>
    <row r="238" spans="2:16" s="50" customFormat="1" ht="13.2">
      <c r="B238" s="86"/>
      <c r="C238" s="87"/>
      <c r="D238" s="87"/>
      <c r="E238" s="87"/>
      <c r="F238" s="87"/>
      <c r="G238" s="87"/>
      <c r="H238" s="87"/>
      <c r="I238" s="87"/>
      <c r="J238" s="87"/>
      <c r="K238" s="88"/>
      <c r="L238" s="89"/>
      <c r="M238" s="90"/>
      <c r="N238" s="57"/>
      <c r="O238" s="57"/>
      <c r="P238" s="91"/>
    </row>
    <row r="239" spans="2:16" s="50" customFormat="1" ht="13.2">
      <c r="B239" s="86"/>
      <c r="C239" s="87"/>
      <c r="D239" s="87"/>
      <c r="E239" s="87"/>
      <c r="F239" s="87"/>
      <c r="G239" s="87"/>
      <c r="H239" s="87"/>
      <c r="I239" s="87"/>
      <c r="J239" s="87"/>
      <c r="K239" s="88"/>
      <c r="L239" s="89"/>
      <c r="M239" s="90"/>
      <c r="N239" s="57"/>
      <c r="O239" s="57"/>
      <c r="P239" s="91"/>
    </row>
    <row r="240" spans="2:16" s="50" customFormat="1" ht="13.2">
      <c r="B240" s="86"/>
      <c r="C240" s="87"/>
      <c r="D240" s="87"/>
      <c r="E240" s="87"/>
      <c r="F240" s="87"/>
      <c r="G240" s="87"/>
      <c r="H240" s="87"/>
      <c r="I240" s="87"/>
      <c r="J240" s="87"/>
      <c r="K240" s="88"/>
      <c r="L240" s="89"/>
      <c r="M240" s="90"/>
      <c r="N240" s="57"/>
      <c r="O240" s="57"/>
      <c r="P240" s="91"/>
    </row>
    <row r="241" spans="2:16" s="50" customFormat="1" ht="13.2">
      <c r="B241" s="86"/>
      <c r="C241" s="87"/>
      <c r="D241" s="87"/>
      <c r="E241" s="87"/>
      <c r="F241" s="87"/>
      <c r="G241" s="87"/>
      <c r="H241" s="87"/>
      <c r="I241" s="87"/>
      <c r="J241" s="87"/>
      <c r="K241" s="88"/>
      <c r="L241" s="89"/>
      <c r="M241" s="90"/>
      <c r="N241" s="57"/>
      <c r="O241" s="57"/>
      <c r="P241" s="91"/>
    </row>
    <row r="242" spans="2:16" s="50" customFormat="1" ht="13.2">
      <c r="B242" s="86"/>
      <c r="C242" s="87"/>
      <c r="D242" s="87"/>
      <c r="E242" s="87"/>
      <c r="F242" s="87"/>
      <c r="G242" s="87"/>
      <c r="H242" s="87"/>
      <c r="I242" s="87"/>
      <c r="J242" s="87"/>
      <c r="K242" s="88"/>
      <c r="L242" s="89"/>
      <c r="M242" s="90"/>
      <c r="N242" s="57"/>
      <c r="O242" s="57"/>
      <c r="P242" s="91"/>
    </row>
    <row r="243" spans="2:16" s="50" customFormat="1" ht="13.2">
      <c r="B243" s="86"/>
      <c r="C243" s="87"/>
      <c r="D243" s="87"/>
      <c r="E243" s="87"/>
      <c r="F243" s="87"/>
      <c r="G243" s="87"/>
      <c r="H243" s="87"/>
      <c r="I243" s="87"/>
      <c r="J243" s="87"/>
      <c r="K243" s="88"/>
      <c r="L243" s="89"/>
      <c r="M243" s="90"/>
      <c r="N243" s="57"/>
      <c r="O243" s="57"/>
      <c r="P243" s="91"/>
    </row>
    <row r="244" spans="2:16" s="50" customFormat="1" ht="13.2">
      <c r="B244" s="86"/>
      <c r="C244" s="87"/>
      <c r="D244" s="87"/>
      <c r="E244" s="87"/>
      <c r="F244" s="87"/>
      <c r="G244" s="87"/>
      <c r="H244" s="87"/>
      <c r="I244" s="87"/>
      <c r="J244" s="87"/>
      <c r="K244" s="88"/>
      <c r="L244" s="89"/>
      <c r="M244" s="90"/>
      <c r="N244" s="57"/>
      <c r="O244" s="57"/>
      <c r="P244" s="91"/>
    </row>
    <row r="245" spans="2:16" s="50" customFormat="1" ht="13.2">
      <c r="B245" s="86"/>
      <c r="C245" s="87"/>
      <c r="D245" s="87"/>
      <c r="E245" s="87"/>
      <c r="F245" s="87"/>
      <c r="G245" s="87"/>
      <c r="H245" s="87"/>
      <c r="I245" s="87"/>
      <c r="J245" s="87"/>
      <c r="K245" s="88"/>
      <c r="L245" s="89"/>
      <c r="M245" s="90"/>
      <c r="N245" s="57"/>
      <c r="O245" s="57"/>
      <c r="P245" s="91"/>
    </row>
    <row r="246" spans="2:16" s="50" customFormat="1" ht="13.2">
      <c r="B246" s="86"/>
      <c r="C246" s="87"/>
      <c r="D246" s="87"/>
      <c r="E246" s="87"/>
      <c r="F246" s="87"/>
      <c r="G246" s="87"/>
      <c r="H246" s="87"/>
      <c r="I246" s="87"/>
      <c r="J246" s="87"/>
      <c r="K246" s="88"/>
      <c r="L246" s="89"/>
      <c r="M246" s="90"/>
      <c r="N246" s="57"/>
      <c r="O246" s="57"/>
      <c r="P246" s="91"/>
    </row>
    <row r="247" spans="2:16" s="50" customFormat="1" ht="13.2">
      <c r="B247" s="86"/>
      <c r="C247" s="87"/>
      <c r="D247" s="87"/>
      <c r="E247" s="87"/>
      <c r="F247" s="87"/>
      <c r="G247" s="87"/>
      <c r="H247" s="87"/>
      <c r="I247" s="87"/>
      <c r="J247" s="87"/>
      <c r="K247" s="88"/>
      <c r="L247" s="89"/>
      <c r="M247" s="90"/>
      <c r="N247" s="57"/>
      <c r="O247" s="57"/>
      <c r="P247" s="91"/>
    </row>
    <row r="248" spans="2:16" s="50" customFormat="1" ht="13.2">
      <c r="B248" s="86"/>
      <c r="C248" s="87"/>
      <c r="D248" s="87"/>
      <c r="E248" s="87"/>
      <c r="F248" s="87"/>
      <c r="G248" s="87"/>
      <c r="H248" s="87"/>
      <c r="I248" s="87"/>
      <c r="J248" s="87"/>
      <c r="K248" s="88"/>
      <c r="L248" s="89"/>
      <c r="M248" s="90"/>
      <c r="N248" s="57"/>
      <c r="O248" s="57"/>
      <c r="P248" s="91"/>
    </row>
    <row r="249" spans="2:16" s="50" customFormat="1" ht="13.2">
      <c r="B249" s="86"/>
      <c r="C249" s="87"/>
      <c r="D249" s="87"/>
      <c r="E249" s="87"/>
      <c r="F249" s="87"/>
      <c r="G249" s="87"/>
      <c r="H249" s="87"/>
      <c r="I249" s="87"/>
      <c r="J249" s="87"/>
      <c r="K249" s="88"/>
      <c r="L249" s="89"/>
      <c r="M249" s="90"/>
      <c r="N249" s="57"/>
      <c r="O249" s="57"/>
      <c r="P249" s="91"/>
    </row>
    <row r="250" spans="2:16" s="50" customFormat="1" ht="13.2">
      <c r="B250" s="86"/>
      <c r="C250" s="87"/>
      <c r="D250" s="87"/>
      <c r="E250" s="87"/>
      <c r="F250" s="87"/>
      <c r="G250" s="87"/>
      <c r="H250" s="87"/>
      <c r="I250" s="87"/>
      <c r="J250" s="87"/>
      <c r="K250" s="88"/>
      <c r="L250" s="89"/>
      <c r="M250" s="90"/>
      <c r="N250" s="57"/>
      <c r="O250" s="57"/>
      <c r="P250" s="91"/>
    </row>
    <row r="251" spans="2:16" s="50" customFormat="1" ht="13.2">
      <c r="B251" s="86"/>
      <c r="C251" s="87"/>
      <c r="D251" s="87"/>
      <c r="E251" s="87"/>
      <c r="F251" s="87"/>
      <c r="G251" s="87"/>
      <c r="H251" s="87"/>
      <c r="I251" s="87"/>
      <c r="J251" s="87"/>
      <c r="K251" s="88"/>
      <c r="L251" s="89"/>
      <c r="M251" s="90"/>
      <c r="N251" s="57"/>
      <c r="O251" s="57"/>
      <c r="P251" s="91"/>
    </row>
    <row r="252" spans="2:16" s="50" customFormat="1" ht="13.2">
      <c r="B252" s="86"/>
      <c r="C252" s="87"/>
      <c r="D252" s="87"/>
      <c r="E252" s="87"/>
      <c r="F252" s="87"/>
      <c r="G252" s="87"/>
      <c r="H252" s="87"/>
      <c r="I252" s="87"/>
      <c r="J252" s="87"/>
      <c r="K252" s="88"/>
      <c r="L252" s="89"/>
      <c r="M252" s="90"/>
      <c r="N252" s="57"/>
      <c r="O252" s="57"/>
      <c r="P252" s="91"/>
    </row>
    <row r="253" spans="2:16" s="50" customFormat="1" ht="13.2">
      <c r="B253" s="86"/>
      <c r="C253" s="87"/>
      <c r="D253" s="87"/>
      <c r="E253" s="87"/>
      <c r="F253" s="87"/>
      <c r="G253" s="87"/>
      <c r="H253" s="87"/>
      <c r="I253" s="87"/>
      <c r="J253" s="87"/>
      <c r="K253" s="88"/>
      <c r="L253" s="89"/>
      <c r="M253" s="90"/>
      <c r="N253" s="57"/>
      <c r="O253" s="57"/>
      <c r="P253" s="91"/>
    </row>
    <row r="254" spans="2:16" s="50" customFormat="1" ht="13.2">
      <c r="B254" s="86"/>
      <c r="C254" s="87"/>
      <c r="D254" s="87"/>
      <c r="E254" s="87"/>
      <c r="F254" s="87"/>
      <c r="G254" s="87"/>
      <c r="H254" s="87"/>
      <c r="I254" s="87"/>
      <c r="J254" s="87"/>
      <c r="K254" s="88"/>
      <c r="L254" s="89"/>
      <c r="M254" s="90"/>
      <c r="N254" s="57"/>
      <c r="O254" s="57"/>
      <c r="P254" s="91"/>
    </row>
    <row r="255" spans="2:16" s="50" customFormat="1" ht="13.2">
      <c r="B255" s="86"/>
      <c r="C255" s="87"/>
      <c r="D255" s="87"/>
      <c r="E255" s="87"/>
      <c r="F255" s="87"/>
      <c r="G255" s="87"/>
      <c r="H255" s="87"/>
      <c r="I255" s="87"/>
      <c r="J255" s="87"/>
      <c r="K255" s="88"/>
      <c r="L255" s="89"/>
      <c r="M255" s="90"/>
      <c r="N255" s="57"/>
      <c r="O255" s="57"/>
      <c r="P255" s="91"/>
    </row>
    <row r="256" spans="2:16" s="50" customFormat="1" ht="13.2">
      <c r="B256" s="86"/>
      <c r="C256" s="87"/>
      <c r="D256" s="87"/>
      <c r="E256" s="87"/>
      <c r="F256" s="87"/>
      <c r="G256" s="87"/>
      <c r="H256" s="87"/>
      <c r="I256" s="87"/>
      <c r="J256" s="87"/>
      <c r="K256" s="88"/>
      <c r="L256" s="89"/>
      <c r="M256" s="90"/>
      <c r="N256" s="57"/>
      <c r="O256" s="57"/>
      <c r="P256" s="91"/>
    </row>
    <row r="257" spans="2:16" s="50" customFormat="1" ht="13.2">
      <c r="B257" s="86"/>
      <c r="C257" s="87"/>
      <c r="D257" s="87"/>
      <c r="E257" s="87"/>
      <c r="F257" s="87"/>
      <c r="G257" s="87"/>
      <c r="H257" s="87"/>
      <c r="I257" s="87"/>
      <c r="J257" s="87"/>
      <c r="K257" s="88"/>
      <c r="L257" s="89"/>
      <c r="M257" s="90"/>
      <c r="N257" s="57"/>
      <c r="O257" s="57"/>
      <c r="P257" s="91"/>
    </row>
    <row r="258" spans="2:16" s="50" customFormat="1" ht="13.2">
      <c r="B258" s="86"/>
      <c r="C258" s="87"/>
      <c r="D258" s="87"/>
      <c r="E258" s="87"/>
      <c r="F258" s="87"/>
      <c r="G258" s="87"/>
      <c r="H258" s="87"/>
      <c r="I258" s="87"/>
      <c r="J258" s="87"/>
      <c r="K258" s="88"/>
      <c r="L258" s="89"/>
      <c r="M258" s="90"/>
      <c r="N258" s="57"/>
      <c r="O258" s="57"/>
      <c r="P258" s="91"/>
    </row>
    <row r="259" spans="2:16" s="50" customFormat="1" ht="13.2">
      <c r="B259" s="86"/>
      <c r="C259" s="87"/>
      <c r="D259" s="87"/>
      <c r="E259" s="87"/>
      <c r="F259" s="87"/>
      <c r="G259" s="87"/>
      <c r="H259" s="87"/>
      <c r="I259" s="87"/>
      <c r="J259" s="87"/>
      <c r="K259" s="88"/>
      <c r="L259" s="89"/>
      <c r="M259" s="90"/>
      <c r="N259" s="57"/>
      <c r="O259" s="57"/>
      <c r="P259" s="91"/>
    </row>
    <row r="260" spans="2:16" s="50" customFormat="1" ht="13.2">
      <c r="B260" s="86"/>
      <c r="C260" s="87"/>
      <c r="D260" s="87"/>
      <c r="E260" s="87"/>
      <c r="F260" s="87"/>
      <c r="G260" s="87"/>
      <c r="H260" s="87"/>
      <c r="I260" s="87"/>
      <c r="J260" s="87"/>
      <c r="K260" s="88"/>
      <c r="L260" s="89"/>
      <c r="M260" s="90"/>
      <c r="N260" s="57"/>
      <c r="O260" s="57"/>
      <c r="P260" s="91"/>
    </row>
    <row r="261" spans="2:16" s="50" customFormat="1" ht="13.2">
      <c r="B261" s="86"/>
      <c r="C261" s="87"/>
      <c r="D261" s="87"/>
      <c r="E261" s="87"/>
      <c r="F261" s="87"/>
      <c r="G261" s="87"/>
      <c r="H261" s="87"/>
      <c r="I261" s="87"/>
      <c r="J261" s="87"/>
      <c r="K261" s="88"/>
      <c r="L261" s="89"/>
      <c r="M261" s="90"/>
      <c r="N261" s="57"/>
      <c r="O261" s="57"/>
      <c r="P261" s="91"/>
    </row>
    <row r="262" spans="2:16" s="50" customFormat="1" ht="13.2">
      <c r="B262" s="86"/>
      <c r="C262" s="87"/>
      <c r="D262" s="87"/>
      <c r="E262" s="87"/>
      <c r="F262" s="87"/>
      <c r="G262" s="87"/>
      <c r="H262" s="87"/>
      <c r="I262" s="87"/>
      <c r="J262" s="87"/>
      <c r="K262" s="88"/>
      <c r="L262" s="89"/>
      <c r="M262" s="90"/>
      <c r="N262" s="57"/>
      <c r="O262" s="57"/>
      <c r="P262" s="91"/>
    </row>
    <row r="263" spans="2:16" s="50" customFormat="1" ht="13.2">
      <c r="B263" s="86"/>
      <c r="C263" s="87"/>
      <c r="D263" s="87"/>
      <c r="E263" s="87"/>
      <c r="F263" s="87"/>
      <c r="G263" s="87"/>
      <c r="H263" s="87"/>
      <c r="I263" s="87"/>
      <c r="J263" s="87"/>
      <c r="K263" s="88"/>
      <c r="L263" s="89"/>
      <c r="M263" s="90"/>
      <c r="N263" s="57"/>
      <c r="O263" s="57"/>
      <c r="P263" s="91"/>
    </row>
    <row r="264" spans="2:16" s="50" customFormat="1" ht="13.2">
      <c r="B264" s="86"/>
      <c r="C264" s="87"/>
      <c r="D264" s="87"/>
      <c r="E264" s="87"/>
      <c r="F264" s="87"/>
      <c r="G264" s="87"/>
      <c r="H264" s="87"/>
      <c r="I264" s="87"/>
      <c r="J264" s="87"/>
      <c r="K264" s="88"/>
      <c r="L264" s="89"/>
      <c r="M264" s="90"/>
      <c r="N264" s="57"/>
      <c r="O264" s="57"/>
      <c r="P264" s="91"/>
    </row>
    <row r="265" spans="2:16" s="50" customFormat="1" ht="13.2">
      <c r="B265" s="86"/>
      <c r="C265" s="87"/>
      <c r="D265" s="87"/>
      <c r="E265" s="87"/>
      <c r="F265" s="87"/>
      <c r="G265" s="87"/>
      <c r="H265" s="87"/>
      <c r="I265" s="87"/>
      <c r="J265" s="87"/>
      <c r="K265" s="88"/>
      <c r="L265" s="89"/>
      <c r="M265" s="90"/>
      <c r="N265" s="57"/>
      <c r="O265" s="57"/>
      <c r="P265" s="91"/>
    </row>
    <row r="266" spans="2:16" s="50" customFormat="1" ht="13.2">
      <c r="B266" s="86"/>
      <c r="C266" s="87"/>
      <c r="D266" s="87"/>
      <c r="E266" s="87"/>
      <c r="F266" s="87"/>
      <c r="G266" s="87"/>
      <c r="H266" s="87"/>
      <c r="I266" s="87"/>
      <c r="J266" s="87"/>
      <c r="K266" s="88"/>
      <c r="L266" s="89"/>
      <c r="M266" s="90"/>
      <c r="N266" s="57"/>
      <c r="O266" s="57"/>
      <c r="P266" s="91"/>
    </row>
    <row r="267" spans="2:16" s="50" customFormat="1" ht="13.2">
      <c r="B267" s="86"/>
      <c r="C267" s="87"/>
      <c r="D267" s="87"/>
      <c r="E267" s="87"/>
      <c r="F267" s="87"/>
      <c r="G267" s="87"/>
      <c r="H267" s="87"/>
      <c r="I267" s="87"/>
      <c r="J267" s="87"/>
      <c r="K267" s="88"/>
      <c r="L267" s="89"/>
      <c r="M267" s="90"/>
      <c r="N267" s="57"/>
      <c r="O267" s="57"/>
      <c r="P267" s="91"/>
    </row>
    <row r="268" spans="2:16" s="50" customFormat="1" ht="13.2">
      <c r="B268" s="86"/>
      <c r="C268" s="87"/>
      <c r="D268" s="87"/>
      <c r="E268" s="87"/>
      <c r="F268" s="87"/>
      <c r="G268" s="87"/>
      <c r="H268" s="87"/>
      <c r="I268" s="87"/>
      <c r="J268" s="87"/>
      <c r="K268" s="88"/>
      <c r="L268" s="89"/>
      <c r="M268" s="90"/>
      <c r="N268" s="57"/>
      <c r="O268" s="57"/>
      <c r="P268" s="91"/>
    </row>
    <row r="269" spans="2:16" s="50" customFormat="1" ht="13.2">
      <c r="B269" s="86"/>
      <c r="C269" s="87"/>
      <c r="D269" s="87"/>
      <c r="E269" s="87"/>
      <c r="F269" s="87"/>
      <c r="G269" s="87"/>
      <c r="H269" s="87"/>
      <c r="I269" s="87"/>
      <c r="J269" s="87"/>
      <c r="K269" s="88"/>
      <c r="L269" s="89"/>
      <c r="M269" s="90"/>
      <c r="N269" s="57"/>
      <c r="O269" s="57"/>
      <c r="P269" s="91"/>
    </row>
    <row r="270" spans="2:16" s="50" customFormat="1" ht="13.2">
      <c r="B270" s="86"/>
      <c r="C270" s="87"/>
      <c r="D270" s="87"/>
      <c r="E270" s="87"/>
      <c r="F270" s="87"/>
      <c r="G270" s="87"/>
      <c r="H270" s="87"/>
      <c r="I270" s="87"/>
      <c r="J270" s="87"/>
      <c r="K270" s="88"/>
      <c r="L270" s="89"/>
      <c r="M270" s="90"/>
      <c r="N270" s="57"/>
      <c r="O270" s="57"/>
      <c r="P270" s="91"/>
    </row>
    <row r="271" spans="2:16" s="50" customFormat="1" ht="13.2">
      <c r="B271" s="86"/>
      <c r="C271" s="87"/>
      <c r="D271" s="87"/>
      <c r="E271" s="87"/>
      <c r="F271" s="87"/>
      <c r="G271" s="87"/>
      <c r="H271" s="87"/>
      <c r="I271" s="87"/>
      <c r="J271" s="87"/>
      <c r="K271" s="88"/>
      <c r="L271" s="89"/>
      <c r="M271" s="90"/>
      <c r="N271" s="57"/>
      <c r="O271" s="57"/>
      <c r="P271" s="91"/>
    </row>
    <row r="272" spans="2:16" s="50" customFormat="1" ht="13.2">
      <c r="B272" s="86"/>
      <c r="C272" s="87"/>
      <c r="D272" s="87"/>
      <c r="E272" s="87"/>
      <c r="F272" s="87"/>
      <c r="G272" s="87"/>
      <c r="H272" s="87"/>
      <c r="I272" s="87"/>
      <c r="J272" s="87"/>
      <c r="K272" s="88"/>
      <c r="L272" s="89"/>
      <c r="M272" s="90"/>
      <c r="N272" s="57"/>
      <c r="O272" s="57"/>
      <c r="P272" s="91"/>
    </row>
    <row r="273" spans="2:16" s="50" customFormat="1" ht="13.2">
      <c r="B273" s="86"/>
      <c r="C273" s="87"/>
      <c r="D273" s="87"/>
      <c r="E273" s="87"/>
      <c r="F273" s="87"/>
      <c r="G273" s="87"/>
      <c r="H273" s="87"/>
      <c r="I273" s="87"/>
      <c r="J273" s="87"/>
      <c r="K273" s="88"/>
      <c r="L273" s="89"/>
      <c r="M273" s="90"/>
      <c r="N273" s="57"/>
      <c r="O273" s="57"/>
      <c r="P273" s="91"/>
    </row>
    <row r="274" spans="2:16" s="50" customFormat="1" ht="13.2">
      <c r="B274" s="86"/>
      <c r="C274" s="87"/>
      <c r="D274" s="87"/>
      <c r="E274" s="87"/>
      <c r="F274" s="87"/>
      <c r="G274" s="87"/>
      <c r="H274" s="87"/>
      <c r="I274" s="87"/>
      <c r="J274" s="87"/>
      <c r="K274" s="88"/>
      <c r="L274" s="89"/>
      <c r="M274" s="90"/>
      <c r="N274" s="57"/>
      <c r="O274" s="57"/>
      <c r="P274" s="91"/>
    </row>
    <row r="275" spans="2:16" s="50" customFormat="1" ht="13.2">
      <c r="B275" s="86"/>
      <c r="C275" s="87"/>
      <c r="D275" s="87"/>
      <c r="E275" s="87"/>
      <c r="F275" s="87"/>
      <c r="G275" s="87"/>
      <c r="H275" s="87"/>
      <c r="I275" s="87"/>
      <c r="J275" s="87"/>
      <c r="K275" s="88"/>
      <c r="L275" s="89"/>
      <c r="M275" s="90"/>
      <c r="N275" s="57"/>
      <c r="O275" s="57"/>
      <c r="P275" s="91"/>
    </row>
    <row r="276" spans="2:16" s="50" customFormat="1" ht="13.2">
      <c r="B276" s="86"/>
      <c r="C276" s="87"/>
      <c r="D276" s="87"/>
      <c r="E276" s="87"/>
      <c r="F276" s="87"/>
      <c r="G276" s="87"/>
      <c r="H276" s="87"/>
      <c r="I276" s="87"/>
      <c r="J276" s="87"/>
      <c r="K276" s="88"/>
      <c r="L276" s="89"/>
      <c r="M276" s="90"/>
      <c r="N276" s="57"/>
      <c r="O276" s="57"/>
      <c r="P276" s="91"/>
    </row>
    <row r="277" spans="2:16" s="50" customFormat="1" ht="13.2">
      <c r="B277" s="86"/>
      <c r="C277" s="87"/>
      <c r="D277" s="87"/>
      <c r="E277" s="87"/>
      <c r="F277" s="87"/>
      <c r="G277" s="87"/>
      <c r="H277" s="87"/>
      <c r="I277" s="87"/>
      <c r="J277" s="87"/>
      <c r="K277" s="88"/>
      <c r="L277" s="89"/>
      <c r="M277" s="90"/>
      <c r="N277" s="57"/>
      <c r="O277" s="57"/>
      <c r="P277" s="91"/>
    </row>
    <row r="278" spans="2:16" s="50" customFormat="1" ht="13.2">
      <c r="B278" s="86"/>
      <c r="C278" s="87"/>
      <c r="D278" s="87"/>
      <c r="E278" s="87"/>
      <c r="F278" s="87"/>
      <c r="G278" s="87"/>
      <c r="H278" s="87"/>
      <c r="I278" s="87"/>
      <c r="J278" s="87"/>
      <c r="K278" s="88"/>
      <c r="L278" s="89"/>
      <c r="M278" s="90"/>
      <c r="N278" s="57"/>
      <c r="O278" s="57"/>
      <c r="P278" s="91"/>
    </row>
    <row r="279" spans="2:16" s="50" customFormat="1" ht="13.2">
      <c r="B279" s="86"/>
      <c r="C279" s="87"/>
      <c r="D279" s="87"/>
      <c r="E279" s="87"/>
      <c r="F279" s="87"/>
      <c r="G279" s="87"/>
      <c r="H279" s="87"/>
      <c r="I279" s="87"/>
      <c r="J279" s="87"/>
      <c r="K279" s="88"/>
      <c r="L279" s="89"/>
      <c r="M279" s="90"/>
      <c r="N279" s="57"/>
      <c r="O279" s="57"/>
      <c r="P279" s="91"/>
    </row>
    <row r="280" spans="2:16" s="50" customFormat="1" ht="13.2">
      <c r="B280" s="86"/>
      <c r="C280" s="87"/>
      <c r="D280" s="87"/>
      <c r="E280" s="87"/>
      <c r="F280" s="87"/>
      <c r="G280" s="87"/>
      <c r="H280" s="87"/>
      <c r="I280" s="87"/>
      <c r="J280" s="87"/>
      <c r="K280" s="88"/>
      <c r="L280" s="89"/>
      <c r="M280" s="90"/>
      <c r="N280" s="57"/>
      <c r="O280" s="57"/>
      <c r="P280" s="91"/>
    </row>
    <row r="281" spans="2:16" s="50" customFormat="1" ht="13.2">
      <c r="B281" s="86"/>
      <c r="C281" s="87"/>
      <c r="D281" s="87"/>
      <c r="E281" s="87"/>
      <c r="F281" s="87"/>
      <c r="G281" s="87"/>
      <c r="H281" s="87"/>
      <c r="I281" s="87"/>
      <c r="J281" s="87"/>
      <c r="K281" s="88"/>
      <c r="L281" s="89"/>
      <c r="M281" s="90"/>
      <c r="N281" s="57"/>
      <c r="O281" s="57"/>
      <c r="P281" s="91"/>
    </row>
    <row r="282" spans="2:16" s="50" customFormat="1" ht="13.2">
      <c r="B282" s="86"/>
      <c r="C282" s="87"/>
      <c r="D282" s="87"/>
      <c r="E282" s="87"/>
      <c r="F282" s="87"/>
      <c r="G282" s="87"/>
      <c r="H282" s="87"/>
      <c r="I282" s="87"/>
      <c r="J282" s="87"/>
      <c r="K282" s="88"/>
      <c r="L282" s="89"/>
      <c r="M282" s="90"/>
      <c r="N282" s="57"/>
      <c r="O282" s="57"/>
      <c r="P282" s="91"/>
    </row>
    <row r="283" spans="2:16" s="50" customFormat="1" ht="13.2">
      <c r="B283" s="86"/>
      <c r="C283" s="87"/>
      <c r="D283" s="87"/>
      <c r="E283" s="87"/>
      <c r="F283" s="87"/>
      <c r="G283" s="87"/>
      <c r="H283" s="87"/>
      <c r="I283" s="87"/>
      <c r="J283" s="87"/>
      <c r="K283" s="88"/>
      <c r="L283" s="89"/>
      <c r="M283" s="90"/>
      <c r="N283" s="57"/>
      <c r="O283" s="57"/>
      <c r="P283" s="91"/>
    </row>
    <row r="284" spans="2:16" s="50" customFormat="1" ht="13.2">
      <c r="B284" s="86"/>
      <c r="C284" s="87"/>
      <c r="D284" s="87"/>
      <c r="E284" s="87"/>
      <c r="F284" s="87"/>
      <c r="G284" s="87"/>
      <c r="H284" s="87"/>
      <c r="I284" s="87"/>
      <c r="J284" s="87"/>
      <c r="K284" s="88"/>
      <c r="L284" s="89"/>
      <c r="M284" s="90"/>
      <c r="N284" s="57"/>
      <c r="O284" s="57"/>
      <c r="P284" s="91"/>
    </row>
    <row r="285" spans="2:16" s="50" customFormat="1" ht="13.2">
      <c r="B285" s="86"/>
      <c r="C285" s="87"/>
      <c r="D285" s="87"/>
      <c r="E285" s="87"/>
      <c r="F285" s="87"/>
      <c r="G285" s="87"/>
      <c r="H285" s="87"/>
      <c r="I285" s="87"/>
      <c r="J285" s="87"/>
      <c r="K285" s="88"/>
      <c r="L285" s="89"/>
      <c r="M285" s="90"/>
      <c r="N285" s="57"/>
      <c r="O285" s="57"/>
      <c r="P285" s="91"/>
    </row>
    <row r="286" spans="2:16" s="50" customFormat="1" ht="13.2">
      <c r="B286" s="86"/>
      <c r="C286" s="87"/>
      <c r="D286" s="87"/>
      <c r="E286" s="87"/>
      <c r="F286" s="87"/>
      <c r="G286" s="87"/>
      <c r="H286" s="87"/>
      <c r="I286" s="87"/>
      <c r="J286" s="87"/>
      <c r="K286" s="88"/>
      <c r="L286" s="89"/>
      <c r="M286" s="90"/>
      <c r="N286" s="57"/>
      <c r="O286" s="57"/>
      <c r="P286" s="91"/>
    </row>
    <row r="287" spans="2:16" s="50" customFormat="1" ht="13.2">
      <c r="B287" s="86"/>
      <c r="C287" s="87"/>
      <c r="D287" s="87"/>
      <c r="E287" s="87"/>
      <c r="F287" s="87"/>
      <c r="G287" s="87"/>
      <c r="H287" s="87"/>
      <c r="I287" s="87"/>
      <c r="J287" s="87"/>
      <c r="K287" s="88"/>
      <c r="L287" s="89"/>
      <c r="M287" s="90"/>
      <c r="N287" s="57"/>
      <c r="O287" s="57"/>
      <c r="P287" s="91"/>
    </row>
    <row r="288" spans="2:16" s="50" customFormat="1" ht="13.2">
      <c r="B288" s="86"/>
      <c r="C288" s="87"/>
      <c r="D288" s="87"/>
      <c r="E288" s="87"/>
      <c r="F288" s="87"/>
      <c r="G288" s="87"/>
      <c r="H288" s="87"/>
      <c r="I288" s="87"/>
      <c r="J288" s="87"/>
      <c r="K288" s="88"/>
      <c r="L288" s="89"/>
      <c r="M288" s="90"/>
      <c r="N288" s="57"/>
      <c r="O288" s="57"/>
      <c r="P288" s="91"/>
    </row>
    <row r="289" spans="2:16" s="50" customFormat="1" ht="13.2">
      <c r="B289" s="86"/>
      <c r="C289" s="87"/>
      <c r="D289" s="87"/>
      <c r="E289" s="87"/>
      <c r="F289" s="87"/>
      <c r="G289" s="87"/>
      <c r="H289" s="87"/>
      <c r="I289" s="87"/>
      <c r="J289" s="87"/>
      <c r="K289" s="88"/>
      <c r="L289" s="89"/>
      <c r="M289" s="90"/>
      <c r="N289" s="57"/>
      <c r="O289" s="57"/>
      <c r="P289" s="91"/>
    </row>
    <row r="290" spans="2:16" s="50" customFormat="1" ht="13.2">
      <c r="B290" s="86"/>
      <c r="C290" s="87"/>
      <c r="D290" s="87"/>
      <c r="E290" s="87"/>
      <c r="F290" s="87"/>
      <c r="G290" s="87"/>
      <c r="H290" s="87"/>
      <c r="I290" s="87"/>
      <c r="J290" s="87"/>
      <c r="K290" s="88"/>
      <c r="L290" s="89"/>
      <c r="M290" s="90"/>
      <c r="N290" s="57"/>
      <c r="O290" s="57"/>
      <c r="P290" s="91"/>
    </row>
    <row r="291" spans="2:16" s="50" customFormat="1" ht="13.2">
      <c r="B291" s="86"/>
      <c r="C291" s="87"/>
      <c r="D291" s="87"/>
      <c r="E291" s="87"/>
      <c r="F291" s="87"/>
      <c r="G291" s="87"/>
      <c r="H291" s="87"/>
      <c r="I291" s="87"/>
      <c r="J291" s="87"/>
      <c r="K291" s="88"/>
      <c r="L291" s="89"/>
      <c r="M291" s="90"/>
      <c r="N291" s="57"/>
      <c r="O291" s="57"/>
      <c r="P291" s="91"/>
    </row>
    <row r="292" spans="2:16" s="50" customFormat="1" ht="13.2">
      <c r="B292" s="86"/>
      <c r="C292" s="87"/>
      <c r="D292" s="87"/>
      <c r="E292" s="87"/>
      <c r="F292" s="87"/>
      <c r="G292" s="87"/>
      <c r="H292" s="87"/>
      <c r="I292" s="87"/>
      <c r="J292" s="87"/>
      <c r="K292" s="88"/>
      <c r="L292" s="89"/>
      <c r="M292" s="90"/>
      <c r="N292" s="57"/>
      <c r="O292" s="57"/>
      <c r="P292" s="91"/>
    </row>
    <row r="293" spans="2:16" s="50" customFormat="1" ht="13.2">
      <c r="B293" s="86"/>
      <c r="C293" s="87"/>
      <c r="D293" s="87"/>
      <c r="E293" s="87"/>
      <c r="F293" s="87"/>
      <c r="G293" s="87"/>
      <c r="H293" s="87"/>
      <c r="I293" s="87"/>
      <c r="J293" s="87"/>
      <c r="K293" s="88"/>
      <c r="L293" s="89"/>
      <c r="M293" s="90"/>
      <c r="N293" s="57"/>
      <c r="O293" s="57"/>
      <c r="P293" s="91"/>
    </row>
    <row r="294" spans="2:16" s="50" customFormat="1" ht="13.2">
      <c r="B294" s="86"/>
      <c r="C294" s="87"/>
      <c r="D294" s="87"/>
      <c r="E294" s="87"/>
      <c r="F294" s="87"/>
      <c r="G294" s="87"/>
      <c r="H294" s="87"/>
      <c r="I294" s="87"/>
      <c r="J294" s="87"/>
      <c r="K294" s="88"/>
      <c r="L294" s="89"/>
      <c r="M294" s="90"/>
      <c r="N294" s="57"/>
      <c r="O294" s="57"/>
      <c r="P294" s="91"/>
    </row>
    <row r="295" spans="2:16" s="50" customFormat="1" ht="13.2">
      <c r="B295" s="86"/>
      <c r="C295" s="87"/>
      <c r="D295" s="87"/>
      <c r="E295" s="87"/>
      <c r="F295" s="87"/>
      <c r="G295" s="87"/>
      <c r="H295" s="87"/>
      <c r="I295" s="87"/>
      <c r="J295" s="87"/>
      <c r="K295" s="88"/>
      <c r="L295" s="89"/>
      <c r="M295" s="90"/>
      <c r="N295" s="57"/>
      <c r="O295" s="57"/>
      <c r="P295" s="91"/>
    </row>
    <row r="296" spans="2:16" s="50" customFormat="1" ht="13.2">
      <c r="B296" s="86"/>
      <c r="C296" s="87"/>
      <c r="D296" s="87"/>
      <c r="E296" s="87"/>
      <c r="F296" s="87"/>
      <c r="G296" s="87"/>
      <c r="H296" s="87"/>
      <c r="I296" s="87"/>
      <c r="J296" s="87"/>
      <c r="K296" s="88"/>
      <c r="L296" s="89"/>
      <c r="M296" s="90"/>
      <c r="N296" s="57"/>
      <c r="O296" s="57"/>
      <c r="P296" s="91"/>
    </row>
    <row r="297" spans="2:16" s="50" customFormat="1" ht="13.2">
      <c r="B297" s="86"/>
      <c r="C297" s="87"/>
      <c r="D297" s="87"/>
      <c r="E297" s="87"/>
      <c r="F297" s="87"/>
      <c r="G297" s="87"/>
      <c r="H297" s="87"/>
      <c r="I297" s="87"/>
      <c r="J297" s="87"/>
      <c r="K297" s="88"/>
      <c r="L297" s="89"/>
      <c r="M297" s="90"/>
      <c r="N297" s="57"/>
      <c r="O297" s="57"/>
      <c r="P297" s="91"/>
    </row>
    <row r="298" spans="2:16" s="50" customFormat="1" ht="13.2">
      <c r="B298" s="86"/>
      <c r="C298" s="87"/>
      <c r="D298" s="87"/>
      <c r="E298" s="87"/>
      <c r="F298" s="87"/>
      <c r="G298" s="87"/>
      <c r="H298" s="87"/>
      <c r="I298" s="87"/>
      <c r="J298" s="87"/>
      <c r="K298" s="88"/>
      <c r="L298" s="89"/>
      <c r="M298" s="90"/>
      <c r="N298" s="57"/>
      <c r="O298" s="57"/>
      <c r="P298" s="91"/>
    </row>
    <row r="299" spans="2:16" s="50" customFormat="1" ht="13.2">
      <c r="B299" s="86"/>
      <c r="C299" s="87"/>
      <c r="D299" s="87"/>
      <c r="E299" s="87"/>
      <c r="F299" s="87"/>
      <c r="G299" s="87"/>
      <c r="H299" s="87"/>
      <c r="I299" s="87"/>
      <c r="J299" s="87"/>
      <c r="K299" s="88"/>
      <c r="L299" s="89"/>
      <c r="M299" s="90"/>
      <c r="N299" s="57"/>
      <c r="O299" s="57"/>
      <c r="P299" s="91"/>
    </row>
    <row r="300" spans="2:16" s="50" customFormat="1" ht="13.2">
      <c r="B300" s="86"/>
      <c r="C300" s="87"/>
      <c r="D300" s="87"/>
      <c r="E300" s="87"/>
      <c r="F300" s="87"/>
      <c r="G300" s="87"/>
      <c r="H300" s="87"/>
      <c r="I300" s="87"/>
      <c r="J300" s="87"/>
      <c r="K300" s="88"/>
      <c r="L300" s="89"/>
      <c r="M300" s="90"/>
      <c r="N300" s="57"/>
      <c r="O300" s="57"/>
      <c r="P300" s="91"/>
    </row>
    <row r="301" spans="2:16" s="50" customFormat="1" ht="13.2">
      <c r="B301" s="86"/>
      <c r="C301" s="87"/>
      <c r="D301" s="87"/>
      <c r="E301" s="87"/>
      <c r="F301" s="87"/>
      <c r="G301" s="87"/>
      <c r="H301" s="87"/>
      <c r="I301" s="87"/>
      <c r="J301" s="87"/>
      <c r="K301" s="88"/>
      <c r="L301" s="89"/>
      <c r="M301" s="90"/>
      <c r="N301" s="57"/>
      <c r="O301" s="57"/>
      <c r="P301" s="91"/>
    </row>
    <row r="302" spans="2:16" s="50" customFormat="1" ht="13.2">
      <c r="B302" s="86"/>
      <c r="C302" s="87"/>
      <c r="D302" s="87"/>
      <c r="E302" s="87"/>
      <c r="F302" s="87"/>
      <c r="G302" s="87"/>
      <c r="H302" s="87"/>
      <c r="I302" s="87"/>
      <c r="J302" s="87"/>
      <c r="K302" s="88"/>
      <c r="L302" s="89"/>
      <c r="M302" s="90"/>
      <c r="N302" s="57"/>
      <c r="O302" s="57"/>
      <c r="P302" s="91"/>
    </row>
    <row r="303" spans="2:16" s="50" customFormat="1" ht="13.2">
      <c r="B303" s="86"/>
      <c r="C303" s="87"/>
      <c r="D303" s="87"/>
      <c r="E303" s="87"/>
      <c r="F303" s="87"/>
      <c r="G303" s="87"/>
      <c r="H303" s="87"/>
      <c r="I303" s="87"/>
      <c r="J303" s="87"/>
      <c r="K303" s="88"/>
      <c r="L303" s="89"/>
      <c r="M303" s="90"/>
      <c r="N303" s="57"/>
      <c r="O303" s="57"/>
      <c r="P303" s="91"/>
    </row>
    <row r="304" spans="2:16" s="50" customFormat="1" ht="13.2">
      <c r="B304" s="86"/>
      <c r="C304" s="87"/>
      <c r="D304" s="87"/>
      <c r="E304" s="87"/>
      <c r="F304" s="87"/>
      <c r="G304" s="87"/>
      <c r="H304" s="87"/>
      <c r="I304" s="87"/>
      <c r="J304" s="87"/>
      <c r="K304" s="88"/>
      <c r="L304" s="89"/>
      <c r="M304" s="90"/>
      <c r="N304" s="57"/>
      <c r="O304" s="57"/>
      <c r="P304" s="91"/>
    </row>
    <row r="305" spans="2:16" s="50" customFormat="1" ht="13.2">
      <c r="B305" s="86"/>
      <c r="C305" s="87"/>
      <c r="D305" s="87"/>
      <c r="E305" s="87"/>
      <c r="F305" s="87"/>
      <c r="G305" s="87"/>
      <c r="H305" s="87"/>
      <c r="I305" s="87"/>
      <c r="J305" s="87"/>
      <c r="K305" s="88"/>
      <c r="L305" s="89"/>
      <c r="M305" s="90"/>
      <c r="N305" s="57"/>
      <c r="O305" s="57"/>
      <c r="P305" s="91"/>
    </row>
    <row r="306" spans="2:16" s="50" customFormat="1" ht="13.2">
      <c r="B306" s="86"/>
      <c r="C306" s="87"/>
      <c r="D306" s="87"/>
      <c r="E306" s="87"/>
      <c r="F306" s="87"/>
      <c r="G306" s="87"/>
      <c r="H306" s="87"/>
      <c r="I306" s="87"/>
      <c r="J306" s="87"/>
      <c r="K306" s="88"/>
      <c r="L306" s="89"/>
      <c r="M306" s="90"/>
      <c r="N306" s="57"/>
      <c r="O306" s="57"/>
      <c r="P306" s="91"/>
    </row>
    <row r="307" spans="2:16" s="50" customFormat="1" ht="13.2">
      <c r="B307" s="86"/>
      <c r="C307" s="87"/>
      <c r="D307" s="87"/>
      <c r="E307" s="87"/>
      <c r="F307" s="87"/>
      <c r="G307" s="87"/>
      <c r="H307" s="87"/>
      <c r="I307" s="87"/>
      <c r="J307" s="87"/>
      <c r="K307" s="88"/>
      <c r="L307" s="89"/>
      <c r="M307" s="90"/>
      <c r="N307" s="57"/>
      <c r="O307" s="57"/>
      <c r="P307" s="91"/>
    </row>
    <row r="308" spans="2:16" s="50" customFormat="1" ht="13.2">
      <c r="B308" s="86"/>
      <c r="C308" s="87"/>
      <c r="D308" s="87"/>
      <c r="E308" s="87"/>
      <c r="F308" s="87"/>
      <c r="G308" s="87"/>
      <c r="H308" s="87"/>
      <c r="I308" s="87"/>
      <c r="J308" s="87"/>
      <c r="K308" s="88"/>
      <c r="L308" s="89"/>
      <c r="M308" s="90"/>
      <c r="N308" s="57"/>
      <c r="O308" s="57"/>
      <c r="P308" s="91"/>
    </row>
    <row r="309" spans="2:16" s="50" customFormat="1" ht="13.2">
      <c r="B309" s="86"/>
      <c r="C309" s="87"/>
      <c r="D309" s="87"/>
      <c r="E309" s="87"/>
      <c r="F309" s="87"/>
      <c r="G309" s="87"/>
      <c r="H309" s="87"/>
      <c r="I309" s="87"/>
      <c r="J309" s="87"/>
      <c r="K309" s="88"/>
      <c r="L309" s="89"/>
      <c r="M309" s="90"/>
      <c r="N309" s="57"/>
      <c r="O309" s="57"/>
      <c r="P309" s="91"/>
    </row>
    <row r="310" spans="2:16" s="50" customFormat="1" ht="13.2">
      <c r="B310" s="86"/>
      <c r="C310" s="87"/>
      <c r="D310" s="87"/>
      <c r="E310" s="87"/>
      <c r="F310" s="87"/>
      <c r="G310" s="87"/>
      <c r="H310" s="87"/>
      <c r="I310" s="87"/>
      <c r="J310" s="87"/>
      <c r="K310" s="88"/>
      <c r="L310" s="89"/>
      <c r="M310" s="90"/>
      <c r="N310" s="57"/>
      <c r="O310" s="57"/>
      <c r="P310" s="91"/>
    </row>
    <row r="311" spans="2:16" s="50" customFormat="1" ht="13.2">
      <c r="B311" s="86"/>
      <c r="C311" s="87"/>
      <c r="D311" s="87"/>
      <c r="E311" s="87"/>
      <c r="F311" s="87"/>
      <c r="G311" s="87"/>
      <c r="H311" s="87"/>
      <c r="I311" s="87"/>
      <c r="J311" s="87"/>
      <c r="K311" s="88"/>
      <c r="L311" s="89"/>
      <c r="M311" s="90"/>
      <c r="N311" s="57"/>
      <c r="O311" s="57"/>
      <c r="P311" s="91"/>
    </row>
    <row r="312" spans="2:16" s="50" customFormat="1" ht="13.2">
      <c r="B312" s="86"/>
      <c r="C312" s="87"/>
      <c r="D312" s="87"/>
      <c r="E312" s="87"/>
      <c r="F312" s="87"/>
      <c r="G312" s="87"/>
      <c r="H312" s="87"/>
      <c r="I312" s="87"/>
      <c r="J312" s="87"/>
      <c r="K312" s="88"/>
      <c r="L312" s="89"/>
      <c r="M312" s="90"/>
      <c r="N312" s="57"/>
      <c r="O312" s="57"/>
      <c r="P312" s="91"/>
    </row>
    <row r="313" spans="2:16" s="50" customFormat="1" ht="13.2">
      <c r="B313" s="86"/>
      <c r="C313" s="87"/>
      <c r="D313" s="87"/>
      <c r="E313" s="87"/>
      <c r="F313" s="87"/>
      <c r="G313" s="87"/>
      <c r="H313" s="87"/>
      <c r="I313" s="87"/>
      <c r="J313" s="87"/>
      <c r="K313" s="88"/>
      <c r="L313" s="89"/>
      <c r="M313" s="90"/>
      <c r="N313" s="57"/>
      <c r="O313" s="57"/>
      <c r="P313" s="91"/>
    </row>
    <row r="314" spans="2:16" s="50" customFormat="1" ht="13.2">
      <c r="B314" s="86"/>
      <c r="C314" s="87"/>
      <c r="D314" s="87"/>
      <c r="E314" s="87"/>
      <c r="F314" s="87"/>
      <c r="G314" s="87"/>
      <c r="H314" s="87"/>
      <c r="I314" s="87"/>
      <c r="J314" s="87"/>
      <c r="K314" s="88"/>
      <c r="L314" s="89"/>
      <c r="M314" s="90"/>
      <c r="N314" s="57"/>
      <c r="O314" s="57"/>
      <c r="P314" s="91"/>
    </row>
    <row r="315" spans="2:16" s="50" customFormat="1" ht="13.2">
      <c r="B315" s="86"/>
      <c r="C315" s="87"/>
      <c r="D315" s="87"/>
      <c r="E315" s="87"/>
      <c r="F315" s="87"/>
      <c r="G315" s="87"/>
      <c r="H315" s="87"/>
      <c r="I315" s="87"/>
      <c r="J315" s="87"/>
      <c r="K315" s="88"/>
      <c r="L315" s="89"/>
      <c r="M315" s="90"/>
      <c r="N315" s="57"/>
      <c r="O315" s="57"/>
      <c r="P315" s="91"/>
    </row>
    <row r="316" spans="2:16" s="50" customFormat="1" ht="13.2">
      <c r="B316" s="86"/>
      <c r="C316" s="87"/>
      <c r="D316" s="87"/>
      <c r="E316" s="87"/>
      <c r="F316" s="87"/>
      <c r="G316" s="87"/>
      <c r="H316" s="87"/>
      <c r="I316" s="87"/>
      <c r="J316" s="87"/>
      <c r="K316" s="88"/>
      <c r="L316" s="89"/>
      <c r="M316" s="90"/>
      <c r="N316" s="57"/>
      <c r="O316" s="57"/>
      <c r="P316" s="91"/>
    </row>
    <row r="317" spans="2:16" s="50" customFormat="1" ht="13.2">
      <c r="B317" s="86"/>
      <c r="C317" s="87"/>
      <c r="D317" s="87"/>
      <c r="E317" s="87"/>
      <c r="F317" s="87"/>
      <c r="G317" s="87"/>
      <c r="H317" s="87"/>
      <c r="I317" s="87"/>
      <c r="J317" s="87"/>
      <c r="K317" s="88"/>
      <c r="L317" s="89"/>
      <c r="M317" s="90"/>
      <c r="N317" s="57"/>
      <c r="O317" s="57"/>
      <c r="P317" s="91"/>
    </row>
    <row r="318" spans="2:16" s="50" customFormat="1" ht="13.2">
      <c r="B318" s="86"/>
      <c r="C318" s="87"/>
      <c r="D318" s="87"/>
      <c r="E318" s="87"/>
      <c r="F318" s="87"/>
      <c r="G318" s="87"/>
      <c r="H318" s="87"/>
      <c r="I318" s="87"/>
      <c r="J318" s="87"/>
      <c r="K318" s="88"/>
      <c r="L318" s="89"/>
      <c r="M318" s="90"/>
      <c r="N318" s="57"/>
      <c r="O318" s="57"/>
      <c r="P318" s="91"/>
    </row>
    <row r="319" spans="2:16" s="50" customFormat="1" ht="13.2">
      <c r="B319" s="86"/>
      <c r="C319" s="87"/>
      <c r="D319" s="87"/>
      <c r="E319" s="87"/>
      <c r="F319" s="87"/>
      <c r="G319" s="87"/>
      <c r="H319" s="87"/>
      <c r="I319" s="87"/>
      <c r="J319" s="87"/>
      <c r="K319" s="88"/>
      <c r="L319" s="89"/>
      <c r="M319" s="90"/>
      <c r="N319" s="57"/>
      <c r="O319" s="57"/>
      <c r="P319" s="91"/>
    </row>
    <row r="320" spans="2:16" s="50" customFormat="1" ht="13.2">
      <c r="B320" s="86"/>
      <c r="C320" s="87"/>
      <c r="D320" s="87"/>
      <c r="E320" s="87"/>
      <c r="F320" s="87"/>
      <c r="G320" s="87"/>
      <c r="H320" s="87"/>
      <c r="I320" s="87"/>
      <c r="J320" s="87"/>
      <c r="K320" s="88"/>
      <c r="L320" s="89"/>
      <c r="M320" s="90"/>
      <c r="N320" s="57"/>
      <c r="O320" s="57"/>
      <c r="P320" s="91"/>
    </row>
    <row r="321" spans="2:16" s="50" customFormat="1" ht="13.2">
      <c r="B321" s="86"/>
      <c r="C321" s="87"/>
      <c r="D321" s="87"/>
      <c r="E321" s="87"/>
      <c r="F321" s="87"/>
      <c r="G321" s="87"/>
      <c r="H321" s="87"/>
      <c r="I321" s="87"/>
      <c r="J321" s="87"/>
      <c r="K321" s="88"/>
      <c r="L321" s="89"/>
      <c r="M321" s="90"/>
      <c r="N321" s="57"/>
      <c r="O321" s="57"/>
      <c r="P321" s="91"/>
    </row>
    <row r="322" spans="2:16" s="50" customFormat="1" ht="13.2">
      <c r="B322" s="86"/>
      <c r="C322" s="87"/>
      <c r="D322" s="87"/>
      <c r="E322" s="87"/>
      <c r="F322" s="87"/>
      <c r="G322" s="87"/>
      <c r="H322" s="87"/>
      <c r="I322" s="87"/>
      <c r="J322" s="87"/>
      <c r="K322" s="88"/>
      <c r="L322" s="89"/>
      <c r="M322" s="90"/>
      <c r="N322" s="57"/>
      <c r="O322" s="57"/>
      <c r="P322" s="91"/>
    </row>
    <row r="323" spans="2:16" s="50" customFormat="1" ht="13.2">
      <c r="B323" s="86"/>
      <c r="C323" s="87"/>
      <c r="D323" s="87"/>
      <c r="E323" s="87"/>
      <c r="F323" s="87"/>
      <c r="G323" s="87"/>
      <c r="H323" s="87"/>
      <c r="I323" s="87"/>
      <c r="J323" s="87"/>
      <c r="K323" s="88"/>
      <c r="L323" s="89"/>
      <c r="M323" s="90"/>
      <c r="N323" s="57"/>
      <c r="O323" s="57"/>
      <c r="P323" s="91"/>
    </row>
    <row r="324" spans="2:16" s="50" customFormat="1" ht="13.2">
      <c r="B324" s="86"/>
      <c r="C324" s="87"/>
      <c r="D324" s="87"/>
      <c r="E324" s="87"/>
      <c r="F324" s="87"/>
      <c r="G324" s="87"/>
      <c r="H324" s="87"/>
      <c r="I324" s="87"/>
      <c r="J324" s="87"/>
      <c r="K324" s="88"/>
      <c r="L324" s="89"/>
      <c r="M324" s="90"/>
      <c r="N324" s="57"/>
      <c r="O324" s="57"/>
      <c r="P324" s="91"/>
    </row>
    <row r="325" spans="2:16" s="50" customFormat="1" ht="13.2">
      <c r="B325" s="86"/>
      <c r="C325" s="87"/>
      <c r="D325" s="87"/>
      <c r="E325" s="87"/>
      <c r="F325" s="87"/>
      <c r="G325" s="87"/>
      <c r="H325" s="87"/>
      <c r="I325" s="87"/>
      <c r="J325" s="87"/>
      <c r="K325" s="88"/>
      <c r="L325" s="89"/>
      <c r="M325" s="90"/>
      <c r="N325" s="57"/>
      <c r="O325" s="57"/>
      <c r="P325" s="91"/>
    </row>
    <row r="326" spans="2:16" s="50" customFormat="1" ht="13.2">
      <c r="B326" s="86"/>
      <c r="C326" s="87"/>
      <c r="D326" s="87"/>
      <c r="E326" s="87"/>
      <c r="F326" s="87"/>
      <c r="G326" s="87"/>
      <c r="H326" s="87"/>
      <c r="I326" s="87"/>
      <c r="J326" s="87"/>
      <c r="K326" s="88"/>
      <c r="L326" s="89"/>
      <c r="M326" s="90"/>
      <c r="N326" s="57"/>
      <c r="O326" s="57"/>
      <c r="P326" s="91"/>
    </row>
    <row r="327" spans="2:16" s="50" customFormat="1" ht="13.2">
      <c r="B327" s="86"/>
      <c r="C327" s="87"/>
      <c r="D327" s="87"/>
      <c r="E327" s="87"/>
      <c r="F327" s="87"/>
      <c r="G327" s="87"/>
      <c r="H327" s="87"/>
      <c r="I327" s="87"/>
      <c r="J327" s="87"/>
      <c r="K327" s="88"/>
      <c r="L327" s="89"/>
      <c r="M327" s="90"/>
      <c r="N327" s="57"/>
      <c r="O327" s="57"/>
      <c r="P327" s="91"/>
    </row>
    <row r="328" spans="2:16" s="50" customFormat="1" ht="13.2">
      <c r="B328" s="86"/>
      <c r="C328" s="87"/>
      <c r="D328" s="87"/>
      <c r="E328" s="87"/>
      <c r="F328" s="87"/>
      <c r="G328" s="87"/>
      <c r="H328" s="87"/>
      <c r="I328" s="87"/>
      <c r="J328" s="87"/>
      <c r="K328" s="88"/>
      <c r="L328" s="89"/>
      <c r="M328" s="90"/>
      <c r="N328" s="57"/>
      <c r="O328" s="57"/>
      <c r="P328" s="91"/>
    </row>
    <row r="329" spans="2:16" s="50" customFormat="1" ht="13.2">
      <c r="B329" s="86"/>
      <c r="C329" s="87"/>
      <c r="D329" s="87"/>
      <c r="E329" s="87"/>
      <c r="F329" s="87"/>
      <c r="G329" s="87"/>
      <c r="H329" s="87"/>
      <c r="I329" s="87"/>
      <c r="J329" s="87"/>
      <c r="K329" s="88"/>
      <c r="L329" s="89"/>
      <c r="M329" s="90"/>
      <c r="N329" s="57"/>
      <c r="O329" s="57"/>
      <c r="P329" s="91"/>
    </row>
    <row r="330" spans="2:16" s="50" customFormat="1" ht="13.2">
      <c r="B330" s="86"/>
      <c r="C330" s="87"/>
      <c r="D330" s="87"/>
      <c r="E330" s="87"/>
      <c r="F330" s="87"/>
      <c r="G330" s="87"/>
      <c r="H330" s="87"/>
      <c r="I330" s="87"/>
      <c r="J330" s="87"/>
      <c r="K330" s="88"/>
      <c r="L330" s="89"/>
      <c r="M330" s="90"/>
      <c r="N330" s="57"/>
      <c r="O330" s="57"/>
      <c r="P330" s="91"/>
    </row>
    <row r="331" spans="2:16" s="50" customFormat="1" ht="13.2">
      <c r="B331" s="86"/>
      <c r="C331" s="87"/>
      <c r="D331" s="87"/>
      <c r="E331" s="87"/>
      <c r="F331" s="87"/>
      <c r="G331" s="87"/>
      <c r="H331" s="87"/>
      <c r="I331" s="87"/>
      <c r="J331" s="87"/>
      <c r="K331" s="88"/>
      <c r="L331" s="89"/>
      <c r="M331" s="90"/>
      <c r="N331" s="57"/>
      <c r="O331" s="57"/>
      <c r="P331" s="91"/>
    </row>
    <row r="332" spans="2:16" s="50" customFormat="1" ht="13.2">
      <c r="B332" s="86"/>
      <c r="C332" s="87"/>
      <c r="D332" s="87"/>
      <c r="E332" s="87"/>
      <c r="F332" s="87"/>
      <c r="G332" s="87"/>
      <c r="H332" s="87"/>
      <c r="I332" s="87"/>
      <c r="J332" s="87"/>
      <c r="K332" s="88"/>
      <c r="L332" s="89"/>
      <c r="M332" s="90"/>
      <c r="N332" s="57"/>
      <c r="O332" s="57"/>
      <c r="P332" s="91"/>
    </row>
    <row r="333" spans="2:16" s="50" customFormat="1" ht="13.2">
      <c r="B333" s="86"/>
      <c r="C333" s="87"/>
      <c r="D333" s="87"/>
      <c r="E333" s="87"/>
      <c r="F333" s="87"/>
      <c r="G333" s="87"/>
      <c r="H333" s="87"/>
      <c r="I333" s="87"/>
      <c r="J333" s="87"/>
      <c r="K333" s="88"/>
      <c r="L333" s="89"/>
      <c r="M333" s="90"/>
      <c r="N333" s="57"/>
      <c r="O333" s="57"/>
      <c r="P333" s="91"/>
    </row>
    <row r="334" spans="2:16" s="50" customFormat="1" ht="13.2">
      <c r="B334" s="86"/>
      <c r="C334" s="87"/>
      <c r="D334" s="87"/>
      <c r="E334" s="87"/>
      <c r="F334" s="87"/>
      <c r="G334" s="87"/>
      <c r="H334" s="87"/>
      <c r="I334" s="87"/>
      <c r="J334" s="87"/>
      <c r="K334" s="88"/>
      <c r="L334" s="89"/>
      <c r="M334" s="90"/>
      <c r="N334" s="57"/>
      <c r="O334" s="57"/>
      <c r="P334" s="91"/>
    </row>
    <row r="335" spans="2:16" s="50" customFormat="1" ht="13.2">
      <c r="B335" s="86"/>
      <c r="C335" s="87"/>
      <c r="D335" s="87"/>
      <c r="E335" s="87"/>
      <c r="F335" s="87"/>
      <c r="G335" s="87"/>
      <c r="H335" s="87"/>
      <c r="I335" s="87"/>
      <c r="J335" s="87"/>
      <c r="K335" s="88"/>
      <c r="L335" s="89"/>
      <c r="M335" s="90"/>
      <c r="N335" s="57"/>
      <c r="O335" s="57"/>
      <c r="P335" s="91"/>
    </row>
    <row r="336" spans="2:16" s="50" customFormat="1" ht="13.2">
      <c r="B336" s="86"/>
      <c r="C336" s="87"/>
      <c r="D336" s="87"/>
      <c r="E336" s="87"/>
      <c r="F336" s="87"/>
      <c r="G336" s="87"/>
      <c r="H336" s="87"/>
      <c r="I336" s="87"/>
      <c r="J336" s="87"/>
      <c r="K336" s="88"/>
      <c r="L336" s="89"/>
      <c r="M336" s="90"/>
      <c r="N336" s="57"/>
      <c r="O336" s="57"/>
      <c r="P336" s="91"/>
    </row>
    <row r="337" spans="2:16" s="50" customFormat="1" ht="13.2">
      <c r="B337" s="86"/>
      <c r="C337" s="87"/>
      <c r="D337" s="87"/>
      <c r="E337" s="87"/>
      <c r="F337" s="87"/>
      <c r="G337" s="87"/>
      <c r="H337" s="87"/>
      <c r="I337" s="87"/>
      <c r="J337" s="87"/>
      <c r="K337" s="88"/>
      <c r="L337" s="89"/>
      <c r="M337" s="90"/>
      <c r="N337" s="57"/>
      <c r="O337" s="57"/>
      <c r="P337" s="91"/>
    </row>
    <row r="338" spans="2:16" s="50" customFormat="1" ht="13.2">
      <c r="B338" s="86"/>
      <c r="C338" s="87"/>
      <c r="D338" s="87"/>
      <c r="E338" s="87"/>
      <c r="F338" s="87"/>
      <c r="G338" s="87"/>
      <c r="H338" s="87"/>
      <c r="I338" s="87"/>
      <c r="J338" s="87"/>
      <c r="K338" s="88"/>
      <c r="L338" s="89"/>
      <c r="M338" s="90"/>
      <c r="N338" s="57"/>
      <c r="O338" s="57"/>
      <c r="P338" s="91"/>
    </row>
    <row r="339" spans="2:16" s="50" customFormat="1" ht="13.2">
      <c r="B339" s="86"/>
      <c r="C339" s="87"/>
      <c r="D339" s="87"/>
      <c r="E339" s="87"/>
      <c r="F339" s="87"/>
      <c r="G339" s="87"/>
      <c r="H339" s="87"/>
      <c r="I339" s="87"/>
      <c r="J339" s="87"/>
      <c r="K339" s="88"/>
      <c r="L339" s="89"/>
      <c r="M339" s="90"/>
      <c r="N339" s="57"/>
      <c r="O339" s="57"/>
      <c r="P339" s="91"/>
    </row>
    <row r="340" spans="2:16" s="50" customFormat="1" ht="13.2">
      <c r="B340" s="86"/>
      <c r="C340" s="87"/>
      <c r="D340" s="87"/>
      <c r="E340" s="87"/>
      <c r="F340" s="87"/>
      <c r="G340" s="87"/>
      <c r="H340" s="87"/>
      <c r="I340" s="87"/>
      <c r="J340" s="87"/>
      <c r="K340" s="88"/>
      <c r="L340" s="89"/>
      <c r="M340" s="90"/>
      <c r="N340" s="57"/>
      <c r="O340" s="57"/>
      <c r="P340" s="91"/>
    </row>
    <row r="341" spans="2:16" s="50" customFormat="1" ht="13.2">
      <c r="B341" s="86"/>
      <c r="C341" s="87"/>
      <c r="D341" s="87"/>
      <c r="E341" s="87"/>
      <c r="F341" s="87"/>
      <c r="G341" s="87"/>
      <c r="H341" s="87"/>
      <c r="I341" s="87"/>
      <c r="J341" s="87"/>
      <c r="K341" s="88"/>
      <c r="L341" s="89"/>
      <c r="M341" s="90"/>
      <c r="N341" s="57"/>
      <c r="O341" s="57"/>
      <c r="P341" s="91"/>
    </row>
    <row r="342" spans="2:16" s="50" customFormat="1" ht="13.2">
      <c r="B342" s="86"/>
      <c r="C342" s="87"/>
      <c r="D342" s="87"/>
      <c r="E342" s="87"/>
      <c r="F342" s="87"/>
      <c r="G342" s="87"/>
      <c r="H342" s="87"/>
      <c r="I342" s="87"/>
      <c r="J342" s="87"/>
      <c r="K342" s="88"/>
      <c r="L342" s="89"/>
      <c r="M342" s="90"/>
      <c r="N342" s="57"/>
      <c r="O342" s="57"/>
      <c r="P342" s="91"/>
    </row>
    <row r="343" spans="2:16" s="50" customFormat="1" ht="13.2">
      <c r="B343" s="86"/>
      <c r="C343" s="87"/>
      <c r="D343" s="87"/>
      <c r="E343" s="87"/>
      <c r="F343" s="87"/>
      <c r="G343" s="87"/>
      <c r="H343" s="87"/>
      <c r="I343" s="87"/>
      <c r="J343" s="87"/>
      <c r="K343" s="88"/>
      <c r="L343" s="89"/>
      <c r="M343" s="90"/>
      <c r="N343" s="57"/>
      <c r="O343" s="57"/>
      <c r="P343" s="91"/>
    </row>
    <row r="344" spans="2:16" s="50" customFormat="1" ht="13.2">
      <c r="B344" s="86"/>
      <c r="C344" s="87"/>
      <c r="D344" s="87"/>
      <c r="E344" s="87"/>
      <c r="F344" s="87"/>
      <c r="G344" s="87"/>
      <c r="H344" s="87"/>
      <c r="I344" s="87"/>
      <c r="J344" s="87"/>
      <c r="K344" s="88"/>
      <c r="L344" s="89"/>
      <c r="M344" s="90"/>
      <c r="N344" s="57"/>
      <c r="O344" s="57"/>
      <c r="P344" s="91"/>
    </row>
    <row r="345" spans="2:16" s="50" customFormat="1" ht="13.2">
      <c r="B345" s="86"/>
      <c r="C345" s="87"/>
      <c r="D345" s="87"/>
      <c r="E345" s="87"/>
      <c r="F345" s="87"/>
      <c r="G345" s="87"/>
      <c r="H345" s="87"/>
      <c r="I345" s="87"/>
      <c r="J345" s="87"/>
      <c r="K345" s="88"/>
      <c r="L345" s="89"/>
      <c r="M345" s="90"/>
      <c r="N345" s="57"/>
      <c r="O345" s="57"/>
      <c r="P345" s="91"/>
    </row>
    <row r="346" spans="2:16" s="50" customFormat="1" ht="13.2">
      <c r="B346" s="86"/>
      <c r="C346" s="87"/>
      <c r="D346" s="87"/>
      <c r="E346" s="87"/>
      <c r="F346" s="87"/>
      <c r="G346" s="87"/>
      <c r="H346" s="87"/>
      <c r="I346" s="87"/>
      <c r="J346" s="87"/>
      <c r="K346" s="88"/>
      <c r="L346" s="89"/>
      <c r="M346" s="90"/>
      <c r="N346" s="57"/>
      <c r="O346" s="57"/>
      <c r="P346" s="91"/>
    </row>
    <row r="347" spans="2:16" s="50" customFormat="1" ht="13.2">
      <c r="B347" s="86"/>
      <c r="C347" s="87"/>
      <c r="D347" s="87"/>
      <c r="E347" s="87"/>
      <c r="F347" s="87"/>
      <c r="G347" s="87"/>
      <c r="H347" s="87"/>
      <c r="I347" s="87"/>
      <c r="J347" s="87"/>
      <c r="K347" s="88"/>
      <c r="L347" s="89"/>
      <c r="M347" s="90"/>
      <c r="N347" s="57"/>
      <c r="O347" s="57"/>
      <c r="P347" s="91"/>
    </row>
    <row r="348" spans="2:16" s="50" customFormat="1" ht="13.2">
      <c r="B348" s="86"/>
      <c r="C348" s="87"/>
      <c r="D348" s="87"/>
      <c r="E348" s="87"/>
      <c r="F348" s="87"/>
      <c r="G348" s="87"/>
      <c r="H348" s="87"/>
      <c r="I348" s="87"/>
      <c r="J348" s="87"/>
      <c r="K348" s="88"/>
      <c r="L348" s="89"/>
      <c r="M348" s="90"/>
      <c r="N348" s="57"/>
      <c r="O348" s="57"/>
      <c r="P348" s="91"/>
    </row>
    <row r="349" spans="2:16" s="50" customFormat="1" ht="13.2">
      <c r="B349" s="86"/>
      <c r="C349" s="87"/>
      <c r="D349" s="87"/>
      <c r="E349" s="87"/>
      <c r="F349" s="87"/>
      <c r="G349" s="87"/>
      <c r="H349" s="87"/>
      <c r="I349" s="87"/>
      <c r="J349" s="87"/>
      <c r="K349" s="88"/>
      <c r="L349" s="89"/>
      <c r="M349" s="90"/>
      <c r="N349" s="57"/>
      <c r="O349" s="57"/>
      <c r="P349" s="91"/>
    </row>
    <row r="350" spans="2:16" s="50" customFormat="1" ht="13.2">
      <c r="B350" s="86"/>
      <c r="C350" s="87"/>
      <c r="D350" s="87"/>
      <c r="E350" s="87"/>
      <c r="F350" s="87"/>
      <c r="G350" s="87"/>
      <c r="H350" s="87"/>
      <c r="I350" s="87"/>
      <c r="J350" s="87"/>
      <c r="K350" s="88"/>
      <c r="L350" s="89"/>
      <c r="M350" s="90"/>
      <c r="N350" s="57"/>
      <c r="O350" s="57"/>
      <c r="P350" s="91"/>
    </row>
    <row r="351" spans="2:16" s="50" customFormat="1" ht="13.2">
      <c r="B351" s="86"/>
      <c r="C351" s="87"/>
      <c r="D351" s="87"/>
      <c r="E351" s="87"/>
      <c r="F351" s="87"/>
      <c r="G351" s="87"/>
      <c r="H351" s="87"/>
      <c r="I351" s="87"/>
      <c r="J351" s="87"/>
      <c r="K351" s="88"/>
      <c r="L351" s="89"/>
      <c r="M351" s="90"/>
      <c r="N351" s="57"/>
      <c r="O351" s="57"/>
      <c r="P351" s="91"/>
    </row>
    <row r="352" spans="2:16" s="50" customFormat="1" ht="13.2">
      <c r="B352" s="86"/>
      <c r="C352" s="87"/>
      <c r="D352" s="87"/>
      <c r="E352" s="87"/>
      <c r="F352" s="87"/>
      <c r="G352" s="87"/>
      <c r="H352" s="87"/>
      <c r="I352" s="87"/>
      <c r="J352" s="87"/>
      <c r="K352" s="88"/>
      <c r="L352" s="89"/>
      <c r="M352" s="90"/>
      <c r="N352" s="57"/>
      <c r="O352" s="57"/>
      <c r="P352" s="91"/>
    </row>
    <row r="353" spans="2:16" s="50" customFormat="1" ht="13.2">
      <c r="B353" s="86"/>
      <c r="C353" s="87"/>
      <c r="D353" s="87"/>
      <c r="E353" s="87"/>
      <c r="F353" s="87"/>
      <c r="G353" s="87"/>
      <c r="H353" s="87"/>
      <c r="I353" s="87"/>
      <c r="J353" s="87"/>
      <c r="K353" s="88"/>
      <c r="L353" s="89"/>
      <c r="M353" s="90"/>
      <c r="N353" s="57"/>
      <c r="O353" s="57"/>
      <c r="P353" s="91"/>
    </row>
    <row r="354" spans="2:16" s="50" customFormat="1" ht="13.2">
      <c r="B354" s="86"/>
      <c r="C354" s="87"/>
      <c r="D354" s="87"/>
      <c r="E354" s="87"/>
      <c r="F354" s="87"/>
      <c r="G354" s="87"/>
      <c r="H354" s="87"/>
      <c r="I354" s="87"/>
      <c r="J354" s="87"/>
      <c r="K354" s="88"/>
      <c r="L354" s="89"/>
      <c r="M354" s="90"/>
      <c r="N354" s="57"/>
      <c r="O354" s="57"/>
      <c r="P354" s="91"/>
    </row>
    <row r="355" spans="2:16" s="50" customFormat="1" ht="13.2">
      <c r="B355" s="86"/>
      <c r="C355" s="87"/>
      <c r="D355" s="87"/>
      <c r="E355" s="87"/>
      <c r="F355" s="87"/>
      <c r="G355" s="87"/>
      <c r="H355" s="87"/>
      <c r="I355" s="87"/>
      <c r="J355" s="87"/>
      <c r="K355" s="88"/>
      <c r="L355" s="89"/>
      <c r="M355" s="90"/>
      <c r="N355" s="57"/>
      <c r="O355" s="57"/>
      <c r="P355" s="91"/>
    </row>
    <row r="356" spans="2:16" s="50" customFormat="1" ht="13.2">
      <c r="B356" s="86"/>
      <c r="C356" s="87"/>
      <c r="D356" s="87"/>
      <c r="E356" s="87"/>
      <c r="F356" s="87"/>
      <c r="G356" s="87"/>
      <c r="H356" s="87"/>
      <c r="I356" s="87"/>
      <c r="J356" s="87"/>
      <c r="K356" s="88"/>
      <c r="L356" s="89"/>
      <c r="M356" s="90"/>
      <c r="N356" s="57"/>
      <c r="O356" s="57"/>
      <c r="P356" s="91"/>
    </row>
    <row r="357" spans="2:16" s="50" customFormat="1" ht="13.2">
      <c r="B357" s="86"/>
      <c r="C357" s="87"/>
      <c r="D357" s="87"/>
      <c r="E357" s="87"/>
      <c r="F357" s="87"/>
      <c r="G357" s="87"/>
      <c r="H357" s="87"/>
      <c r="I357" s="87"/>
      <c r="J357" s="87"/>
      <c r="K357" s="88"/>
      <c r="L357" s="89"/>
      <c r="M357" s="90"/>
      <c r="N357" s="57"/>
      <c r="O357" s="57"/>
      <c r="P357" s="91"/>
    </row>
    <row r="358" spans="2:16" s="50" customFormat="1" ht="13.2">
      <c r="B358" s="86"/>
      <c r="C358" s="87"/>
      <c r="D358" s="87"/>
      <c r="E358" s="87"/>
      <c r="F358" s="87"/>
      <c r="G358" s="87"/>
      <c r="H358" s="87"/>
      <c r="I358" s="87"/>
      <c r="J358" s="87"/>
      <c r="K358" s="88"/>
      <c r="L358" s="89"/>
      <c r="M358" s="90"/>
      <c r="N358" s="57"/>
      <c r="O358" s="57"/>
      <c r="P358" s="91"/>
    </row>
    <row r="359" spans="2:16" s="50" customFormat="1" ht="13.2">
      <c r="B359" s="86"/>
      <c r="C359" s="87"/>
      <c r="D359" s="87"/>
      <c r="E359" s="87"/>
      <c r="F359" s="87"/>
      <c r="G359" s="87"/>
      <c r="H359" s="87"/>
      <c r="I359" s="87"/>
      <c r="J359" s="87"/>
      <c r="K359" s="88"/>
      <c r="L359" s="89"/>
      <c r="M359" s="90"/>
      <c r="N359" s="57"/>
      <c r="O359" s="57"/>
      <c r="P359" s="91"/>
    </row>
    <row r="360" spans="2:16" s="50" customFormat="1" ht="13.2">
      <c r="B360" s="86"/>
      <c r="C360" s="87"/>
      <c r="D360" s="87"/>
      <c r="E360" s="87"/>
      <c r="F360" s="87"/>
      <c r="G360" s="87"/>
      <c r="H360" s="87"/>
      <c r="I360" s="87"/>
      <c r="J360" s="87"/>
      <c r="K360" s="88"/>
      <c r="L360" s="89"/>
      <c r="M360" s="90"/>
      <c r="N360" s="57"/>
      <c r="O360" s="57"/>
      <c r="P360" s="91"/>
    </row>
    <row r="361" spans="2:16" s="50" customFormat="1" ht="13.2">
      <c r="B361" s="86"/>
      <c r="C361" s="87"/>
      <c r="D361" s="87"/>
      <c r="E361" s="87"/>
      <c r="F361" s="87"/>
      <c r="G361" s="87"/>
      <c r="H361" s="87"/>
      <c r="I361" s="87"/>
      <c r="J361" s="87"/>
      <c r="K361" s="88"/>
      <c r="L361" s="89"/>
      <c r="M361" s="90"/>
      <c r="N361" s="57"/>
      <c r="O361" s="57"/>
      <c r="P361" s="91"/>
    </row>
    <row r="362" spans="2:16" s="50" customFormat="1" ht="13.2">
      <c r="B362" s="86"/>
      <c r="C362" s="87"/>
      <c r="D362" s="87"/>
      <c r="E362" s="87"/>
      <c r="F362" s="87"/>
      <c r="G362" s="87"/>
      <c r="H362" s="87"/>
      <c r="I362" s="87"/>
      <c r="J362" s="87"/>
      <c r="K362" s="88"/>
      <c r="L362" s="89"/>
      <c r="M362" s="90"/>
      <c r="N362" s="57"/>
      <c r="O362" s="57"/>
      <c r="P362" s="91"/>
    </row>
    <row r="363" spans="2:16" s="50" customFormat="1" ht="13.2">
      <c r="B363" s="86"/>
      <c r="C363" s="87"/>
      <c r="D363" s="87"/>
      <c r="E363" s="87"/>
      <c r="F363" s="87"/>
      <c r="G363" s="87"/>
      <c r="H363" s="87"/>
      <c r="I363" s="87"/>
      <c r="J363" s="87"/>
      <c r="K363" s="88"/>
      <c r="L363" s="89"/>
      <c r="M363" s="90"/>
      <c r="N363" s="57"/>
      <c r="O363" s="57"/>
      <c r="P363" s="91"/>
    </row>
    <row r="364" spans="2:16" s="50" customFormat="1" ht="13.2">
      <c r="B364" s="86"/>
      <c r="C364" s="87"/>
      <c r="D364" s="87"/>
      <c r="E364" s="87"/>
      <c r="F364" s="87"/>
      <c r="G364" s="87"/>
      <c r="H364" s="87"/>
      <c r="I364" s="87"/>
      <c r="J364" s="87"/>
      <c r="K364" s="88"/>
      <c r="L364" s="89"/>
      <c r="M364" s="90"/>
      <c r="N364" s="57"/>
      <c r="O364" s="57"/>
      <c r="P364" s="91"/>
    </row>
    <row r="365" spans="2:16" s="50" customFormat="1" ht="13.2">
      <c r="B365" s="86"/>
      <c r="C365" s="87"/>
      <c r="D365" s="87"/>
      <c r="E365" s="87"/>
      <c r="F365" s="87"/>
      <c r="G365" s="87"/>
      <c r="H365" s="87"/>
      <c r="I365" s="87"/>
      <c r="J365" s="87"/>
      <c r="K365" s="88"/>
      <c r="L365" s="89"/>
      <c r="M365" s="90"/>
      <c r="N365" s="57"/>
      <c r="O365" s="57"/>
      <c r="P365" s="91"/>
    </row>
    <row r="366" spans="2:16" s="50" customFormat="1" ht="13.2">
      <c r="B366" s="86"/>
      <c r="C366" s="87"/>
      <c r="D366" s="87"/>
      <c r="E366" s="87"/>
      <c r="F366" s="87"/>
      <c r="G366" s="87"/>
      <c r="H366" s="87"/>
      <c r="I366" s="87"/>
      <c r="J366" s="87"/>
      <c r="K366" s="88"/>
      <c r="L366" s="89"/>
      <c r="M366" s="90"/>
      <c r="N366" s="57"/>
      <c r="O366" s="57"/>
      <c r="P366" s="91"/>
    </row>
    <row r="367" spans="2:16" s="50" customFormat="1" ht="13.2">
      <c r="B367" s="86"/>
      <c r="C367" s="87"/>
      <c r="D367" s="87"/>
      <c r="E367" s="87"/>
      <c r="F367" s="87"/>
      <c r="G367" s="87"/>
      <c r="H367" s="87"/>
      <c r="I367" s="87"/>
      <c r="J367" s="87"/>
      <c r="K367" s="88"/>
      <c r="L367" s="89"/>
      <c r="M367" s="90"/>
      <c r="N367" s="57"/>
      <c r="O367" s="57"/>
      <c r="P367" s="91"/>
    </row>
    <row r="368" spans="2:16" s="50" customFormat="1" ht="13.2">
      <c r="B368" s="86"/>
      <c r="C368" s="87"/>
      <c r="D368" s="87"/>
      <c r="E368" s="87"/>
      <c r="F368" s="87"/>
      <c r="G368" s="87"/>
      <c r="H368" s="87"/>
      <c r="I368" s="87"/>
      <c r="J368" s="87"/>
      <c r="K368" s="88"/>
      <c r="L368" s="89"/>
      <c r="M368" s="90"/>
      <c r="N368" s="57"/>
      <c r="O368" s="57"/>
      <c r="P368" s="91"/>
    </row>
    <row r="369" spans="2:16" s="50" customFormat="1" ht="13.2">
      <c r="B369" s="86"/>
      <c r="C369" s="87"/>
      <c r="D369" s="87"/>
      <c r="E369" s="87"/>
      <c r="F369" s="87"/>
      <c r="G369" s="87"/>
      <c r="H369" s="87"/>
      <c r="I369" s="87"/>
      <c r="J369" s="87"/>
      <c r="K369" s="88"/>
      <c r="L369" s="89"/>
      <c r="M369" s="90"/>
      <c r="N369" s="57"/>
      <c r="O369" s="57"/>
      <c r="P369" s="91"/>
    </row>
    <row r="370" spans="2:16" s="50" customFormat="1" ht="13.2">
      <c r="B370" s="86"/>
      <c r="C370" s="87"/>
      <c r="D370" s="87"/>
      <c r="E370" s="87"/>
      <c r="F370" s="87"/>
      <c r="G370" s="87"/>
      <c r="H370" s="87"/>
      <c r="I370" s="87"/>
      <c r="J370" s="87"/>
      <c r="K370" s="88"/>
      <c r="L370" s="89"/>
      <c r="M370" s="90"/>
      <c r="N370" s="57"/>
      <c r="O370" s="57"/>
      <c r="P370" s="91"/>
    </row>
    <row r="371" spans="2:16" s="50" customFormat="1" ht="13.2">
      <c r="B371" s="86"/>
      <c r="C371" s="87"/>
      <c r="D371" s="87"/>
      <c r="E371" s="87"/>
      <c r="F371" s="87"/>
      <c r="G371" s="87"/>
      <c r="H371" s="87"/>
      <c r="I371" s="87"/>
      <c r="J371" s="87"/>
      <c r="K371" s="88"/>
      <c r="L371" s="89"/>
      <c r="M371" s="90"/>
      <c r="N371" s="57"/>
      <c r="O371" s="57"/>
      <c r="P371" s="91"/>
    </row>
    <row r="372" spans="2:16" s="50" customFormat="1" ht="13.2">
      <c r="B372" s="86"/>
      <c r="C372" s="87"/>
      <c r="D372" s="87"/>
      <c r="E372" s="87"/>
      <c r="F372" s="87"/>
      <c r="G372" s="87"/>
      <c r="H372" s="87"/>
      <c r="I372" s="87"/>
      <c r="J372" s="87"/>
      <c r="K372" s="88"/>
      <c r="L372" s="89"/>
      <c r="M372" s="90"/>
      <c r="N372" s="57"/>
      <c r="O372" s="57"/>
      <c r="P372" s="91"/>
    </row>
    <row r="373" spans="2:16" s="50" customFormat="1" ht="13.2">
      <c r="B373" s="86"/>
      <c r="C373" s="87"/>
      <c r="D373" s="87"/>
      <c r="E373" s="87"/>
      <c r="F373" s="87"/>
      <c r="G373" s="87"/>
      <c r="H373" s="87"/>
      <c r="I373" s="87"/>
      <c r="J373" s="87"/>
      <c r="K373" s="88"/>
      <c r="L373" s="89"/>
      <c r="M373" s="90"/>
      <c r="N373" s="57"/>
      <c r="O373" s="57"/>
      <c r="P373" s="91"/>
    </row>
    <row r="374" spans="2:16" s="50" customFormat="1" ht="13.2">
      <c r="B374" s="86"/>
      <c r="C374" s="87"/>
      <c r="D374" s="87"/>
      <c r="E374" s="87"/>
      <c r="F374" s="87"/>
      <c r="G374" s="87"/>
      <c r="H374" s="87"/>
      <c r="I374" s="87"/>
      <c r="J374" s="87"/>
      <c r="K374" s="88"/>
      <c r="L374" s="89"/>
      <c r="M374" s="90"/>
      <c r="N374" s="57"/>
      <c r="O374" s="57"/>
      <c r="P374" s="91"/>
    </row>
    <row r="375" spans="2:16" s="50" customFormat="1" ht="13.2">
      <c r="B375" s="86"/>
      <c r="C375" s="87"/>
      <c r="D375" s="87"/>
      <c r="E375" s="87"/>
      <c r="F375" s="87"/>
      <c r="G375" s="87"/>
      <c r="H375" s="87"/>
      <c r="I375" s="87"/>
      <c r="J375" s="87"/>
      <c r="K375" s="88"/>
      <c r="L375" s="89"/>
      <c r="M375" s="90"/>
      <c r="N375" s="57"/>
      <c r="O375" s="57"/>
      <c r="P375" s="91"/>
    </row>
    <row r="376" spans="2:16" s="50" customFormat="1" ht="13.2">
      <c r="B376" s="86"/>
      <c r="C376" s="87"/>
      <c r="D376" s="87"/>
      <c r="E376" s="87"/>
      <c r="F376" s="87"/>
      <c r="G376" s="87"/>
      <c r="H376" s="87"/>
      <c r="I376" s="87"/>
      <c r="J376" s="87"/>
      <c r="K376" s="88"/>
      <c r="L376" s="89"/>
      <c r="M376" s="90"/>
      <c r="N376" s="57"/>
      <c r="O376" s="57"/>
      <c r="P376" s="91"/>
    </row>
    <row r="377" spans="2:16" s="50" customFormat="1" ht="13.2">
      <c r="B377" s="86"/>
      <c r="C377" s="87"/>
      <c r="D377" s="87"/>
      <c r="E377" s="87"/>
      <c r="F377" s="87"/>
      <c r="G377" s="87"/>
      <c r="H377" s="87"/>
      <c r="I377" s="87"/>
      <c r="J377" s="87"/>
      <c r="K377" s="88"/>
      <c r="L377" s="89"/>
      <c r="M377" s="90"/>
      <c r="N377" s="57"/>
      <c r="O377" s="57"/>
      <c r="P377" s="91"/>
    </row>
    <row r="378" spans="2:16" s="50" customFormat="1" ht="13.2">
      <c r="B378" s="86"/>
      <c r="C378" s="87"/>
      <c r="D378" s="87"/>
      <c r="E378" s="87"/>
      <c r="F378" s="87"/>
      <c r="G378" s="87"/>
      <c r="H378" s="87"/>
      <c r="I378" s="87"/>
      <c r="J378" s="87"/>
      <c r="K378" s="88"/>
      <c r="L378" s="89"/>
      <c r="M378" s="90"/>
      <c r="N378" s="57"/>
      <c r="O378" s="57"/>
      <c r="P378" s="91"/>
    </row>
    <row r="379" spans="2:16" s="50" customFormat="1" ht="13.2">
      <c r="B379" s="86"/>
      <c r="C379" s="87"/>
      <c r="D379" s="87"/>
      <c r="E379" s="87"/>
      <c r="F379" s="87"/>
      <c r="G379" s="87"/>
      <c r="H379" s="87"/>
      <c r="I379" s="87"/>
      <c r="J379" s="87"/>
      <c r="K379" s="88"/>
      <c r="L379" s="89"/>
      <c r="M379" s="90"/>
      <c r="N379" s="57"/>
      <c r="O379" s="57"/>
      <c r="P379" s="91"/>
    </row>
    <row r="380" spans="2:16" s="50" customFormat="1" ht="13.2">
      <c r="B380" s="86"/>
      <c r="C380" s="87"/>
      <c r="D380" s="87"/>
      <c r="E380" s="87"/>
      <c r="F380" s="87"/>
      <c r="G380" s="87"/>
      <c r="H380" s="87"/>
      <c r="I380" s="87"/>
      <c r="J380" s="87"/>
      <c r="K380" s="88"/>
      <c r="L380" s="89"/>
      <c r="M380" s="90"/>
      <c r="N380" s="57"/>
      <c r="O380" s="57"/>
      <c r="P380" s="91"/>
    </row>
    <row r="381" spans="2:16" s="50" customFormat="1" ht="13.2">
      <c r="B381" s="86"/>
      <c r="C381" s="87"/>
      <c r="D381" s="87"/>
      <c r="E381" s="87"/>
      <c r="F381" s="87"/>
      <c r="G381" s="87"/>
      <c r="H381" s="87"/>
      <c r="I381" s="87"/>
      <c r="J381" s="87"/>
      <c r="K381" s="88"/>
      <c r="L381" s="89"/>
      <c r="M381" s="90"/>
      <c r="N381" s="57"/>
      <c r="O381" s="57"/>
      <c r="P381" s="91"/>
    </row>
    <row r="382" spans="2:16" s="50" customFormat="1" ht="13.2">
      <c r="B382" s="86"/>
      <c r="C382" s="87"/>
      <c r="D382" s="87"/>
      <c r="E382" s="87"/>
      <c r="F382" s="87"/>
      <c r="G382" s="87"/>
      <c r="H382" s="87"/>
      <c r="I382" s="87"/>
      <c r="J382" s="87"/>
      <c r="K382" s="88"/>
      <c r="L382" s="89"/>
      <c r="M382" s="90"/>
      <c r="N382" s="57"/>
      <c r="O382" s="57"/>
      <c r="P382" s="91"/>
    </row>
    <row r="383" spans="2:16" s="50" customFormat="1" ht="13.2">
      <c r="B383" s="86"/>
      <c r="C383" s="87"/>
      <c r="D383" s="87"/>
      <c r="E383" s="87"/>
      <c r="F383" s="87"/>
      <c r="G383" s="87"/>
      <c r="H383" s="87"/>
      <c r="I383" s="87"/>
      <c r="J383" s="87"/>
      <c r="K383" s="88"/>
      <c r="L383" s="89"/>
      <c r="M383" s="90"/>
      <c r="N383" s="57"/>
      <c r="O383" s="57"/>
      <c r="P383" s="91"/>
    </row>
    <row r="384" spans="2:16" s="50" customFormat="1" ht="13.2">
      <c r="B384" s="86"/>
      <c r="C384" s="87"/>
      <c r="D384" s="87"/>
      <c r="E384" s="87"/>
      <c r="F384" s="87"/>
      <c r="G384" s="87"/>
      <c r="H384" s="87"/>
      <c r="I384" s="87"/>
      <c r="J384" s="87"/>
      <c r="K384" s="88"/>
      <c r="L384" s="89"/>
      <c r="M384" s="90"/>
      <c r="N384" s="57"/>
      <c r="O384" s="57"/>
      <c r="P384" s="91"/>
    </row>
    <row r="385" spans="2:16" s="50" customFormat="1" ht="13.2">
      <c r="B385" s="86"/>
      <c r="C385" s="87"/>
      <c r="D385" s="87"/>
      <c r="E385" s="87"/>
      <c r="F385" s="87"/>
      <c r="G385" s="87"/>
      <c r="H385" s="87"/>
      <c r="I385" s="87"/>
      <c r="J385" s="87"/>
      <c r="K385" s="88"/>
      <c r="L385" s="89"/>
      <c r="M385" s="90"/>
      <c r="N385" s="57"/>
      <c r="O385" s="57"/>
      <c r="P385" s="91"/>
    </row>
    <row r="386" spans="2:16" s="50" customFormat="1" ht="13.2">
      <c r="B386" s="86"/>
      <c r="C386" s="87"/>
      <c r="D386" s="87"/>
      <c r="E386" s="87"/>
      <c r="F386" s="87"/>
      <c r="G386" s="87"/>
      <c r="H386" s="87"/>
      <c r="I386" s="87"/>
      <c r="J386" s="87"/>
      <c r="K386" s="88"/>
      <c r="L386" s="89"/>
      <c r="M386" s="90"/>
      <c r="N386" s="57"/>
      <c r="O386" s="57"/>
      <c r="P386" s="91"/>
    </row>
    <row r="387" spans="2:16" s="50" customFormat="1" ht="13.2">
      <c r="B387" s="86"/>
      <c r="C387" s="87"/>
      <c r="D387" s="87"/>
      <c r="E387" s="87"/>
      <c r="F387" s="87"/>
      <c r="G387" s="87"/>
      <c r="H387" s="87"/>
      <c r="I387" s="87"/>
      <c r="J387" s="87"/>
      <c r="K387" s="88"/>
      <c r="L387" s="89"/>
      <c r="M387" s="90"/>
      <c r="N387" s="57"/>
      <c r="O387" s="57"/>
      <c r="P387" s="91"/>
    </row>
    <row r="388" spans="2:16" s="50" customFormat="1" ht="13.2">
      <c r="B388" s="86"/>
      <c r="C388" s="87"/>
      <c r="D388" s="87"/>
      <c r="E388" s="87"/>
      <c r="F388" s="87"/>
      <c r="G388" s="87"/>
      <c r="H388" s="87"/>
      <c r="I388" s="87"/>
      <c r="J388" s="87"/>
      <c r="K388" s="88"/>
      <c r="L388" s="89"/>
      <c r="M388" s="90"/>
      <c r="N388" s="57"/>
      <c r="O388" s="57"/>
      <c r="P388" s="91"/>
    </row>
    <row r="389" spans="2:16" s="50" customFormat="1" ht="13.2">
      <c r="B389" s="86"/>
      <c r="C389" s="87"/>
      <c r="D389" s="87"/>
      <c r="E389" s="87"/>
      <c r="F389" s="87"/>
      <c r="G389" s="87"/>
      <c r="H389" s="87"/>
      <c r="I389" s="87"/>
      <c r="J389" s="87"/>
      <c r="K389" s="88"/>
      <c r="L389" s="89"/>
      <c r="M389" s="90"/>
      <c r="N389" s="57"/>
      <c r="O389" s="57"/>
      <c r="P389" s="91"/>
    </row>
    <row r="390" spans="2:16" s="50" customFormat="1" ht="13.2">
      <c r="B390" s="86"/>
      <c r="C390" s="87"/>
      <c r="D390" s="87"/>
      <c r="E390" s="87"/>
      <c r="F390" s="87"/>
      <c r="G390" s="87"/>
      <c r="H390" s="87"/>
      <c r="I390" s="87"/>
      <c r="J390" s="87"/>
      <c r="K390" s="88"/>
      <c r="L390" s="89"/>
      <c r="M390" s="90"/>
      <c r="N390" s="57"/>
      <c r="O390" s="57"/>
      <c r="P390" s="91"/>
    </row>
    <row r="391" spans="2:16" s="50" customFormat="1" ht="13.2">
      <c r="B391" s="86"/>
      <c r="C391" s="87"/>
      <c r="D391" s="87"/>
      <c r="E391" s="87"/>
      <c r="F391" s="87"/>
      <c r="G391" s="87"/>
      <c r="H391" s="87"/>
      <c r="I391" s="87"/>
      <c r="J391" s="87"/>
      <c r="K391" s="88"/>
      <c r="L391" s="89"/>
      <c r="M391" s="90"/>
      <c r="N391" s="57"/>
      <c r="O391" s="57"/>
      <c r="P391" s="91"/>
    </row>
    <row r="392" spans="2:16" s="50" customFormat="1" ht="13.2">
      <c r="B392" s="86"/>
      <c r="C392" s="87"/>
      <c r="D392" s="87"/>
      <c r="E392" s="87"/>
      <c r="F392" s="87"/>
      <c r="G392" s="87"/>
      <c r="H392" s="87"/>
      <c r="I392" s="87"/>
      <c r="J392" s="87"/>
      <c r="K392" s="88"/>
      <c r="L392" s="89"/>
      <c r="M392" s="90"/>
      <c r="N392" s="57"/>
      <c r="O392" s="57"/>
      <c r="P392" s="91"/>
    </row>
    <row r="393" spans="2:16" s="50" customFormat="1" ht="13.2">
      <c r="B393" s="86"/>
      <c r="C393" s="87"/>
      <c r="D393" s="87"/>
      <c r="E393" s="87"/>
      <c r="F393" s="87"/>
      <c r="G393" s="87"/>
      <c r="H393" s="87"/>
      <c r="I393" s="87"/>
      <c r="J393" s="87"/>
      <c r="K393" s="88"/>
      <c r="L393" s="89"/>
      <c r="M393" s="90"/>
      <c r="N393" s="57"/>
      <c r="O393" s="57"/>
      <c r="P393" s="91"/>
    </row>
    <row r="394" spans="2:16" s="50" customFormat="1" ht="13.2">
      <c r="B394" s="86"/>
      <c r="C394" s="87"/>
      <c r="D394" s="87"/>
      <c r="E394" s="87"/>
      <c r="F394" s="87"/>
      <c r="G394" s="87"/>
      <c r="H394" s="87"/>
      <c r="I394" s="87"/>
      <c r="J394" s="87"/>
      <c r="K394" s="88"/>
      <c r="L394" s="89"/>
      <c r="M394" s="90"/>
      <c r="N394" s="57"/>
      <c r="O394" s="57"/>
      <c r="P394" s="91"/>
    </row>
    <row r="395" spans="2:16" s="50" customFormat="1" ht="13.2">
      <c r="B395" s="86"/>
      <c r="C395" s="87"/>
      <c r="D395" s="87"/>
      <c r="E395" s="87"/>
      <c r="F395" s="87"/>
      <c r="G395" s="87"/>
      <c r="H395" s="87"/>
      <c r="I395" s="87"/>
      <c r="J395" s="87"/>
      <c r="K395" s="88"/>
      <c r="L395" s="89"/>
      <c r="M395" s="90"/>
      <c r="N395" s="57"/>
      <c r="O395" s="57"/>
      <c r="P395" s="91"/>
    </row>
    <row r="396" spans="2:16" s="50" customFormat="1" ht="13.2">
      <c r="B396" s="86"/>
      <c r="C396" s="87"/>
      <c r="D396" s="87"/>
      <c r="E396" s="87"/>
      <c r="F396" s="87"/>
      <c r="G396" s="87"/>
      <c r="H396" s="87"/>
      <c r="I396" s="87"/>
      <c r="J396" s="87"/>
      <c r="K396" s="88"/>
      <c r="L396" s="89"/>
      <c r="M396" s="90"/>
      <c r="N396" s="57"/>
      <c r="O396" s="57"/>
      <c r="P396" s="91"/>
    </row>
    <row r="397" spans="2:16" s="50" customFormat="1" ht="13.2">
      <c r="B397" s="86"/>
      <c r="C397" s="87"/>
      <c r="D397" s="87"/>
      <c r="E397" s="87"/>
      <c r="F397" s="87"/>
      <c r="G397" s="87"/>
      <c r="H397" s="87"/>
      <c r="I397" s="87"/>
      <c r="J397" s="87"/>
      <c r="K397" s="88"/>
      <c r="L397" s="89"/>
      <c r="M397" s="90"/>
      <c r="N397" s="57"/>
      <c r="O397" s="57"/>
      <c r="P397" s="91"/>
    </row>
    <row r="398" spans="2:16" s="50" customFormat="1" ht="13.2">
      <c r="B398" s="86"/>
      <c r="C398" s="87"/>
      <c r="D398" s="87"/>
      <c r="E398" s="87"/>
      <c r="F398" s="87"/>
      <c r="G398" s="87"/>
      <c r="H398" s="87"/>
      <c r="I398" s="87"/>
      <c r="J398" s="87"/>
      <c r="K398" s="88"/>
      <c r="L398" s="89"/>
      <c r="M398" s="90"/>
      <c r="N398" s="57"/>
      <c r="O398" s="57"/>
      <c r="P398" s="91"/>
    </row>
    <row r="399" spans="2:16" s="50" customFormat="1" ht="13.2">
      <c r="B399" s="86"/>
      <c r="C399" s="87"/>
      <c r="D399" s="87"/>
      <c r="E399" s="87"/>
      <c r="F399" s="87"/>
      <c r="G399" s="87"/>
      <c r="H399" s="87"/>
      <c r="I399" s="87"/>
      <c r="J399" s="87"/>
      <c r="K399" s="88"/>
      <c r="L399" s="89"/>
      <c r="M399" s="90"/>
      <c r="N399" s="57"/>
      <c r="O399" s="57"/>
      <c r="P399" s="91"/>
    </row>
    <row r="400" spans="2:16" s="50" customFormat="1" ht="13.2">
      <c r="B400" s="86"/>
      <c r="C400" s="87"/>
      <c r="D400" s="87"/>
      <c r="E400" s="87"/>
      <c r="F400" s="87"/>
      <c r="G400" s="87"/>
      <c r="H400" s="87"/>
      <c r="I400" s="87"/>
      <c r="J400" s="87"/>
      <c r="K400" s="88"/>
      <c r="L400" s="89"/>
      <c r="M400" s="90"/>
      <c r="N400" s="57"/>
      <c r="O400" s="57"/>
      <c r="P400" s="91"/>
    </row>
    <row r="401" spans="2:16" s="50" customFormat="1" ht="13.2">
      <c r="B401" s="86"/>
      <c r="C401" s="87"/>
      <c r="D401" s="87"/>
      <c r="E401" s="87"/>
      <c r="F401" s="87"/>
      <c r="G401" s="87"/>
      <c r="H401" s="87"/>
      <c r="I401" s="87"/>
      <c r="J401" s="87"/>
      <c r="K401" s="88"/>
      <c r="L401" s="89"/>
      <c r="M401" s="90"/>
      <c r="N401" s="57"/>
      <c r="O401" s="57"/>
      <c r="P401" s="91"/>
    </row>
    <row r="402" spans="2:16" s="50" customFormat="1" ht="13.2">
      <c r="B402" s="86"/>
      <c r="C402" s="87"/>
      <c r="D402" s="87"/>
      <c r="E402" s="87"/>
      <c r="F402" s="87"/>
      <c r="G402" s="87"/>
      <c r="H402" s="87"/>
      <c r="I402" s="87"/>
      <c r="J402" s="87"/>
      <c r="K402" s="88"/>
      <c r="L402" s="89"/>
      <c r="M402" s="90"/>
      <c r="N402" s="57"/>
      <c r="O402" s="57"/>
      <c r="P402" s="91"/>
    </row>
    <row r="403" spans="2:16" s="50" customFormat="1" ht="13.2">
      <c r="B403" s="86"/>
      <c r="C403" s="87"/>
      <c r="D403" s="87"/>
      <c r="E403" s="87"/>
      <c r="F403" s="87"/>
      <c r="G403" s="87"/>
      <c r="H403" s="87"/>
      <c r="I403" s="87"/>
      <c r="J403" s="87"/>
      <c r="K403" s="88"/>
      <c r="L403" s="89"/>
      <c r="M403" s="90"/>
      <c r="N403" s="57"/>
      <c r="O403" s="57"/>
      <c r="P403" s="91"/>
    </row>
    <row r="404" spans="2:16" s="50" customFormat="1" ht="13.2">
      <c r="B404" s="86"/>
      <c r="C404" s="87"/>
      <c r="D404" s="87"/>
      <c r="E404" s="87"/>
      <c r="F404" s="87"/>
      <c r="G404" s="87"/>
      <c r="H404" s="87"/>
      <c r="I404" s="87"/>
      <c r="J404" s="87"/>
      <c r="K404" s="88"/>
      <c r="L404" s="89"/>
      <c r="M404" s="90"/>
      <c r="N404" s="57"/>
      <c r="O404" s="57"/>
      <c r="P404" s="91"/>
    </row>
    <row r="405" spans="2:16" s="50" customFormat="1" ht="13.2">
      <c r="B405" s="86"/>
      <c r="C405" s="87"/>
      <c r="D405" s="87"/>
      <c r="E405" s="87"/>
      <c r="F405" s="87"/>
      <c r="G405" s="87"/>
      <c r="H405" s="87"/>
      <c r="I405" s="87"/>
      <c r="J405" s="87"/>
      <c r="K405" s="88"/>
      <c r="L405" s="89"/>
      <c r="M405" s="90"/>
      <c r="N405" s="57"/>
      <c r="O405" s="57"/>
      <c r="P405" s="91"/>
    </row>
    <row r="406" spans="2:16" s="50" customFormat="1" ht="13.2">
      <c r="B406" s="86"/>
      <c r="C406" s="87"/>
      <c r="D406" s="87"/>
      <c r="E406" s="87"/>
      <c r="F406" s="87"/>
      <c r="G406" s="87"/>
      <c r="H406" s="87"/>
      <c r="I406" s="87"/>
      <c r="J406" s="87"/>
      <c r="K406" s="88"/>
      <c r="L406" s="89"/>
      <c r="M406" s="90"/>
      <c r="N406" s="57"/>
      <c r="O406" s="57"/>
      <c r="P406" s="91"/>
    </row>
    <row r="407" spans="2:16" s="50" customFormat="1" ht="13.2">
      <c r="B407" s="86"/>
      <c r="C407" s="87"/>
      <c r="D407" s="87"/>
      <c r="E407" s="87"/>
      <c r="F407" s="87"/>
      <c r="G407" s="87"/>
      <c r="H407" s="87"/>
      <c r="I407" s="87"/>
      <c r="J407" s="87"/>
      <c r="K407" s="88"/>
      <c r="L407" s="89"/>
      <c r="M407" s="90"/>
      <c r="N407" s="57"/>
      <c r="O407" s="57"/>
      <c r="P407" s="91"/>
    </row>
    <row r="408" spans="2:16" s="50" customFormat="1" ht="13.2">
      <c r="B408" s="86"/>
      <c r="C408" s="87"/>
      <c r="D408" s="87"/>
      <c r="E408" s="87"/>
      <c r="F408" s="87"/>
      <c r="G408" s="87"/>
      <c r="H408" s="87"/>
      <c r="I408" s="87"/>
      <c r="J408" s="87"/>
      <c r="K408" s="88"/>
      <c r="L408" s="89"/>
      <c r="M408" s="90"/>
      <c r="N408" s="57"/>
      <c r="O408" s="57"/>
      <c r="P408" s="91"/>
    </row>
    <row r="409" spans="2:16" s="50" customFormat="1" ht="13.2">
      <c r="B409" s="86"/>
      <c r="C409" s="87"/>
      <c r="D409" s="87"/>
      <c r="E409" s="87"/>
      <c r="F409" s="87"/>
      <c r="G409" s="87"/>
      <c r="H409" s="87"/>
      <c r="I409" s="87"/>
      <c r="J409" s="87"/>
      <c r="K409" s="88"/>
      <c r="L409" s="89"/>
      <c r="M409" s="90"/>
      <c r="N409" s="57"/>
      <c r="O409" s="57"/>
      <c r="P409" s="91"/>
    </row>
    <row r="410" spans="2:16" s="50" customFormat="1" ht="13.2">
      <c r="B410" s="86"/>
      <c r="C410" s="87"/>
      <c r="D410" s="87"/>
      <c r="E410" s="87"/>
      <c r="F410" s="87"/>
      <c r="G410" s="87"/>
      <c r="H410" s="87"/>
      <c r="I410" s="87"/>
      <c r="J410" s="87"/>
      <c r="K410" s="88"/>
      <c r="L410" s="89"/>
      <c r="M410" s="90"/>
      <c r="N410" s="57"/>
      <c r="O410" s="57"/>
      <c r="P410" s="91"/>
    </row>
    <row r="411" spans="2:16" s="50" customFormat="1" ht="13.2">
      <c r="B411" s="86"/>
      <c r="C411" s="87"/>
      <c r="D411" s="87"/>
      <c r="E411" s="87"/>
      <c r="F411" s="87"/>
      <c r="G411" s="87"/>
      <c r="H411" s="87"/>
      <c r="I411" s="87"/>
      <c r="J411" s="87"/>
      <c r="K411" s="88"/>
      <c r="L411" s="89"/>
      <c r="M411" s="90"/>
      <c r="N411" s="57"/>
      <c r="O411" s="57"/>
      <c r="P411" s="91"/>
    </row>
    <row r="412" spans="2:16" s="50" customFormat="1" ht="13.2">
      <c r="B412" s="86"/>
      <c r="C412" s="87"/>
      <c r="D412" s="87"/>
      <c r="E412" s="87"/>
      <c r="F412" s="87"/>
      <c r="G412" s="87"/>
      <c r="H412" s="87"/>
      <c r="I412" s="87"/>
      <c r="J412" s="87"/>
      <c r="K412" s="88"/>
      <c r="L412" s="89"/>
      <c r="M412" s="90"/>
      <c r="N412" s="57"/>
      <c r="O412" s="57"/>
      <c r="P412" s="91"/>
    </row>
    <row r="413" spans="2:16" s="50" customFormat="1" ht="13.2">
      <c r="B413" s="86"/>
      <c r="C413" s="87"/>
      <c r="D413" s="87"/>
      <c r="E413" s="87"/>
      <c r="F413" s="87"/>
      <c r="G413" s="87"/>
      <c r="H413" s="87"/>
      <c r="I413" s="87"/>
      <c r="J413" s="87"/>
      <c r="K413" s="88"/>
      <c r="L413" s="89"/>
      <c r="M413" s="90"/>
      <c r="N413" s="57"/>
      <c r="O413" s="57"/>
      <c r="P413" s="91"/>
    </row>
    <row r="414" spans="2:16" s="50" customFormat="1" ht="13.2">
      <c r="B414" s="86"/>
      <c r="C414" s="87"/>
      <c r="D414" s="87"/>
      <c r="E414" s="87"/>
      <c r="F414" s="87"/>
      <c r="G414" s="87"/>
      <c r="H414" s="87"/>
      <c r="I414" s="87"/>
      <c r="J414" s="87"/>
      <c r="K414" s="88"/>
      <c r="L414" s="89"/>
      <c r="M414" s="90"/>
      <c r="N414" s="57"/>
      <c r="O414" s="57"/>
      <c r="P414" s="91"/>
    </row>
    <row r="415" spans="2:16" s="50" customFormat="1" ht="13.2">
      <c r="B415" s="86"/>
      <c r="C415" s="87"/>
      <c r="D415" s="87"/>
      <c r="E415" s="87"/>
      <c r="F415" s="87"/>
      <c r="G415" s="87"/>
      <c r="H415" s="87"/>
      <c r="I415" s="87"/>
      <c r="J415" s="87"/>
      <c r="K415" s="88"/>
      <c r="L415" s="89"/>
      <c r="M415" s="90"/>
      <c r="N415" s="57"/>
      <c r="O415" s="57"/>
      <c r="P415" s="91"/>
    </row>
    <row r="416" spans="2:16" s="50" customFormat="1" ht="13.2">
      <c r="B416" s="86"/>
      <c r="C416" s="87"/>
      <c r="D416" s="87"/>
      <c r="E416" s="87"/>
      <c r="F416" s="87"/>
      <c r="G416" s="87"/>
      <c r="H416" s="87"/>
      <c r="I416" s="87"/>
      <c r="J416" s="87"/>
      <c r="K416" s="88"/>
      <c r="L416" s="89"/>
      <c r="M416" s="90"/>
      <c r="N416" s="57"/>
      <c r="O416" s="57"/>
      <c r="P416" s="91"/>
    </row>
    <row r="417" spans="2:16" s="50" customFormat="1" ht="13.2">
      <c r="B417" s="86"/>
      <c r="C417" s="87"/>
      <c r="D417" s="87"/>
      <c r="E417" s="87"/>
      <c r="F417" s="87"/>
      <c r="G417" s="87"/>
      <c r="H417" s="87"/>
      <c r="I417" s="87"/>
      <c r="J417" s="87"/>
      <c r="K417" s="88"/>
      <c r="L417" s="89"/>
      <c r="M417" s="90"/>
      <c r="N417" s="57"/>
      <c r="O417" s="57"/>
      <c r="P417" s="91"/>
    </row>
    <row r="418" spans="2:16" s="50" customFormat="1" ht="13.2">
      <c r="B418" s="86"/>
      <c r="C418" s="87"/>
      <c r="D418" s="87"/>
      <c r="E418" s="87"/>
      <c r="F418" s="87"/>
      <c r="G418" s="87"/>
      <c r="H418" s="87"/>
      <c r="I418" s="87"/>
      <c r="J418" s="87"/>
      <c r="K418" s="88"/>
      <c r="L418" s="89"/>
      <c r="M418" s="90"/>
      <c r="N418" s="57"/>
      <c r="O418" s="57"/>
      <c r="P418" s="91"/>
    </row>
    <row r="419" spans="2:16" s="50" customFormat="1" ht="13.2">
      <c r="B419" s="86"/>
      <c r="C419" s="87"/>
      <c r="D419" s="87"/>
      <c r="E419" s="87"/>
      <c r="F419" s="87"/>
      <c r="G419" s="87"/>
      <c r="H419" s="87"/>
      <c r="I419" s="87"/>
      <c r="J419" s="87"/>
      <c r="K419" s="88"/>
      <c r="L419" s="89"/>
      <c r="M419" s="90"/>
      <c r="N419" s="57"/>
      <c r="O419" s="57"/>
      <c r="P419" s="91"/>
    </row>
    <row r="420" spans="2:16" s="50" customFormat="1" ht="13.2">
      <c r="B420" s="86"/>
      <c r="C420" s="87"/>
      <c r="D420" s="87"/>
      <c r="E420" s="87"/>
      <c r="F420" s="87"/>
      <c r="G420" s="87"/>
      <c r="H420" s="87"/>
      <c r="I420" s="87"/>
      <c r="J420" s="87"/>
      <c r="K420" s="88"/>
      <c r="L420" s="89"/>
      <c r="M420" s="90"/>
      <c r="N420" s="57"/>
      <c r="O420" s="57"/>
      <c r="P420" s="91"/>
    </row>
    <row r="421" spans="2:16" s="50" customFormat="1" ht="13.2">
      <c r="B421" s="86"/>
      <c r="C421" s="87"/>
      <c r="D421" s="87"/>
      <c r="E421" s="87"/>
      <c r="F421" s="87"/>
      <c r="G421" s="87"/>
      <c r="H421" s="87"/>
      <c r="I421" s="87"/>
      <c r="J421" s="87"/>
      <c r="K421" s="88"/>
      <c r="L421" s="89"/>
      <c r="M421" s="90"/>
      <c r="N421" s="57"/>
      <c r="O421" s="57"/>
      <c r="P421" s="91"/>
    </row>
    <row r="422" spans="2:16" s="50" customFormat="1" ht="13.2">
      <c r="B422" s="86"/>
      <c r="C422" s="87"/>
      <c r="D422" s="87"/>
      <c r="E422" s="87"/>
      <c r="F422" s="87"/>
      <c r="G422" s="87"/>
      <c r="H422" s="87"/>
      <c r="I422" s="87"/>
      <c r="J422" s="87"/>
      <c r="K422" s="88"/>
      <c r="L422" s="89"/>
      <c r="M422" s="90"/>
      <c r="N422" s="57"/>
      <c r="O422" s="57"/>
      <c r="P422" s="91"/>
    </row>
    <row r="423" spans="2:16" s="50" customFormat="1" ht="13.2">
      <c r="B423" s="86"/>
      <c r="C423" s="87"/>
      <c r="D423" s="87"/>
      <c r="E423" s="87"/>
      <c r="F423" s="87"/>
      <c r="G423" s="87"/>
      <c r="H423" s="87"/>
      <c r="I423" s="87"/>
      <c r="J423" s="87"/>
      <c r="K423" s="88"/>
      <c r="L423" s="89"/>
      <c r="M423" s="90"/>
      <c r="N423" s="57"/>
      <c r="O423" s="57"/>
      <c r="P423" s="91"/>
    </row>
    <row r="424" spans="2:16" s="50" customFormat="1" ht="13.2">
      <c r="B424" s="86"/>
      <c r="C424" s="87"/>
      <c r="D424" s="87"/>
      <c r="E424" s="87"/>
      <c r="F424" s="87"/>
      <c r="G424" s="87"/>
      <c r="H424" s="87"/>
      <c r="I424" s="87"/>
      <c r="J424" s="87"/>
      <c r="K424" s="88"/>
      <c r="L424" s="89"/>
      <c r="M424" s="90"/>
      <c r="N424" s="57"/>
      <c r="O424" s="57"/>
      <c r="P424" s="91"/>
    </row>
    <row r="425" spans="2:16" s="50" customFormat="1" ht="13.2">
      <c r="B425" s="86"/>
      <c r="C425" s="87"/>
      <c r="D425" s="87"/>
      <c r="E425" s="87"/>
      <c r="F425" s="87"/>
      <c r="G425" s="87"/>
      <c r="H425" s="87"/>
      <c r="I425" s="87"/>
      <c r="J425" s="87"/>
      <c r="K425" s="88"/>
      <c r="L425" s="89"/>
      <c r="M425" s="90"/>
      <c r="N425" s="57"/>
      <c r="O425" s="57"/>
      <c r="P425" s="91"/>
    </row>
    <row r="426" spans="2:16" s="50" customFormat="1" ht="13.2">
      <c r="B426" s="86"/>
      <c r="C426" s="87"/>
      <c r="D426" s="87"/>
      <c r="E426" s="87"/>
      <c r="F426" s="87"/>
      <c r="G426" s="87"/>
      <c r="H426" s="87"/>
      <c r="I426" s="87"/>
      <c r="J426" s="87"/>
      <c r="K426" s="88"/>
      <c r="L426" s="89"/>
      <c r="M426" s="90"/>
      <c r="N426" s="57"/>
      <c r="O426" s="57"/>
      <c r="P426" s="91"/>
    </row>
    <row r="427" spans="2:16" s="50" customFormat="1" ht="13.2">
      <c r="B427" s="86"/>
      <c r="C427" s="87"/>
      <c r="D427" s="87"/>
      <c r="E427" s="87"/>
      <c r="F427" s="87"/>
      <c r="G427" s="87"/>
      <c r="H427" s="87"/>
      <c r="I427" s="87"/>
      <c r="J427" s="87"/>
      <c r="K427" s="88"/>
      <c r="L427" s="89"/>
      <c r="M427" s="90"/>
      <c r="N427" s="57"/>
      <c r="O427" s="57"/>
      <c r="P427" s="91"/>
    </row>
    <row r="428" spans="2:16" s="50" customFormat="1" ht="13.2">
      <c r="B428" s="86"/>
      <c r="C428" s="87"/>
      <c r="D428" s="87"/>
      <c r="E428" s="87"/>
      <c r="F428" s="87"/>
      <c r="G428" s="87"/>
      <c r="H428" s="87"/>
      <c r="I428" s="87"/>
      <c r="J428" s="87"/>
      <c r="K428" s="88"/>
      <c r="L428" s="89"/>
      <c r="M428" s="90"/>
      <c r="N428" s="57"/>
      <c r="O428" s="57"/>
      <c r="P428" s="91"/>
    </row>
    <row r="429" spans="2:16" s="50" customFormat="1" ht="13.2">
      <c r="B429" s="86"/>
      <c r="C429" s="87"/>
      <c r="D429" s="87"/>
      <c r="E429" s="87"/>
      <c r="F429" s="87"/>
      <c r="G429" s="87"/>
      <c r="H429" s="87"/>
      <c r="I429" s="87"/>
      <c r="J429" s="87"/>
      <c r="K429" s="88"/>
      <c r="L429" s="89"/>
      <c r="M429" s="90"/>
      <c r="N429" s="57"/>
      <c r="O429" s="57"/>
      <c r="P429" s="91"/>
    </row>
    <row r="430" spans="2:16" s="50" customFormat="1" ht="13.2">
      <c r="B430" s="86"/>
      <c r="C430" s="87"/>
      <c r="D430" s="87"/>
      <c r="E430" s="87"/>
      <c r="F430" s="87"/>
      <c r="G430" s="87"/>
      <c r="H430" s="87"/>
      <c r="I430" s="87"/>
      <c r="J430" s="87"/>
      <c r="K430" s="88"/>
      <c r="L430" s="89"/>
      <c r="M430" s="90"/>
      <c r="N430" s="57"/>
      <c r="O430" s="57"/>
      <c r="P430" s="91"/>
    </row>
    <row r="431" spans="2:16" s="50" customFormat="1" ht="13.2">
      <c r="B431" s="86"/>
      <c r="C431" s="87"/>
      <c r="D431" s="87"/>
      <c r="E431" s="87"/>
      <c r="F431" s="87"/>
      <c r="G431" s="87"/>
      <c r="H431" s="87"/>
      <c r="I431" s="87"/>
      <c r="J431" s="87"/>
      <c r="K431" s="88"/>
      <c r="L431" s="89"/>
      <c r="M431" s="90"/>
      <c r="N431" s="57"/>
      <c r="O431" s="57"/>
      <c r="P431" s="91"/>
    </row>
    <row r="432" spans="2:16" s="50" customFormat="1" ht="13.2">
      <c r="B432" s="86"/>
      <c r="C432" s="87"/>
      <c r="D432" s="87"/>
      <c r="E432" s="87"/>
      <c r="F432" s="87"/>
      <c r="G432" s="87"/>
      <c r="H432" s="87"/>
      <c r="I432" s="87"/>
      <c r="J432" s="87"/>
      <c r="K432" s="88"/>
      <c r="L432" s="89"/>
      <c r="M432" s="90"/>
      <c r="N432" s="57"/>
      <c r="O432" s="57"/>
      <c r="P432" s="91"/>
    </row>
    <row r="433" spans="2:16" s="50" customFormat="1" ht="13.2">
      <c r="B433" s="86"/>
      <c r="C433" s="87"/>
      <c r="D433" s="87"/>
      <c r="E433" s="87"/>
      <c r="F433" s="87"/>
      <c r="G433" s="87"/>
      <c r="H433" s="87"/>
      <c r="I433" s="87"/>
      <c r="J433" s="87"/>
      <c r="K433" s="88"/>
      <c r="L433" s="89"/>
      <c r="M433" s="90"/>
      <c r="N433" s="57"/>
      <c r="O433" s="57"/>
      <c r="P433" s="91"/>
    </row>
    <row r="434" spans="2:16" s="50" customFormat="1" ht="13.2">
      <c r="B434" s="86"/>
      <c r="C434" s="87"/>
      <c r="D434" s="87"/>
      <c r="E434" s="87"/>
      <c r="F434" s="87"/>
      <c r="G434" s="87"/>
      <c r="H434" s="87"/>
      <c r="I434" s="87"/>
      <c r="J434" s="87"/>
      <c r="K434" s="88"/>
      <c r="L434" s="89"/>
      <c r="M434" s="90"/>
      <c r="N434" s="57"/>
      <c r="O434" s="57"/>
      <c r="P434" s="91"/>
    </row>
    <row r="435" spans="2:16" s="50" customFormat="1" ht="13.2">
      <c r="B435" s="86"/>
      <c r="C435" s="87"/>
      <c r="D435" s="87"/>
      <c r="E435" s="87"/>
      <c r="F435" s="87"/>
      <c r="G435" s="87"/>
      <c r="H435" s="87"/>
      <c r="I435" s="87"/>
      <c r="J435" s="87"/>
      <c r="K435" s="88"/>
      <c r="L435" s="89"/>
      <c r="M435" s="90"/>
      <c r="N435" s="57"/>
      <c r="O435" s="57"/>
      <c r="P435" s="91"/>
    </row>
    <row r="436" spans="2:16" s="50" customFormat="1" ht="13.2">
      <c r="B436" s="86"/>
      <c r="C436" s="87"/>
      <c r="D436" s="87"/>
      <c r="E436" s="87"/>
      <c r="F436" s="87"/>
      <c r="G436" s="87"/>
      <c r="H436" s="87"/>
      <c r="I436" s="87"/>
      <c r="J436" s="87"/>
      <c r="K436" s="88"/>
      <c r="L436" s="89"/>
      <c r="M436" s="90"/>
      <c r="N436" s="57"/>
      <c r="O436" s="57"/>
      <c r="P436" s="91"/>
    </row>
    <row r="437" spans="2:16" s="50" customFormat="1" ht="13.2">
      <c r="B437" s="86"/>
      <c r="C437" s="87"/>
      <c r="D437" s="87"/>
      <c r="E437" s="87"/>
      <c r="F437" s="87"/>
      <c r="G437" s="87"/>
      <c r="H437" s="87"/>
      <c r="I437" s="87"/>
      <c r="J437" s="87"/>
      <c r="K437" s="88"/>
      <c r="L437" s="89"/>
      <c r="M437" s="90"/>
      <c r="N437" s="57"/>
      <c r="O437" s="57"/>
      <c r="P437" s="91"/>
    </row>
    <row r="438" spans="2:16" s="50" customFormat="1" ht="13.2">
      <c r="B438" s="86"/>
      <c r="C438" s="87"/>
      <c r="D438" s="87"/>
      <c r="E438" s="87"/>
      <c r="F438" s="87"/>
      <c r="G438" s="87"/>
      <c r="H438" s="87"/>
      <c r="I438" s="87"/>
      <c r="J438" s="87"/>
      <c r="K438" s="88"/>
      <c r="L438" s="89"/>
      <c r="M438" s="90"/>
      <c r="N438" s="57"/>
      <c r="O438" s="57"/>
      <c r="P438" s="91"/>
    </row>
    <row r="439" spans="2:16" s="50" customFormat="1" ht="13.2">
      <c r="B439" s="86"/>
      <c r="C439" s="87"/>
      <c r="D439" s="87"/>
      <c r="E439" s="87"/>
      <c r="F439" s="87"/>
      <c r="G439" s="87"/>
      <c r="H439" s="87"/>
      <c r="I439" s="87"/>
      <c r="J439" s="87"/>
      <c r="K439" s="88"/>
      <c r="L439" s="89"/>
      <c r="M439" s="90"/>
      <c r="N439" s="57"/>
      <c r="O439" s="57"/>
      <c r="P439" s="91"/>
    </row>
    <row r="440" spans="2:16" s="50" customFormat="1" ht="13.2">
      <c r="B440" s="86"/>
      <c r="C440" s="87"/>
      <c r="D440" s="87"/>
      <c r="E440" s="87"/>
      <c r="F440" s="87"/>
      <c r="G440" s="87"/>
      <c r="H440" s="87"/>
      <c r="I440" s="87"/>
      <c r="J440" s="87"/>
      <c r="K440" s="88"/>
      <c r="L440" s="89"/>
      <c r="M440" s="90"/>
      <c r="N440" s="57"/>
      <c r="O440" s="57"/>
      <c r="P440" s="91"/>
    </row>
    <row r="441" spans="2:16" s="50" customFormat="1" ht="13.2">
      <c r="B441" s="86"/>
      <c r="C441" s="87"/>
      <c r="D441" s="87"/>
      <c r="E441" s="87"/>
      <c r="F441" s="87"/>
      <c r="G441" s="87"/>
      <c r="H441" s="87"/>
      <c r="I441" s="87"/>
      <c r="J441" s="87"/>
      <c r="K441" s="88"/>
      <c r="L441" s="89"/>
      <c r="M441" s="90"/>
      <c r="N441" s="57"/>
      <c r="O441" s="57"/>
      <c r="P441" s="91"/>
    </row>
    <row r="442" spans="2:16" s="50" customFormat="1" ht="13.2">
      <c r="B442" s="86"/>
      <c r="C442" s="87"/>
      <c r="D442" s="87"/>
      <c r="E442" s="87"/>
      <c r="F442" s="87"/>
      <c r="G442" s="87"/>
      <c r="H442" s="87"/>
      <c r="I442" s="87"/>
      <c r="J442" s="87"/>
      <c r="K442" s="88"/>
      <c r="L442" s="89"/>
      <c r="M442" s="90"/>
      <c r="N442" s="57"/>
      <c r="O442" s="57"/>
      <c r="P442" s="91"/>
    </row>
    <row r="443" spans="2:16" s="50" customFormat="1" ht="13.2">
      <c r="B443" s="86"/>
      <c r="C443" s="87"/>
      <c r="D443" s="87"/>
      <c r="E443" s="87"/>
      <c r="F443" s="87"/>
      <c r="G443" s="87"/>
      <c r="H443" s="87"/>
      <c r="I443" s="87"/>
      <c r="J443" s="87"/>
      <c r="K443" s="88"/>
      <c r="L443" s="89"/>
      <c r="M443" s="90"/>
      <c r="N443" s="57"/>
      <c r="O443" s="57"/>
      <c r="P443" s="91"/>
    </row>
    <row r="444" spans="2:16" s="50" customFormat="1" ht="13.2">
      <c r="B444" s="86"/>
      <c r="C444" s="87"/>
      <c r="D444" s="87"/>
      <c r="E444" s="87"/>
      <c r="F444" s="87"/>
      <c r="G444" s="87"/>
      <c r="H444" s="87"/>
      <c r="I444" s="87"/>
      <c r="J444" s="87"/>
      <c r="K444" s="88"/>
      <c r="L444" s="89"/>
      <c r="M444" s="90"/>
      <c r="N444" s="57"/>
      <c r="O444" s="57"/>
      <c r="P444" s="91"/>
    </row>
    <row r="445" spans="2:16" s="50" customFormat="1" ht="13.2">
      <c r="B445" s="86"/>
      <c r="C445" s="87"/>
      <c r="D445" s="87"/>
      <c r="E445" s="87"/>
      <c r="F445" s="87"/>
      <c r="G445" s="87"/>
      <c r="H445" s="87"/>
      <c r="I445" s="87"/>
      <c r="J445" s="87"/>
      <c r="K445" s="88"/>
      <c r="L445" s="89"/>
      <c r="M445" s="90"/>
      <c r="N445" s="57"/>
      <c r="O445" s="57"/>
      <c r="P445" s="91"/>
    </row>
    <row r="446" spans="2:16" s="50" customFormat="1" ht="13.2">
      <c r="B446" s="86"/>
      <c r="C446" s="87"/>
      <c r="D446" s="87"/>
      <c r="E446" s="87"/>
      <c r="F446" s="87"/>
      <c r="G446" s="87"/>
      <c r="H446" s="87"/>
      <c r="I446" s="87"/>
      <c r="J446" s="87"/>
      <c r="K446" s="88"/>
      <c r="L446" s="89"/>
      <c r="M446" s="90"/>
      <c r="N446" s="57"/>
      <c r="O446" s="57"/>
      <c r="P446" s="91"/>
    </row>
    <row r="447" spans="2:16" s="50" customFormat="1" ht="13.2">
      <c r="B447" s="86"/>
      <c r="C447" s="87"/>
      <c r="D447" s="87"/>
      <c r="E447" s="87"/>
      <c r="F447" s="87"/>
      <c r="G447" s="87"/>
      <c r="H447" s="87"/>
      <c r="I447" s="87"/>
      <c r="J447" s="87"/>
      <c r="K447" s="88"/>
      <c r="L447" s="89"/>
      <c r="M447" s="90"/>
      <c r="N447" s="57"/>
      <c r="O447" s="57"/>
      <c r="P447" s="91"/>
    </row>
    <row r="448" spans="2:16" s="50" customFormat="1" ht="13.2">
      <c r="B448" s="86"/>
      <c r="C448" s="87"/>
      <c r="D448" s="87"/>
      <c r="E448" s="87"/>
      <c r="F448" s="87"/>
      <c r="G448" s="87"/>
      <c r="H448" s="87"/>
      <c r="I448" s="87"/>
      <c r="J448" s="87"/>
      <c r="K448" s="88"/>
      <c r="L448" s="89"/>
      <c r="M448" s="90"/>
      <c r="N448" s="57"/>
      <c r="O448" s="57"/>
      <c r="P448" s="91"/>
    </row>
    <row r="449" spans="2:16" s="50" customFormat="1" ht="13.2">
      <c r="B449" s="86"/>
      <c r="C449" s="87"/>
      <c r="D449" s="87"/>
      <c r="E449" s="87"/>
      <c r="F449" s="87"/>
      <c r="G449" s="87"/>
      <c r="H449" s="87"/>
      <c r="I449" s="87"/>
      <c r="J449" s="87"/>
      <c r="K449" s="88"/>
      <c r="L449" s="89"/>
      <c r="M449" s="90"/>
      <c r="N449" s="57"/>
      <c r="O449" s="57"/>
      <c r="P449" s="91"/>
    </row>
    <row r="450" spans="2:16" s="50" customFormat="1" ht="13.2">
      <c r="B450" s="86"/>
      <c r="C450" s="87"/>
      <c r="D450" s="87"/>
      <c r="E450" s="87"/>
      <c r="F450" s="87"/>
      <c r="G450" s="87"/>
      <c r="H450" s="87"/>
      <c r="I450" s="87"/>
      <c r="J450" s="87"/>
      <c r="K450" s="88"/>
      <c r="L450" s="89"/>
      <c r="M450" s="90"/>
      <c r="N450" s="57"/>
      <c r="O450" s="57"/>
      <c r="P450" s="91"/>
    </row>
    <row r="451" spans="2:16" s="50" customFormat="1" ht="13.2">
      <c r="B451" s="86"/>
      <c r="C451" s="87"/>
      <c r="D451" s="87"/>
      <c r="E451" s="87"/>
      <c r="F451" s="87"/>
      <c r="G451" s="87"/>
      <c r="H451" s="87"/>
      <c r="I451" s="87"/>
      <c r="J451" s="87"/>
      <c r="K451" s="88"/>
      <c r="L451" s="89"/>
      <c r="M451" s="90"/>
      <c r="N451" s="57"/>
      <c r="O451" s="57"/>
      <c r="P451" s="91"/>
    </row>
    <row r="452" spans="2:16" s="50" customFormat="1" ht="13.2">
      <c r="B452" s="86"/>
      <c r="C452" s="87"/>
      <c r="D452" s="87"/>
      <c r="E452" s="87"/>
      <c r="F452" s="87"/>
      <c r="G452" s="87"/>
      <c r="H452" s="87"/>
      <c r="I452" s="87"/>
      <c r="J452" s="87"/>
      <c r="K452" s="88"/>
      <c r="L452" s="89"/>
      <c r="M452" s="90"/>
      <c r="N452" s="57"/>
      <c r="O452" s="57"/>
      <c r="P452" s="91"/>
    </row>
    <row r="453" spans="2:16" s="50" customFormat="1" ht="13.2">
      <c r="B453" s="86"/>
      <c r="C453" s="87"/>
      <c r="D453" s="87"/>
      <c r="E453" s="87"/>
      <c r="F453" s="87"/>
      <c r="G453" s="87"/>
      <c r="H453" s="87"/>
      <c r="I453" s="87"/>
      <c r="J453" s="87"/>
      <c r="K453" s="88"/>
      <c r="L453" s="89"/>
      <c r="M453" s="90"/>
      <c r="N453" s="57"/>
      <c r="O453" s="57"/>
      <c r="P453" s="91"/>
    </row>
    <row r="454" spans="2:16" s="50" customFormat="1" ht="13.2">
      <c r="B454" s="86"/>
      <c r="C454" s="87"/>
      <c r="D454" s="87"/>
      <c r="E454" s="87"/>
      <c r="F454" s="87"/>
      <c r="G454" s="87"/>
      <c r="H454" s="87"/>
      <c r="I454" s="87"/>
      <c r="J454" s="87"/>
      <c r="K454" s="88"/>
      <c r="L454" s="89"/>
      <c r="M454" s="90"/>
      <c r="N454" s="57"/>
      <c r="O454" s="57"/>
      <c r="P454" s="91"/>
    </row>
    <row r="455" spans="2:16" s="50" customFormat="1" ht="13.2">
      <c r="B455" s="86"/>
      <c r="C455" s="87"/>
      <c r="D455" s="87"/>
      <c r="E455" s="87"/>
      <c r="F455" s="87"/>
      <c r="G455" s="87"/>
      <c r="H455" s="87"/>
      <c r="I455" s="87"/>
      <c r="J455" s="87"/>
      <c r="K455" s="88"/>
      <c r="L455" s="89"/>
      <c r="M455" s="90"/>
      <c r="N455" s="57"/>
      <c r="O455" s="57"/>
      <c r="P455" s="91"/>
    </row>
    <row r="456" spans="2:16" s="50" customFormat="1" ht="13.2">
      <c r="B456" s="86"/>
      <c r="C456" s="87"/>
      <c r="D456" s="87"/>
      <c r="E456" s="87"/>
      <c r="F456" s="87"/>
      <c r="G456" s="87"/>
      <c r="H456" s="87"/>
      <c r="I456" s="87"/>
      <c r="J456" s="87"/>
      <c r="K456" s="88"/>
      <c r="L456" s="89"/>
      <c r="M456" s="90"/>
      <c r="N456" s="57"/>
      <c r="O456" s="57"/>
      <c r="P456" s="91"/>
    </row>
    <row r="457" spans="2:16" s="50" customFormat="1" ht="13.2">
      <c r="B457" s="86"/>
      <c r="C457" s="87"/>
      <c r="D457" s="87"/>
      <c r="E457" s="87"/>
      <c r="F457" s="87"/>
      <c r="G457" s="87"/>
      <c r="H457" s="87"/>
      <c r="I457" s="87"/>
      <c r="J457" s="87"/>
      <c r="K457" s="88"/>
      <c r="L457" s="89"/>
      <c r="M457" s="90"/>
      <c r="N457" s="57"/>
      <c r="O457" s="57"/>
      <c r="P457" s="91"/>
    </row>
    <row r="458" spans="2:16" s="50" customFormat="1" ht="13.2">
      <c r="B458" s="86"/>
      <c r="C458" s="87"/>
      <c r="D458" s="87"/>
      <c r="E458" s="87"/>
      <c r="F458" s="87"/>
      <c r="G458" s="87"/>
      <c r="H458" s="87"/>
      <c r="I458" s="87"/>
      <c r="J458" s="87"/>
      <c r="K458" s="88"/>
      <c r="L458" s="89"/>
      <c r="M458" s="90"/>
      <c r="N458" s="57"/>
      <c r="O458" s="57"/>
      <c r="P458" s="91"/>
    </row>
    <row r="459" spans="2:16" s="50" customFormat="1" ht="13.2">
      <c r="B459" s="86"/>
      <c r="C459" s="87"/>
      <c r="D459" s="87"/>
      <c r="E459" s="87"/>
      <c r="F459" s="87"/>
      <c r="G459" s="87"/>
      <c r="H459" s="87"/>
      <c r="I459" s="87"/>
      <c r="J459" s="87"/>
      <c r="K459" s="88"/>
      <c r="L459" s="89"/>
      <c r="M459" s="90"/>
      <c r="N459" s="57"/>
      <c r="O459" s="57"/>
      <c r="P459" s="91"/>
    </row>
    <row r="460" spans="2:16" s="50" customFormat="1" ht="13.2">
      <c r="B460" s="86"/>
      <c r="C460" s="87"/>
      <c r="D460" s="87"/>
      <c r="E460" s="87"/>
      <c r="F460" s="87"/>
      <c r="G460" s="87"/>
      <c r="H460" s="87"/>
      <c r="I460" s="87"/>
      <c r="J460" s="87"/>
      <c r="K460" s="88"/>
      <c r="L460" s="89"/>
      <c r="M460" s="90"/>
      <c r="N460" s="57"/>
      <c r="O460" s="57"/>
      <c r="P460" s="91"/>
    </row>
    <row r="461" spans="2:16" s="50" customFormat="1" ht="13.2">
      <c r="B461" s="86"/>
      <c r="C461" s="87"/>
      <c r="D461" s="87"/>
      <c r="E461" s="87"/>
      <c r="F461" s="87"/>
      <c r="G461" s="87"/>
      <c r="H461" s="87"/>
      <c r="I461" s="87"/>
      <c r="J461" s="87"/>
      <c r="K461" s="88"/>
      <c r="L461" s="89"/>
      <c r="M461" s="90"/>
      <c r="N461" s="57"/>
      <c r="O461" s="57"/>
      <c r="P461" s="91"/>
    </row>
    <row r="462" spans="2:16" s="50" customFormat="1" ht="13.2">
      <c r="B462" s="86"/>
      <c r="C462" s="87"/>
      <c r="D462" s="87"/>
      <c r="E462" s="87"/>
      <c r="F462" s="87"/>
      <c r="G462" s="87"/>
      <c r="H462" s="87"/>
      <c r="I462" s="87"/>
      <c r="J462" s="87"/>
      <c r="K462" s="88"/>
      <c r="L462" s="89"/>
      <c r="M462" s="90"/>
      <c r="N462" s="57"/>
      <c r="O462" s="57"/>
      <c r="P462" s="91"/>
    </row>
    <row r="463" spans="2:16" s="50" customFormat="1" ht="13.2">
      <c r="B463" s="86"/>
      <c r="C463" s="87"/>
      <c r="D463" s="87"/>
      <c r="E463" s="87"/>
      <c r="F463" s="87"/>
      <c r="G463" s="87"/>
      <c r="H463" s="87"/>
      <c r="I463" s="87"/>
      <c r="J463" s="87"/>
      <c r="K463" s="88"/>
      <c r="L463" s="89"/>
      <c r="M463" s="90"/>
      <c r="N463" s="57"/>
      <c r="O463" s="57"/>
      <c r="P463" s="91"/>
    </row>
    <row r="464" spans="2:16" s="50" customFormat="1" ht="13.2">
      <c r="B464" s="86"/>
      <c r="C464" s="87"/>
      <c r="D464" s="87"/>
      <c r="E464" s="87"/>
      <c r="F464" s="87"/>
      <c r="G464" s="87"/>
      <c r="H464" s="87"/>
      <c r="I464" s="87"/>
      <c r="J464" s="87"/>
      <c r="K464" s="88"/>
      <c r="L464" s="89"/>
      <c r="M464" s="90"/>
      <c r="N464" s="57"/>
      <c r="O464" s="57"/>
      <c r="P464" s="91"/>
    </row>
    <row r="465" spans="2:16" s="50" customFormat="1" ht="13.2">
      <c r="B465" s="86"/>
      <c r="C465" s="87"/>
      <c r="D465" s="87"/>
      <c r="E465" s="87"/>
      <c r="F465" s="87"/>
      <c r="G465" s="87"/>
      <c r="H465" s="87"/>
      <c r="I465" s="87"/>
      <c r="J465" s="87"/>
      <c r="K465" s="88"/>
      <c r="L465" s="89"/>
      <c r="M465" s="90"/>
      <c r="N465" s="57"/>
      <c r="O465" s="57"/>
      <c r="P465" s="91"/>
    </row>
    <row r="466" spans="2:16" s="50" customFormat="1" ht="13.2">
      <c r="B466" s="86"/>
      <c r="C466" s="87"/>
      <c r="D466" s="87"/>
      <c r="E466" s="87"/>
      <c r="F466" s="87"/>
      <c r="G466" s="87"/>
      <c r="H466" s="87"/>
      <c r="I466" s="87"/>
      <c r="J466" s="87"/>
      <c r="K466" s="88"/>
      <c r="L466" s="89"/>
      <c r="M466" s="90"/>
      <c r="N466" s="57"/>
      <c r="O466" s="57"/>
      <c r="P466" s="91"/>
    </row>
    <row r="467" spans="2:16" s="50" customFormat="1" ht="13.2">
      <c r="B467" s="86"/>
      <c r="C467" s="87"/>
      <c r="D467" s="87"/>
      <c r="E467" s="87"/>
      <c r="F467" s="87"/>
      <c r="G467" s="87"/>
      <c r="H467" s="87"/>
      <c r="I467" s="87"/>
      <c r="J467" s="87"/>
      <c r="K467" s="88"/>
      <c r="L467" s="89"/>
      <c r="M467" s="90"/>
      <c r="N467" s="57"/>
      <c r="O467" s="57"/>
      <c r="P467" s="91"/>
    </row>
    <row r="468" spans="2:16" s="50" customFormat="1" ht="13.2">
      <c r="B468" s="86"/>
      <c r="C468" s="87"/>
      <c r="D468" s="87"/>
      <c r="E468" s="87"/>
      <c r="F468" s="87"/>
      <c r="G468" s="87"/>
      <c r="H468" s="87"/>
      <c r="I468" s="87"/>
      <c r="J468" s="87"/>
      <c r="K468" s="88"/>
      <c r="L468" s="89"/>
      <c r="M468" s="90"/>
      <c r="N468" s="57"/>
      <c r="O468" s="57"/>
      <c r="P468" s="91"/>
    </row>
    <row r="469" spans="2:16" s="50" customFormat="1" ht="13.2">
      <c r="B469" s="86"/>
      <c r="C469" s="87"/>
      <c r="D469" s="87"/>
      <c r="E469" s="87"/>
      <c r="F469" s="87"/>
      <c r="G469" s="87"/>
      <c r="H469" s="87"/>
      <c r="I469" s="87"/>
      <c r="J469" s="87"/>
      <c r="K469" s="88"/>
      <c r="L469" s="89"/>
      <c r="M469" s="90"/>
      <c r="N469" s="57"/>
      <c r="O469" s="57"/>
      <c r="P469" s="91"/>
    </row>
    <row r="470" spans="2:16" s="50" customFormat="1" ht="13.2">
      <c r="B470" s="86"/>
      <c r="C470" s="87"/>
      <c r="D470" s="87"/>
      <c r="E470" s="87"/>
      <c r="F470" s="87"/>
      <c r="G470" s="87"/>
      <c r="H470" s="87"/>
      <c r="I470" s="87"/>
      <c r="J470" s="87"/>
      <c r="K470" s="88"/>
      <c r="L470" s="89"/>
      <c r="M470" s="90"/>
      <c r="N470" s="57"/>
      <c r="O470" s="57"/>
      <c r="P470" s="91"/>
    </row>
    <row r="471" spans="2:16" s="50" customFormat="1" ht="13.2">
      <c r="B471" s="86"/>
      <c r="C471" s="87"/>
      <c r="D471" s="87"/>
      <c r="E471" s="87"/>
      <c r="F471" s="87"/>
      <c r="G471" s="87"/>
      <c r="H471" s="87"/>
      <c r="I471" s="87"/>
      <c r="J471" s="87"/>
      <c r="K471" s="88"/>
      <c r="L471" s="89"/>
      <c r="M471" s="90"/>
      <c r="N471" s="57"/>
      <c r="O471" s="57"/>
      <c r="P471" s="91"/>
    </row>
    <row r="472" spans="2:16" s="50" customFormat="1" ht="13.2">
      <c r="B472" s="86"/>
      <c r="C472" s="87"/>
      <c r="D472" s="87"/>
      <c r="E472" s="87"/>
      <c r="F472" s="87"/>
      <c r="G472" s="87"/>
      <c r="H472" s="87"/>
      <c r="I472" s="87"/>
      <c r="J472" s="87"/>
      <c r="K472" s="88"/>
      <c r="L472" s="89"/>
      <c r="M472" s="90"/>
      <c r="N472" s="57"/>
      <c r="O472" s="57"/>
      <c r="P472" s="91"/>
    </row>
    <row r="473" spans="2:16" s="50" customFormat="1" ht="13.2">
      <c r="B473" s="86"/>
      <c r="C473" s="87"/>
      <c r="D473" s="87"/>
      <c r="E473" s="87"/>
      <c r="F473" s="87"/>
      <c r="G473" s="87"/>
      <c r="H473" s="87"/>
      <c r="I473" s="87"/>
      <c r="J473" s="87"/>
      <c r="K473" s="88"/>
      <c r="L473" s="89"/>
      <c r="M473" s="90"/>
      <c r="N473" s="57"/>
      <c r="O473" s="57"/>
      <c r="P473" s="91"/>
    </row>
    <row r="474" spans="2:16" s="50" customFormat="1" ht="13.2">
      <c r="B474" s="86"/>
      <c r="C474" s="87"/>
      <c r="D474" s="87"/>
      <c r="E474" s="87"/>
      <c r="F474" s="87"/>
      <c r="G474" s="87"/>
      <c r="H474" s="87"/>
      <c r="I474" s="87"/>
      <c r="J474" s="87"/>
      <c r="K474" s="88"/>
      <c r="L474" s="89"/>
      <c r="M474" s="90"/>
      <c r="N474" s="57"/>
      <c r="O474" s="57"/>
      <c r="P474" s="91"/>
    </row>
    <row r="475" spans="2:16" s="50" customFormat="1" ht="13.2">
      <c r="B475" s="86"/>
      <c r="C475" s="87"/>
      <c r="D475" s="87"/>
      <c r="E475" s="87"/>
      <c r="F475" s="87"/>
      <c r="G475" s="87"/>
      <c r="H475" s="87"/>
      <c r="I475" s="87"/>
      <c r="J475" s="87"/>
      <c r="K475" s="88"/>
      <c r="L475" s="89"/>
      <c r="M475" s="90"/>
      <c r="N475" s="57"/>
      <c r="O475" s="57"/>
      <c r="P475" s="91"/>
    </row>
    <row r="476" spans="2:16" s="50" customFormat="1" ht="13.2">
      <c r="B476" s="86"/>
      <c r="C476" s="87"/>
      <c r="D476" s="87"/>
      <c r="E476" s="87"/>
      <c r="F476" s="87"/>
      <c r="G476" s="87"/>
      <c r="H476" s="87"/>
      <c r="I476" s="87"/>
      <c r="J476" s="87"/>
      <c r="K476" s="88"/>
      <c r="L476" s="89"/>
      <c r="M476" s="90"/>
      <c r="N476" s="57"/>
      <c r="O476" s="57"/>
      <c r="P476" s="91"/>
    </row>
    <row r="477" spans="2:16" s="50" customFormat="1" ht="13.2">
      <c r="B477" s="86"/>
      <c r="C477" s="87"/>
      <c r="D477" s="87"/>
      <c r="E477" s="87"/>
      <c r="F477" s="87"/>
      <c r="G477" s="87"/>
      <c r="H477" s="87"/>
      <c r="I477" s="87"/>
      <c r="J477" s="87"/>
      <c r="K477" s="88"/>
      <c r="L477" s="89"/>
      <c r="M477" s="90"/>
      <c r="N477" s="57"/>
      <c r="O477" s="57"/>
      <c r="P477" s="91"/>
    </row>
    <row r="478" spans="2:16" s="50" customFormat="1" ht="13.2">
      <c r="B478" s="86"/>
      <c r="C478" s="87"/>
      <c r="D478" s="87"/>
      <c r="E478" s="87"/>
      <c r="F478" s="87"/>
      <c r="G478" s="87"/>
      <c r="H478" s="87"/>
      <c r="I478" s="87"/>
      <c r="J478" s="87"/>
      <c r="K478" s="88"/>
      <c r="L478" s="89"/>
      <c r="M478" s="90"/>
      <c r="N478" s="57"/>
      <c r="O478" s="57"/>
      <c r="P478" s="91"/>
    </row>
    <row r="479" spans="2:16" s="50" customFormat="1" ht="13.2">
      <c r="B479" s="86"/>
      <c r="C479" s="87"/>
      <c r="D479" s="87"/>
      <c r="E479" s="87"/>
      <c r="F479" s="87"/>
      <c r="G479" s="87"/>
      <c r="H479" s="87"/>
      <c r="I479" s="87"/>
      <c r="J479" s="87"/>
      <c r="K479" s="88"/>
      <c r="L479" s="89"/>
      <c r="M479" s="90"/>
      <c r="N479" s="57"/>
      <c r="O479" s="57"/>
      <c r="P479" s="91"/>
    </row>
    <row r="480" spans="2:16" s="50" customFormat="1" ht="13.2">
      <c r="B480" s="86"/>
      <c r="C480" s="87"/>
      <c r="D480" s="87"/>
      <c r="E480" s="87"/>
      <c r="F480" s="87"/>
      <c r="G480" s="87"/>
      <c r="H480" s="87"/>
      <c r="I480" s="87"/>
      <c r="J480" s="87"/>
      <c r="K480" s="88"/>
      <c r="L480" s="89"/>
      <c r="M480" s="90"/>
      <c r="N480" s="57"/>
      <c r="O480" s="57"/>
      <c r="P480" s="91"/>
    </row>
    <row r="481" spans="2:16" s="50" customFormat="1" ht="13.2">
      <c r="B481" s="86"/>
      <c r="C481" s="87"/>
      <c r="D481" s="87"/>
      <c r="E481" s="87"/>
      <c r="F481" s="87"/>
      <c r="G481" s="87"/>
      <c r="H481" s="87"/>
      <c r="I481" s="87"/>
      <c r="J481" s="87"/>
      <c r="K481" s="88"/>
      <c r="L481" s="89"/>
      <c r="M481" s="90"/>
      <c r="N481" s="57"/>
      <c r="O481" s="57"/>
      <c r="P481" s="91"/>
    </row>
    <row r="482" spans="2:16" s="50" customFormat="1" ht="13.2">
      <c r="B482" s="86"/>
      <c r="C482" s="87"/>
      <c r="D482" s="87"/>
      <c r="E482" s="87"/>
      <c r="F482" s="87"/>
      <c r="G482" s="87"/>
      <c r="H482" s="87"/>
      <c r="I482" s="87"/>
      <c r="J482" s="87"/>
      <c r="K482" s="88"/>
      <c r="L482" s="89"/>
      <c r="M482" s="90"/>
      <c r="N482" s="57"/>
      <c r="O482" s="57"/>
      <c r="P482" s="91"/>
    </row>
    <row r="483" spans="2:16" s="50" customFormat="1" ht="13.2">
      <c r="B483" s="86"/>
      <c r="C483" s="87"/>
      <c r="D483" s="87"/>
      <c r="E483" s="87"/>
      <c r="F483" s="87"/>
      <c r="G483" s="87"/>
      <c r="H483" s="87"/>
      <c r="I483" s="87"/>
      <c r="J483" s="87"/>
      <c r="K483" s="88"/>
      <c r="L483" s="89"/>
      <c r="M483" s="90"/>
      <c r="N483" s="57"/>
      <c r="O483" s="57"/>
      <c r="P483" s="91"/>
    </row>
    <row r="484" spans="2:16" s="50" customFormat="1" ht="13.2">
      <c r="B484" s="86"/>
      <c r="C484" s="87"/>
      <c r="D484" s="87"/>
      <c r="E484" s="87"/>
      <c r="F484" s="87"/>
      <c r="G484" s="87"/>
      <c r="H484" s="87"/>
      <c r="I484" s="87"/>
      <c r="J484" s="87"/>
      <c r="K484" s="88"/>
      <c r="L484" s="89"/>
      <c r="M484" s="90"/>
      <c r="N484" s="57"/>
      <c r="O484" s="57"/>
      <c r="P484" s="91"/>
    </row>
    <row r="485" spans="2:16" s="50" customFormat="1" ht="13.2">
      <c r="B485" s="86"/>
      <c r="C485" s="87"/>
      <c r="D485" s="87"/>
      <c r="E485" s="87"/>
      <c r="F485" s="87"/>
      <c r="G485" s="87"/>
      <c r="H485" s="87"/>
      <c r="I485" s="87"/>
      <c r="J485" s="87"/>
      <c r="K485" s="88"/>
      <c r="L485" s="89"/>
      <c r="M485" s="90"/>
      <c r="N485" s="57"/>
      <c r="O485" s="57"/>
      <c r="P485" s="91"/>
    </row>
    <row r="486" spans="2:16" s="50" customFormat="1" ht="13.2">
      <c r="B486" s="86"/>
      <c r="C486" s="87"/>
      <c r="D486" s="87"/>
      <c r="E486" s="87"/>
      <c r="F486" s="87"/>
      <c r="G486" s="87"/>
      <c r="H486" s="87"/>
      <c r="I486" s="87"/>
      <c r="J486" s="87"/>
      <c r="K486" s="88"/>
      <c r="L486" s="89"/>
      <c r="M486" s="90"/>
      <c r="N486" s="57"/>
      <c r="O486" s="57"/>
      <c r="P486" s="91"/>
    </row>
    <row r="487" spans="2:16" s="50" customFormat="1" ht="13.2">
      <c r="B487" s="86"/>
      <c r="C487" s="87"/>
      <c r="D487" s="87"/>
      <c r="E487" s="87"/>
      <c r="F487" s="87"/>
      <c r="G487" s="87"/>
      <c r="H487" s="87"/>
      <c r="I487" s="87"/>
      <c r="J487" s="87"/>
      <c r="K487" s="88"/>
      <c r="L487" s="89"/>
      <c r="M487" s="90"/>
      <c r="N487" s="57"/>
      <c r="O487" s="57"/>
      <c r="P487" s="91"/>
    </row>
    <row r="488" spans="2:16" s="50" customFormat="1" ht="13.2">
      <c r="B488" s="86"/>
      <c r="C488" s="87"/>
      <c r="D488" s="87"/>
      <c r="E488" s="87"/>
      <c r="F488" s="87"/>
      <c r="G488" s="87"/>
      <c r="H488" s="87"/>
      <c r="I488" s="87"/>
      <c r="J488" s="87"/>
      <c r="K488" s="88"/>
      <c r="L488" s="89"/>
      <c r="M488" s="90"/>
      <c r="N488" s="57"/>
      <c r="O488" s="57"/>
      <c r="P488" s="91"/>
    </row>
    <row r="489" spans="2:16" s="50" customFormat="1" ht="13.2">
      <c r="B489" s="86"/>
      <c r="C489" s="87"/>
      <c r="D489" s="87"/>
      <c r="E489" s="87"/>
      <c r="F489" s="87"/>
      <c r="G489" s="87"/>
      <c r="H489" s="87"/>
      <c r="I489" s="87"/>
      <c r="J489" s="87"/>
      <c r="K489" s="88"/>
      <c r="L489" s="89"/>
      <c r="M489" s="90"/>
      <c r="N489" s="57"/>
      <c r="O489" s="57"/>
      <c r="P489" s="91"/>
    </row>
    <row r="490" spans="2:16" s="50" customFormat="1" ht="13.2">
      <c r="B490" s="86"/>
      <c r="C490" s="87"/>
      <c r="D490" s="87"/>
      <c r="E490" s="87"/>
      <c r="F490" s="87"/>
      <c r="G490" s="87"/>
      <c r="H490" s="87"/>
      <c r="I490" s="87"/>
      <c r="J490" s="87"/>
      <c r="K490" s="88"/>
      <c r="L490" s="89"/>
      <c r="M490" s="90"/>
      <c r="N490" s="57"/>
      <c r="O490" s="57"/>
      <c r="P490" s="91"/>
    </row>
    <row r="491" spans="2:16" s="50" customFormat="1" ht="13.2">
      <c r="B491" s="86"/>
      <c r="C491" s="87"/>
      <c r="D491" s="87"/>
      <c r="E491" s="87"/>
      <c r="F491" s="87"/>
      <c r="G491" s="87"/>
      <c r="H491" s="87"/>
      <c r="I491" s="87"/>
      <c r="J491" s="87"/>
      <c r="K491" s="88"/>
      <c r="L491" s="89"/>
      <c r="M491" s="90"/>
      <c r="N491" s="57"/>
      <c r="O491" s="57"/>
      <c r="P491" s="91"/>
    </row>
    <row r="492" spans="2:16" s="50" customFormat="1" ht="13.2">
      <c r="B492" s="86"/>
      <c r="C492" s="87"/>
      <c r="D492" s="87"/>
      <c r="E492" s="87"/>
      <c r="F492" s="87"/>
      <c r="G492" s="87"/>
      <c r="H492" s="87"/>
      <c r="I492" s="87"/>
      <c r="J492" s="87"/>
      <c r="K492" s="88"/>
      <c r="L492" s="89"/>
      <c r="M492" s="90"/>
      <c r="N492" s="57"/>
      <c r="O492" s="57"/>
      <c r="P492" s="91"/>
    </row>
    <row r="493" spans="2:16" s="50" customFormat="1" ht="13.2">
      <c r="B493" s="86"/>
      <c r="C493" s="87"/>
      <c r="D493" s="87"/>
      <c r="E493" s="87"/>
      <c r="F493" s="87"/>
      <c r="G493" s="87"/>
      <c r="H493" s="87"/>
      <c r="I493" s="87"/>
      <c r="J493" s="87"/>
      <c r="K493" s="88"/>
      <c r="L493" s="89"/>
      <c r="M493" s="90"/>
      <c r="N493" s="57"/>
      <c r="O493" s="57"/>
      <c r="P493" s="91"/>
    </row>
    <row r="494" spans="2:16" s="50" customFormat="1" ht="13.2">
      <c r="B494" s="86"/>
      <c r="C494" s="87"/>
      <c r="D494" s="87"/>
      <c r="E494" s="87"/>
      <c r="F494" s="87"/>
      <c r="G494" s="87"/>
      <c r="H494" s="87"/>
      <c r="I494" s="87"/>
      <c r="J494" s="87"/>
      <c r="K494" s="88"/>
      <c r="L494" s="89"/>
      <c r="M494" s="90"/>
      <c r="N494" s="57"/>
      <c r="O494" s="57"/>
      <c r="P494" s="91"/>
    </row>
    <row r="495" spans="2:16" s="50" customFormat="1" ht="13.2">
      <c r="B495" s="86"/>
      <c r="C495" s="87"/>
      <c r="D495" s="87"/>
      <c r="E495" s="87"/>
      <c r="F495" s="87"/>
      <c r="G495" s="87"/>
      <c r="H495" s="87"/>
      <c r="I495" s="87"/>
      <c r="J495" s="87"/>
      <c r="K495" s="88"/>
      <c r="L495" s="89"/>
      <c r="M495" s="90"/>
      <c r="N495" s="57"/>
      <c r="O495" s="57"/>
      <c r="P495" s="91"/>
    </row>
    <row r="496" spans="2:16" s="50" customFormat="1" ht="13.2">
      <c r="B496" s="86"/>
      <c r="C496" s="87"/>
      <c r="D496" s="87"/>
      <c r="E496" s="87"/>
      <c r="F496" s="87"/>
      <c r="G496" s="87"/>
      <c r="H496" s="87"/>
      <c r="I496" s="87"/>
      <c r="J496" s="87"/>
      <c r="K496" s="88"/>
      <c r="L496" s="89"/>
      <c r="M496" s="90"/>
      <c r="N496" s="57"/>
      <c r="O496" s="57"/>
      <c r="P496" s="91"/>
    </row>
    <row r="497" spans="2:16" s="50" customFormat="1" ht="13.2">
      <c r="B497" s="86"/>
      <c r="C497" s="87"/>
      <c r="D497" s="87"/>
      <c r="E497" s="87"/>
      <c r="F497" s="87"/>
      <c r="G497" s="87"/>
      <c r="H497" s="87"/>
      <c r="I497" s="87"/>
      <c r="J497" s="87"/>
      <c r="K497" s="88"/>
      <c r="L497" s="89"/>
      <c r="M497" s="90"/>
      <c r="N497" s="57"/>
      <c r="O497" s="57"/>
      <c r="P497" s="91"/>
    </row>
    <row r="498" spans="2:16" s="50" customFormat="1" ht="13.2">
      <c r="B498" s="86"/>
      <c r="C498" s="87"/>
      <c r="D498" s="87"/>
      <c r="E498" s="87"/>
      <c r="F498" s="87"/>
      <c r="G498" s="87"/>
      <c r="H498" s="87"/>
      <c r="I498" s="87"/>
      <c r="J498" s="87"/>
      <c r="K498" s="88"/>
      <c r="L498" s="89"/>
      <c r="M498" s="90"/>
      <c r="N498" s="57"/>
      <c r="O498" s="57"/>
      <c r="P498" s="91"/>
    </row>
    <row r="499" spans="2:16" s="50" customFormat="1" ht="13.2">
      <c r="B499" s="86"/>
      <c r="C499" s="87"/>
      <c r="D499" s="87"/>
      <c r="E499" s="87"/>
      <c r="F499" s="87"/>
      <c r="G499" s="87"/>
      <c r="H499" s="87"/>
      <c r="I499" s="87"/>
      <c r="J499" s="87"/>
      <c r="K499" s="88"/>
      <c r="L499" s="89"/>
      <c r="M499" s="90"/>
      <c r="N499" s="57"/>
      <c r="O499" s="57"/>
      <c r="P499" s="91"/>
    </row>
    <row r="500" spans="2:16" s="50" customFormat="1" ht="13.2">
      <c r="B500" s="86"/>
      <c r="C500" s="87"/>
      <c r="D500" s="87"/>
      <c r="E500" s="87"/>
      <c r="F500" s="87"/>
      <c r="G500" s="87"/>
      <c r="H500" s="87"/>
      <c r="I500" s="87"/>
      <c r="J500" s="87"/>
      <c r="K500" s="88"/>
      <c r="L500" s="89"/>
      <c r="M500" s="90"/>
      <c r="N500" s="57"/>
      <c r="O500" s="57"/>
      <c r="P500" s="91"/>
    </row>
    <row r="501" spans="2:16" s="50" customFormat="1" ht="13.2">
      <c r="B501" s="86"/>
      <c r="C501" s="87"/>
      <c r="D501" s="87"/>
      <c r="E501" s="87"/>
      <c r="F501" s="87"/>
      <c r="G501" s="87"/>
      <c r="H501" s="87"/>
      <c r="I501" s="87"/>
      <c r="J501" s="87"/>
      <c r="K501" s="88"/>
      <c r="L501" s="89"/>
      <c r="M501" s="90"/>
      <c r="N501" s="57"/>
      <c r="O501" s="57"/>
      <c r="P501" s="91"/>
    </row>
    <row r="502" spans="2:16" s="50" customFormat="1" ht="13.2">
      <c r="B502" s="86"/>
      <c r="C502" s="87"/>
      <c r="D502" s="87"/>
      <c r="E502" s="87"/>
      <c r="F502" s="87"/>
      <c r="G502" s="87"/>
      <c r="H502" s="87"/>
      <c r="I502" s="87"/>
      <c r="J502" s="87"/>
      <c r="K502" s="88"/>
      <c r="L502" s="89"/>
      <c r="M502" s="90"/>
      <c r="N502" s="57"/>
      <c r="O502" s="57"/>
      <c r="P502" s="91"/>
    </row>
    <row r="503" spans="2:16" s="50" customFormat="1" ht="13.2">
      <c r="B503" s="86"/>
      <c r="C503" s="87"/>
      <c r="D503" s="87"/>
      <c r="E503" s="87"/>
      <c r="F503" s="87"/>
      <c r="G503" s="87"/>
      <c r="H503" s="87"/>
      <c r="I503" s="87"/>
      <c r="J503" s="87"/>
      <c r="K503" s="88"/>
      <c r="L503" s="89"/>
      <c r="M503" s="90"/>
      <c r="N503" s="57"/>
      <c r="O503" s="57"/>
      <c r="P503" s="91"/>
    </row>
    <row r="504" spans="2:16" s="50" customFormat="1" ht="13.2">
      <c r="B504" s="86"/>
      <c r="C504" s="87"/>
      <c r="D504" s="87"/>
      <c r="E504" s="87"/>
      <c r="F504" s="87"/>
      <c r="G504" s="87"/>
      <c r="H504" s="87"/>
      <c r="I504" s="87"/>
      <c r="J504" s="87"/>
      <c r="K504" s="88"/>
      <c r="L504" s="89"/>
      <c r="M504" s="90"/>
      <c r="N504" s="57"/>
      <c r="O504" s="57"/>
      <c r="P504" s="91"/>
    </row>
    <row r="505" spans="2:16" s="50" customFormat="1" ht="13.2">
      <c r="B505" s="86"/>
      <c r="C505" s="87"/>
      <c r="D505" s="87"/>
      <c r="E505" s="87"/>
      <c r="F505" s="87"/>
      <c r="G505" s="87"/>
      <c r="H505" s="87"/>
      <c r="I505" s="87"/>
      <c r="J505" s="87"/>
      <c r="K505" s="88"/>
      <c r="L505" s="89"/>
      <c r="M505" s="90"/>
      <c r="N505" s="57"/>
      <c r="O505" s="57"/>
      <c r="P505" s="91"/>
    </row>
    <row r="506" spans="2:16" s="50" customFormat="1" ht="13.2">
      <c r="B506" s="86"/>
      <c r="C506" s="87"/>
      <c r="D506" s="87"/>
      <c r="E506" s="87"/>
      <c r="F506" s="87"/>
      <c r="G506" s="87"/>
      <c r="H506" s="87"/>
      <c r="I506" s="87"/>
      <c r="J506" s="87"/>
      <c r="K506" s="88"/>
      <c r="L506" s="89"/>
      <c r="M506" s="90"/>
      <c r="N506" s="57"/>
      <c r="O506" s="57"/>
      <c r="P506" s="91"/>
    </row>
    <row r="507" spans="2:16" s="50" customFormat="1" ht="13.2">
      <c r="B507" s="86"/>
      <c r="C507" s="87"/>
      <c r="D507" s="87"/>
      <c r="E507" s="87"/>
      <c r="F507" s="87"/>
      <c r="G507" s="87"/>
      <c r="H507" s="87"/>
      <c r="I507" s="87"/>
      <c r="J507" s="87"/>
      <c r="K507" s="88"/>
      <c r="L507" s="89"/>
      <c r="M507" s="90"/>
      <c r="N507" s="57"/>
      <c r="O507" s="57"/>
      <c r="P507" s="91"/>
    </row>
    <row r="508" spans="2:16" s="50" customFormat="1" ht="13.2">
      <c r="B508" s="86"/>
      <c r="C508" s="87"/>
      <c r="D508" s="87"/>
      <c r="E508" s="87"/>
      <c r="F508" s="87"/>
      <c r="G508" s="87"/>
      <c r="H508" s="87"/>
      <c r="I508" s="87"/>
      <c r="J508" s="87"/>
      <c r="K508" s="88"/>
      <c r="L508" s="89"/>
      <c r="M508" s="90"/>
      <c r="N508" s="57"/>
      <c r="O508" s="57"/>
      <c r="P508" s="91"/>
    </row>
    <row r="509" spans="2:16" s="50" customFormat="1" ht="13.2">
      <c r="B509" s="86"/>
      <c r="C509" s="87"/>
      <c r="D509" s="87"/>
      <c r="E509" s="87"/>
      <c r="F509" s="87"/>
      <c r="G509" s="87"/>
      <c r="H509" s="87"/>
      <c r="I509" s="87"/>
      <c r="J509" s="87"/>
      <c r="K509" s="88"/>
      <c r="L509" s="89"/>
      <c r="M509" s="90"/>
      <c r="N509" s="57"/>
      <c r="O509" s="57"/>
      <c r="P509" s="91"/>
    </row>
    <row r="510" spans="2:16" s="50" customFormat="1" ht="13.2">
      <c r="B510" s="86"/>
      <c r="C510" s="87"/>
      <c r="D510" s="87"/>
      <c r="E510" s="87"/>
      <c r="F510" s="87"/>
      <c r="G510" s="87"/>
      <c r="H510" s="87"/>
      <c r="I510" s="87"/>
      <c r="J510" s="87"/>
      <c r="K510" s="88"/>
      <c r="L510" s="89"/>
      <c r="M510" s="90"/>
      <c r="N510" s="57"/>
      <c r="O510" s="57"/>
      <c r="P510" s="91"/>
    </row>
    <row r="511" spans="2:16" s="50" customFormat="1" ht="13.2">
      <c r="B511" s="86"/>
      <c r="C511" s="87"/>
      <c r="D511" s="87"/>
      <c r="E511" s="87"/>
      <c r="F511" s="87"/>
      <c r="G511" s="87"/>
      <c r="H511" s="87"/>
      <c r="I511" s="87"/>
      <c r="J511" s="87"/>
      <c r="K511" s="88"/>
      <c r="L511" s="89"/>
      <c r="M511" s="90"/>
      <c r="N511" s="57"/>
      <c r="O511" s="57"/>
      <c r="P511" s="91"/>
    </row>
    <row r="512" spans="2:16" s="50" customFormat="1" ht="13.2">
      <c r="B512" s="86"/>
      <c r="C512" s="87"/>
      <c r="D512" s="87"/>
      <c r="E512" s="87"/>
      <c r="F512" s="87"/>
      <c r="G512" s="87"/>
      <c r="H512" s="87"/>
      <c r="I512" s="87"/>
      <c r="J512" s="87"/>
      <c r="K512" s="88"/>
      <c r="L512" s="89"/>
      <c r="M512" s="90"/>
      <c r="N512" s="57"/>
      <c r="O512" s="57"/>
      <c r="P512" s="91"/>
    </row>
    <row r="513" spans="2:16" s="50" customFormat="1" ht="13.2">
      <c r="B513" s="86"/>
      <c r="C513" s="87"/>
      <c r="D513" s="87"/>
      <c r="E513" s="87"/>
      <c r="F513" s="87"/>
      <c r="G513" s="87"/>
      <c r="H513" s="87"/>
      <c r="I513" s="87"/>
      <c r="J513" s="87"/>
      <c r="K513" s="88"/>
      <c r="L513" s="89"/>
      <c r="M513" s="90"/>
      <c r="N513" s="57"/>
      <c r="O513" s="57"/>
      <c r="P513" s="91"/>
    </row>
    <row r="514" spans="2:16" s="50" customFormat="1" ht="13.2">
      <c r="B514" s="86"/>
      <c r="C514" s="87"/>
      <c r="D514" s="87"/>
      <c r="E514" s="87"/>
      <c r="F514" s="87"/>
      <c r="G514" s="87"/>
      <c r="H514" s="87"/>
      <c r="I514" s="87"/>
      <c r="J514" s="87"/>
      <c r="K514" s="88"/>
      <c r="L514" s="89"/>
      <c r="M514" s="90"/>
      <c r="N514" s="57"/>
      <c r="O514" s="57"/>
      <c r="P514" s="91"/>
    </row>
    <row r="515" spans="2:16" s="50" customFormat="1" ht="13.2">
      <c r="B515" s="86"/>
      <c r="C515" s="87"/>
      <c r="D515" s="87"/>
      <c r="E515" s="87"/>
      <c r="F515" s="87"/>
      <c r="G515" s="87"/>
      <c r="H515" s="87"/>
      <c r="I515" s="87"/>
      <c r="J515" s="87"/>
      <c r="K515" s="88"/>
      <c r="L515" s="89"/>
      <c r="M515" s="90"/>
      <c r="N515" s="57"/>
      <c r="O515" s="57"/>
      <c r="P515" s="91"/>
    </row>
    <row r="516" spans="2:16" s="50" customFormat="1" ht="13.2">
      <c r="B516" s="86"/>
      <c r="C516" s="87"/>
      <c r="D516" s="87"/>
      <c r="E516" s="87"/>
      <c r="F516" s="87"/>
      <c r="G516" s="87"/>
      <c r="H516" s="87"/>
      <c r="I516" s="87"/>
      <c r="J516" s="87"/>
      <c r="K516" s="88"/>
      <c r="L516" s="89"/>
      <c r="M516" s="90"/>
      <c r="N516" s="57"/>
      <c r="O516" s="57"/>
      <c r="P516" s="91"/>
    </row>
    <row r="517" spans="2:16" s="50" customFormat="1" ht="13.2">
      <c r="B517" s="86"/>
      <c r="C517" s="87"/>
      <c r="D517" s="87"/>
      <c r="E517" s="87"/>
      <c r="F517" s="87"/>
      <c r="G517" s="87"/>
      <c r="H517" s="87"/>
      <c r="I517" s="87"/>
      <c r="J517" s="87"/>
      <c r="K517" s="88"/>
      <c r="L517" s="89"/>
      <c r="M517" s="90"/>
      <c r="N517" s="57"/>
      <c r="O517" s="57"/>
      <c r="P517" s="91"/>
    </row>
    <row r="518" spans="2:16" s="50" customFormat="1" ht="13.2">
      <c r="B518" s="86"/>
      <c r="C518" s="87"/>
      <c r="D518" s="87"/>
      <c r="E518" s="87"/>
      <c r="F518" s="87"/>
      <c r="G518" s="87"/>
      <c r="H518" s="87"/>
      <c r="I518" s="87"/>
      <c r="J518" s="87"/>
      <c r="K518" s="88"/>
      <c r="L518" s="89"/>
      <c r="M518" s="90"/>
      <c r="N518" s="57"/>
      <c r="O518" s="57"/>
      <c r="P518" s="91"/>
    </row>
    <row r="519" spans="2:16" s="50" customFormat="1" ht="13.2">
      <c r="B519" s="86"/>
      <c r="C519" s="87"/>
      <c r="D519" s="87"/>
      <c r="E519" s="87"/>
      <c r="F519" s="87"/>
      <c r="G519" s="87"/>
      <c r="H519" s="87"/>
      <c r="I519" s="87"/>
      <c r="J519" s="87"/>
      <c r="K519" s="88"/>
      <c r="L519" s="89"/>
      <c r="M519" s="90"/>
      <c r="N519" s="57"/>
      <c r="O519" s="57"/>
      <c r="P519" s="91"/>
    </row>
    <row r="520" spans="2:16" s="50" customFormat="1" ht="13.2">
      <c r="B520" s="86"/>
      <c r="C520" s="87"/>
      <c r="D520" s="87"/>
      <c r="E520" s="87"/>
      <c r="F520" s="87"/>
      <c r="G520" s="87"/>
      <c r="H520" s="87"/>
      <c r="I520" s="87"/>
      <c r="J520" s="87"/>
      <c r="K520" s="88"/>
      <c r="L520" s="89"/>
      <c r="M520" s="90"/>
      <c r="N520" s="57"/>
      <c r="O520" s="57"/>
      <c r="P520" s="91"/>
    </row>
    <row r="521" spans="2:16" s="50" customFormat="1" ht="13.2">
      <c r="B521" s="86"/>
      <c r="C521" s="87"/>
      <c r="D521" s="87"/>
      <c r="E521" s="87"/>
      <c r="F521" s="87"/>
      <c r="G521" s="87"/>
      <c r="H521" s="87"/>
      <c r="I521" s="87"/>
      <c r="J521" s="87"/>
      <c r="K521" s="88"/>
      <c r="L521" s="89"/>
      <c r="M521" s="90"/>
      <c r="N521" s="57"/>
      <c r="O521" s="57"/>
      <c r="P521" s="91"/>
    </row>
    <row r="522" spans="2:16" s="50" customFormat="1" ht="13.2">
      <c r="B522" s="86"/>
      <c r="C522" s="87"/>
      <c r="D522" s="87"/>
      <c r="E522" s="87"/>
      <c r="F522" s="87"/>
      <c r="G522" s="87"/>
      <c r="H522" s="87"/>
      <c r="I522" s="87"/>
      <c r="J522" s="87"/>
      <c r="K522" s="88"/>
      <c r="L522" s="89"/>
      <c r="M522" s="90"/>
      <c r="N522" s="57"/>
      <c r="O522" s="57"/>
      <c r="P522" s="91"/>
    </row>
    <row r="523" spans="2:16" s="50" customFormat="1" ht="13.2">
      <c r="B523" s="86"/>
      <c r="C523" s="87"/>
      <c r="D523" s="87"/>
      <c r="E523" s="87"/>
      <c r="F523" s="87"/>
      <c r="G523" s="87"/>
      <c r="H523" s="87"/>
      <c r="I523" s="87"/>
      <c r="J523" s="87"/>
      <c r="K523" s="88"/>
      <c r="L523" s="89"/>
      <c r="M523" s="90"/>
      <c r="N523" s="57"/>
      <c r="O523" s="57"/>
      <c r="P523" s="91"/>
    </row>
    <row r="524" spans="2:16" s="50" customFormat="1" ht="13.2">
      <c r="B524" s="86"/>
      <c r="C524" s="87"/>
      <c r="D524" s="87"/>
      <c r="E524" s="87"/>
      <c r="F524" s="87"/>
      <c r="G524" s="87"/>
      <c r="H524" s="87"/>
      <c r="I524" s="87"/>
      <c r="J524" s="87"/>
      <c r="K524" s="88"/>
      <c r="L524" s="89"/>
      <c r="M524" s="90"/>
      <c r="N524" s="57"/>
      <c r="O524" s="57"/>
      <c r="P524" s="91"/>
    </row>
    <row r="525" spans="2:16" s="50" customFormat="1" ht="13.2">
      <c r="B525" s="86"/>
      <c r="C525" s="87"/>
      <c r="D525" s="87"/>
      <c r="E525" s="87"/>
      <c r="F525" s="87"/>
      <c r="G525" s="87"/>
      <c r="H525" s="87"/>
      <c r="I525" s="87"/>
      <c r="J525" s="87"/>
      <c r="K525" s="88"/>
      <c r="L525" s="89"/>
      <c r="M525" s="90"/>
      <c r="N525" s="57"/>
      <c r="O525" s="57"/>
      <c r="P525" s="91"/>
    </row>
    <row r="526" spans="2:16" s="50" customFormat="1" ht="13.2">
      <c r="B526" s="86"/>
      <c r="C526" s="87"/>
      <c r="D526" s="87"/>
      <c r="E526" s="87"/>
      <c r="F526" s="87"/>
      <c r="G526" s="87"/>
      <c r="H526" s="87"/>
      <c r="I526" s="87"/>
      <c r="J526" s="87"/>
      <c r="K526" s="88"/>
      <c r="L526" s="89"/>
      <c r="M526" s="90"/>
      <c r="N526" s="57"/>
      <c r="O526" s="57"/>
      <c r="P526" s="91"/>
    </row>
    <row r="527" spans="2:16" s="50" customFormat="1" ht="13.2">
      <c r="B527" s="86"/>
      <c r="C527" s="87"/>
      <c r="D527" s="87"/>
      <c r="E527" s="87"/>
      <c r="F527" s="87"/>
      <c r="G527" s="87"/>
      <c r="H527" s="87"/>
      <c r="I527" s="87"/>
      <c r="J527" s="87"/>
      <c r="K527" s="88"/>
      <c r="L527" s="89"/>
      <c r="M527" s="90"/>
      <c r="N527" s="57"/>
      <c r="O527" s="57"/>
      <c r="P527" s="91"/>
    </row>
    <row r="528" spans="2:16" s="50" customFormat="1" ht="13.2">
      <c r="B528" s="86"/>
      <c r="C528" s="87"/>
      <c r="D528" s="87"/>
      <c r="E528" s="87"/>
      <c r="F528" s="87"/>
      <c r="G528" s="87"/>
      <c r="H528" s="87"/>
      <c r="I528" s="87"/>
      <c r="J528" s="87"/>
      <c r="K528" s="88"/>
      <c r="L528" s="89"/>
      <c r="M528" s="90"/>
      <c r="N528" s="57"/>
      <c r="O528" s="57"/>
      <c r="P528" s="91"/>
    </row>
    <row r="529" spans="2:16" s="50" customFormat="1" ht="13.2">
      <c r="B529" s="86"/>
      <c r="C529" s="87"/>
      <c r="D529" s="87"/>
      <c r="E529" s="87"/>
      <c r="F529" s="87"/>
      <c r="G529" s="87"/>
      <c r="H529" s="87"/>
      <c r="I529" s="87"/>
      <c r="J529" s="87"/>
      <c r="K529" s="88"/>
      <c r="L529" s="89"/>
      <c r="M529" s="90"/>
      <c r="N529" s="57"/>
      <c r="O529" s="57"/>
      <c r="P529" s="91"/>
    </row>
    <row r="530" spans="2:16" s="50" customFormat="1" ht="13.2">
      <c r="B530" s="86"/>
      <c r="C530" s="87"/>
      <c r="D530" s="87"/>
      <c r="E530" s="87"/>
      <c r="F530" s="87"/>
      <c r="G530" s="87"/>
      <c r="H530" s="87"/>
      <c r="I530" s="87"/>
      <c r="J530" s="87"/>
      <c r="K530" s="88"/>
      <c r="L530" s="89"/>
      <c r="M530" s="90"/>
      <c r="N530" s="57"/>
      <c r="O530" s="57"/>
      <c r="P530" s="91"/>
    </row>
    <row r="531" spans="2:16" s="50" customFormat="1" ht="13.2">
      <c r="B531" s="86"/>
      <c r="C531" s="87"/>
      <c r="D531" s="87"/>
      <c r="E531" s="87"/>
      <c r="F531" s="87"/>
      <c r="G531" s="87"/>
      <c r="H531" s="87"/>
      <c r="I531" s="87"/>
      <c r="J531" s="87"/>
      <c r="K531" s="88"/>
      <c r="L531" s="89"/>
      <c r="M531" s="90"/>
      <c r="N531" s="57"/>
      <c r="O531" s="57"/>
      <c r="P531" s="91"/>
    </row>
    <row r="532" spans="2:16" s="50" customFormat="1" ht="13.2">
      <c r="B532" s="86"/>
      <c r="C532" s="87"/>
      <c r="D532" s="87"/>
      <c r="E532" s="87"/>
      <c r="F532" s="87"/>
      <c r="G532" s="87"/>
      <c r="H532" s="87"/>
      <c r="I532" s="87"/>
      <c r="J532" s="87"/>
      <c r="K532" s="88"/>
      <c r="L532" s="89"/>
      <c r="M532" s="90"/>
      <c r="N532" s="57"/>
      <c r="O532" s="57"/>
      <c r="P532" s="91"/>
    </row>
    <row r="533" spans="2:16" s="50" customFormat="1" ht="13.2">
      <c r="B533" s="86"/>
      <c r="C533" s="87"/>
      <c r="D533" s="87"/>
      <c r="E533" s="87"/>
      <c r="F533" s="87"/>
      <c r="G533" s="87"/>
      <c r="H533" s="87"/>
      <c r="I533" s="87"/>
      <c r="J533" s="87"/>
      <c r="K533" s="88"/>
      <c r="L533" s="89"/>
      <c r="M533" s="90"/>
      <c r="N533" s="57"/>
      <c r="O533" s="57"/>
      <c r="P533" s="91"/>
    </row>
    <row r="534" spans="2:16" s="50" customFormat="1" ht="13.2">
      <c r="B534" s="86"/>
      <c r="C534" s="87"/>
      <c r="D534" s="87"/>
      <c r="E534" s="87"/>
      <c r="F534" s="87"/>
      <c r="G534" s="87"/>
      <c r="H534" s="87"/>
      <c r="I534" s="87"/>
      <c r="J534" s="87"/>
      <c r="K534" s="88"/>
      <c r="L534" s="89"/>
      <c r="M534" s="90"/>
      <c r="N534" s="57"/>
      <c r="O534" s="57"/>
      <c r="P534" s="91"/>
    </row>
    <row r="535" spans="2:16" s="50" customFormat="1" ht="13.2">
      <c r="B535" s="86"/>
      <c r="C535" s="87"/>
      <c r="D535" s="87"/>
      <c r="E535" s="87"/>
      <c r="F535" s="87"/>
      <c r="G535" s="87"/>
      <c r="H535" s="87"/>
      <c r="I535" s="87"/>
      <c r="J535" s="87"/>
      <c r="K535" s="88"/>
      <c r="L535" s="89"/>
      <c r="M535" s="90"/>
      <c r="N535" s="57"/>
      <c r="O535" s="57"/>
      <c r="P535" s="91"/>
    </row>
    <row r="536" spans="2:16" s="50" customFormat="1" ht="13.2">
      <c r="B536" s="86"/>
      <c r="C536" s="87"/>
      <c r="D536" s="87"/>
      <c r="E536" s="87"/>
      <c r="F536" s="87"/>
      <c r="G536" s="87"/>
      <c r="H536" s="87"/>
      <c r="I536" s="87"/>
      <c r="J536" s="87"/>
      <c r="K536" s="88"/>
      <c r="L536" s="89"/>
      <c r="M536" s="90"/>
      <c r="N536" s="57"/>
      <c r="O536" s="57"/>
      <c r="P536" s="91"/>
    </row>
    <row r="537" spans="2:16" s="50" customFormat="1" ht="13.2">
      <c r="B537" s="86"/>
      <c r="C537" s="87"/>
      <c r="D537" s="87"/>
      <c r="E537" s="87"/>
      <c r="F537" s="87"/>
      <c r="G537" s="87"/>
      <c r="H537" s="87"/>
      <c r="I537" s="87"/>
      <c r="J537" s="87"/>
      <c r="K537" s="88"/>
      <c r="L537" s="89"/>
      <c r="M537" s="90"/>
      <c r="N537" s="57"/>
      <c r="O537" s="57"/>
      <c r="P537" s="91"/>
    </row>
    <row r="538" spans="2:16" s="50" customFormat="1" ht="13.2">
      <c r="B538" s="86"/>
      <c r="C538" s="87"/>
      <c r="D538" s="87"/>
      <c r="E538" s="87"/>
      <c r="F538" s="87"/>
      <c r="G538" s="87"/>
      <c r="H538" s="87"/>
      <c r="I538" s="87"/>
      <c r="J538" s="87"/>
      <c r="K538" s="88"/>
      <c r="L538" s="89"/>
      <c r="M538" s="90"/>
      <c r="N538" s="57"/>
      <c r="O538" s="57"/>
      <c r="P538" s="91"/>
    </row>
    <row r="539" spans="2:16" s="50" customFormat="1" ht="13.2">
      <c r="B539" s="86"/>
      <c r="C539" s="87"/>
      <c r="D539" s="87"/>
      <c r="E539" s="87"/>
      <c r="F539" s="87"/>
      <c r="G539" s="87"/>
      <c r="H539" s="87"/>
      <c r="I539" s="87"/>
      <c r="J539" s="87"/>
      <c r="K539" s="88"/>
      <c r="L539" s="89"/>
      <c r="M539" s="90"/>
      <c r="N539" s="57"/>
      <c r="O539" s="57"/>
      <c r="P539" s="91"/>
    </row>
    <row r="540" spans="2:16" s="50" customFormat="1" ht="13.2">
      <c r="B540" s="86"/>
      <c r="C540" s="87"/>
      <c r="D540" s="87"/>
      <c r="E540" s="87"/>
      <c r="F540" s="87"/>
      <c r="G540" s="87"/>
      <c r="H540" s="87"/>
      <c r="I540" s="87"/>
      <c r="J540" s="87"/>
      <c r="K540" s="88"/>
      <c r="L540" s="89"/>
      <c r="M540" s="90"/>
      <c r="N540" s="57"/>
      <c r="O540" s="57"/>
      <c r="P540" s="91"/>
    </row>
    <row r="541" spans="2:16" s="50" customFormat="1" ht="13.2">
      <c r="B541" s="86"/>
      <c r="C541" s="87"/>
      <c r="D541" s="87"/>
      <c r="E541" s="87"/>
      <c r="F541" s="87"/>
      <c r="G541" s="87"/>
      <c r="H541" s="87"/>
      <c r="I541" s="87"/>
      <c r="J541" s="87"/>
      <c r="K541" s="88"/>
      <c r="L541" s="89"/>
      <c r="M541" s="90"/>
      <c r="N541" s="57"/>
      <c r="O541" s="57"/>
      <c r="P541" s="91"/>
    </row>
    <row r="542" spans="2:16" s="50" customFormat="1" ht="13.2">
      <c r="B542" s="86"/>
      <c r="C542" s="87"/>
      <c r="D542" s="87"/>
      <c r="E542" s="87"/>
      <c r="F542" s="87"/>
      <c r="G542" s="87"/>
      <c r="H542" s="87"/>
      <c r="I542" s="87"/>
      <c r="J542" s="87"/>
      <c r="K542" s="88"/>
      <c r="L542" s="89"/>
      <c r="M542" s="90"/>
      <c r="N542" s="57"/>
      <c r="O542" s="57"/>
      <c r="P542" s="91"/>
    </row>
    <row r="543" spans="2:16" s="50" customFormat="1" ht="13.2">
      <c r="B543" s="86"/>
      <c r="C543" s="87"/>
      <c r="D543" s="87"/>
      <c r="E543" s="87"/>
      <c r="F543" s="87"/>
      <c r="G543" s="87"/>
      <c r="H543" s="87"/>
      <c r="I543" s="87"/>
      <c r="J543" s="87"/>
      <c r="K543" s="88"/>
      <c r="L543" s="89"/>
      <c r="M543" s="90"/>
      <c r="N543" s="57"/>
      <c r="O543" s="57"/>
      <c r="P543" s="91"/>
    </row>
    <row r="544" spans="2:16" s="50" customFormat="1" ht="13.2">
      <c r="B544" s="86"/>
      <c r="C544" s="87"/>
      <c r="D544" s="87"/>
      <c r="E544" s="87"/>
      <c r="F544" s="87"/>
      <c r="G544" s="87"/>
      <c r="H544" s="87"/>
      <c r="I544" s="87"/>
      <c r="J544" s="87"/>
      <c r="K544" s="88"/>
      <c r="L544" s="89"/>
      <c r="M544" s="90"/>
      <c r="N544" s="57"/>
      <c r="O544" s="57"/>
      <c r="P544" s="91"/>
    </row>
    <row r="545" spans="2:16" s="50" customFormat="1" ht="13.2">
      <c r="B545" s="86"/>
      <c r="C545" s="87"/>
      <c r="D545" s="87"/>
      <c r="E545" s="87"/>
      <c r="F545" s="87"/>
      <c r="G545" s="87"/>
      <c r="H545" s="87"/>
      <c r="I545" s="87"/>
      <c r="J545" s="87"/>
      <c r="K545" s="88"/>
      <c r="L545" s="89"/>
      <c r="M545" s="90"/>
      <c r="N545" s="57"/>
      <c r="O545" s="57"/>
      <c r="P545" s="91"/>
    </row>
    <row r="546" spans="2:16" s="50" customFormat="1" ht="13.2">
      <c r="B546" s="86"/>
      <c r="C546" s="87"/>
      <c r="D546" s="87"/>
      <c r="E546" s="87"/>
      <c r="F546" s="87"/>
      <c r="G546" s="87"/>
      <c r="H546" s="87"/>
      <c r="I546" s="87"/>
      <c r="J546" s="87"/>
      <c r="K546" s="88"/>
      <c r="L546" s="89"/>
      <c r="M546" s="90"/>
      <c r="N546" s="57"/>
      <c r="O546" s="57"/>
      <c r="P546" s="91"/>
    </row>
    <row r="547" spans="2:16" s="50" customFormat="1" ht="13.2">
      <c r="B547" s="86"/>
      <c r="C547" s="87"/>
      <c r="D547" s="87"/>
      <c r="E547" s="87"/>
      <c r="F547" s="87"/>
      <c r="G547" s="87"/>
      <c r="H547" s="87"/>
      <c r="I547" s="87"/>
      <c r="J547" s="87"/>
      <c r="K547" s="88"/>
      <c r="L547" s="89"/>
      <c r="M547" s="90"/>
      <c r="N547" s="57"/>
      <c r="O547" s="57"/>
      <c r="P547" s="91"/>
    </row>
    <row r="548" spans="2:16" s="50" customFormat="1" ht="13.2">
      <c r="B548" s="86"/>
      <c r="C548" s="87"/>
      <c r="D548" s="87"/>
      <c r="E548" s="87"/>
      <c r="F548" s="87"/>
      <c r="G548" s="87"/>
      <c r="H548" s="87"/>
      <c r="I548" s="87"/>
      <c r="J548" s="87"/>
      <c r="K548" s="88"/>
      <c r="L548" s="89"/>
      <c r="M548" s="90"/>
      <c r="N548" s="57"/>
      <c r="O548" s="57"/>
      <c r="P548" s="91"/>
    </row>
    <row r="549" spans="2:16" s="50" customFormat="1" ht="13.2">
      <c r="B549" s="86"/>
      <c r="C549" s="87"/>
      <c r="D549" s="87"/>
      <c r="E549" s="87"/>
      <c r="F549" s="87"/>
      <c r="G549" s="87"/>
      <c r="H549" s="87"/>
      <c r="I549" s="87"/>
      <c r="J549" s="87"/>
      <c r="K549" s="88"/>
      <c r="L549" s="89"/>
      <c r="M549" s="90"/>
      <c r="N549" s="57"/>
      <c r="O549" s="57"/>
      <c r="P549" s="91"/>
    </row>
    <row r="550" spans="2:16" s="50" customFormat="1" ht="13.2">
      <c r="B550" s="86"/>
      <c r="C550" s="87"/>
      <c r="D550" s="87"/>
      <c r="E550" s="87"/>
      <c r="F550" s="87"/>
      <c r="G550" s="87"/>
      <c r="H550" s="87"/>
      <c r="I550" s="87"/>
      <c r="J550" s="87"/>
      <c r="K550" s="88"/>
      <c r="L550" s="89"/>
      <c r="M550" s="90"/>
      <c r="N550" s="57"/>
      <c r="O550" s="57"/>
      <c r="P550" s="91"/>
    </row>
    <row r="551" spans="2:16" s="50" customFormat="1" ht="13.2">
      <c r="B551" s="86"/>
      <c r="C551" s="87"/>
      <c r="D551" s="87"/>
      <c r="E551" s="87"/>
      <c r="F551" s="87"/>
      <c r="G551" s="87"/>
      <c r="H551" s="87"/>
      <c r="I551" s="87"/>
      <c r="J551" s="87"/>
      <c r="K551" s="88"/>
      <c r="L551" s="89"/>
      <c r="M551" s="90"/>
      <c r="N551" s="57"/>
      <c r="O551" s="57"/>
      <c r="P551" s="91"/>
    </row>
    <row r="552" spans="2:16" s="50" customFormat="1" ht="13.2">
      <c r="B552" s="86"/>
      <c r="C552" s="87"/>
      <c r="D552" s="87"/>
      <c r="E552" s="87"/>
      <c r="F552" s="87"/>
      <c r="G552" s="87"/>
      <c r="H552" s="87"/>
      <c r="I552" s="87"/>
      <c r="J552" s="87"/>
      <c r="K552" s="88"/>
      <c r="L552" s="89"/>
      <c r="M552" s="90"/>
      <c r="N552" s="57"/>
      <c r="O552" s="57"/>
      <c r="P552" s="91"/>
    </row>
    <row r="553" spans="2:16" s="50" customFormat="1" ht="13.2">
      <c r="B553" s="86"/>
      <c r="C553" s="87"/>
      <c r="D553" s="87"/>
      <c r="E553" s="87"/>
      <c r="F553" s="87"/>
      <c r="G553" s="87"/>
      <c r="H553" s="87"/>
      <c r="I553" s="87"/>
      <c r="J553" s="87"/>
      <c r="K553" s="88"/>
      <c r="L553" s="89"/>
      <c r="M553" s="90"/>
      <c r="N553" s="57"/>
      <c r="O553" s="57"/>
      <c r="P553" s="91"/>
    </row>
    <row r="554" spans="2:16" s="50" customFormat="1" ht="13.2">
      <c r="B554" s="86"/>
      <c r="C554" s="87"/>
      <c r="D554" s="87"/>
      <c r="E554" s="87"/>
      <c r="F554" s="87"/>
      <c r="G554" s="87"/>
      <c r="H554" s="87"/>
      <c r="I554" s="87"/>
      <c r="J554" s="87"/>
      <c r="K554" s="88"/>
      <c r="L554" s="89"/>
      <c r="M554" s="90"/>
      <c r="N554" s="57"/>
      <c r="O554" s="57"/>
      <c r="P554" s="91"/>
    </row>
    <row r="555" spans="2:16" s="50" customFormat="1" ht="13.2">
      <c r="B555" s="86"/>
      <c r="C555" s="87"/>
      <c r="D555" s="87"/>
      <c r="E555" s="87"/>
      <c r="F555" s="87"/>
      <c r="G555" s="87"/>
      <c r="H555" s="87"/>
      <c r="I555" s="87"/>
      <c r="J555" s="87"/>
      <c r="K555" s="88"/>
      <c r="L555" s="89"/>
      <c r="M555" s="90"/>
      <c r="N555" s="57"/>
      <c r="O555" s="57"/>
      <c r="P555" s="91"/>
    </row>
    <row r="556" spans="2:16" s="50" customFormat="1" ht="13.2">
      <c r="B556" s="86"/>
      <c r="C556" s="87"/>
      <c r="D556" s="87"/>
      <c r="E556" s="87"/>
      <c r="F556" s="87"/>
      <c r="G556" s="87"/>
      <c r="H556" s="87"/>
      <c r="I556" s="87"/>
      <c r="J556" s="87"/>
      <c r="K556" s="88"/>
      <c r="L556" s="89"/>
      <c r="M556" s="90"/>
      <c r="N556" s="57"/>
      <c r="O556" s="57"/>
      <c r="P556" s="91"/>
    </row>
    <row r="557" spans="2:16" s="50" customFormat="1" ht="13.2">
      <c r="B557" s="86"/>
      <c r="C557" s="87"/>
      <c r="D557" s="87"/>
      <c r="E557" s="87"/>
      <c r="F557" s="87"/>
      <c r="G557" s="87"/>
      <c r="H557" s="87"/>
      <c r="I557" s="87"/>
      <c r="J557" s="87"/>
      <c r="K557" s="88"/>
      <c r="L557" s="89"/>
      <c r="M557" s="90"/>
      <c r="N557" s="57"/>
      <c r="O557" s="57"/>
      <c r="P557" s="91"/>
    </row>
    <row r="558" spans="2:16" s="50" customFormat="1" ht="13.2">
      <c r="B558" s="86"/>
      <c r="C558" s="87"/>
      <c r="D558" s="87"/>
      <c r="E558" s="87"/>
      <c r="F558" s="87"/>
      <c r="G558" s="87"/>
      <c r="H558" s="87"/>
      <c r="I558" s="87"/>
      <c r="J558" s="87"/>
      <c r="K558" s="88"/>
      <c r="L558" s="89"/>
      <c r="M558" s="90"/>
      <c r="N558" s="57"/>
      <c r="O558" s="57"/>
      <c r="P558" s="91"/>
    </row>
    <row r="559" spans="2:16" s="50" customFormat="1" ht="13.2">
      <c r="B559" s="86"/>
      <c r="C559" s="87"/>
      <c r="D559" s="87"/>
      <c r="E559" s="87"/>
      <c r="F559" s="87"/>
      <c r="G559" s="87"/>
      <c r="H559" s="87"/>
      <c r="I559" s="87"/>
      <c r="J559" s="87"/>
      <c r="K559" s="88"/>
      <c r="L559" s="89"/>
      <c r="M559" s="90"/>
      <c r="N559" s="57"/>
      <c r="O559" s="57"/>
      <c r="P559" s="91"/>
    </row>
    <row r="560" spans="2:16" s="50" customFormat="1" ht="13.2">
      <c r="B560" s="86"/>
      <c r="C560" s="87"/>
      <c r="D560" s="87"/>
      <c r="E560" s="87"/>
      <c r="F560" s="87"/>
      <c r="G560" s="87"/>
      <c r="H560" s="87"/>
      <c r="I560" s="87"/>
      <c r="J560" s="87"/>
      <c r="K560" s="88"/>
      <c r="L560" s="89"/>
      <c r="M560" s="90"/>
      <c r="N560" s="57"/>
      <c r="O560" s="57"/>
      <c r="P560" s="91"/>
    </row>
    <row r="561" spans="2:16" s="50" customFormat="1" ht="13.2">
      <c r="B561" s="86"/>
      <c r="C561" s="87"/>
      <c r="D561" s="87"/>
      <c r="E561" s="87"/>
      <c r="F561" s="87"/>
      <c r="G561" s="87"/>
      <c r="H561" s="87"/>
      <c r="I561" s="87"/>
      <c r="J561" s="87"/>
      <c r="K561" s="88"/>
      <c r="L561" s="89"/>
      <c r="M561" s="90"/>
      <c r="N561" s="57"/>
      <c r="O561" s="57"/>
      <c r="P561" s="91"/>
    </row>
    <row r="562" spans="2:16" s="50" customFormat="1" ht="13.2">
      <c r="B562" s="86"/>
      <c r="C562" s="87"/>
      <c r="D562" s="87"/>
      <c r="E562" s="87"/>
      <c r="F562" s="87"/>
      <c r="G562" s="87"/>
      <c r="H562" s="87"/>
      <c r="I562" s="87"/>
      <c r="J562" s="87"/>
      <c r="K562" s="88"/>
      <c r="L562" s="89"/>
      <c r="M562" s="90"/>
      <c r="N562" s="57"/>
      <c r="O562" s="57"/>
      <c r="P562" s="91"/>
    </row>
    <row r="563" spans="2:16" s="50" customFormat="1" ht="13.2">
      <c r="B563" s="86"/>
      <c r="C563" s="87"/>
      <c r="D563" s="87"/>
      <c r="E563" s="87"/>
      <c r="F563" s="87"/>
      <c r="G563" s="87"/>
      <c r="H563" s="87"/>
      <c r="I563" s="87"/>
      <c r="J563" s="87"/>
      <c r="K563" s="88"/>
      <c r="L563" s="89"/>
      <c r="M563" s="90"/>
      <c r="N563" s="57"/>
      <c r="O563" s="57"/>
      <c r="P563" s="91"/>
    </row>
    <row r="564" spans="2:16" s="50" customFormat="1" ht="13.2">
      <c r="B564" s="86"/>
      <c r="C564" s="87"/>
      <c r="D564" s="87"/>
      <c r="E564" s="87"/>
      <c r="F564" s="87"/>
      <c r="G564" s="87"/>
      <c r="H564" s="87"/>
      <c r="I564" s="87"/>
      <c r="J564" s="87"/>
      <c r="K564" s="88"/>
      <c r="L564" s="89"/>
      <c r="M564" s="90"/>
      <c r="N564" s="57"/>
      <c r="O564" s="57"/>
      <c r="P564" s="91"/>
    </row>
    <row r="565" spans="2:16" s="50" customFormat="1" ht="13.2">
      <c r="B565" s="86"/>
      <c r="C565" s="87"/>
      <c r="D565" s="87"/>
      <c r="E565" s="87"/>
      <c r="F565" s="87"/>
      <c r="G565" s="87"/>
      <c r="H565" s="87"/>
      <c r="I565" s="87"/>
      <c r="J565" s="87"/>
      <c r="K565" s="88"/>
      <c r="L565" s="89"/>
      <c r="M565" s="90"/>
      <c r="N565" s="57"/>
      <c r="O565" s="57"/>
      <c r="P565" s="91"/>
    </row>
    <row r="566" spans="2:16" s="50" customFormat="1" ht="13.2">
      <c r="B566" s="86"/>
      <c r="C566" s="87"/>
      <c r="D566" s="87"/>
      <c r="E566" s="87"/>
      <c r="F566" s="87"/>
      <c r="G566" s="87"/>
      <c r="H566" s="87"/>
      <c r="I566" s="87"/>
      <c r="J566" s="87"/>
      <c r="K566" s="88"/>
      <c r="L566" s="89"/>
      <c r="M566" s="90"/>
      <c r="N566" s="57"/>
      <c r="O566" s="57"/>
      <c r="P566" s="91"/>
    </row>
    <row r="567" spans="2:16" s="50" customFormat="1" ht="13.2">
      <c r="B567" s="86"/>
      <c r="C567" s="87"/>
      <c r="D567" s="87"/>
      <c r="E567" s="87"/>
      <c r="F567" s="87"/>
      <c r="G567" s="87"/>
      <c r="H567" s="87"/>
      <c r="I567" s="87"/>
      <c r="J567" s="87"/>
      <c r="K567" s="88"/>
      <c r="L567" s="89"/>
      <c r="M567" s="90"/>
      <c r="N567" s="57"/>
      <c r="O567" s="57"/>
      <c r="P567" s="91"/>
    </row>
    <row r="568" spans="2:16" s="50" customFormat="1" ht="13.2">
      <c r="B568" s="86"/>
      <c r="C568" s="87"/>
      <c r="D568" s="87"/>
      <c r="E568" s="87"/>
      <c r="F568" s="87"/>
      <c r="G568" s="87"/>
      <c r="H568" s="87"/>
      <c r="I568" s="87"/>
      <c r="J568" s="87"/>
      <c r="K568" s="88"/>
      <c r="L568" s="89"/>
      <c r="M568" s="90"/>
      <c r="N568" s="57"/>
      <c r="O568" s="57"/>
      <c r="P568" s="91"/>
    </row>
    <row r="569" spans="2:16" s="50" customFormat="1" ht="13.2">
      <c r="B569" s="86"/>
      <c r="C569" s="87"/>
      <c r="D569" s="87"/>
      <c r="E569" s="87"/>
      <c r="F569" s="87"/>
      <c r="G569" s="87"/>
      <c r="H569" s="87"/>
      <c r="I569" s="87"/>
      <c r="J569" s="87"/>
      <c r="K569" s="88"/>
      <c r="L569" s="89"/>
      <c r="M569" s="90"/>
      <c r="N569" s="57"/>
      <c r="O569" s="57"/>
      <c r="P569" s="91"/>
    </row>
    <row r="570" spans="2:16" s="50" customFormat="1" ht="13.2">
      <c r="B570" s="86"/>
      <c r="C570" s="87"/>
      <c r="D570" s="87"/>
      <c r="E570" s="87"/>
      <c r="F570" s="87"/>
      <c r="G570" s="87"/>
      <c r="H570" s="87"/>
      <c r="I570" s="87"/>
      <c r="J570" s="87"/>
      <c r="K570" s="88"/>
      <c r="L570" s="89"/>
      <c r="M570" s="90"/>
      <c r="N570" s="57"/>
      <c r="O570" s="57"/>
      <c r="P570" s="91"/>
    </row>
    <row r="571" spans="2:16" s="50" customFormat="1" ht="13.2">
      <c r="B571" s="86"/>
      <c r="C571" s="87"/>
      <c r="D571" s="87"/>
      <c r="E571" s="87"/>
      <c r="F571" s="87"/>
      <c r="G571" s="87"/>
      <c r="H571" s="87"/>
      <c r="I571" s="87"/>
      <c r="J571" s="87"/>
      <c r="K571" s="88"/>
      <c r="L571" s="89"/>
      <c r="M571" s="90"/>
      <c r="N571" s="57"/>
      <c r="O571" s="57"/>
      <c r="P571" s="91"/>
    </row>
    <row r="572" spans="2:16" s="50" customFormat="1" ht="13.2">
      <c r="B572" s="86"/>
      <c r="C572" s="87"/>
      <c r="D572" s="87"/>
      <c r="E572" s="87"/>
      <c r="F572" s="87"/>
      <c r="G572" s="87"/>
      <c r="H572" s="87"/>
      <c r="I572" s="87"/>
      <c r="J572" s="87"/>
      <c r="K572" s="88"/>
      <c r="L572" s="89"/>
      <c r="M572" s="90"/>
      <c r="N572" s="57"/>
      <c r="O572" s="57"/>
      <c r="P572" s="91"/>
    </row>
    <row r="573" spans="2:16" s="50" customFormat="1" ht="13.2">
      <c r="B573" s="86"/>
      <c r="C573" s="87"/>
      <c r="D573" s="87"/>
      <c r="E573" s="87"/>
      <c r="F573" s="87"/>
      <c r="G573" s="87"/>
      <c r="H573" s="87"/>
      <c r="I573" s="87"/>
      <c r="J573" s="87"/>
      <c r="K573" s="88"/>
      <c r="L573" s="89"/>
      <c r="M573" s="90"/>
      <c r="N573" s="57"/>
      <c r="O573" s="57"/>
      <c r="P573" s="91"/>
    </row>
    <row r="574" spans="2:16" s="50" customFormat="1" ht="13.2">
      <c r="B574" s="86"/>
      <c r="C574" s="87"/>
      <c r="D574" s="87"/>
      <c r="E574" s="87"/>
      <c r="F574" s="87"/>
      <c r="G574" s="87"/>
      <c r="H574" s="87"/>
      <c r="I574" s="87"/>
      <c r="J574" s="87"/>
      <c r="K574" s="88"/>
      <c r="L574" s="89"/>
      <c r="M574" s="90"/>
      <c r="N574" s="57"/>
      <c r="O574" s="57"/>
      <c r="P574" s="91"/>
    </row>
    <row r="575" spans="2:16" s="50" customFormat="1" ht="13.2">
      <c r="B575" s="86"/>
      <c r="C575" s="87"/>
      <c r="D575" s="87"/>
      <c r="E575" s="87"/>
      <c r="F575" s="87"/>
      <c r="G575" s="87"/>
      <c r="H575" s="87"/>
      <c r="I575" s="87"/>
      <c r="J575" s="87"/>
      <c r="K575" s="88"/>
      <c r="L575" s="89"/>
      <c r="M575" s="90"/>
      <c r="N575" s="57"/>
      <c r="O575" s="57"/>
      <c r="P575" s="91"/>
    </row>
    <row r="576" spans="2:16" s="50" customFormat="1" ht="13.2">
      <c r="B576" s="86"/>
      <c r="C576" s="87"/>
      <c r="D576" s="87"/>
      <c r="E576" s="87"/>
      <c r="F576" s="87"/>
      <c r="G576" s="87"/>
      <c r="H576" s="87"/>
      <c r="I576" s="87"/>
      <c r="J576" s="87"/>
      <c r="K576" s="88"/>
      <c r="L576" s="89"/>
      <c r="M576" s="90"/>
      <c r="N576" s="57"/>
      <c r="O576" s="57"/>
      <c r="P576" s="91"/>
    </row>
    <row r="577" spans="2:16" s="50" customFormat="1" ht="13.2">
      <c r="B577" s="86"/>
      <c r="C577" s="87"/>
      <c r="D577" s="87"/>
      <c r="E577" s="87"/>
      <c r="F577" s="87"/>
      <c r="G577" s="87"/>
      <c r="H577" s="87"/>
      <c r="I577" s="87"/>
      <c r="J577" s="87"/>
      <c r="K577" s="88"/>
      <c r="L577" s="89"/>
      <c r="M577" s="90"/>
      <c r="N577" s="57"/>
      <c r="O577" s="57"/>
      <c r="P577" s="91"/>
    </row>
    <row r="578" spans="2:16" s="50" customFormat="1" ht="13.2">
      <c r="B578" s="86"/>
      <c r="C578" s="87"/>
      <c r="D578" s="87"/>
      <c r="E578" s="87"/>
      <c r="F578" s="87"/>
      <c r="G578" s="87"/>
      <c r="H578" s="87"/>
      <c r="I578" s="87"/>
      <c r="J578" s="87"/>
      <c r="K578" s="88"/>
      <c r="L578" s="89"/>
      <c r="M578" s="90"/>
      <c r="N578" s="57"/>
      <c r="O578" s="57"/>
      <c r="P578" s="91"/>
    </row>
    <row r="579" spans="2:16" s="50" customFormat="1" ht="13.2">
      <c r="B579" s="86"/>
      <c r="C579" s="87"/>
      <c r="D579" s="87"/>
      <c r="E579" s="87"/>
      <c r="F579" s="87"/>
      <c r="G579" s="87"/>
      <c r="H579" s="87"/>
      <c r="I579" s="87"/>
      <c r="J579" s="87"/>
      <c r="K579" s="88"/>
      <c r="L579" s="89"/>
      <c r="M579" s="90"/>
      <c r="N579" s="57"/>
      <c r="O579" s="57"/>
      <c r="P579" s="91"/>
    </row>
    <row r="580" spans="2:16" s="50" customFormat="1" ht="13.2">
      <c r="B580" s="86"/>
      <c r="C580" s="87"/>
      <c r="D580" s="87"/>
      <c r="E580" s="87"/>
      <c r="F580" s="87"/>
      <c r="G580" s="87"/>
      <c r="H580" s="87"/>
      <c r="I580" s="87"/>
      <c r="J580" s="87"/>
      <c r="K580" s="88"/>
      <c r="L580" s="89"/>
      <c r="M580" s="90"/>
      <c r="N580" s="57"/>
      <c r="O580" s="57"/>
      <c r="P580" s="91"/>
    </row>
    <row r="581" spans="2:16" s="50" customFormat="1" ht="13.2">
      <c r="B581" s="86"/>
      <c r="C581" s="87"/>
      <c r="D581" s="87"/>
      <c r="E581" s="87"/>
      <c r="F581" s="87"/>
      <c r="G581" s="87"/>
      <c r="H581" s="87"/>
      <c r="I581" s="87"/>
      <c r="J581" s="87"/>
      <c r="K581" s="88"/>
      <c r="L581" s="89"/>
      <c r="M581" s="90"/>
      <c r="N581" s="57"/>
      <c r="O581" s="57"/>
      <c r="P581" s="91"/>
    </row>
    <row r="582" spans="2:16" s="50" customFormat="1" ht="13.2">
      <c r="B582" s="86"/>
      <c r="C582" s="87"/>
      <c r="D582" s="87"/>
      <c r="E582" s="87"/>
      <c r="F582" s="87"/>
      <c r="G582" s="87"/>
      <c r="H582" s="87"/>
      <c r="I582" s="87"/>
      <c r="J582" s="87"/>
      <c r="K582" s="88"/>
      <c r="L582" s="89"/>
      <c r="M582" s="90"/>
      <c r="N582" s="57"/>
      <c r="O582" s="57"/>
      <c r="P582" s="91"/>
    </row>
    <row r="583" spans="2:16" s="50" customFormat="1" ht="13.2">
      <c r="B583" s="86"/>
      <c r="C583" s="87"/>
      <c r="D583" s="87"/>
      <c r="E583" s="87"/>
      <c r="F583" s="87"/>
      <c r="G583" s="87"/>
      <c r="H583" s="87"/>
      <c r="I583" s="87"/>
      <c r="J583" s="87"/>
      <c r="K583" s="88"/>
      <c r="L583" s="89"/>
      <c r="M583" s="90"/>
      <c r="N583" s="57"/>
      <c r="O583" s="57"/>
      <c r="P583" s="91"/>
    </row>
    <row r="584" spans="2:16" s="50" customFormat="1" ht="13.2">
      <c r="B584" s="86"/>
      <c r="C584" s="87"/>
      <c r="D584" s="87"/>
      <c r="E584" s="87"/>
      <c r="F584" s="87"/>
      <c r="G584" s="87"/>
      <c r="H584" s="87"/>
      <c r="I584" s="87"/>
      <c r="J584" s="87"/>
      <c r="K584" s="88"/>
      <c r="L584" s="89"/>
      <c r="M584" s="90"/>
      <c r="N584" s="57"/>
      <c r="O584" s="57"/>
      <c r="P584" s="91"/>
    </row>
    <row r="585" spans="2:16" s="50" customFormat="1" ht="13.2">
      <c r="B585" s="86"/>
      <c r="C585" s="87"/>
      <c r="D585" s="87"/>
      <c r="E585" s="87"/>
      <c r="F585" s="87"/>
      <c r="G585" s="87"/>
      <c r="H585" s="87"/>
      <c r="I585" s="87"/>
      <c r="J585" s="87"/>
      <c r="K585" s="88"/>
      <c r="L585" s="89"/>
      <c r="M585" s="90"/>
      <c r="N585" s="57"/>
      <c r="O585" s="57"/>
      <c r="P585" s="91"/>
    </row>
    <row r="586" spans="2:16" s="50" customFormat="1" ht="13.2">
      <c r="B586" s="86"/>
      <c r="C586" s="87"/>
      <c r="D586" s="87"/>
      <c r="E586" s="87"/>
      <c r="F586" s="87"/>
      <c r="G586" s="87"/>
      <c r="H586" s="87"/>
      <c r="I586" s="87"/>
      <c r="J586" s="87"/>
      <c r="K586" s="88"/>
      <c r="L586" s="89"/>
      <c r="M586" s="90"/>
      <c r="N586" s="57"/>
      <c r="O586" s="57"/>
      <c r="P586" s="91"/>
    </row>
    <row r="587" spans="2:16" s="50" customFormat="1" ht="13.2">
      <c r="B587" s="86"/>
      <c r="C587" s="87"/>
      <c r="D587" s="87"/>
      <c r="E587" s="87"/>
      <c r="F587" s="87"/>
      <c r="G587" s="87"/>
      <c r="H587" s="87"/>
      <c r="I587" s="87"/>
      <c r="J587" s="87"/>
      <c r="K587" s="88"/>
      <c r="L587" s="89"/>
      <c r="M587" s="90"/>
      <c r="N587" s="57"/>
      <c r="O587" s="57"/>
      <c r="P587" s="91"/>
    </row>
    <row r="588" spans="2:16" s="50" customFormat="1" ht="13.2">
      <c r="B588" s="86"/>
      <c r="C588" s="87"/>
      <c r="D588" s="87"/>
      <c r="E588" s="87"/>
      <c r="F588" s="87"/>
      <c r="G588" s="87"/>
      <c r="H588" s="87"/>
      <c r="I588" s="87"/>
      <c r="J588" s="87"/>
      <c r="K588" s="88"/>
      <c r="L588" s="89"/>
      <c r="M588" s="90"/>
      <c r="N588" s="57"/>
      <c r="O588" s="57"/>
      <c r="P588" s="91"/>
    </row>
    <row r="589" spans="2:16" s="50" customFormat="1" ht="13.2">
      <c r="B589" s="86"/>
      <c r="C589" s="87"/>
      <c r="D589" s="87"/>
      <c r="E589" s="87"/>
      <c r="F589" s="87"/>
      <c r="G589" s="87"/>
      <c r="H589" s="87"/>
      <c r="I589" s="87"/>
      <c r="J589" s="87"/>
      <c r="K589" s="88"/>
      <c r="L589" s="89"/>
      <c r="M589" s="90"/>
      <c r="N589" s="57"/>
      <c r="O589" s="57"/>
      <c r="P589" s="91"/>
    </row>
    <row r="590" spans="2:16" s="50" customFormat="1" ht="13.2">
      <c r="B590" s="86"/>
      <c r="C590" s="87"/>
      <c r="D590" s="87"/>
      <c r="E590" s="87"/>
      <c r="F590" s="87"/>
      <c r="G590" s="87"/>
      <c r="H590" s="87"/>
      <c r="I590" s="87"/>
      <c r="J590" s="87"/>
      <c r="K590" s="88"/>
      <c r="L590" s="89"/>
      <c r="M590" s="90"/>
      <c r="N590" s="57"/>
      <c r="O590" s="57"/>
      <c r="P590" s="91"/>
    </row>
    <row r="591" spans="2:16" s="50" customFormat="1" ht="13.2">
      <c r="B591" s="86"/>
      <c r="C591" s="87"/>
      <c r="D591" s="87"/>
      <c r="E591" s="87"/>
      <c r="F591" s="87"/>
      <c r="G591" s="87"/>
      <c r="H591" s="87"/>
      <c r="I591" s="87"/>
      <c r="J591" s="87"/>
      <c r="K591" s="88"/>
      <c r="L591" s="89"/>
      <c r="M591" s="90"/>
      <c r="N591" s="57"/>
      <c r="O591" s="57"/>
      <c r="P591" s="91"/>
    </row>
    <row r="592" spans="2:16" s="50" customFormat="1" ht="13.2">
      <c r="B592" s="86"/>
      <c r="C592" s="87"/>
      <c r="D592" s="87"/>
      <c r="E592" s="87"/>
      <c r="F592" s="87"/>
      <c r="G592" s="87"/>
      <c r="H592" s="87"/>
      <c r="I592" s="87"/>
      <c r="J592" s="87"/>
      <c r="K592" s="88"/>
      <c r="L592" s="89"/>
      <c r="M592" s="90"/>
      <c r="N592" s="57"/>
      <c r="O592" s="57"/>
      <c r="P592" s="91"/>
    </row>
    <row r="593" spans="2:16" s="50" customFormat="1" ht="13.2">
      <c r="B593" s="86"/>
      <c r="C593" s="87"/>
      <c r="D593" s="87"/>
      <c r="E593" s="87"/>
      <c r="F593" s="87"/>
      <c r="G593" s="87"/>
      <c r="H593" s="87"/>
      <c r="I593" s="87"/>
      <c r="J593" s="87"/>
      <c r="K593" s="88"/>
      <c r="L593" s="89"/>
      <c r="M593" s="90"/>
      <c r="N593" s="57"/>
      <c r="O593" s="57"/>
      <c r="P593" s="91"/>
    </row>
    <row r="594" spans="2:16" s="50" customFormat="1" ht="13.2">
      <c r="B594" s="86"/>
      <c r="C594" s="87"/>
      <c r="D594" s="87"/>
      <c r="E594" s="87"/>
      <c r="F594" s="87"/>
      <c r="G594" s="87"/>
      <c r="H594" s="87"/>
      <c r="I594" s="87"/>
      <c r="J594" s="87"/>
      <c r="K594" s="88"/>
      <c r="L594" s="89"/>
      <c r="M594" s="90"/>
      <c r="N594" s="57"/>
      <c r="O594" s="57"/>
      <c r="P594" s="91"/>
    </row>
    <row r="595" spans="2:16" s="50" customFormat="1" ht="13.2">
      <c r="B595" s="86"/>
      <c r="C595" s="87"/>
      <c r="D595" s="87"/>
      <c r="E595" s="87"/>
      <c r="F595" s="87"/>
      <c r="G595" s="87"/>
      <c r="H595" s="87"/>
      <c r="I595" s="87"/>
      <c r="J595" s="87"/>
      <c r="K595" s="88"/>
      <c r="L595" s="89"/>
      <c r="M595" s="90"/>
      <c r="N595" s="57"/>
      <c r="O595" s="57"/>
      <c r="P595" s="91"/>
    </row>
    <row r="596" spans="2:16" s="50" customFormat="1" ht="13.2">
      <c r="B596" s="86"/>
      <c r="C596" s="87"/>
      <c r="D596" s="87"/>
      <c r="E596" s="87"/>
      <c r="F596" s="87"/>
      <c r="G596" s="87"/>
      <c r="H596" s="87"/>
      <c r="I596" s="87"/>
      <c r="J596" s="87"/>
      <c r="K596" s="88"/>
      <c r="L596" s="89"/>
      <c r="M596" s="90"/>
      <c r="N596" s="57"/>
      <c r="O596" s="57"/>
      <c r="P596" s="91"/>
    </row>
    <row r="597" spans="2:16" s="50" customFormat="1" ht="13.2">
      <c r="B597" s="86"/>
      <c r="C597" s="87"/>
      <c r="D597" s="87"/>
      <c r="E597" s="87"/>
      <c r="F597" s="87"/>
      <c r="G597" s="87"/>
      <c r="H597" s="87"/>
      <c r="I597" s="87"/>
      <c r="J597" s="87"/>
      <c r="K597" s="88"/>
      <c r="L597" s="89"/>
      <c r="M597" s="90"/>
      <c r="N597" s="57"/>
      <c r="O597" s="57"/>
      <c r="P597" s="91"/>
    </row>
    <row r="598" spans="2:16" s="50" customFormat="1" ht="13.2">
      <c r="B598" s="86"/>
      <c r="C598" s="87"/>
      <c r="D598" s="87"/>
      <c r="E598" s="87"/>
      <c r="F598" s="87"/>
      <c r="G598" s="87"/>
      <c r="H598" s="87"/>
      <c r="I598" s="87"/>
      <c r="J598" s="87"/>
      <c r="K598" s="88"/>
      <c r="L598" s="89"/>
      <c r="M598" s="90"/>
      <c r="N598" s="57"/>
      <c r="O598" s="57"/>
      <c r="P598" s="91"/>
    </row>
    <row r="599" spans="2:16" s="50" customFormat="1" ht="13.2">
      <c r="B599" s="86"/>
      <c r="C599" s="87"/>
      <c r="D599" s="87"/>
      <c r="E599" s="87"/>
      <c r="F599" s="87"/>
      <c r="G599" s="87"/>
      <c r="H599" s="87"/>
      <c r="I599" s="87"/>
      <c r="J599" s="87"/>
      <c r="K599" s="88"/>
      <c r="L599" s="89"/>
      <c r="M599" s="90"/>
      <c r="N599" s="57"/>
      <c r="O599" s="57"/>
      <c r="P599" s="91"/>
    </row>
    <row r="600" spans="2:16" s="50" customFormat="1" ht="13.2">
      <c r="B600" s="86"/>
      <c r="C600" s="87"/>
      <c r="D600" s="87"/>
      <c r="E600" s="87"/>
      <c r="F600" s="87"/>
      <c r="G600" s="87"/>
      <c r="H600" s="87"/>
      <c r="I600" s="87"/>
      <c r="J600" s="87"/>
      <c r="K600" s="88"/>
      <c r="L600" s="89"/>
      <c r="M600" s="90"/>
      <c r="N600" s="57"/>
      <c r="O600" s="57"/>
      <c r="P600" s="91"/>
    </row>
    <row r="601" spans="2:16" s="50" customFormat="1" ht="13.2">
      <c r="B601" s="86"/>
      <c r="C601" s="87"/>
      <c r="D601" s="87"/>
      <c r="E601" s="87"/>
      <c r="F601" s="87"/>
      <c r="G601" s="87"/>
      <c r="H601" s="87"/>
      <c r="I601" s="87"/>
      <c r="J601" s="87"/>
      <c r="K601" s="88"/>
      <c r="L601" s="89"/>
      <c r="M601" s="90"/>
      <c r="N601" s="57"/>
      <c r="O601" s="57"/>
      <c r="P601" s="91"/>
    </row>
    <row r="602" spans="2:16" s="50" customFormat="1" ht="13.2">
      <c r="B602" s="86"/>
      <c r="C602" s="87"/>
      <c r="D602" s="87"/>
      <c r="E602" s="87"/>
      <c r="F602" s="87"/>
      <c r="G602" s="87"/>
      <c r="H602" s="87"/>
      <c r="I602" s="87"/>
      <c r="J602" s="87"/>
      <c r="K602" s="88"/>
      <c r="L602" s="89"/>
      <c r="M602" s="90"/>
      <c r="N602" s="57"/>
      <c r="O602" s="57"/>
      <c r="P602" s="91"/>
    </row>
    <row r="603" spans="2:16" s="50" customFormat="1" ht="13.2">
      <c r="B603" s="86"/>
      <c r="C603" s="87"/>
      <c r="D603" s="87"/>
      <c r="E603" s="87"/>
      <c r="F603" s="87"/>
      <c r="G603" s="87"/>
      <c r="H603" s="87"/>
      <c r="I603" s="87"/>
      <c r="J603" s="87"/>
      <c r="K603" s="88"/>
      <c r="L603" s="89"/>
      <c r="M603" s="90"/>
      <c r="N603" s="57"/>
      <c r="O603" s="57"/>
      <c r="P603" s="91"/>
    </row>
    <row r="604" spans="2:16" s="50" customFormat="1" ht="13.2">
      <c r="B604" s="86"/>
      <c r="C604" s="87"/>
      <c r="D604" s="87"/>
      <c r="E604" s="87"/>
      <c r="F604" s="87"/>
      <c r="G604" s="87"/>
      <c r="H604" s="87"/>
      <c r="I604" s="87"/>
      <c r="J604" s="87"/>
      <c r="K604" s="88"/>
      <c r="L604" s="89"/>
      <c r="M604" s="90"/>
      <c r="N604" s="57"/>
      <c r="O604" s="57"/>
      <c r="P604" s="91"/>
    </row>
    <row r="605" spans="2:16" s="50" customFormat="1" ht="13.2">
      <c r="B605" s="86"/>
      <c r="C605" s="87"/>
      <c r="D605" s="87"/>
      <c r="E605" s="87"/>
      <c r="F605" s="87"/>
      <c r="G605" s="87"/>
      <c r="H605" s="87"/>
      <c r="I605" s="87"/>
      <c r="J605" s="87"/>
      <c r="K605" s="88"/>
      <c r="L605" s="89"/>
      <c r="M605" s="90"/>
      <c r="N605" s="57"/>
      <c r="O605" s="57"/>
      <c r="P605" s="91"/>
    </row>
    <row r="606" spans="2:16" s="50" customFormat="1" ht="13.2">
      <c r="B606" s="86"/>
      <c r="C606" s="87"/>
      <c r="D606" s="87"/>
      <c r="E606" s="87"/>
      <c r="F606" s="87"/>
      <c r="G606" s="87"/>
      <c r="H606" s="87"/>
      <c r="I606" s="87"/>
      <c r="J606" s="87"/>
      <c r="K606" s="88"/>
      <c r="L606" s="89"/>
      <c r="M606" s="90"/>
      <c r="N606" s="57"/>
      <c r="O606" s="57"/>
      <c r="P606" s="91"/>
    </row>
    <row r="607" spans="2:16" s="50" customFormat="1" ht="13.2">
      <c r="B607" s="86"/>
      <c r="C607" s="87"/>
      <c r="D607" s="87"/>
      <c r="E607" s="87"/>
      <c r="F607" s="87"/>
      <c r="G607" s="87"/>
      <c r="H607" s="87"/>
      <c r="I607" s="87"/>
      <c r="J607" s="87"/>
      <c r="K607" s="88"/>
      <c r="L607" s="89"/>
      <c r="M607" s="90"/>
      <c r="N607" s="57"/>
      <c r="O607" s="57"/>
      <c r="P607" s="91"/>
    </row>
    <row r="608" spans="2:16" s="50" customFormat="1" ht="13.2">
      <c r="B608" s="86"/>
      <c r="C608" s="87"/>
      <c r="D608" s="87"/>
      <c r="E608" s="87"/>
      <c r="F608" s="87"/>
      <c r="G608" s="87"/>
      <c r="H608" s="87"/>
      <c r="I608" s="87"/>
      <c r="J608" s="87"/>
      <c r="K608" s="88"/>
      <c r="L608" s="89"/>
      <c r="M608" s="90"/>
      <c r="N608" s="57"/>
      <c r="O608" s="57"/>
      <c r="P608" s="91"/>
    </row>
    <row r="609" spans="2:16" s="50" customFormat="1" ht="13.2">
      <c r="B609" s="86"/>
      <c r="C609" s="87"/>
      <c r="D609" s="87"/>
      <c r="E609" s="87"/>
      <c r="F609" s="87"/>
      <c r="G609" s="87"/>
      <c r="H609" s="87"/>
      <c r="I609" s="87"/>
      <c r="J609" s="87"/>
      <c r="K609" s="88"/>
      <c r="L609" s="89"/>
      <c r="M609" s="90"/>
      <c r="N609" s="57"/>
      <c r="O609" s="57"/>
      <c r="P609" s="91"/>
    </row>
    <row r="610" spans="2:16" s="50" customFormat="1" ht="13.2">
      <c r="B610" s="86"/>
      <c r="C610" s="87"/>
      <c r="D610" s="87"/>
      <c r="E610" s="87"/>
      <c r="F610" s="87"/>
      <c r="G610" s="87"/>
      <c r="H610" s="87"/>
      <c r="I610" s="87"/>
      <c r="J610" s="87"/>
      <c r="K610" s="88"/>
      <c r="L610" s="89"/>
      <c r="M610" s="90"/>
      <c r="N610" s="57"/>
      <c r="O610" s="57"/>
      <c r="P610" s="91"/>
    </row>
    <row r="611" spans="2:16" s="50" customFormat="1" ht="13.2">
      <c r="B611" s="86"/>
      <c r="C611" s="87"/>
      <c r="D611" s="87"/>
      <c r="E611" s="87"/>
      <c r="F611" s="87"/>
      <c r="G611" s="87"/>
      <c r="H611" s="87"/>
      <c r="I611" s="87"/>
      <c r="J611" s="87"/>
      <c r="K611" s="88"/>
      <c r="L611" s="89"/>
      <c r="M611" s="90"/>
      <c r="N611" s="57"/>
      <c r="O611" s="57"/>
      <c r="P611" s="91"/>
    </row>
    <row r="612" spans="2:16" s="50" customFormat="1" ht="13.2">
      <c r="B612" s="86"/>
      <c r="C612" s="87"/>
      <c r="D612" s="87"/>
      <c r="E612" s="87"/>
      <c r="F612" s="87"/>
      <c r="G612" s="87"/>
      <c r="H612" s="87"/>
      <c r="I612" s="87"/>
      <c r="J612" s="87"/>
      <c r="K612" s="88"/>
      <c r="L612" s="89"/>
      <c r="M612" s="90"/>
      <c r="N612" s="57"/>
      <c r="O612" s="57"/>
      <c r="P612" s="91"/>
    </row>
    <row r="613" spans="2:16" s="50" customFormat="1" ht="13.2">
      <c r="B613" s="86"/>
      <c r="C613" s="87"/>
      <c r="D613" s="87"/>
      <c r="E613" s="87"/>
      <c r="F613" s="87"/>
      <c r="G613" s="87"/>
      <c r="H613" s="87"/>
      <c r="I613" s="87"/>
      <c r="J613" s="87"/>
      <c r="K613" s="88"/>
      <c r="L613" s="89"/>
      <c r="M613" s="90"/>
      <c r="N613" s="57"/>
      <c r="O613" s="57"/>
      <c r="P613" s="91"/>
    </row>
    <row r="614" spans="2:16" s="50" customFormat="1" ht="13.2">
      <c r="B614" s="86"/>
      <c r="C614" s="87"/>
      <c r="D614" s="87"/>
      <c r="E614" s="87"/>
      <c r="F614" s="87"/>
      <c r="G614" s="87"/>
      <c r="H614" s="87"/>
      <c r="I614" s="87"/>
      <c r="J614" s="87"/>
      <c r="K614" s="88"/>
      <c r="L614" s="89"/>
      <c r="M614" s="90"/>
      <c r="N614" s="57"/>
      <c r="O614" s="57"/>
      <c r="P614" s="91"/>
    </row>
    <row r="615" spans="2:16" s="50" customFormat="1" ht="13.2">
      <c r="B615" s="86"/>
      <c r="C615" s="87"/>
      <c r="D615" s="87"/>
      <c r="E615" s="87"/>
      <c r="F615" s="87"/>
      <c r="G615" s="87"/>
      <c r="H615" s="87"/>
      <c r="I615" s="87"/>
      <c r="J615" s="87"/>
      <c r="K615" s="88"/>
      <c r="L615" s="89"/>
      <c r="M615" s="90"/>
      <c r="N615" s="57"/>
      <c r="O615" s="57"/>
      <c r="P615" s="91"/>
    </row>
    <row r="616" spans="2:16" s="50" customFormat="1" ht="13.2">
      <c r="B616" s="86"/>
      <c r="C616" s="87"/>
      <c r="D616" s="87"/>
      <c r="E616" s="87"/>
      <c r="F616" s="87"/>
      <c r="G616" s="87"/>
      <c r="H616" s="87"/>
      <c r="I616" s="87"/>
      <c r="J616" s="87"/>
      <c r="K616" s="88"/>
      <c r="L616" s="89"/>
      <c r="M616" s="90"/>
      <c r="N616" s="57"/>
      <c r="O616" s="57"/>
      <c r="P616" s="91"/>
    </row>
    <row r="617" spans="2:16" s="50" customFormat="1" ht="13.2">
      <c r="B617" s="86"/>
      <c r="C617" s="87"/>
      <c r="D617" s="87"/>
      <c r="E617" s="87"/>
      <c r="F617" s="87"/>
      <c r="G617" s="87"/>
      <c r="H617" s="87"/>
      <c r="I617" s="87"/>
      <c r="J617" s="87"/>
      <c r="K617" s="88"/>
      <c r="L617" s="89"/>
      <c r="M617" s="90"/>
      <c r="N617" s="57"/>
      <c r="O617" s="57"/>
      <c r="P617" s="91"/>
    </row>
    <row r="618" spans="2:16" s="50" customFormat="1" ht="13.2">
      <c r="B618" s="86"/>
      <c r="C618" s="87"/>
      <c r="D618" s="87"/>
      <c r="E618" s="87"/>
      <c r="F618" s="87"/>
      <c r="G618" s="87"/>
      <c r="H618" s="87"/>
      <c r="I618" s="87"/>
      <c r="J618" s="87"/>
      <c r="K618" s="88"/>
      <c r="L618" s="89"/>
      <c r="M618" s="90"/>
      <c r="N618" s="57"/>
      <c r="O618" s="57"/>
      <c r="P618" s="91"/>
    </row>
    <row r="619" spans="2:16" s="50" customFormat="1" ht="13.2">
      <c r="B619" s="86"/>
      <c r="C619" s="87"/>
      <c r="D619" s="87"/>
      <c r="E619" s="87"/>
      <c r="F619" s="87"/>
      <c r="G619" s="87"/>
      <c r="H619" s="87"/>
      <c r="I619" s="87"/>
      <c r="J619" s="87"/>
      <c r="K619" s="88"/>
      <c r="L619" s="89"/>
      <c r="M619" s="90"/>
      <c r="N619" s="57"/>
      <c r="O619" s="57"/>
      <c r="P619" s="91"/>
    </row>
    <row r="620" spans="2:16" s="50" customFormat="1" ht="13.2">
      <c r="B620" s="86"/>
      <c r="C620" s="87"/>
      <c r="D620" s="87"/>
      <c r="E620" s="87"/>
      <c r="F620" s="87"/>
      <c r="G620" s="87"/>
      <c r="H620" s="87"/>
      <c r="I620" s="87"/>
      <c r="J620" s="87"/>
      <c r="K620" s="88"/>
      <c r="L620" s="89"/>
      <c r="M620" s="90"/>
      <c r="N620" s="57"/>
      <c r="O620" s="57"/>
      <c r="P620" s="91"/>
    </row>
    <row r="621" spans="2:16" s="50" customFormat="1" ht="13.2">
      <c r="B621" s="86"/>
      <c r="C621" s="87"/>
      <c r="D621" s="87"/>
      <c r="E621" s="87"/>
      <c r="F621" s="87"/>
      <c r="G621" s="87"/>
      <c r="H621" s="87"/>
      <c r="I621" s="87"/>
      <c r="J621" s="87"/>
      <c r="K621" s="88"/>
      <c r="L621" s="89"/>
      <c r="M621" s="90"/>
      <c r="N621" s="57"/>
      <c r="O621" s="57"/>
      <c r="P621" s="91"/>
    </row>
    <row r="622" spans="2:16" s="50" customFormat="1" ht="13.2">
      <c r="B622" s="86"/>
      <c r="C622" s="87"/>
      <c r="D622" s="87"/>
      <c r="E622" s="87"/>
      <c r="F622" s="87"/>
      <c r="G622" s="87"/>
      <c r="H622" s="87"/>
      <c r="I622" s="87"/>
      <c r="J622" s="87"/>
      <c r="K622" s="88"/>
      <c r="L622" s="89"/>
      <c r="M622" s="90"/>
      <c r="N622" s="57"/>
      <c r="O622" s="57"/>
      <c r="P622" s="91"/>
    </row>
    <row r="623" spans="2:16" s="50" customFormat="1" ht="13.2">
      <c r="B623" s="86"/>
      <c r="C623" s="87"/>
      <c r="D623" s="87"/>
      <c r="E623" s="87"/>
      <c r="F623" s="87"/>
      <c r="G623" s="87"/>
      <c r="H623" s="87"/>
      <c r="I623" s="87"/>
      <c r="J623" s="87"/>
      <c r="K623" s="88"/>
      <c r="L623" s="89"/>
      <c r="M623" s="90"/>
      <c r="N623" s="57"/>
      <c r="O623" s="57"/>
      <c r="P623" s="91"/>
    </row>
    <row r="624" spans="2:16" s="50" customFormat="1" ht="13.2">
      <c r="B624" s="86"/>
      <c r="C624" s="87"/>
      <c r="D624" s="87"/>
      <c r="E624" s="87"/>
      <c r="F624" s="87"/>
      <c r="G624" s="87"/>
      <c r="H624" s="87"/>
      <c r="I624" s="87"/>
      <c r="J624" s="87"/>
      <c r="K624" s="88"/>
      <c r="L624" s="89"/>
      <c r="M624" s="90"/>
      <c r="N624" s="57"/>
      <c r="O624" s="57"/>
      <c r="P624" s="91"/>
    </row>
    <row r="625" spans="2:16" s="50" customFormat="1" ht="13.2">
      <c r="B625" s="86"/>
      <c r="C625" s="87"/>
      <c r="D625" s="87"/>
      <c r="E625" s="87"/>
      <c r="F625" s="87"/>
      <c r="G625" s="87"/>
      <c r="H625" s="87"/>
      <c r="I625" s="87"/>
      <c r="J625" s="87"/>
      <c r="K625" s="88"/>
      <c r="L625" s="89"/>
      <c r="M625" s="90"/>
      <c r="N625" s="57"/>
      <c r="O625" s="57"/>
      <c r="P625" s="91"/>
    </row>
    <row r="626" spans="2:16" s="50" customFormat="1" ht="13.2">
      <c r="B626" s="86"/>
      <c r="C626" s="87"/>
      <c r="D626" s="87"/>
      <c r="E626" s="87"/>
      <c r="F626" s="87"/>
      <c r="G626" s="87"/>
      <c r="H626" s="87"/>
      <c r="I626" s="87"/>
      <c r="J626" s="87"/>
      <c r="K626" s="88"/>
      <c r="L626" s="89"/>
      <c r="M626" s="90"/>
      <c r="N626" s="57"/>
      <c r="O626" s="57"/>
      <c r="P626" s="91"/>
    </row>
    <row r="627" spans="2:16" s="50" customFormat="1" ht="13.2">
      <c r="B627" s="86"/>
      <c r="C627" s="87"/>
      <c r="D627" s="87"/>
      <c r="E627" s="87"/>
      <c r="F627" s="87"/>
      <c r="G627" s="87"/>
      <c r="H627" s="87"/>
      <c r="I627" s="87"/>
      <c r="J627" s="87"/>
      <c r="K627" s="88"/>
      <c r="L627" s="89"/>
      <c r="M627" s="90"/>
      <c r="N627" s="57"/>
      <c r="O627" s="57"/>
      <c r="P627" s="91"/>
    </row>
    <row r="628" spans="2:16" s="50" customFormat="1" ht="13.2">
      <c r="B628" s="86"/>
      <c r="C628" s="87"/>
      <c r="D628" s="87"/>
      <c r="E628" s="87"/>
      <c r="F628" s="87"/>
      <c r="G628" s="87"/>
      <c r="H628" s="87"/>
      <c r="I628" s="87"/>
      <c r="J628" s="87"/>
      <c r="K628" s="88"/>
      <c r="L628" s="89"/>
      <c r="M628" s="90"/>
      <c r="N628" s="57"/>
      <c r="O628" s="57"/>
      <c r="P628" s="91"/>
    </row>
    <row r="629" spans="2:16" s="50" customFormat="1" ht="13.2">
      <c r="B629" s="86"/>
      <c r="C629" s="87"/>
      <c r="D629" s="87"/>
      <c r="E629" s="87"/>
      <c r="F629" s="87"/>
      <c r="G629" s="87"/>
      <c r="H629" s="87"/>
      <c r="I629" s="87"/>
      <c r="J629" s="87"/>
      <c r="K629" s="88"/>
      <c r="L629" s="89"/>
      <c r="M629" s="90"/>
      <c r="N629" s="57"/>
      <c r="O629" s="57"/>
      <c r="P629" s="91"/>
    </row>
    <row r="630" spans="2:16" s="50" customFormat="1" ht="13.2">
      <c r="B630" s="86"/>
      <c r="C630" s="87"/>
      <c r="D630" s="87"/>
      <c r="E630" s="87"/>
      <c r="F630" s="87"/>
      <c r="G630" s="87"/>
      <c r="H630" s="87"/>
      <c r="I630" s="87"/>
      <c r="J630" s="87"/>
      <c r="K630" s="88"/>
      <c r="L630" s="89"/>
      <c r="M630" s="90"/>
      <c r="N630" s="57"/>
      <c r="O630" s="57"/>
      <c r="P630" s="91"/>
    </row>
    <row r="631" spans="2:16" s="50" customFormat="1" ht="13.2">
      <c r="B631" s="86"/>
      <c r="C631" s="87"/>
      <c r="D631" s="87"/>
      <c r="E631" s="87"/>
      <c r="F631" s="87"/>
      <c r="G631" s="87"/>
      <c r="H631" s="87"/>
      <c r="I631" s="87"/>
      <c r="J631" s="87"/>
      <c r="K631" s="88"/>
      <c r="L631" s="89"/>
      <c r="M631" s="90"/>
      <c r="N631" s="57"/>
      <c r="O631" s="57"/>
      <c r="P631" s="91"/>
    </row>
    <row r="632" spans="2:16" s="50" customFormat="1" ht="13.2">
      <c r="B632" s="86"/>
      <c r="C632" s="87"/>
      <c r="D632" s="87"/>
      <c r="E632" s="87"/>
      <c r="F632" s="87"/>
      <c r="G632" s="87"/>
      <c r="H632" s="87"/>
      <c r="I632" s="87"/>
      <c r="J632" s="87"/>
      <c r="K632" s="88"/>
      <c r="L632" s="89"/>
      <c r="M632" s="90"/>
      <c r="N632" s="57"/>
      <c r="O632" s="57"/>
      <c r="P632" s="91"/>
    </row>
    <row r="633" spans="2:16" s="50" customFormat="1" ht="13.2">
      <c r="B633" s="86"/>
      <c r="C633" s="87"/>
      <c r="D633" s="87"/>
      <c r="E633" s="87"/>
      <c r="F633" s="87"/>
      <c r="G633" s="87"/>
      <c r="H633" s="87"/>
      <c r="I633" s="87"/>
      <c r="J633" s="87"/>
      <c r="K633" s="88"/>
      <c r="L633" s="89"/>
      <c r="M633" s="90"/>
      <c r="N633" s="57"/>
      <c r="O633" s="57"/>
      <c r="P633" s="91"/>
    </row>
    <row r="634" spans="2:16" s="50" customFormat="1" ht="13.2">
      <c r="B634" s="86"/>
      <c r="C634" s="87"/>
      <c r="D634" s="87"/>
      <c r="E634" s="87"/>
      <c r="F634" s="87"/>
      <c r="G634" s="87"/>
      <c r="H634" s="87"/>
      <c r="I634" s="87"/>
      <c r="J634" s="87"/>
      <c r="K634" s="88"/>
      <c r="L634" s="89"/>
      <c r="M634" s="90"/>
      <c r="N634" s="57"/>
      <c r="O634" s="57"/>
      <c r="P634" s="91"/>
    </row>
    <row r="635" spans="2:16" s="50" customFormat="1" ht="13.2">
      <c r="B635" s="86"/>
      <c r="C635" s="87"/>
      <c r="D635" s="87"/>
      <c r="E635" s="87"/>
      <c r="F635" s="87"/>
      <c r="G635" s="87"/>
      <c r="H635" s="87"/>
      <c r="I635" s="87"/>
      <c r="J635" s="87"/>
      <c r="K635" s="88"/>
      <c r="L635" s="89"/>
      <c r="M635" s="90"/>
      <c r="N635" s="57"/>
      <c r="O635" s="57"/>
      <c r="P635" s="91"/>
    </row>
    <row r="636" spans="2:16" s="50" customFormat="1" ht="13.2">
      <c r="B636" s="86"/>
      <c r="C636" s="87"/>
      <c r="D636" s="87"/>
      <c r="E636" s="87"/>
      <c r="F636" s="87"/>
      <c r="G636" s="87"/>
      <c r="H636" s="87"/>
      <c r="I636" s="87"/>
      <c r="J636" s="87"/>
      <c r="K636" s="88"/>
      <c r="L636" s="89"/>
      <c r="M636" s="90"/>
      <c r="N636" s="57"/>
      <c r="O636" s="57"/>
      <c r="P636" s="91"/>
    </row>
    <row r="637" spans="2:16" s="50" customFormat="1" ht="13.2">
      <c r="B637" s="86"/>
      <c r="C637" s="87"/>
      <c r="D637" s="87"/>
      <c r="E637" s="87"/>
      <c r="F637" s="87"/>
      <c r="G637" s="87"/>
      <c r="H637" s="87"/>
      <c r="I637" s="87"/>
      <c r="J637" s="87"/>
      <c r="K637" s="88"/>
      <c r="L637" s="89"/>
      <c r="M637" s="90"/>
      <c r="N637" s="57"/>
      <c r="O637" s="57"/>
      <c r="P637" s="91"/>
    </row>
    <row r="638" spans="2:16" s="50" customFormat="1" ht="13.2">
      <c r="B638" s="86"/>
      <c r="C638" s="87"/>
      <c r="D638" s="87"/>
      <c r="E638" s="87"/>
      <c r="F638" s="87"/>
      <c r="G638" s="87"/>
      <c r="H638" s="87"/>
      <c r="I638" s="87"/>
      <c r="J638" s="87"/>
      <c r="K638" s="88"/>
      <c r="L638" s="89"/>
      <c r="M638" s="90"/>
      <c r="N638" s="57"/>
      <c r="O638" s="57"/>
      <c r="P638" s="91"/>
    </row>
    <row r="639" spans="2:16" s="50" customFormat="1" ht="13.2">
      <c r="B639" s="86"/>
      <c r="C639" s="87"/>
      <c r="D639" s="87"/>
      <c r="E639" s="87"/>
      <c r="F639" s="87"/>
      <c r="G639" s="87"/>
      <c r="H639" s="87"/>
      <c r="I639" s="87"/>
      <c r="J639" s="87"/>
      <c r="K639" s="88"/>
      <c r="L639" s="89"/>
      <c r="M639" s="90"/>
      <c r="N639" s="57"/>
      <c r="O639" s="57"/>
      <c r="P639" s="91"/>
    </row>
    <row r="640" spans="2:16" s="50" customFormat="1" ht="13.2">
      <c r="B640" s="86"/>
      <c r="C640" s="87"/>
      <c r="D640" s="87"/>
      <c r="E640" s="87"/>
      <c r="F640" s="87"/>
      <c r="G640" s="87"/>
      <c r="H640" s="87"/>
      <c r="I640" s="87"/>
      <c r="J640" s="87"/>
      <c r="K640" s="88"/>
      <c r="L640" s="89"/>
      <c r="M640" s="90"/>
      <c r="N640" s="57"/>
      <c r="O640" s="57"/>
      <c r="P640" s="91"/>
    </row>
    <row r="641" spans="2:16" s="50" customFormat="1" ht="13.2">
      <c r="B641" s="86"/>
      <c r="C641" s="87"/>
      <c r="D641" s="87"/>
      <c r="E641" s="87"/>
      <c r="F641" s="87"/>
      <c r="G641" s="87"/>
      <c r="H641" s="87"/>
      <c r="I641" s="87"/>
      <c r="J641" s="87"/>
      <c r="K641" s="88"/>
      <c r="L641" s="89"/>
      <c r="M641" s="90"/>
      <c r="N641" s="57"/>
      <c r="O641" s="57"/>
      <c r="P641" s="91"/>
    </row>
    <row r="642" spans="2:16" s="50" customFormat="1" ht="13.2">
      <c r="B642" s="86"/>
      <c r="C642" s="87"/>
      <c r="D642" s="87"/>
      <c r="E642" s="87"/>
      <c r="F642" s="87"/>
      <c r="G642" s="87"/>
      <c r="H642" s="87"/>
      <c r="I642" s="87"/>
      <c r="J642" s="87"/>
      <c r="K642" s="88"/>
      <c r="L642" s="89"/>
      <c r="M642" s="90"/>
      <c r="N642" s="57"/>
      <c r="O642" s="57"/>
      <c r="P642" s="91"/>
    </row>
    <row r="643" spans="2:16" s="50" customFormat="1" ht="13.2">
      <c r="B643" s="86"/>
      <c r="C643" s="87"/>
      <c r="D643" s="87"/>
      <c r="E643" s="87"/>
      <c r="F643" s="87"/>
      <c r="G643" s="87"/>
      <c r="H643" s="87"/>
      <c r="I643" s="87"/>
      <c r="J643" s="87"/>
      <c r="K643" s="88"/>
      <c r="L643" s="89"/>
      <c r="M643" s="90"/>
      <c r="N643" s="57"/>
      <c r="O643" s="57"/>
      <c r="P643" s="91"/>
    </row>
    <row r="644" spans="2:16" s="50" customFormat="1" ht="13.2">
      <c r="B644" s="86"/>
      <c r="C644" s="87"/>
      <c r="D644" s="87"/>
      <c r="E644" s="87"/>
      <c r="F644" s="87"/>
      <c r="G644" s="87"/>
      <c r="H644" s="87"/>
      <c r="I644" s="87"/>
      <c r="J644" s="87"/>
      <c r="K644" s="88"/>
      <c r="L644" s="89"/>
      <c r="M644" s="90"/>
      <c r="N644" s="57"/>
      <c r="O644" s="57"/>
      <c r="P644" s="91"/>
    </row>
    <row r="645" spans="2:16" s="50" customFormat="1" ht="13.2">
      <c r="B645" s="86"/>
      <c r="C645" s="87"/>
      <c r="D645" s="87"/>
      <c r="E645" s="87"/>
      <c r="F645" s="87"/>
      <c r="G645" s="87"/>
      <c r="H645" s="87"/>
      <c r="I645" s="87"/>
      <c r="J645" s="87"/>
      <c r="K645" s="88"/>
      <c r="L645" s="89"/>
      <c r="M645" s="90"/>
      <c r="N645" s="57"/>
      <c r="O645" s="57"/>
      <c r="P645" s="91"/>
    </row>
    <row r="646" spans="2:16" s="50" customFormat="1" ht="13.2">
      <c r="B646" s="86"/>
      <c r="C646" s="87"/>
      <c r="D646" s="87"/>
      <c r="E646" s="87"/>
      <c r="F646" s="87"/>
      <c r="G646" s="87"/>
      <c r="H646" s="87"/>
      <c r="I646" s="87"/>
      <c r="J646" s="87"/>
      <c r="K646" s="88"/>
      <c r="L646" s="89"/>
      <c r="M646" s="90"/>
      <c r="N646" s="57"/>
      <c r="O646" s="57"/>
      <c r="P646" s="91"/>
    </row>
    <row r="647" spans="2:16" s="50" customFormat="1" ht="13.2">
      <c r="B647" s="86"/>
      <c r="C647" s="87"/>
      <c r="D647" s="87"/>
      <c r="E647" s="87"/>
      <c r="F647" s="87"/>
      <c r="G647" s="87"/>
      <c r="H647" s="87"/>
      <c r="I647" s="87"/>
      <c r="J647" s="87"/>
      <c r="K647" s="88"/>
      <c r="L647" s="89"/>
      <c r="M647" s="90"/>
      <c r="N647" s="57"/>
      <c r="O647" s="57"/>
      <c r="P647" s="91"/>
    </row>
    <row r="648" spans="2:16" s="50" customFormat="1" ht="13.2">
      <c r="B648" s="86"/>
      <c r="C648" s="87"/>
      <c r="D648" s="87"/>
      <c r="E648" s="87"/>
      <c r="F648" s="87"/>
      <c r="G648" s="87"/>
      <c r="H648" s="87"/>
      <c r="I648" s="87"/>
      <c r="J648" s="87"/>
      <c r="K648" s="88"/>
      <c r="L648" s="89"/>
      <c r="M648" s="90"/>
      <c r="N648" s="57"/>
      <c r="O648" s="57"/>
      <c r="P648" s="91"/>
    </row>
    <row r="649" spans="2:16" s="50" customFormat="1" ht="13.2">
      <c r="B649" s="86"/>
      <c r="C649" s="87"/>
      <c r="D649" s="87"/>
      <c r="E649" s="87"/>
      <c r="F649" s="87"/>
      <c r="G649" s="87"/>
      <c r="H649" s="87"/>
      <c r="I649" s="87"/>
      <c r="J649" s="87"/>
      <c r="K649" s="88"/>
      <c r="L649" s="89"/>
      <c r="M649" s="90"/>
      <c r="N649" s="57"/>
      <c r="O649" s="57"/>
      <c r="P649" s="91"/>
    </row>
    <row r="650" spans="2:16" s="50" customFormat="1" ht="13.2">
      <c r="B650" s="86"/>
      <c r="C650" s="87"/>
      <c r="D650" s="87"/>
      <c r="E650" s="87"/>
      <c r="F650" s="87"/>
      <c r="G650" s="87"/>
      <c r="H650" s="87"/>
      <c r="I650" s="87"/>
      <c r="J650" s="87"/>
      <c r="K650" s="88"/>
      <c r="L650" s="89"/>
      <c r="M650" s="90"/>
      <c r="N650" s="57"/>
      <c r="O650" s="57"/>
      <c r="P650" s="91"/>
    </row>
    <row r="651" spans="2:16" s="50" customFormat="1" ht="13.2">
      <c r="B651" s="86"/>
      <c r="C651" s="87"/>
      <c r="D651" s="87"/>
      <c r="E651" s="87"/>
      <c r="F651" s="87"/>
      <c r="G651" s="87"/>
      <c r="H651" s="87"/>
      <c r="I651" s="87"/>
      <c r="J651" s="87"/>
      <c r="K651" s="88"/>
      <c r="L651" s="89"/>
      <c r="M651" s="90"/>
      <c r="N651" s="57"/>
      <c r="O651" s="57"/>
      <c r="P651" s="91"/>
    </row>
    <row r="652" spans="2:16" s="50" customFormat="1" ht="13.2">
      <c r="B652" s="86"/>
      <c r="C652" s="87"/>
      <c r="D652" s="87"/>
      <c r="E652" s="87"/>
      <c r="F652" s="87"/>
      <c r="G652" s="87"/>
      <c r="H652" s="87"/>
      <c r="I652" s="87"/>
      <c r="J652" s="87"/>
      <c r="K652" s="88"/>
      <c r="L652" s="89"/>
      <c r="M652" s="90"/>
      <c r="N652" s="57"/>
      <c r="O652" s="57"/>
      <c r="P652" s="91"/>
    </row>
    <row r="653" spans="2:16" s="50" customFormat="1" ht="13.2">
      <c r="B653" s="86"/>
      <c r="C653" s="87"/>
      <c r="D653" s="87"/>
      <c r="E653" s="87"/>
      <c r="F653" s="87"/>
      <c r="G653" s="87"/>
      <c r="H653" s="87"/>
      <c r="I653" s="87"/>
      <c r="J653" s="87"/>
      <c r="K653" s="88"/>
      <c r="L653" s="89"/>
      <c r="M653" s="90"/>
      <c r="N653" s="57"/>
      <c r="O653" s="57"/>
      <c r="P653" s="91"/>
    </row>
    <row r="654" spans="2:16" s="50" customFormat="1" ht="13.2">
      <c r="B654" s="86"/>
      <c r="C654" s="87"/>
      <c r="D654" s="87"/>
      <c r="E654" s="87"/>
      <c r="F654" s="87"/>
      <c r="G654" s="87"/>
      <c r="H654" s="87"/>
      <c r="I654" s="87"/>
      <c r="J654" s="87"/>
      <c r="K654" s="88"/>
      <c r="L654" s="89"/>
      <c r="M654" s="90"/>
      <c r="N654" s="57"/>
      <c r="O654" s="57"/>
      <c r="P654" s="91"/>
    </row>
    <row r="655" spans="2:16" s="50" customFormat="1" ht="13.2">
      <c r="B655" s="86"/>
      <c r="C655" s="87"/>
      <c r="D655" s="87"/>
      <c r="E655" s="87"/>
      <c r="F655" s="87"/>
      <c r="G655" s="87"/>
      <c r="H655" s="87"/>
      <c r="I655" s="87"/>
      <c r="J655" s="87"/>
      <c r="K655" s="88"/>
      <c r="L655" s="89"/>
      <c r="M655" s="90"/>
      <c r="N655" s="57"/>
      <c r="O655" s="57"/>
      <c r="P655" s="91"/>
    </row>
    <row r="656" spans="2:16" s="50" customFormat="1" ht="13.2">
      <c r="B656" s="86"/>
      <c r="C656" s="87"/>
      <c r="D656" s="87"/>
      <c r="E656" s="87"/>
      <c r="F656" s="87"/>
      <c r="G656" s="87"/>
      <c r="H656" s="87"/>
      <c r="I656" s="87"/>
      <c r="J656" s="87"/>
      <c r="K656" s="88"/>
      <c r="L656" s="89"/>
      <c r="M656" s="90"/>
      <c r="N656" s="57"/>
      <c r="O656" s="57"/>
      <c r="P656" s="91"/>
    </row>
    <row r="657" spans="2:16" s="50" customFormat="1" ht="13.2">
      <c r="B657" s="86"/>
      <c r="C657" s="87"/>
      <c r="D657" s="87"/>
      <c r="E657" s="87"/>
      <c r="F657" s="87"/>
      <c r="G657" s="87"/>
      <c r="H657" s="87"/>
      <c r="I657" s="87"/>
      <c r="J657" s="87"/>
      <c r="K657" s="88"/>
      <c r="L657" s="89"/>
      <c r="M657" s="90"/>
      <c r="N657" s="57"/>
      <c r="O657" s="57"/>
      <c r="P657" s="91"/>
    </row>
    <row r="658" spans="2:16" s="50" customFormat="1" ht="13.2">
      <c r="B658" s="86"/>
      <c r="C658" s="87"/>
      <c r="D658" s="87"/>
      <c r="E658" s="87"/>
      <c r="F658" s="87"/>
      <c r="G658" s="87"/>
      <c r="H658" s="87"/>
      <c r="I658" s="87"/>
      <c r="J658" s="87"/>
      <c r="K658" s="88"/>
      <c r="L658" s="89"/>
      <c r="M658" s="90"/>
      <c r="N658" s="57"/>
      <c r="O658" s="57"/>
      <c r="P658" s="91"/>
    </row>
    <row r="659" spans="2:16" s="50" customFormat="1" ht="13.2">
      <c r="B659" s="86"/>
      <c r="C659" s="87"/>
      <c r="D659" s="87"/>
      <c r="E659" s="87"/>
      <c r="F659" s="87"/>
      <c r="G659" s="87"/>
      <c r="H659" s="87"/>
      <c r="I659" s="87"/>
      <c r="J659" s="87"/>
      <c r="K659" s="88"/>
      <c r="L659" s="89"/>
      <c r="M659" s="90"/>
      <c r="N659" s="57"/>
      <c r="O659" s="57"/>
      <c r="P659" s="91"/>
    </row>
    <row r="660" spans="2:16" s="50" customFormat="1" ht="13.2">
      <c r="B660" s="86"/>
      <c r="C660" s="87"/>
      <c r="D660" s="87"/>
      <c r="E660" s="87"/>
      <c r="F660" s="87"/>
      <c r="G660" s="87"/>
      <c r="H660" s="87"/>
      <c r="I660" s="87"/>
      <c r="J660" s="87"/>
      <c r="K660" s="88"/>
      <c r="L660" s="89"/>
      <c r="M660" s="90"/>
      <c r="N660" s="57"/>
      <c r="O660" s="57"/>
      <c r="P660" s="91"/>
    </row>
    <row r="661" spans="2:16" s="50" customFormat="1" ht="13.2">
      <c r="B661" s="86"/>
      <c r="C661" s="87"/>
      <c r="D661" s="87"/>
      <c r="E661" s="87"/>
      <c r="F661" s="87"/>
      <c r="G661" s="87"/>
      <c r="H661" s="87"/>
      <c r="I661" s="87"/>
      <c r="J661" s="87"/>
      <c r="K661" s="88"/>
      <c r="L661" s="89"/>
      <c r="M661" s="90"/>
      <c r="N661" s="57"/>
      <c r="O661" s="57"/>
      <c r="P661" s="91"/>
    </row>
    <row r="662" spans="2:16" s="50" customFormat="1" ht="13.2">
      <c r="B662" s="86"/>
      <c r="C662" s="87"/>
      <c r="D662" s="87"/>
      <c r="E662" s="87"/>
      <c r="F662" s="87"/>
      <c r="G662" s="87"/>
      <c r="H662" s="87"/>
      <c r="I662" s="87"/>
      <c r="J662" s="87"/>
      <c r="K662" s="88"/>
      <c r="L662" s="89"/>
      <c r="M662" s="90"/>
      <c r="N662" s="57"/>
      <c r="O662" s="57"/>
      <c r="P662" s="91"/>
    </row>
    <row r="663" spans="2:16" s="50" customFormat="1" ht="13.2">
      <c r="B663" s="86"/>
      <c r="C663" s="87"/>
      <c r="D663" s="87"/>
      <c r="E663" s="87"/>
      <c r="F663" s="87"/>
      <c r="G663" s="87"/>
      <c r="H663" s="87"/>
      <c r="I663" s="87"/>
      <c r="J663" s="87"/>
      <c r="K663" s="88"/>
      <c r="L663" s="89"/>
      <c r="M663" s="90"/>
      <c r="N663" s="57"/>
      <c r="O663" s="57"/>
      <c r="P663" s="91"/>
    </row>
    <row r="664" spans="2:16" s="50" customFormat="1" ht="13.2">
      <c r="B664" s="86"/>
      <c r="C664" s="87"/>
      <c r="D664" s="87"/>
      <c r="E664" s="87"/>
      <c r="F664" s="87"/>
      <c r="G664" s="87"/>
      <c r="H664" s="87"/>
      <c r="I664" s="87"/>
      <c r="J664" s="87"/>
      <c r="K664" s="88"/>
      <c r="L664" s="89"/>
      <c r="M664" s="90"/>
      <c r="N664" s="57"/>
      <c r="O664" s="57"/>
      <c r="P664" s="91"/>
    </row>
    <row r="665" spans="2:16" s="50" customFormat="1" ht="13.2">
      <c r="B665" s="86"/>
      <c r="C665" s="87"/>
      <c r="D665" s="87"/>
      <c r="E665" s="87"/>
      <c r="F665" s="87"/>
      <c r="G665" s="87"/>
      <c r="H665" s="87"/>
      <c r="I665" s="87"/>
      <c r="J665" s="87"/>
      <c r="K665" s="88"/>
      <c r="L665" s="89"/>
      <c r="M665" s="90"/>
      <c r="N665" s="57"/>
      <c r="O665" s="57"/>
      <c r="P665" s="91"/>
    </row>
    <row r="666" spans="2:16" s="50" customFormat="1" ht="13.2">
      <c r="B666" s="86"/>
      <c r="C666" s="87"/>
      <c r="D666" s="87"/>
      <c r="E666" s="87"/>
      <c r="F666" s="87"/>
      <c r="G666" s="87"/>
      <c r="H666" s="87"/>
      <c r="I666" s="87"/>
      <c r="J666" s="87"/>
      <c r="K666" s="88"/>
      <c r="L666" s="89"/>
      <c r="M666" s="90"/>
      <c r="N666" s="57"/>
      <c r="O666" s="57"/>
      <c r="P666" s="91"/>
    </row>
    <row r="667" spans="2:16" s="50" customFormat="1" ht="13.2">
      <c r="B667" s="86"/>
      <c r="C667" s="87"/>
      <c r="D667" s="87"/>
      <c r="E667" s="87"/>
      <c r="F667" s="87"/>
      <c r="G667" s="87"/>
      <c r="H667" s="87"/>
      <c r="I667" s="87"/>
      <c r="J667" s="87"/>
      <c r="K667" s="88"/>
      <c r="L667" s="89"/>
      <c r="M667" s="90"/>
      <c r="N667" s="57"/>
      <c r="O667" s="57"/>
      <c r="P667" s="91"/>
    </row>
    <row r="668" spans="2:16" s="50" customFormat="1" ht="13.2">
      <c r="B668" s="86"/>
      <c r="C668" s="87"/>
      <c r="D668" s="87"/>
      <c r="E668" s="87"/>
      <c r="F668" s="87"/>
      <c r="G668" s="87"/>
      <c r="H668" s="87"/>
      <c r="I668" s="87"/>
      <c r="J668" s="87"/>
      <c r="K668" s="88"/>
      <c r="L668" s="89"/>
      <c r="M668" s="90"/>
      <c r="N668" s="57"/>
      <c r="O668" s="57"/>
      <c r="P668" s="91"/>
    </row>
    <row r="669" spans="2:16" s="50" customFormat="1" ht="13.2">
      <c r="B669" s="86"/>
      <c r="C669" s="87"/>
      <c r="D669" s="87"/>
      <c r="E669" s="87"/>
      <c r="F669" s="87"/>
      <c r="G669" s="87"/>
      <c r="H669" s="87"/>
      <c r="I669" s="87"/>
      <c r="J669" s="87"/>
      <c r="K669" s="88"/>
      <c r="L669" s="89"/>
      <c r="M669" s="90"/>
      <c r="N669" s="57"/>
      <c r="O669" s="57"/>
      <c r="P669" s="91"/>
    </row>
    <row r="670" spans="2:16" s="50" customFormat="1" ht="13.2">
      <c r="B670" s="86"/>
      <c r="C670" s="87"/>
      <c r="D670" s="87"/>
      <c r="E670" s="87"/>
      <c r="F670" s="87"/>
      <c r="G670" s="87"/>
      <c r="H670" s="87"/>
      <c r="I670" s="87"/>
      <c r="J670" s="87"/>
      <c r="K670" s="88"/>
      <c r="L670" s="89"/>
      <c r="M670" s="90"/>
      <c r="N670" s="57"/>
      <c r="O670" s="57"/>
      <c r="P670" s="91"/>
    </row>
    <row r="671" spans="2:16" s="50" customFormat="1" ht="13.2">
      <c r="B671" s="86"/>
      <c r="C671" s="87"/>
      <c r="D671" s="87"/>
      <c r="E671" s="87"/>
      <c r="F671" s="87"/>
      <c r="G671" s="87"/>
      <c r="H671" s="87"/>
      <c r="I671" s="87"/>
      <c r="J671" s="87"/>
      <c r="K671" s="88"/>
      <c r="L671" s="89"/>
      <c r="M671" s="90"/>
      <c r="N671" s="57"/>
      <c r="O671" s="57"/>
      <c r="P671" s="91"/>
    </row>
    <row r="672" spans="2:16" s="50" customFormat="1" ht="13.2">
      <c r="B672" s="86"/>
      <c r="C672" s="87"/>
      <c r="D672" s="87"/>
      <c r="E672" s="87"/>
      <c r="F672" s="87"/>
      <c r="G672" s="87"/>
      <c r="H672" s="87"/>
      <c r="I672" s="87"/>
      <c r="J672" s="87"/>
      <c r="K672" s="88"/>
      <c r="L672" s="89"/>
      <c r="M672" s="90"/>
      <c r="N672" s="57"/>
      <c r="O672" s="57"/>
      <c r="P672" s="91"/>
    </row>
    <row r="673" spans="2:16" s="50" customFormat="1" ht="13.2">
      <c r="B673" s="86"/>
      <c r="C673" s="87"/>
      <c r="D673" s="87"/>
      <c r="E673" s="87"/>
      <c r="F673" s="87"/>
      <c r="G673" s="87"/>
      <c r="H673" s="87"/>
      <c r="I673" s="87"/>
      <c r="J673" s="87"/>
      <c r="K673" s="88"/>
      <c r="L673" s="89"/>
      <c r="M673" s="90"/>
      <c r="N673" s="57"/>
      <c r="O673" s="57"/>
      <c r="P673" s="91"/>
    </row>
    <row r="674" spans="2:16" s="50" customFormat="1" ht="13.2">
      <c r="B674" s="86"/>
      <c r="C674" s="87"/>
      <c r="D674" s="87"/>
      <c r="E674" s="87"/>
      <c r="F674" s="87"/>
      <c r="G674" s="87"/>
      <c r="H674" s="87"/>
      <c r="I674" s="87"/>
      <c r="J674" s="87"/>
      <c r="K674" s="88"/>
      <c r="L674" s="89"/>
      <c r="M674" s="90"/>
      <c r="N674" s="57"/>
      <c r="O674" s="57"/>
      <c r="P674" s="91"/>
    </row>
    <row r="675" spans="2:16" s="50" customFormat="1" ht="13.2">
      <c r="B675" s="86"/>
      <c r="C675" s="87"/>
      <c r="D675" s="87"/>
      <c r="E675" s="87"/>
      <c r="F675" s="87"/>
      <c r="G675" s="87"/>
      <c r="H675" s="87"/>
      <c r="I675" s="87"/>
      <c r="J675" s="87"/>
      <c r="K675" s="88"/>
      <c r="L675" s="89"/>
      <c r="M675" s="90"/>
      <c r="N675" s="57"/>
      <c r="O675" s="57"/>
      <c r="P675" s="91"/>
    </row>
    <row r="676" spans="2:16" s="50" customFormat="1" ht="13.2">
      <c r="B676" s="86"/>
      <c r="C676" s="87"/>
      <c r="D676" s="87"/>
      <c r="E676" s="87"/>
      <c r="F676" s="87"/>
      <c r="G676" s="87"/>
      <c r="H676" s="87"/>
      <c r="I676" s="87"/>
      <c r="J676" s="87"/>
      <c r="K676" s="88"/>
      <c r="L676" s="89"/>
      <c r="M676" s="90"/>
      <c r="N676" s="57"/>
      <c r="O676" s="57"/>
      <c r="P676" s="91"/>
    </row>
    <row r="677" spans="2:16" s="50" customFormat="1" ht="13.2">
      <c r="B677" s="86"/>
      <c r="C677" s="87"/>
      <c r="D677" s="87"/>
      <c r="E677" s="87"/>
      <c r="F677" s="87"/>
      <c r="G677" s="87"/>
      <c r="H677" s="87"/>
      <c r="I677" s="87"/>
      <c r="J677" s="87"/>
      <c r="K677" s="88"/>
      <c r="L677" s="89"/>
      <c r="M677" s="90"/>
      <c r="N677" s="57"/>
      <c r="O677" s="57"/>
      <c r="P677" s="91"/>
    </row>
    <row r="678" spans="2:16" s="50" customFormat="1" ht="13.2">
      <c r="B678" s="86"/>
      <c r="C678" s="87"/>
      <c r="D678" s="87"/>
      <c r="E678" s="87"/>
      <c r="F678" s="87"/>
      <c r="G678" s="87"/>
      <c r="H678" s="87"/>
      <c r="I678" s="87"/>
      <c r="J678" s="87"/>
      <c r="K678" s="88"/>
      <c r="L678" s="89"/>
      <c r="M678" s="90"/>
      <c r="N678" s="57"/>
      <c r="O678" s="57"/>
      <c r="P678" s="91"/>
    </row>
    <row r="679" spans="2:16" s="50" customFormat="1" ht="13.2">
      <c r="B679" s="86"/>
      <c r="C679" s="87"/>
      <c r="D679" s="87"/>
      <c r="E679" s="87"/>
      <c r="F679" s="87"/>
      <c r="G679" s="87"/>
      <c r="H679" s="87"/>
      <c r="I679" s="87"/>
      <c r="J679" s="87"/>
      <c r="K679" s="88"/>
      <c r="L679" s="89"/>
      <c r="M679" s="90"/>
      <c r="N679" s="57"/>
      <c r="O679" s="57"/>
      <c r="P679" s="91"/>
    </row>
    <row r="680" spans="2:16" s="50" customFormat="1" ht="13.2">
      <c r="B680" s="86"/>
      <c r="C680" s="87"/>
      <c r="D680" s="87"/>
      <c r="E680" s="87"/>
      <c r="F680" s="87"/>
      <c r="G680" s="87"/>
      <c r="H680" s="87"/>
      <c r="I680" s="87"/>
      <c r="J680" s="87"/>
      <c r="K680" s="88"/>
      <c r="L680" s="89"/>
      <c r="M680" s="90"/>
      <c r="N680" s="57"/>
      <c r="O680" s="57"/>
      <c r="P680" s="91"/>
    </row>
    <row r="681" spans="2:16" s="50" customFormat="1" ht="13.2">
      <c r="B681" s="86"/>
      <c r="C681" s="87"/>
      <c r="D681" s="87"/>
      <c r="E681" s="87"/>
      <c r="F681" s="87"/>
      <c r="G681" s="87"/>
      <c r="H681" s="87"/>
      <c r="I681" s="87"/>
      <c r="J681" s="87"/>
      <c r="K681" s="88"/>
      <c r="L681" s="89"/>
      <c r="M681" s="90"/>
      <c r="N681" s="57"/>
      <c r="O681" s="57"/>
      <c r="P681" s="91"/>
    </row>
    <row r="682" spans="2:16" s="50" customFormat="1" ht="13.2">
      <c r="B682" s="86"/>
      <c r="C682" s="87"/>
      <c r="D682" s="87"/>
      <c r="E682" s="87"/>
      <c r="F682" s="87"/>
      <c r="G682" s="87"/>
      <c r="H682" s="87"/>
      <c r="I682" s="87"/>
      <c r="J682" s="87"/>
      <c r="K682" s="88"/>
      <c r="L682" s="89"/>
      <c r="M682" s="90"/>
      <c r="N682" s="57"/>
      <c r="O682" s="57"/>
      <c r="P682" s="91"/>
    </row>
    <row r="683" spans="2:16" s="50" customFormat="1" ht="13.2">
      <c r="B683" s="86"/>
      <c r="C683" s="87"/>
      <c r="D683" s="87"/>
      <c r="E683" s="87"/>
      <c r="F683" s="87"/>
      <c r="G683" s="87"/>
      <c r="H683" s="87"/>
      <c r="I683" s="87"/>
      <c r="J683" s="87"/>
      <c r="K683" s="88"/>
      <c r="L683" s="89"/>
      <c r="M683" s="90"/>
      <c r="N683" s="57"/>
      <c r="O683" s="57"/>
      <c r="P683" s="91"/>
    </row>
    <row r="684" spans="2:16" s="50" customFormat="1" ht="13.2">
      <c r="B684" s="86"/>
      <c r="C684" s="87"/>
      <c r="D684" s="87"/>
      <c r="E684" s="87"/>
      <c r="F684" s="87"/>
      <c r="G684" s="87"/>
      <c r="H684" s="87"/>
      <c r="I684" s="87"/>
      <c r="J684" s="87"/>
      <c r="K684" s="88"/>
      <c r="L684" s="89"/>
      <c r="M684" s="90"/>
      <c r="N684" s="57"/>
      <c r="O684" s="57"/>
      <c r="P684" s="91"/>
    </row>
    <row r="685" spans="2:16" s="50" customFormat="1" ht="13.2">
      <c r="B685" s="86"/>
      <c r="C685" s="87"/>
      <c r="D685" s="87"/>
      <c r="E685" s="87"/>
      <c r="F685" s="87"/>
      <c r="G685" s="87"/>
      <c r="H685" s="87"/>
      <c r="I685" s="87"/>
      <c r="J685" s="87"/>
      <c r="K685" s="88"/>
      <c r="L685" s="89"/>
      <c r="M685" s="90"/>
      <c r="N685" s="57"/>
      <c r="O685" s="57"/>
      <c r="P685" s="91"/>
    </row>
    <row r="686" spans="2:16" s="50" customFormat="1" ht="13.2">
      <c r="B686" s="86"/>
      <c r="C686" s="87"/>
      <c r="D686" s="87"/>
      <c r="E686" s="87"/>
      <c r="F686" s="87"/>
      <c r="G686" s="87"/>
      <c r="H686" s="87"/>
      <c r="I686" s="87"/>
      <c r="J686" s="87"/>
      <c r="K686" s="88"/>
      <c r="L686" s="89"/>
      <c r="M686" s="90"/>
      <c r="N686" s="57"/>
      <c r="O686" s="57"/>
      <c r="P686" s="91"/>
    </row>
    <row r="687" spans="2:16" s="50" customFormat="1" ht="13.2">
      <c r="B687" s="86"/>
      <c r="C687" s="87"/>
      <c r="D687" s="87"/>
      <c r="E687" s="87"/>
      <c r="F687" s="87"/>
      <c r="G687" s="87"/>
      <c r="H687" s="87"/>
      <c r="I687" s="87"/>
      <c r="J687" s="87"/>
      <c r="K687" s="88"/>
      <c r="L687" s="89"/>
      <c r="M687" s="90"/>
      <c r="N687" s="57"/>
      <c r="O687" s="57"/>
      <c r="P687" s="91"/>
    </row>
    <row r="688" spans="2:16" s="50" customFormat="1" ht="13.2">
      <c r="B688" s="86"/>
      <c r="C688" s="87"/>
      <c r="D688" s="87"/>
      <c r="E688" s="87"/>
      <c r="F688" s="87"/>
      <c r="G688" s="87"/>
      <c r="H688" s="87"/>
      <c r="I688" s="87"/>
      <c r="J688" s="87"/>
      <c r="K688" s="88"/>
      <c r="L688" s="89"/>
      <c r="M688" s="90"/>
      <c r="N688" s="57"/>
      <c r="O688" s="57"/>
      <c r="P688" s="91"/>
    </row>
    <row r="689" spans="2:16" s="50" customFormat="1" ht="13.2">
      <c r="B689" s="86"/>
      <c r="C689" s="87"/>
      <c r="D689" s="87"/>
      <c r="E689" s="87"/>
      <c r="F689" s="87"/>
      <c r="G689" s="87"/>
      <c r="H689" s="87"/>
      <c r="I689" s="87"/>
      <c r="J689" s="87"/>
      <c r="K689" s="88"/>
      <c r="L689" s="89"/>
      <c r="M689" s="90"/>
      <c r="N689" s="57"/>
      <c r="O689" s="57"/>
      <c r="P689" s="91"/>
    </row>
    <row r="690" spans="2:16" s="50" customFormat="1" ht="13.2">
      <c r="B690" s="86"/>
      <c r="C690" s="87"/>
      <c r="D690" s="87"/>
      <c r="E690" s="87"/>
      <c r="F690" s="87"/>
      <c r="G690" s="87"/>
      <c r="H690" s="87"/>
      <c r="I690" s="87"/>
      <c r="J690" s="87"/>
      <c r="K690" s="88"/>
      <c r="L690" s="89"/>
      <c r="M690" s="90"/>
      <c r="N690" s="57"/>
      <c r="O690" s="57"/>
      <c r="P690" s="91"/>
    </row>
    <row r="691" spans="2:16" s="50" customFormat="1" ht="13.2">
      <c r="B691" s="86"/>
      <c r="C691" s="87"/>
      <c r="D691" s="87"/>
      <c r="E691" s="87"/>
      <c r="F691" s="87"/>
      <c r="G691" s="87"/>
      <c r="H691" s="87"/>
      <c r="I691" s="87"/>
      <c r="J691" s="87"/>
      <c r="K691" s="88"/>
      <c r="L691" s="89"/>
      <c r="M691" s="90"/>
      <c r="N691" s="57"/>
      <c r="O691" s="57"/>
      <c r="P691" s="91"/>
    </row>
    <row r="692" spans="2:16" s="50" customFormat="1" ht="13.2">
      <c r="B692" s="86"/>
      <c r="C692" s="87"/>
      <c r="D692" s="87"/>
      <c r="E692" s="87"/>
      <c r="F692" s="87"/>
      <c r="G692" s="87"/>
      <c r="H692" s="87"/>
      <c r="I692" s="87"/>
      <c r="J692" s="87"/>
      <c r="K692" s="88"/>
      <c r="L692" s="89"/>
      <c r="M692" s="90"/>
      <c r="N692" s="57"/>
      <c r="O692" s="57"/>
      <c r="P692" s="91"/>
    </row>
    <row r="693" spans="2:16" s="50" customFormat="1" ht="13.2">
      <c r="B693" s="86"/>
      <c r="C693" s="87"/>
      <c r="D693" s="87"/>
      <c r="E693" s="87"/>
      <c r="F693" s="87"/>
      <c r="G693" s="87"/>
      <c r="H693" s="87"/>
      <c r="I693" s="87"/>
      <c r="J693" s="87"/>
      <c r="K693" s="88"/>
      <c r="L693" s="89"/>
      <c r="M693" s="90"/>
      <c r="N693" s="57"/>
      <c r="O693" s="57"/>
      <c r="P693" s="91"/>
    </row>
    <row r="694" spans="2:16" s="50" customFormat="1" ht="13.2">
      <c r="B694" s="86"/>
      <c r="C694" s="87"/>
      <c r="D694" s="87"/>
      <c r="E694" s="87"/>
      <c r="F694" s="87"/>
      <c r="G694" s="87"/>
      <c r="H694" s="87"/>
      <c r="I694" s="87"/>
      <c r="J694" s="87"/>
      <c r="K694" s="88"/>
      <c r="L694" s="89"/>
      <c r="M694" s="90"/>
      <c r="N694" s="57"/>
      <c r="O694" s="57"/>
      <c r="P694" s="91"/>
    </row>
    <row r="695" spans="2:16" s="50" customFormat="1" ht="13.2">
      <c r="B695" s="86"/>
      <c r="C695" s="87"/>
      <c r="D695" s="87"/>
      <c r="E695" s="87"/>
      <c r="F695" s="87"/>
      <c r="G695" s="87"/>
      <c r="H695" s="87"/>
      <c r="I695" s="87"/>
      <c r="J695" s="87"/>
      <c r="K695" s="88"/>
      <c r="L695" s="89"/>
      <c r="M695" s="90"/>
      <c r="N695" s="57"/>
      <c r="O695" s="57"/>
      <c r="P695" s="91"/>
    </row>
    <row r="696" spans="2:16" s="50" customFormat="1" ht="13.2">
      <c r="B696" s="86"/>
      <c r="C696" s="87"/>
      <c r="D696" s="87"/>
      <c r="E696" s="87"/>
      <c r="F696" s="87"/>
      <c r="G696" s="87"/>
      <c r="H696" s="87"/>
      <c r="I696" s="87"/>
      <c r="J696" s="87"/>
      <c r="K696" s="88"/>
      <c r="L696" s="89"/>
      <c r="M696" s="90"/>
      <c r="N696" s="57"/>
      <c r="O696" s="57"/>
      <c r="P696" s="91"/>
    </row>
    <row r="697" spans="2:16" s="50" customFormat="1" ht="13.2">
      <c r="B697" s="86"/>
      <c r="C697" s="87"/>
      <c r="D697" s="87"/>
      <c r="E697" s="87"/>
      <c r="F697" s="87"/>
      <c r="G697" s="87"/>
      <c r="H697" s="87"/>
      <c r="I697" s="87"/>
      <c r="J697" s="87"/>
      <c r="K697" s="88"/>
      <c r="L697" s="89"/>
      <c r="M697" s="90"/>
      <c r="N697" s="57"/>
      <c r="O697" s="57"/>
      <c r="P697" s="91"/>
    </row>
    <row r="698" spans="2:16" s="50" customFormat="1" ht="13.2">
      <c r="B698" s="86"/>
      <c r="C698" s="87"/>
      <c r="D698" s="87"/>
      <c r="E698" s="87"/>
      <c r="F698" s="87"/>
      <c r="G698" s="87"/>
      <c r="H698" s="87"/>
      <c r="I698" s="87"/>
      <c r="J698" s="87"/>
      <c r="K698" s="88"/>
      <c r="L698" s="89"/>
      <c r="M698" s="90"/>
      <c r="N698" s="57"/>
      <c r="O698" s="57"/>
      <c r="P698" s="91"/>
    </row>
    <row r="699" spans="2:16" s="50" customFormat="1" ht="13.2">
      <c r="B699" s="86"/>
      <c r="C699" s="87"/>
      <c r="D699" s="87"/>
      <c r="E699" s="87"/>
      <c r="F699" s="87"/>
      <c r="G699" s="87"/>
      <c r="H699" s="87"/>
      <c r="I699" s="87"/>
      <c r="J699" s="87"/>
      <c r="K699" s="88"/>
      <c r="L699" s="89"/>
      <c r="M699" s="90"/>
      <c r="N699" s="57"/>
      <c r="O699" s="57"/>
      <c r="P699" s="91"/>
    </row>
    <row r="700" spans="2:16" s="50" customFormat="1" ht="13.2">
      <c r="B700" s="86"/>
      <c r="C700" s="87"/>
      <c r="D700" s="87"/>
      <c r="E700" s="87"/>
      <c r="F700" s="87"/>
      <c r="G700" s="87"/>
      <c r="H700" s="87"/>
      <c r="I700" s="87"/>
      <c r="J700" s="87"/>
      <c r="K700" s="88"/>
      <c r="L700" s="89"/>
      <c r="M700" s="90"/>
      <c r="N700" s="57"/>
      <c r="O700" s="57"/>
      <c r="P700" s="91"/>
    </row>
    <row r="701" spans="2:16" s="50" customFormat="1" ht="13.2">
      <c r="B701" s="86"/>
      <c r="C701" s="87"/>
      <c r="D701" s="87"/>
      <c r="E701" s="87"/>
      <c r="F701" s="87"/>
      <c r="G701" s="87"/>
      <c r="H701" s="87"/>
      <c r="I701" s="87"/>
      <c r="J701" s="87"/>
      <c r="K701" s="88"/>
      <c r="L701" s="89"/>
      <c r="M701" s="90"/>
      <c r="N701" s="57"/>
      <c r="O701" s="57"/>
      <c r="P701" s="91"/>
    </row>
    <row r="702" spans="2:16" s="50" customFormat="1" ht="13.2">
      <c r="B702" s="86"/>
      <c r="C702" s="87"/>
      <c r="D702" s="87"/>
      <c r="E702" s="87"/>
      <c r="F702" s="87"/>
      <c r="G702" s="87"/>
      <c r="H702" s="87"/>
      <c r="I702" s="87"/>
      <c r="J702" s="87"/>
      <c r="K702" s="88"/>
      <c r="L702" s="89"/>
      <c r="M702" s="90"/>
      <c r="N702" s="57"/>
      <c r="O702" s="57"/>
      <c r="P702" s="91"/>
    </row>
    <row r="703" spans="2:16" s="50" customFormat="1" ht="13.2">
      <c r="B703" s="86"/>
      <c r="C703" s="87"/>
      <c r="D703" s="87"/>
      <c r="E703" s="87"/>
      <c r="F703" s="87"/>
      <c r="G703" s="87"/>
      <c r="H703" s="87"/>
      <c r="I703" s="87"/>
      <c r="J703" s="87"/>
      <c r="K703" s="88"/>
      <c r="L703" s="89"/>
      <c r="M703" s="90"/>
      <c r="N703" s="57"/>
      <c r="O703" s="57"/>
      <c r="P703" s="91"/>
    </row>
    <row r="704" spans="2:16" s="50" customFormat="1" ht="13.2">
      <c r="B704" s="86"/>
      <c r="C704" s="87"/>
      <c r="D704" s="87"/>
      <c r="E704" s="87"/>
      <c r="F704" s="87"/>
      <c r="G704" s="87"/>
      <c r="H704" s="87"/>
      <c r="I704" s="87"/>
      <c r="J704" s="87"/>
      <c r="K704" s="88"/>
      <c r="L704" s="89"/>
      <c r="M704" s="90"/>
      <c r="N704" s="57"/>
      <c r="O704" s="57"/>
      <c r="P704" s="91"/>
    </row>
    <row r="705" spans="2:16" s="50" customFormat="1" ht="13.2">
      <c r="B705" s="86"/>
      <c r="C705" s="87"/>
      <c r="D705" s="87"/>
      <c r="E705" s="87"/>
      <c r="F705" s="87"/>
      <c r="G705" s="87"/>
      <c r="H705" s="87"/>
      <c r="I705" s="87"/>
      <c r="J705" s="87"/>
      <c r="K705" s="88"/>
      <c r="L705" s="89"/>
      <c r="M705" s="90"/>
      <c r="N705" s="57"/>
      <c r="O705" s="57"/>
      <c r="P705" s="91"/>
    </row>
    <row r="706" spans="2:16" s="50" customFormat="1" ht="13.2">
      <c r="B706" s="86"/>
      <c r="C706" s="87"/>
      <c r="D706" s="87"/>
      <c r="E706" s="87"/>
      <c r="F706" s="87"/>
      <c r="G706" s="87"/>
      <c r="H706" s="87"/>
      <c r="I706" s="87"/>
      <c r="J706" s="87"/>
      <c r="K706" s="88"/>
      <c r="L706" s="89"/>
      <c r="M706" s="90"/>
      <c r="N706" s="57"/>
      <c r="O706" s="57"/>
      <c r="P706" s="91"/>
    </row>
    <row r="707" spans="2:16" s="50" customFormat="1" ht="13.2">
      <c r="B707" s="86"/>
      <c r="C707" s="87"/>
      <c r="D707" s="87"/>
      <c r="E707" s="87"/>
      <c r="F707" s="87"/>
      <c r="G707" s="87"/>
      <c r="H707" s="87"/>
      <c r="I707" s="87"/>
      <c r="J707" s="87"/>
      <c r="K707" s="88"/>
      <c r="L707" s="89"/>
      <c r="M707" s="90"/>
      <c r="N707" s="57"/>
      <c r="O707" s="57"/>
      <c r="P707" s="91"/>
    </row>
    <row r="708" spans="2:16" s="50" customFormat="1" ht="13.2">
      <c r="B708" s="86"/>
      <c r="C708" s="87"/>
      <c r="D708" s="87"/>
      <c r="E708" s="87"/>
      <c r="F708" s="87"/>
      <c r="G708" s="87"/>
      <c r="H708" s="87"/>
      <c r="I708" s="87"/>
      <c r="J708" s="87"/>
      <c r="K708" s="88"/>
      <c r="L708" s="89"/>
      <c r="M708" s="90"/>
      <c r="N708" s="57"/>
      <c r="O708" s="57"/>
      <c r="P708" s="91"/>
    </row>
    <row r="709" spans="2:16" s="50" customFormat="1" ht="13.2">
      <c r="B709" s="86"/>
      <c r="C709" s="87"/>
      <c r="D709" s="87"/>
      <c r="E709" s="87"/>
      <c r="F709" s="87"/>
      <c r="G709" s="87"/>
      <c r="H709" s="87"/>
      <c r="I709" s="87"/>
      <c r="J709" s="87"/>
      <c r="K709" s="88"/>
      <c r="L709" s="89"/>
      <c r="M709" s="90"/>
      <c r="N709" s="57"/>
      <c r="O709" s="57"/>
      <c r="P709" s="91"/>
    </row>
    <row r="710" spans="2:16" s="50" customFormat="1" ht="13.2">
      <c r="B710" s="86"/>
      <c r="C710" s="87"/>
      <c r="D710" s="87"/>
      <c r="E710" s="87"/>
      <c r="F710" s="87"/>
      <c r="G710" s="87"/>
      <c r="H710" s="87"/>
      <c r="I710" s="87"/>
      <c r="J710" s="87"/>
      <c r="K710" s="88"/>
      <c r="L710" s="89"/>
      <c r="M710" s="90"/>
      <c r="N710" s="57"/>
      <c r="O710" s="57"/>
      <c r="P710" s="91"/>
    </row>
    <row r="711" spans="2:16" s="50" customFormat="1" ht="13.2">
      <c r="B711" s="86"/>
      <c r="C711" s="87"/>
      <c r="D711" s="87"/>
      <c r="E711" s="87"/>
      <c r="F711" s="87"/>
      <c r="G711" s="87"/>
      <c r="H711" s="87"/>
      <c r="I711" s="87"/>
      <c r="J711" s="87"/>
      <c r="K711" s="88"/>
      <c r="L711" s="89"/>
      <c r="M711" s="90"/>
      <c r="N711" s="57"/>
      <c r="O711" s="57"/>
      <c r="P711" s="91"/>
    </row>
    <row r="712" spans="2:16" s="50" customFormat="1" ht="13.2">
      <c r="B712" s="86"/>
      <c r="C712" s="87"/>
      <c r="D712" s="87"/>
      <c r="E712" s="87"/>
      <c r="F712" s="87"/>
      <c r="G712" s="87"/>
      <c r="H712" s="87"/>
      <c r="I712" s="87"/>
      <c r="J712" s="87"/>
      <c r="K712" s="88"/>
      <c r="L712" s="89"/>
      <c r="M712" s="90"/>
      <c r="N712" s="57"/>
      <c r="O712" s="57"/>
      <c r="P712" s="91"/>
    </row>
    <row r="713" spans="2:16" s="50" customFormat="1" ht="13.2">
      <c r="B713" s="86"/>
      <c r="C713" s="87"/>
      <c r="D713" s="87"/>
      <c r="E713" s="87"/>
      <c r="F713" s="87"/>
      <c r="G713" s="87"/>
      <c r="H713" s="87"/>
      <c r="I713" s="87"/>
      <c r="J713" s="87"/>
      <c r="K713" s="88"/>
      <c r="L713" s="89"/>
      <c r="M713" s="90"/>
      <c r="N713" s="57"/>
      <c r="O713" s="57"/>
      <c r="P713" s="91"/>
    </row>
    <row r="714" spans="2:16" s="50" customFormat="1" ht="13.2">
      <c r="B714" s="86"/>
      <c r="C714" s="87"/>
      <c r="D714" s="87"/>
      <c r="E714" s="87"/>
      <c r="F714" s="87"/>
      <c r="G714" s="87"/>
      <c r="H714" s="87"/>
      <c r="I714" s="87"/>
      <c r="J714" s="87"/>
      <c r="K714" s="88"/>
      <c r="L714" s="89"/>
      <c r="M714" s="90"/>
      <c r="N714" s="57"/>
      <c r="O714" s="57"/>
      <c r="P714" s="91"/>
    </row>
    <row r="715" spans="2:16" s="50" customFormat="1" ht="13.2">
      <c r="B715" s="86"/>
      <c r="C715" s="87"/>
      <c r="D715" s="87"/>
      <c r="E715" s="87"/>
      <c r="F715" s="87"/>
      <c r="G715" s="87"/>
      <c r="H715" s="87"/>
      <c r="I715" s="87"/>
      <c r="J715" s="87"/>
      <c r="K715" s="88"/>
      <c r="L715" s="89"/>
      <c r="M715" s="90"/>
      <c r="N715" s="57"/>
      <c r="O715" s="57"/>
      <c r="P715" s="91"/>
    </row>
    <row r="716" spans="2:16" s="50" customFormat="1" ht="13.2">
      <c r="B716" s="86"/>
      <c r="C716" s="87"/>
      <c r="D716" s="87"/>
      <c r="E716" s="87"/>
      <c r="F716" s="87"/>
      <c r="G716" s="87"/>
      <c r="H716" s="87"/>
      <c r="I716" s="87"/>
      <c r="J716" s="87"/>
      <c r="K716" s="88"/>
      <c r="L716" s="89"/>
      <c r="M716" s="90"/>
      <c r="N716" s="57"/>
      <c r="O716" s="57"/>
      <c r="P716" s="91"/>
    </row>
    <row r="717" spans="2:16" s="50" customFormat="1" ht="13.2">
      <c r="B717" s="86"/>
      <c r="C717" s="87"/>
      <c r="D717" s="87"/>
      <c r="E717" s="87"/>
      <c r="F717" s="87"/>
      <c r="G717" s="87"/>
      <c r="H717" s="87"/>
      <c r="I717" s="87"/>
      <c r="J717" s="87"/>
      <c r="K717" s="88"/>
      <c r="L717" s="89"/>
      <c r="M717" s="90"/>
      <c r="N717" s="57"/>
      <c r="O717" s="57"/>
      <c r="P717" s="91"/>
    </row>
    <row r="718" spans="2:16" s="50" customFormat="1" ht="13.2">
      <c r="B718" s="86"/>
      <c r="C718" s="87"/>
      <c r="D718" s="87"/>
      <c r="E718" s="87"/>
      <c r="F718" s="87"/>
      <c r="G718" s="87"/>
      <c r="H718" s="87"/>
      <c r="I718" s="87"/>
      <c r="J718" s="87"/>
      <c r="K718" s="88"/>
      <c r="L718" s="89"/>
      <c r="M718" s="90"/>
      <c r="N718" s="57"/>
      <c r="O718" s="57"/>
      <c r="P718" s="91"/>
    </row>
    <row r="719" spans="2:16" s="50" customFormat="1" ht="13.2">
      <c r="B719" s="86"/>
      <c r="C719" s="87"/>
      <c r="D719" s="87"/>
      <c r="E719" s="87"/>
      <c r="F719" s="87"/>
      <c r="G719" s="87"/>
      <c r="H719" s="87"/>
      <c r="I719" s="87"/>
      <c r="J719" s="87"/>
      <c r="K719" s="88"/>
      <c r="L719" s="89"/>
      <c r="M719" s="90"/>
      <c r="N719" s="57"/>
      <c r="O719" s="57"/>
      <c r="P719" s="91"/>
    </row>
    <row r="720" spans="2:16" s="50" customFormat="1" ht="13.2">
      <c r="B720" s="86"/>
      <c r="C720" s="87"/>
      <c r="D720" s="87"/>
      <c r="E720" s="87"/>
      <c r="F720" s="87"/>
      <c r="G720" s="87"/>
      <c r="H720" s="87"/>
      <c r="I720" s="87"/>
      <c r="J720" s="87"/>
      <c r="K720" s="88"/>
      <c r="L720" s="89"/>
      <c r="M720" s="90"/>
      <c r="N720" s="57"/>
      <c r="O720" s="57"/>
      <c r="P720" s="91"/>
    </row>
    <row r="721" spans="2:16" s="50" customFormat="1" ht="13.2">
      <c r="B721" s="86"/>
      <c r="C721" s="87"/>
      <c r="D721" s="87"/>
      <c r="E721" s="87"/>
      <c r="F721" s="87"/>
      <c r="G721" s="87"/>
      <c r="H721" s="87"/>
      <c r="I721" s="87"/>
      <c r="J721" s="87"/>
      <c r="K721" s="88"/>
      <c r="L721" s="89"/>
      <c r="M721" s="90"/>
      <c r="N721" s="57"/>
      <c r="O721" s="57"/>
      <c r="P721" s="91"/>
    </row>
    <row r="722" spans="2:16" s="50" customFormat="1" ht="13.2">
      <c r="B722" s="86"/>
      <c r="C722" s="87"/>
      <c r="D722" s="87"/>
      <c r="E722" s="87"/>
      <c r="F722" s="87"/>
      <c r="G722" s="87"/>
      <c r="H722" s="87"/>
      <c r="I722" s="87"/>
      <c r="J722" s="87"/>
      <c r="K722" s="88"/>
      <c r="L722" s="89"/>
      <c r="M722" s="90"/>
      <c r="N722" s="57"/>
      <c r="O722" s="57"/>
      <c r="P722" s="91"/>
    </row>
    <row r="723" spans="2:16" s="50" customFormat="1" ht="13.2">
      <c r="B723" s="86"/>
      <c r="C723" s="87"/>
      <c r="D723" s="87"/>
      <c r="E723" s="87"/>
      <c r="F723" s="87"/>
      <c r="G723" s="87"/>
      <c r="H723" s="87"/>
      <c r="I723" s="87"/>
      <c r="J723" s="87"/>
      <c r="K723" s="88"/>
      <c r="L723" s="89"/>
      <c r="M723" s="90"/>
      <c r="N723" s="57"/>
      <c r="O723" s="57"/>
      <c r="P723" s="91"/>
    </row>
    <row r="724" spans="2:16" s="50" customFormat="1" ht="13.2">
      <c r="B724" s="86"/>
      <c r="C724" s="87"/>
      <c r="D724" s="87"/>
      <c r="E724" s="87"/>
      <c r="F724" s="87"/>
      <c r="G724" s="87"/>
      <c r="H724" s="87"/>
      <c r="I724" s="87"/>
      <c r="J724" s="87"/>
      <c r="K724" s="88"/>
      <c r="L724" s="89"/>
      <c r="M724" s="90"/>
      <c r="N724" s="57"/>
      <c r="O724" s="57"/>
      <c r="P724" s="91"/>
    </row>
    <row r="725" spans="2:16" s="50" customFormat="1" ht="13.2">
      <c r="B725" s="86"/>
      <c r="C725" s="87"/>
      <c r="D725" s="87"/>
      <c r="E725" s="87"/>
      <c r="F725" s="87"/>
      <c r="G725" s="87"/>
      <c r="H725" s="87"/>
      <c r="I725" s="87"/>
      <c r="J725" s="87"/>
      <c r="K725" s="88"/>
      <c r="L725" s="89"/>
      <c r="M725" s="90"/>
      <c r="N725" s="57"/>
      <c r="O725" s="57"/>
      <c r="P725" s="91"/>
    </row>
    <row r="726" spans="2:16" s="50" customFormat="1" ht="13.2">
      <c r="B726" s="86"/>
      <c r="C726" s="87"/>
      <c r="D726" s="87"/>
      <c r="E726" s="87"/>
      <c r="F726" s="87"/>
      <c r="G726" s="87"/>
      <c r="H726" s="87"/>
      <c r="I726" s="87"/>
      <c r="J726" s="87"/>
      <c r="K726" s="88"/>
      <c r="L726" s="89"/>
      <c r="M726" s="90"/>
      <c r="N726" s="57"/>
      <c r="O726" s="57"/>
      <c r="P726" s="91"/>
    </row>
    <row r="727" spans="2:16" s="50" customFormat="1" ht="13.2">
      <c r="B727" s="86"/>
      <c r="C727" s="87"/>
      <c r="D727" s="87"/>
      <c r="E727" s="87"/>
      <c r="F727" s="87"/>
      <c r="G727" s="87"/>
      <c r="H727" s="87"/>
      <c r="I727" s="87"/>
      <c r="J727" s="87"/>
      <c r="K727" s="88"/>
      <c r="L727" s="89"/>
      <c r="M727" s="90"/>
      <c r="N727" s="57"/>
      <c r="O727" s="57"/>
      <c r="P727" s="91"/>
    </row>
    <row r="728" spans="2:16" s="50" customFormat="1" ht="13.2">
      <c r="B728" s="86"/>
      <c r="C728" s="87"/>
      <c r="D728" s="87"/>
      <c r="E728" s="87"/>
      <c r="F728" s="87"/>
      <c r="G728" s="87"/>
      <c r="H728" s="87"/>
      <c r="I728" s="87"/>
      <c r="J728" s="87"/>
      <c r="K728" s="88"/>
      <c r="L728" s="89"/>
      <c r="M728" s="90"/>
      <c r="N728" s="57"/>
      <c r="O728" s="57"/>
      <c r="P728" s="91"/>
    </row>
    <row r="729" spans="2:16" s="50" customFormat="1" ht="13.2">
      <c r="B729" s="86"/>
      <c r="C729" s="87"/>
      <c r="D729" s="87"/>
      <c r="E729" s="87"/>
      <c r="F729" s="87"/>
      <c r="G729" s="87"/>
      <c r="H729" s="87"/>
      <c r="I729" s="87"/>
      <c r="J729" s="87"/>
      <c r="K729" s="88"/>
      <c r="L729" s="89"/>
      <c r="M729" s="90"/>
      <c r="N729" s="57"/>
      <c r="O729" s="57"/>
      <c r="P729" s="91"/>
    </row>
    <row r="730" spans="2:16" s="50" customFormat="1" ht="13.2">
      <c r="B730" s="86"/>
      <c r="C730" s="87"/>
      <c r="D730" s="87"/>
      <c r="E730" s="87"/>
      <c r="F730" s="87"/>
      <c r="G730" s="87"/>
      <c r="H730" s="87"/>
      <c r="I730" s="87"/>
      <c r="J730" s="87"/>
      <c r="K730" s="88"/>
      <c r="L730" s="89"/>
      <c r="M730" s="90"/>
      <c r="N730" s="57"/>
      <c r="O730" s="57"/>
      <c r="P730" s="91"/>
    </row>
    <row r="731" spans="2:16" s="50" customFormat="1" ht="13.2">
      <c r="B731" s="86"/>
      <c r="C731" s="87"/>
      <c r="D731" s="87"/>
      <c r="E731" s="87"/>
      <c r="F731" s="87"/>
      <c r="G731" s="87"/>
      <c r="H731" s="87"/>
      <c r="I731" s="87"/>
      <c r="J731" s="87"/>
      <c r="K731" s="88"/>
      <c r="L731" s="89"/>
      <c r="M731" s="90"/>
      <c r="N731" s="57"/>
      <c r="O731" s="57"/>
      <c r="P731" s="91"/>
    </row>
    <row r="732" spans="2:16" s="50" customFormat="1" ht="13.2">
      <c r="B732" s="86"/>
      <c r="C732" s="87"/>
      <c r="D732" s="87"/>
      <c r="E732" s="87"/>
      <c r="F732" s="87"/>
      <c r="G732" s="87"/>
      <c r="H732" s="87"/>
      <c r="I732" s="87"/>
      <c r="J732" s="87"/>
      <c r="K732" s="88"/>
      <c r="L732" s="89"/>
      <c r="M732" s="90"/>
      <c r="N732" s="57"/>
      <c r="O732" s="57"/>
      <c r="P732" s="91"/>
    </row>
    <row r="733" spans="2:16" s="50" customFormat="1" ht="13.2">
      <c r="B733" s="86"/>
      <c r="C733" s="87"/>
      <c r="D733" s="87"/>
      <c r="E733" s="87"/>
      <c r="F733" s="87"/>
      <c r="G733" s="87"/>
      <c r="H733" s="87"/>
      <c r="I733" s="87"/>
      <c r="J733" s="87"/>
      <c r="K733" s="88"/>
      <c r="L733" s="89"/>
      <c r="M733" s="90"/>
      <c r="N733" s="57"/>
      <c r="O733" s="57"/>
      <c r="P733" s="91"/>
    </row>
    <row r="734" spans="2:16" s="50" customFormat="1" ht="13.2">
      <c r="B734" s="86"/>
      <c r="C734" s="87"/>
      <c r="D734" s="87"/>
      <c r="E734" s="87"/>
      <c r="F734" s="87"/>
      <c r="G734" s="87"/>
      <c r="H734" s="87"/>
      <c r="I734" s="87"/>
      <c r="J734" s="87"/>
      <c r="K734" s="88"/>
      <c r="L734" s="89"/>
      <c r="M734" s="90"/>
      <c r="N734" s="57"/>
      <c r="O734" s="57"/>
      <c r="P734" s="91"/>
    </row>
    <row r="735" spans="2:16" s="50" customFormat="1" ht="13.2">
      <c r="B735" s="86"/>
      <c r="C735" s="87"/>
      <c r="D735" s="87"/>
      <c r="E735" s="87"/>
      <c r="F735" s="87"/>
      <c r="G735" s="87"/>
      <c r="H735" s="87"/>
      <c r="I735" s="87"/>
      <c r="J735" s="87"/>
      <c r="K735" s="88"/>
      <c r="L735" s="89"/>
      <c r="M735" s="90"/>
      <c r="N735" s="57"/>
      <c r="O735" s="57"/>
      <c r="P735" s="91"/>
    </row>
    <row r="736" spans="2:16" s="50" customFormat="1" ht="13.2">
      <c r="B736" s="86"/>
      <c r="C736" s="87"/>
      <c r="D736" s="87"/>
      <c r="E736" s="87"/>
      <c r="F736" s="87"/>
      <c r="G736" s="87"/>
      <c r="H736" s="87"/>
      <c r="I736" s="87"/>
      <c r="J736" s="87"/>
      <c r="K736" s="88"/>
      <c r="L736" s="89"/>
      <c r="M736" s="90"/>
      <c r="N736" s="57"/>
      <c r="O736" s="57"/>
      <c r="P736" s="91"/>
    </row>
    <row r="737" spans="2:16" s="50" customFormat="1" ht="13.2">
      <c r="B737" s="86"/>
      <c r="C737" s="87"/>
      <c r="D737" s="87"/>
      <c r="E737" s="87"/>
      <c r="F737" s="87"/>
      <c r="G737" s="87"/>
      <c r="H737" s="87"/>
      <c r="I737" s="87"/>
      <c r="J737" s="87"/>
      <c r="K737" s="88"/>
      <c r="L737" s="89"/>
      <c r="M737" s="90"/>
      <c r="N737" s="57"/>
      <c r="O737" s="57"/>
      <c r="P737" s="91"/>
    </row>
    <row r="738" spans="2:16" s="50" customFormat="1" ht="13.2">
      <c r="B738" s="86"/>
      <c r="C738" s="87"/>
      <c r="D738" s="87"/>
      <c r="E738" s="87"/>
      <c r="F738" s="87"/>
      <c r="G738" s="87"/>
      <c r="H738" s="87"/>
      <c r="I738" s="87"/>
      <c r="J738" s="87"/>
      <c r="K738" s="88"/>
      <c r="L738" s="89"/>
      <c r="M738" s="90"/>
      <c r="N738" s="57"/>
      <c r="O738" s="57"/>
      <c r="P738" s="91"/>
    </row>
    <row r="739" spans="2:16" s="50" customFormat="1" ht="13.2">
      <c r="B739" s="86"/>
      <c r="C739" s="87"/>
      <c r="D739" s="87"/>
      <c r="E739" s="87"/>
      <c r="F739" s="87"/>
      <c r="G739" s="87"/>
      <c r="H739" s="87"/>
      <c r="I739" s="87"/>
      <c r="J739" s="87"/>
      <c r="K739" s="88"/>
      <c r="L739" s="89"/>
      <c r="M739" s="90"/>
      <c r="N739" s="57"/>
      <c r="O739" s="57"/>
      <c r="P739" s="91"/>
    </row>
    <row r="740" spans="2:16" s="50" customFormat="1" ht="13.2">
      <c r="B740" s="86"/>
      <c r="C740" s="87"/>
      <c r="D740" s="87"/>
      <c r="E740" s="87"/>
      <c r="F740" s="87"/>
      <c r="G740" s="87"/>
      <c r="H740" s="87"/>
      <c r="I740" s="87"/>
      <c r="J740" s="87"/>
      <c r="K740" s="88"/>
      <c r="L740" s="89"/>
      <c r="M740" s="90"/>
      <c r="N740" s="57"/>
      <c r="O740" s="57"/>
      <c r="P740" s="91"/>
    </row>
    <row r="741" spans="2:16" s="50" customFormat="1" ht="13.2">
      <c r="B741" s="86"/>
      <c r="C741" s="87"/>
      <c r="D741" s="87"/>
      <c r="E741" s="87"/>
      <c r="F741" s="87"/>
      <c r="G741" s="87"/>
      <c r="H741" s="87"/>
      <c r="I741" s="87"/>
      <c r="J741" s="87"/>
      <c r="K741" s="88"/>
      <c r="L741" s="89"/>
      <c r="M741" s="90"/>
      <c r="N741" s="57"/>
      <c r="O741" s="57"/>
      <c r="P741" s="91"/>
    </row>
    <row r="742" spans="2:16" s="50" customFormat="1" ht="13.2">
      <c r="B742" s="86"/>
      <c r="C742" s="87"/>
      <c r="D742" s="87"/>
      <c r="E742" s="87"/>
      <c r="F742" s="87"/>
      <c r="G742" s="87"/>
      <c r="H742" s="87"/>
      <c r="I742" s="87"/>
      <c r="J742" s="87"/>
      <c r="K742" s="88"/>
      <c r="L742" s="89"/>
      <c r="M742" s="90"/>
      <c r="N742" s="57"/>
      <c r="O742" s="57"/>
      <c r="P742" s="91"/>
    </row>
    <row r="743" spans="2:16" s="50" customFormat="1" ht="13.2">
      <c r="B743" s="86"/>
      <c r="C743" s="87"/>
      <c r="D743" s="87"/>
      <c r="E743" s="87"/>
      <c r="F743" s="87"/>
      <c r="G743" s="87"/>
      <c r="H743" s="87"/>
      <c r="I743" s="87"/>
      <c r="J743" s="87"/>
      <c r="K743" s="88"/>
      <c r="L743" s="89"/>
      <c r="M743" s="90"/>
      <c r="N743" s="57"/>
      <c r="O743" s="57"/>
      <c r="P743" s="91"/>
    </row>
    <row r="744" spans="2:16" s="50" customFormat="1" ht="13.2">
      <c r="B744" s="86"/>
      <c r="C744" s="87"/>
      <c r="D744" s="87"/>
      <c r="E744" s="87"/>
      <c r="F744" s="87"/>
      <c r="G744" s="87"/>
      <c r="H744" s="87"/>
      <c r="I744" s="87"/>
      <c r="J744" s="87"/>
      <c r="K744" s="88"/>
      <c r="L744" s="89"/>
      <c r="M744" s="90"/>
      <c r="N744" s="57"/>
      <c r="O744" s="57"/>
      <c r="P744" s="91"/>
    </row>
    <row r="745" spans="2:16" s="50" customFormat="1" ht="13.2">
      <c r="B745" s="86"/>
      <c r="C745" s="87"/>
      <c r="D745" s="87"/>
      <c r="E745" s="87"/>
      <c r="F745" s="87"/>
      <c r="G745" s="87"/>
      <c r="H745" s="87"/>
      <c r="I745" s="87"/>
      <c r="J745" s="87"/>
      <c r="K745" s="88"/>
      <c r="L745" s="89"/>
      <c r="M745" s="90"/>
      <c r="N745" s="57"/>
      <c r="O745" s="57"/>
      <c r="P745" s="91"/>
    </row>
    <row r="746" spans="2:16" s="50" customFormat="1" ht="13.2">
      <c r="B746" s="86"/>
      <c r="C746" s="87"/>
      <c r="D746" s="87"/>
      <c r="E746" s="87"/>
      <c r="F746" s="87"/>
      <c r="G746" s="87"/>
      <c r="H746" s="87"/>
      <c r="I746" s="87"/>
      <c r="J746" s="87"/>
      <c r="K746" s="88"/>
      <c r="L746" s="89"/>
      <c r="M746" s="90"/>
      <c r="N746" s="57"/>
      <c r="O746" s="57"/>
      <c r="P746" s="91"/>
    </row>
    <row r="747" spans="2:16" s="50" customFormat="1" ht="13.2">
      <c r="B747" s="86"/>
      <c r="C747" s="87"/>
      <c r="D747" s="87"/>
      <c r="E747" s="87"/>
      <c r="F747" s="87"/>
      <c r="G747" s="87"/>
      <c r="H747" s="87"/>
      <c r="I747" s="87"/>
      <c r="J747" s="87"/>
      <c r="K747" s="88"/>
      <c r="L747" s="89"/>
      <c r="M747" s="90"/>
      <c r="N747" s="57"/>
      <c r="O747" s="57"/>
      <c r="P747" s="91"/>
    </row>
    <row r="748" spans="2:16" s="50" customFormat="1" ht="13.2">
      <c r="B748" s="86"/>
      <c r="C748" s="87"/>
      <c r="D748" s="87"/>
      <c r="E748" s="87"/>
      <c r="F748" s="87"/>
      <c r="G748" s="87"/>
      <c r="H748" s="87"/>
      <c r="I748" s="87"/>
      <c r="J748" s="87"/>
      <c r="K748" s="88"/>
      <c r="L748" s="89"/>
      <c r="M748" s="90"/>
      <c r="N748" s="57"/>
      <c r="O748" s="57"/>
      <c r="P748" s="91"/>
    </row>
    <row r="749" spans="2:16" s="50" customFormat="1" ht="13.2">
      <c r="B749" s="86"/>
      <c r="C749" s="87"/>
      <c r="D749" s="87"/>
      <c r="E749" s="87"/>
      <c r="F749" s="87"/>
      <c r="G749" s="87"/>
      <c r="H749" s="87"/>
      <c r="I749" s="87"/>
      <c r="J749" s="87"/>
      <c r="K749" s="88"/>
      <c r="L749" s="89"/>
      <c r="M749" s="90"/>
      <c r="N749" s="57"/>
      <c r="O749" s="57"/>
      <c r="P749" s="91"/>
    </row>
    <row r="750" spans="2:16" s="50" customFormat="1" ht="13.2">
      <c r="B750" s="86"/>
      <c r="C750" s="87"/>
      <c r="D750" s="87"/>
      <c r="E750" s="87"/>
      <c r="F750" s="87"/>
      <c r="G750" s="87"/>
      <c r="H750" s="87"/>
      <c r="I750" s="87"/>
      <c r="J750" s="87"/>
      <c r="K750" s="88"/>
      <c r="L750" s="89"/>
      <c r="M750" s="90"/>
      <c r="N750" s="57"/>
      <c r="O750" s="57"/>
      <c r="P750" s="91"/>
    </row>
    <row r="751" spans="2:16" s="50" customFormat="1" ht="13.2">
      <c r="B751" s="86"/>
      <c r="C751" s="87"/>
      <c r="D751" s="87"/>
      <c r="E751" s="87"/>
      <c r="F751" s="87"/>
      <c r="G751" s="87"/>
      <c r="H751" s="87"/>
      <c r="I751" s="87"/>
      <c r="J751" s="87"/>
      <c r="K751" s="88"/>
      <c r="L751" s="89"/>
      <c r="M751" s="90"/>
      <c r="N751" s="57"/>
      <c r="O751" s="57"/>
      <c r="P751" s="91"/>
    </row>
    <row r="752" spans="2:16" s="50" customFormat="1" ht="13.2">
      <c r="B752" s="86"/>
      <c r="C752" s="87"/>
      <c r="D752" s="87"/>
      <c r="E752" s="87"/>
      <c r="F752" s="87"/>
      <c r="G752" s="87"/>
      <c r="H752" s="87"/>
      <c r="I752" s="87"/>
      <c r="J752" s="87"/>
      <c r="K752" s="88"/>
      <c r="L752" s="89"/>
      <c r="M752" s="90"/>
      <c r="N752" s="57"/>
      <c r="O752" s="57"/>
      <c r="P752" s="91"/>
    </row>
    <row r="753" spans="2:16" s="50" customFormat="1" ht="13.2">
      <c r="B753" s="86"/>
      <c r="C753" s="87"/>
      <c r="D753" s="87"/>
      <c r="E753" s="87"/>
      <c r="F753" s="87"/>
      <c r="G753" s="87"/>
      <c r="H753" s="87"/>
      <c r="I753" s="87"/>
      <c r="J753" s="87"/>
      <c r="K753" s="88"/>
      <c r="L753" s="89"/>
      <c r="M753" s="90"/>
      <c r="N753" s="57"/>
      <c r="O753" s="57"/>
      <c r="P753" s="91"/>
    </row>
    <row r="754" spans="2:16" s="50" customFormat="1" ht="13.2">
      <c r="B754" s="86"/>
      <c r="C754" s="87"/>
      <c r="D754" s="87"/>
      <c r="E754" s="87"/>
      <c r="F754" s="87"/>
      <c r="G754" s="87"/>
      <c r="H754" s="87"/>
      <c r="I754" s="87"/>
      <c r="J754" s="87"/>
      <c r="K754" s="88"/>
      <c r="L754" s="89"/>
      <c r="M754" s="90"/>
      <c r="N754" s="57"/>
      <c r="O754" s="57"/>
      <c r="P754" s="91"/>
    </row>
    <row r="755" spans="2:16" s="50" customFormat="1" ht="13.2">
      <c r="B755" s="86"/>
      <c r="C755" s="87"/>
      <c r="D755" s="87"/>
      <c r="E755" s="87"/>
      <c r="F755" s="87"/>
      <c r="G755" s="87"/>
      <c r="H755" s="87"/>
      <c r="I755" s="87"/>
      <c r="J755" s="87"/>
      <c r="K755" s="88"/>
      <c r="L755" s="89"/>
      <c r="M755" s="90"/>
      <c r="N755" s="57"/>
      <c r="O755" s="57"/>
      <c r="P755" s="91"/>
    </row>
    <row r="756" spans="2:16" s="50" customFormat="1" ht="13.2">
      <c r="B756" s="86"/>
      <c r="C756" s="87"/>
      <c r="D756" s="87"/>
      <c r="E756" s="87"/>
      <c r="F756" s="87"/>
      <c r="G756" s="87"/>
      <c r="H756" s="87"/>
      <c r="I756" s="87"/>
      <c r="J756" s="87"/>
      <c r="K756" s="88"/>
      <c r="L756" s="89"/>
      <c r="M756" s="90"/>
      <c r="N756" s="57"/>
      <c r="O756" s="57"/>
      <c r="P756" s="91"/>
    </row>
    <row r="757" spans="2:16" s="50" customFormat="1" ht="13.2">
      <c r="B757" s="86"/>
      <c r="C757" s="87"/>
      <c r="D757" s="87"/>
      <c r="E757" s="87"/>
      <c r="F757" s="87"/>
      <c r="G757" s="87"/>
      <c r="H757" s="87"/>
      <c r="I757" s="87"/>
      <c r="J757" s="87"/>
      <c r="K757" s="88"/>
      <c r="L757" s="89"/>
      <c r="M757" s="90"/>
      <c r="N757" s="57"/>
      <c r="O757" s="57"/>
      <c r="P757" s="91"/>
    </row>
    <row r="758" spans="2:16" s="50" customFormat="1" ht="13.2">
      <c r="B758" s="86"/>
      <c r="C758" s="87"/>
      <c r="D758" s="87"/>
      <c r="E758" s="87"/>
      <c r="F758" s="87"/>
      <c r="G758" s="87"/>
      <c r="H758" s="87"/>
      <c r="I758" s="87"/>
      <c r="J758" s="87"/>
      <c r="K758" s="88"/>
      <c r="L758" s="89"/>
      <c r="M758" s="90"/>
      <c r="N758" s="57"/>
      <c r="O758" s="57"/>
      <c r="P758" s="91"/>
    </row>
    <row r="759" spans="2:16" s="50" customFormat="1" ht="13.2">
      <c r="B759" s="86"/>
      <c r="C759" s="87"/>
      <c r="D759" s="87"/>
      <c r="E759" s="87"/>
      <c r="F759" s="87"/>
      <c r="G759" s="87"/>
      <c r="H759" s="87"/>
      <c r="I759" s="87"/>
      <c r="J759" s="87"/>
      <c r="K759" s="88"/>
      <c r="L759" s="89"/>
      <c r="M759" s="90"/>
      <c r="N759" s="57"/>
      <c r="O759" s="57"/>
      <c r="P759" s="91"/>
    </row>
    <row r="760" spans="2:16" s="50" customFormat="1" ht="13.2">
      <c r="B760" s="86"/>
      <c r="C760" s="87"/>
      <c r="D760" s="87"/>
      <c r="E760" s="87"/>
      <c r="F760" s="87"/>
      <c r="G760" s="87"/>
      <c r="H760" s="87"/>
      <c r="I760" s="87"/>
      <c r="J760" s="87"/>
      <c r="K760" s="88"/>
      <c r="L760" s="89"/>
      <c r="M760" s="90"/>
      <c r="N760" s="57"/>
      <c r="O760" s="57"/>
      <c r="P760" s="91"/>
    </row>
    <row r="761" spans="2:16" s="50" customFormat="1" ht="13.2">
      <c r="B761" s="86"/>
      <c r="C761" s="87"/>
      <c r="D761" s="87"/>
      <c r="E761" s="87"/>
      <c r="F761" s="87"/>
      <c r="G761" s="87"/>
      <c r="H761" s="87"/>
      <c r="I761" s="87"/>
      <c r="J761" s="87"/>
      <c r="K761" s="88"/>
      <c r="L761" s="89"/>
      <c r="M761" s="90"/>
      <c r="N761" s="57"/>
      <c r="O761" s="57"/>
      <c r="P761" s="91"/>
    </row>
    <row r="762" spans="2:16" s="50" customFormat="1" ht="13.2">
      <c r="B762" s="86"/>
      <c r="C762" s="87"/>
      <c r="D762" s="87"/>
      <c r="E762" s="87"/>
      <c r="F762" s="87"/>
      <c r="G762" s="87"/>
      <c r="H762" s="87"/>
      <c r="I762" s="87"/>
      <c r="J762" s="87"/>
      <c r="K762" s="88"/>
      <c r="L762" s="89"/>
      <c r="M762" s="90"/>
      <c r="N762" s="57"/>
      <c r="O762" s="57"/>
      <c r="P762" s="91"/>
    </row>
    <row r="763" spans="2:16" s="50" customFormat="1" ht="13.2">
      <c r="B763" s="86"/>
      <c r="C763" s="87"/>
      <c r="D763" s="87"/>
      <c r="E763" s="87"/>
      <c r="F763" s="87"/>
      <c r="G763" s="87"/>
      <c r="H763" s="87"/>
      <c r="I763" s="87"/>
      <c r="J763" s="87"/>
      <c r="K763" s="88"/>
      <c r="L763" s="89"/>
      <c r="M763" s="90"/>
      <c r="N763" s="57"/>
      <c r="O763" s="57"/>
      <c r="P763" s="91"/>
    </row>
    <row r="764" spans="2:16" s="50" customFormat="1" ht="13.2">
      <c r="B764" s="86"/>
      <c r="C764" s="87"/>
      <c r="D764" s="87"/>
      <c r="E764" s="87"/>
      <c r="F764" s="87"/>
      <c r="G764" s="87"/>
      <c r="H764" s="87"/>
      <c r="I764" s="87"/>
      <c r="J764" s="87"/>
      <c r="K764" s="88"/>
      <c r="L764" s="89"/>
      <c r="M764" s="90"/>
      <c r="N764" s="57"/>
      <c r="O764" s="57"/>
      <c r="P764" s="91"/>
    </row>
    <row r="765" spans="2:16" s="50" customFormat="1" ht="13.2">
      <c r="B765" s="86"/>
      <c r="C765" s="87"/>
      <c r="D765" s="87"/>
      <c r="E765" s="87"/>
      <c r="F765" s="87"/>
      <c r="G765" s="87"/>
      <c r="H765" s="87"/>
      <c r="I765" s="87"/>
      <c r="J765" s="87"/>
      <c r="K765" s="88"/>
      <c r="L765" s="89"/>
      <c r="M765" s="90"/>
      <c r="N765" s="57"/>
      <c r="O765" s="57"/>
      <c r="P765" s="91"/>
    </row>
    <row r="766" spans="2:16" s="50" customFormat="1" ht="13.2">
      <c r="B766" s="86"/>
      <c r="C766" s="87"/>
      <c r="D766" s="87"/>
      <c r="E766" s="87"/>
      <c r="F766" s="87"/>
      <c r="G766" s="87"/>
      <c r="H766" s="87"/>
      <c r="I766" s="87"/>
      <c r="J766" s="87"/>
      <c r="K766" s="88"/>
      <c r="L766" s="89"/>
      <c r="M766" s="90"/>
      <c r="N766" s="57"/>
      <c r="O766" s="57"/>
      <c r="P766" s="91"/>
    </row>
    <row r="767" spans="2:16" s="50" customFormat="1" ht="13.2">
      <c r="B767" s="86"/>
      <c r="C767" s="87"/>
      <c r="D767" s="87"/>
      <c r="E767" s="87"/>
      <c r="F767" s="87"/>
      <c r="G767" s="87"/>
      <c r="H767" s="87"/>
      <c r="I767" s="87"/>
      <c r="J767" s="87"/>
      <c r="K767" s="88"/>
      <c r="L767" s="89"/>
      <c r="M767" s="90"/>
      <c r="N767" s="57"/>
      <c r="O767" s="57"/>
      <c r="P767" s="91"/>
    </row>
    <row r="768" spans="2:16" s="50" customFormat="1" ht="13.2">
      <c r="B768" s="86"/>
      <c r="C768" s="87"/>
      <c r="D768" s="87"/>
      <c r="E768" s="87"/>
      <c r="F768" s="87"/>
      <c r="G768" s="87"/>
      <c r="H768" s="87"/>
      <c r="I768" s="87"/>
      <c r="J768" s="87"/>
      <c r="K768" s="88"/>
      <c r="L768" s="89"/>
      <c r="M768" s="90"/>
      <c r="N768" s="57"/>
      <c r="O768" s="57"/>
      <c r="P768" s="91"/>
    </row>
    <row r="769" spans="2:16" s="50" customFormat="1" ht="13.2">
      <c r="B769" s="86"/>
      <c r="C769" s="87"/>
      <c r="D769" s="87"/>
      <c r="E769" s="87"/>
      <c r="F769" s="87"/>
      <c r="G769" s="87"/>
      <c r="H769" s="87"/>
      <c r="I769" s="87"/>
      <c r="J769" s="87"/>
      <c r="K769" s="88"/>
      <c r="L769" s="89"/>
      <c r="M769" s="90"/>
      <c r="N769" s="57"/>
      <c r="O769" s="57"/>
      <c r="P769" s="91"/>
    </row>
    <row r="770" spans="2:16" s="50" customFormat="1" ht="13.2">
      <c r="B770" s="86"/>
      <c r="C770" s="87"/>
      <c r="D770" s="87"/>
      <c r="E770" s="87"/>
      <c r="F770" s="87"/>
      <c r="G770" s="87"/>
      <c r="H770" s="87"/>
      <c r="I770" s="87"/>
      <c r="J770" s="87"/>
      <c r="K770" s="88"/>
      <c r="L770" s="89"/>
      <c r="M770" s="90"/>
      <c r="N770" s="57"/>
      <c r="O770" s="57"/>
      <c r="P770" s="91"/>
    </row>
    <row r="771" spans="2:16" s="50" customFormat="1" ht="13.2">
      <c r="B771" s="86"/>
      <c r="C771" s="87"/>
      <c r="D771" s="87"/>
      <c r="E771" s="87"/>
      <c r="F771" s="87"/>
      <c r="G771" s="87"/>
      <c r="H771" s="87"/>
      <c r="I771" s="87"/>
      <c r="J771" s="87"/>
      <c r="K771" s="88"/>
      <c r="L771" s="89"/>
      <c r="M771" s="90"/>
      <c r="N771" s="57"/>
      <c r="O771" s="57"/>
      <c r="P771" s="91"/>
    </row>
    <row r="772" spans="2:16" s="50" customFormat="1" ht="13.2">
      <c r="B772" s="86"/>
      <c r="C772" s="87"/>
      <c r="D772" s="87"/>
      <c r="E772" s="87"/>
      <c r="F772" s="87"/>
      <c r="G772" s="87"/>
      <c r="H772" s="87"/>
      <c r="I772" s="87"/>
      <c r="J772" s="87"/>
      <c r="K772" s="88"/>
      <c r="L772" s="89"/>
      <c r="M772" s="90"/>
      <c r="N772" s="57"/>
      <c r="O772" s="57"/>
      <c r="P772" s="91"/>
    </row>
    <row r="773" spans="2:16" s="50" customFormat="1" ht="13.2">
      <c r="B773" s="86"/>
      <c r="C773" s="87"/>
      <c r="D773" s="87"/>
      <c r="E773" s="87"/>
      <c r="F773" s="87"/>
      <c r="G773" s="87"/>
      <c r="H773" s="87"/>
      <c r="I773" s="87"/>
      <c r="J773" s="87"/>
      <c r="K773" s="88"/>
      <c r="L773" s="89"/>
      <c r="M773" s="90"/>
      <c r="N773" s="57"/>
      <c r="O773" s="57"/>
      <c r="P773" s="91"/>
    </row>
    <row r="774" spans="2:16" s="50" customFormat="1" ht="13.2">
      <c r="B774" s="86"/>
      <c r="C774" s="87"/>
      <c r="D774" s="87"/>
      <c r="E774" s="87"/>
      <c r="F774" s="87"/>
      <c r="G774" s="87"/>
      <c r="H774" s="87"/>
      <c r="I774" s="87"/>
      <c r="J774" s="87"/>
      <c r="K774" s="88"/>
      <c r="L774" s="89"/>
      <c r="M774" s="90"/>
      <c r="N774" s="57"/>
      <c r="O774" s="57"/>
      <c r="P774" s="91"/>
    </row>
    <row r="775" spans="2:16" s="50" customFormat="1" ht="13.2">
      <c r="B775" s="86"/>
      <c r="C775" s="87"/>
      <c r="D775" s="87"/>
      <c r="E775" s="87"/>
      <c r="F775" s="87"/>
      <c r="G775" s="87"/>
      <c r="H775" s="87"/>
      <c r="I775" s="87"/>
      <c r="J775" s="87"/>
      <c r="K775" s="88"/>
      <c r="L775" s="89"/>
      <c r="M775" s="90"/>
      <c r="N775" s="57"/>
      <c r="O775" s="57"/>
      <c r="P775" s="91"/>
    </row>
    <row r="776" spans="2:16" s="50" customFormat="1" ht="13.2">
      <c r="B776" s="86"/>
      <c r="C776" s="87"/>
      <c r="D776" s="87"/>
      <c r="E776" s="87"/>
      <c r="F776" s="87"/>
      <c r="G776" s="87"/>
      <c r="H776" s="87"/>
      <c r="I776" s="87"/>
      <c r="J776" s="87"/>
      <c r="K776" s="88"/>
      <c r="L776" s="89"/>
      <c r="M776" s="90"/>
      <c r="N776" s="57"/>
      <c r="O776" s="57"/>
      <c r="P776" s="91"/>
    </row>
    <row r="777" spans="2:16" s="50" customFormat="1" ht="13.2">
      <c r="B777" s="86"/>
      <c r="C777" s="87"/>
      <c r="D777" s="87"/>
      <c r="E777" s="87"/>
      <c r="F777" s="87"/>
      <c r="G777" s="87"/>
      <c r="H777" s="87"/>
      <c r="I777" s="87"/>
      <c r="J777" s="87"/>
      <c r="K777" s="88"/>
      <c r="L777" s="89"/>
      <c r="M777" s="90"/>
      <c r="N777" s="57"/>
      <c r="O777" s="57"/>
      <c r="P777" s="91"/>
    </row>
    <row r="778" spans="2:16" s="50" customFormat="1" ht="13.2">
      <c r="B778" s="86"/>
      <c r="C778" s="87"/>
      <c r="D778" s="87"/>
      <c r="E778" s="87"/>
      <c r="F778" s="87"/>
      <c r="G778" s="87"/>
      <c r="H778" s="87"/>
      <c r="I778" s="87"/>
      <c r="J778" s="87"/>
      <c r="K778" s="88"/>
      <c r="L778" s="89"/>
      <c r="M778" s="90"/>
      <c r="N778" s="57"/>
      <c r="O778" s="57"/>
      <c r="P778" s="91"/>
    </row>
    <row r="779" spans="2:16" s="50" customFormat="1" ht="13.2">
      <c r="B779" s="86"/>
      <c r="C779" s="87"/>
      <c r="D779" s="87"/>
      <c r="E779" s="87"/>
      <c r="F779" s="87"/>
      <c r="G779" s="87"/>
      <c r="H779" s="87"/>
      <c r="I779" s="87"/>
      <c r="J779" s="87"/>
      <c r="K779" s="88"/>
      <c r="L779" s="89"/>
      <c r="M779" s="90"/>
      <c r="N779" s="57"/>
      <c r="O779" s="57"/>
      <c r="P779" s="91"/>
    </row>
    <row r="780" spans="2:16" s="50" customFormat="1" ht="13.2">
      <c r="B780" s="86"/>
      <c r="C780" s="87"/>
      <c r="D780" s="87"/>
      <c r="E780" s="87"/>
      <c r="F780" s="87"/>
      <c r="G780" s="87"/>
      <c r="H780" s="87"/>
      <c r="I780" s="87"/>
      <c r="J780" s="87"/>
      <c r="K780" s="88"/>
      <c r="L780" s="89"/>
      <c r="M780" s="90"/>
      <c r="N780" s="57"/>
      <c r="O780" s="57"/>
      <c r="P780" s="91"/>
    </row>
    <row r="781" spans="2:16" s="50" customFormat="1" ht="13.2">
      <c r="B781" s="86"/>
      <c r="C781" s="87"/>
      <c r="D781" s="87"/>
      <c r="E781" s="87"/>
      <c r="F781" s="87"/>
      <c r="G781" s="87"/>
      <c r="H781" s="87"/>
      <c r="I781" s="87"/>
      <c r="J781" s="87"/>
      <c r="K781" s="88"/>
      <c r="L781" s="89"/>
      <c r="M781" s="90"/>
      <c r="N781" s="57"/>
      <c r="O781" s="57"/>
      <c r="P781" s="91"/>
    </row>
    <row r="782" spans="2:16" s="50" customFormat="1" ht="13.2">
      <c r="B782" s="86"/>
      <c r="C782" s="87"/>
      <c r="D782" s="87"/>
      <c r="E782" s="87"/>
      <c r="F782" s="87"/>
      <c r="G782" s="87"/>
      <c r="H782" s="87"/>
      <c r="I782" s="87"/>
      <c r="J782" s="87"/>
      <c r="K782" s="88"/>
      <c r="L782" s="89"/>
      <c r="M782" s="90"/>
      <c r="N782" s="57"/>
      <c r="O782" s="57"/>
      <c r="P782" s="91"/>
    </row>
    <row r="783" spans="2:16" s="50" customFormat="1" ht="13.2">
      <c r="B783" s="86"/>
      <c r="C783" s="87"/>
      <c r="D783" s="87"/>
      <c r="E783" s="87"/>
      <c r="F783" s="87"/>
      <c r="G783" s="87"/>
      <c r="H783" s="87"/>
      <c r="I783" s="87"/>
      <c r="J783" s="87"/>
      <c r="K783" s="88"/>
      <c r="L783" s="89"/>
      <c r="M783" s="90"/>
      <c r="N783" s="57"/>
      <c r="O783" s="57"/>
      <c r="P783" s="91"/>
    </row>
    <row r="784" spans="2:16" s="50" customFormat="1" ht="13.2">
      <c r="B784" s="86"/>
      <c r="C784" s="87"/>
      <c r="D784" s="87"/>
      <c r="E784" s="87"/>
      <c r="F784" s="87"/>
      <c r="G784" s="87"/>
      <c r="H784" s="87"/>
      <c r="I784" s="87"/>
      <c r="J784" s="87"/>
      <c r="K784" s="88"/>
      <c r="L784" s="89"/>
      <c r="M784" s="90"/>
      <c r="N784" s="57"/>
      <c r="O784" s="57"/>
      <c r="P784" s="91"/>
    </row>
    <row r="785" spans="2:16" s="50" customFormat="1" ht="13.2">
      <c r="B785" s="86"/>
      <c r="C785" s="87"/>
      <c r="D785" s="87"/>
      <c r="E785" s="87"/>
      <c r="F785" s="87"/>
      <c r="G785" s="87"/>
      <c r="H785" s="87"/>
      <c r="I785" s="87"/>
      <c r="J785" s="87"/>
      <c r="K785" s="88"/>
      <c r="L785" s="89"/>
      <c r="M785" s="90"/>
      <c r="N785" s="57"/>
      <c r="O785" s="57"/>
      <c r="P785" s="91"/>
    </row>
    <row r="786" spans="2:16" s="50" customFormat="1" ht="13.2">
      <c r="B786" s="86"/>
      <c r="C786" s="87"/>
      <c r="D786" s="87"/>
      <c r="E786" s="87"/>
      <c r="F786" s="87"/>
      <c r="G786" s="87"/>
      <c r="H786" s="87"/>
      <c r="I786" s="87"/>
      <c r="J786" s="87"/>
      <c r="K786" s="88"/>
      <c r="L786" s="89"/>
      <c r="M786" s="90"/>
      <c r="N786" s="57"/>
      <c r="O786" s="57"/>
      <c r="P786" s="91"/>
    </row>
    <row r="787" spans="2:16" s="50" customFormat="1" ht="13.2">
      <c r="B787" s="86"/>
      <c r="C787" s="87"/>
      <c r="D787" s="87"/>
      <c r="E787" s="87"/>
      <c r="F787" s="87"/>
      <c r="G787" s="87"/>
      <c r="H787" s="87"/>
      <c r="I787" s="87"/>
      <c r="J787" s="87"/>
      <c r="K787" s="88"/>
      <c r="L787" s="89"/>
      <c r="M787" s="90"/>
      <c r="N787" s="57"/>
      <c r="O787" s="57"/>
      <c r="P787" s="91"/>
    </row>
    <row r="788" spans="2:16" s="50" customFormat="1" ht="13.2">
      <c r="B788" s="86"/>
      <c r="C788" s="87"/>
      <c r="D788" s="87"/>
      <c r="E788" s="87"/>
      <c r="F788" s="87"/>
      <c r="G788" s="87"/>
      <c r="H788" s="87"/>
      <c r="I788" s="87"/>
      <c r="J788" s="87"/>
      <c r="K788" s="88"/>
      <c r="L788" s="89"/>
      <c r="M788" s="90"/>
      <c r="N788" s="57"/>
      <c r="O788" s="57"/>
      <c r="P788" s="91"/>
    </row>
    <row r="789" spans="2:16" s="50" customFormat="1" ht="13.2">
      <c r="B789" s="86"/>
      <c r="C789" s="87"/>
      <c r="D789" s="87"/>
      <c r="E789" s="87"/>
      <c r="F789" s="87"/>
      <c r="G789" s="87"/>
      <c r="H789" s="87"/>
      <c r="I789" s="87"/>
      <c r="J789" s="87"/>
      <c r="K789" s="88"/>
      <c r="L789" s="89"/>
      <c r="M789" s="90"/>
      <c r="N789" s="57"/>
      <c r="O789" s="57"/>
      <c r="P789" s="91"/>
    </row>
    <row r="790" spans="2:16" s="50" customFormat="1" ht="13.2">
      <c r="B790" s="86"/>
      <c r="C790" s="87"/>
      <c r="D790" s="87"/>
      <c r="E790" s="87"/>
      <c r="F790" s="87"/>
      <c r="G790" s="87"/>
      <c r="H790" s="87"/>
      <c r="I790" s="87"/>
      <c r="J790" s="87"/>
      <c r="K790" s="88"/>
      <c r="L790" s="89"/>
      <c r="M790" s="90"/>
      <c r="N790" s="57"/>
      <c r="O790" s="57"/>
      <c r="P790" s="91"/>
    </row>
    <row r="791" spans="2:16" s="50" customFormat="1" ht="13.2">
      <c r="B791" s="86"/>
      <c r="C791" s="87"/>
      <c r="D791" s="87"/>
      <c r="E791" s="87"/>
      <c r="F791" s="87"/>
      <c r="G791" s="87"/>
      <c r="H791" s="87"/>
      <c r="I791" s="87"/>
      <c r="J791" s="87"/>
      <c r="K791" s="88"/>
      <c r="L791" s="89"/>
      <c r="M791" s="90"/>
      <c r="N791" s="57"/>
      <c r="O791" s="57"/>
      <c r="P791" s="91"/>
    </row>
    <row r="792" spans="2:16" s="50" customFormat="1" ht="13.2">
      <c r="B792" s="86"/>
      <c r="C792" s="87"/>
      <c r="D792" s="87"/>
      <c r="E792" s="87"/>
      <c r="F792" s="87"/>
      <c r="G792" s="87"/>
      <c r="H792" s="87"/>
      <c r="I792" s="87"/>
      <c r="J792" s="87"/>
      <c r="K792" s="88"/>
      <c r="L792" s="89"/>
      <c r="M792" s="90"/>
      <c r="N792" s="57"/>
      <c r="O792" s="57"/>
      <c r="P792" s="91"/>
    </row>
    <row r="793" spans="2:16" s="50" customFormat="1" ht="13.2">
      <c r="B793" s="86"/>
      <c r="C793" s="87"/>
      <c r="D793" s="87"/>
      <c r="E793" s="87"/>
      <c r="F793" s="87"/>
      <c r="G793" s="87"/>
      <c r="H793" s="87"/>
      <c r="I793" s="87"/>
      <c r="J793" s="87"/>
      <c r="K793" s="88"/>
      <c r="L793" s="89"/>
      <c r="M793" s="90"/>
      <c r="N793" s="57"/>
      <c r="O793" s="57"/>
      <c r="P793" s="91"/>
    </row>
    <row r="794" spans="2:16" s="50" customFormat="1" ht="13.2">
      <c r="B794" s="86"/>
      <c r="C794" s="87"/>
      <c r="D794" s="87"/>
      <c r="E794" s="87"/>
      <c r="F794" s="87"/>
      <c r="G794" s="87"/>
      <c r="H794" s="87"/>
      <c r="I794" s="87"/>
      <c r="J794" s="87"/>
      <c r="K794" s="88"/>
      <c r="L794" s="89"/>
      <c r="M794" s="90"/>
      <c r="N794" s="57"/>
      <c r="O794" s="57"/>
      <c r="P794" s="91"/>
    </row>
    <row r="795" spans="2:16" s="50" customFormat="1" ht="13.2">
      <c r="B795" s="86"/>
      <c r="C795" s="87"/>
      <c r="D795" s="87"/>
      <c r="E795" s="87"/>
      <c r="F795" s="87"/>
      <c r="G795" s="87"/>
      <c r="H795" s="87"/>
      <c r="I795" s="87"/>
      <c r="J795" s="87"/>
      <c r="K795" s="88"/>
      <c r="L795" s="89"/>
      <c r="M795" s="90"/>
      <c r="N795" s="57"/>
      <c r="O795" s="57"/>
      <c r="P795" s="91"/>
    </row>
    <row r="796" spans="2:16" s="50" customFormat="1" ht="13.2">
      <c r="B796" s="86"/>
      <c r="C796" s="87"/>
      <c r="D796" s="87"/>
      <c r="E796" s="87"/>
      <c r="F796" s="87"/>
      <c r="G796" s="87"/>
      <c r="H796" s="87"/>
      <c r="I796" s="87"/>
      <c r="J796" s="87"/>
      <c r="K796" s="88"/>
      <c r="L796" s="89"/>
      <c r="M796" s="90"/>
      <c r="N796" s="57"/>
      <c r="O796" s="57"/>
      <c r="P796" s="91"/>
    </row>
    <row r="797" spans="2:16" s="50" customFormat="1" ht="13.2">
      <c r="B797" s="86"/>
      <c r="C797" s="87"/>
      <c r="D797" s="87"/>
      <c r="E797" s="87"/>
      <c r="F797" s="87"/>
      <c r="G797" s="87"/>
      <c r="H797" s="87"/>
      <c r="I797" s="87"/>
      <c r="J797" s="87"/>
      <c r="K797" s="88"/>
      <c r="L797" s="89"/>
      <c r="M797" s="90"/>
      <c r="N797" s="57"/>
      <c r="O797" s="57"/>
      <c r="P797" s="91"/>
    </row>
    <row r="798" spans="2:16" s="50" customFormat="1" ht="13.2">
      <c r="B798" s="86"/>
      <c r="C798" s="87"/>
      <c r="D798" s="87"/>
      <c r="E798" s="87"/>
      <c r="F798" s="87"/>
      <c r="G798" s="87"/>
      <c r="H798" s="87"/>
      <c r="I798" s="87"/>
      <c r="J798" s="87"/>
      <c r="K798" s="88"/>
      <c r="L798" s="89"/>
      <c r="M798" s="90"/>
      <c r="N798" s="57"/>
      <c r="O798" s="57"/>
      <c r="P798" s="91"/>
    </row>
    <row r="799" spans="2:16" s="50" customFormat="1" ht="13.2">
      <c r="B799" s="86"/>
      <c r="C799" s="87"/>
      <c r="D799" s="87"/>
      <c r="E799" s="87"/>
      <c r="F799" s="87"/>
      <c r="G799" s="87"/>
      <c r="H799" s="87"/>
      <c r="I799" s="87"/>
      <c r="J799" s="87"/>
      <c r="K799" s="88"/>
      <c r="L799" s="89"/>
      <c r="M799" s="90"/>
      <c r="N799" s="57"/>
      <c r="O799" s="57"/>
      <c r="P799" s="91"/>
    </row>
    <row r="800" spans="2:16" s="50" customFormat="1" ht="13.2">
      <c r="B800" s="86"/>
      <c r="C800" s="87"/>
      <c r="D800" s="87"/>
      <c r="E800" s="87"/>
      <c r="F800" s="87"/>
      <c r="G800" s="87"/>
      <c r="H800" s="87"/>
      <c r="I800" s="87"/>
      <c r="J800" s="87"/>
      <c r="K800" s="88"/>
      <c r="L800" s="89"/>
      <c r="M800" s="90"/>
      <c r="N800" s="57"/>
      <c r="O800" s="57"/>
      <c r="P800" s="91"/>
    </row>
    <row r="801" spans="2:16" s="50" customFormat="1" ht="13.2">
      <c r="B801" s="86"/>
      <c r="C801" s="87"/>
      <c r="D801" s="87"/>
      <c r="E801" s="87"/>
      <c r="F801" s="87"/>
      <c r="G801" s="87"/>
      <c r="H801" s="87"/>
      <c r="I801" s="87"/>
      <c r="J801" s="87"/>
      <c r="K801" s="88"/>
      <c r="L801" s="89"/>
      <c r="M801" s="90"/>
      <c r="N801" s="57"/>
      <c r="O801" s="57"/>
      <c r="P801" s="91"/>
    </row>
    <row r="802" spans="2:16" s="50" customFormat="1" ht="13.2">
      <c r="B802" s="86"/>
      <c r="C802" s="87"/>
      <c r="D802" s="87"/>
      <c r="E802" s="87"/>
      <c r="F802" s="87"/>
      <c r="G802" s="87"/>
      <c r="H802" s="87"/>
      <c r="I802" s="87"/>
      <c r="J802" s="87"/>
      <c r="K802" s="88"/>
      <c r="L802" s="89"/>
      <c r="M802" s="90"/>
      <c r="N802" s="57"/>
      <c r="O802" s="57"/>
      <c r="P802" s="91"/>
    </row>
    <row r="803" spans="2:16" s="50" customFormat="1" ht="13.2">
      <c r="B803" s="86"/>
      <c r="C803" s="87"/>
      <c r="D803" s="87"/>
      <c r="E803" s="87"/>
      <c r="F803" s="87"/>
      <c r="G803" s="87"/>
      <c r="H803" s="87"/>
      <c r="I803" s="87"/>
      <c r="J803" s="87"/>
      <c r="K803" s="88"/>
      <c r="L803" s="89"/>
      <c r="M803" s="90"/>
      <c r="N803" s="57"/>
      <c r="O803" s="57"/>
      <c r="P803" s="91"/>
    </row>
    <row r="804" spans="2:16" s="50" customFormat="1" ht="13.2">
      <c r="B804" s="86"/>
      <c r="C804" s="87"/>
      <c r="D804" s="87"/>
      <c r="E804" s="87"/>
      <c r="F804" s="87"/>
      <c r="G804" s="87"/>
      <c r="H804" s="87"/>
      <c r="I804" s="87"/>
      <c r="J804" s="87"/>
      <c r="K804" s="88"/>
      <c r="L804" s="89"/>
      <c r="M804" s="90"/>
      <c r="N804" s="57"/>
      <c r="O804" s="57"/>
      <c r="P804" s="91"/>
    </row>
    <row r="805" spans="2:16" s="50" customFormat="1" ht="13.2">
      <c r="B805" s="86"/>
      <c r="C805" s="87"/>
      <c r="D805" s="87"/>
      <c r="E805" s="87"/>
      <c r="F805" s="87"/>
      <c r="G805" s="87"/>
      <c r="H805" s="87"/>
      <c r="I805" s="87"/>
      <c r="J805" s="87"/>
      <c r="K805" s="88"/>
      <c r="L805" s="89"/>
      <c r="M805" s="90"/>
      <c r="N805" s="57"/>
      <c r="O805" s="57"/>
      <c r="P805" s="91"/>
    </row>
    <row r="806" spans="2:16" s="50" customFormat="1" ht="13.2">
      <c r="B806" s="86"/>
      <c r="C806" s="87"/>
      <c r="D806" s="87"/>
      <c r="E806" s="87"/>
      <c r="F806" s="87"/>
      <c r="G806" s="87"/>
      <c r="H806" s="87"/>
      <c r="I806" s="87"/>
      <c r="J806" s="87"/>
      <c r="K806" s="88"/>
      <c r="L806" s="89"/>
      <c r="M806" s="90"/>
      <c r="N806" s="57"/>
      <c r="O806" s="57"/>
      <c r="P806" s="91"/>
    </row>
    <row r="807" spans="2:16" s="50" customFormat="1" ht="13.2">
      <c r="B807" s="86"/>
      <c r="C807" s="87"/>
      <c r="D807" s="87"/>
      <c r="E807" s="87"/>
      <c r="F807" s="87"/>
      <c r="G807" s="87"/>
      <c r="H807" s="87"/>
      <c r="I807" s="87"/>
      <c r="J807" s="87"/>
      <c r="K807" s="88"/>
      <c r="L807" s="89"/>
      <c r="M807" s="90"/>
      <c r="N807" s="57"/>
      <c r="O807" s="57"/>
      <c r="P807" s="91"/>
    </row>
    <row r="808" spans="2:16" s="50" customFormat="1" ht="13.2">
      <c r="B808" s="86"/>
      <c r="C808" s="87"/>
      <c r="D808" s="87"/>
      <c r="E808" s="87"/>
      <c r="F808" s="87"/>
      <c r="G808" s="87"/>
      <c r="H808" s="87"/>
      <c r="I808" s="87"/>
      <c r="J808" s="87"/>
      <c r="K808" s="88"/>
      <c r="L808" s="89"/>
      <c r="M808" s="90"/>
      <c r="N808" s="57"/>
      <c r="O808" s="57"/>
      <c r="P808" s="91"/>
    </row>
    <row r="809" spans="2:16" s="50" customFormat="1" ht="13.2">
      <c r="B809" s="86"/>
      <c r="C809" s="87"/>
      <c r="D809" s="87"/>
      <c r="E809" s="87"/>
      <c r="F809" s="87"/>
      <c r="G809" s="87"/>
      <c r="H809" s="87"/>
      <c r="I809" s="87"/>
      <c r="J809" s="87"/>
      <c r="K809" s="88"/>
      <c r="L809" s="89"/>
      <c r="M809" s="90"/>
      <c r="N809" s="57"/>
      <c r="O809" s="57"/>
      <c r="P809" s="91"/>
    </row>
    <row r="810" spans="2:16" s="50" customFormat="1" ht="13.2">
      <c r="B810" s="86"/>
      <c r="C810" s="87"/>
      <c r="D810" s="87"/>
      <c r="E810" s="87"/>
      <c r="F810" s="87"/>
      <c r="G810" s="87"/>
      <c r="H810" s="87"/>
      <c r="I810" s="87"/>
      <c r="J810" s="87"/>
      <c r="K810" s="88"/>
      <c r="L810" s="89"/>
      <c r="M810" s="90"/>
      <c r="N810" s="57"/>
      <c r="O810" s="57"/>
      <c r="P810" s="91"/>
    </row>
    <row r="811" spans="2:16" s="50" customFormat="1" ht="13.2">
      <c r="B811" s="86"/>
      <c r="C811" s="87"/>
      <c r="D811" s="87"/>
      <c r="E811" s="87"/>
      <c r="F811" s="87"/>
      <c r="G811" s="87"/>
      <c r="H811" s="87"/>
      <c r="I811" s="87"/>
      <c r="J811" s="87"/>
      <c r="K811" s="88"/>
      <c r="L811" s="89"/>
      <c r="M811" s="90"/>
      <c r="N811" s="57"/>
      <c r="O811" s="57"/>
      <c r="P811" s="91"/>
    </row>
    <row r="812" spans="2:16" s="50" customFormat="1" ht="13.2">
      <c r="B812" s="86"/>
      <c r="C812" s="87"/>
      <c r="D812" s="87"/>
      <c r="E812" s="87"/>
      <c r="F812" s="87"/>
      <c r="G812" s="87"/>
      <c r="H812" s="87"/>
      <c r="I812" s="87"/>
      <c r="J812" s="87"/>
      <c r="K812" s="88"/>
      <c r="L812" s="89"/>
      <c r="M812" s="90"/>
      <c r="N812" s="57"/>
      <c r="O812" s="57"/>
      <c r="P812" s="91"/>
    </row>
    <row r="813" spans="2:16" s="50" customFormat="1" ht="13.2">
      <c r="B813" s="86"/>
      <c r="C813" s="87"/>
      <c r="D813" s="87"/>
      <c r="E813" s="87"/>
      <c r="F813" s="87"/>
      <c r="G813" s="87"/>
      <c r="H813" s="87"/>
      <c r="I813" s="87"/>
      <c r="J813" s="87"/>
      <c r="K813" s="88"/>
      <c r="L813" s="89"/>
      <c r="M813" s="90"/>
      <c r="N813" s="57"/>
      <c r="O813" s="57"/>
      <c r="P813" s="91"/>
    </row>
    <row r="814" spans="2:16" s="50" customFormat="1" ht="13.2">
      <c r="B814" s="86"/>
      <c r="C814" s="87"/>
      <c r="D814" s="87"/>
      <c r="E814" s="87"/>
      <c r="F814" s="87"/>
      <c r="G814" s="87"/>
      <c r="H814" s="87"/>
      <c r="I814" s="87"/>
      <c r="J814" s="87"/>
      <c r="K814" s="88"/>
      <c r="L814" s="89"/>
      <c r="M814" s="90"/>
      <c r="N814" s="57"/>
      <c r="O814" s="57"/>
      <c r="P814" s="91"/>
    </row>
    <row r="815" spans="2:16" s="50" customFormat="1" ht="13.2">
      <c r="B815" s="86"/>
      <c r="C815" s="87"/>
      <c r="D815" s="87"/>
      <c r="E815" s="87"/>
      <c r="F815" s="87"/>
      <c r="G815" s="87"/>
      <c r="H815" s="87"/>
      <c r="I815" s="87"/>
      <c r="J815" s="87"/>
      <c r="K815" s="88"/>
      <c r="L815" s="89"/>
      <c r="M815" s="90"/>
      <c r="N815" s="57"/>
      <c r="O815" s="57"/>
      <c r="P815" s="91"/>
    </row>
    <row r="816" spans="2:16" s="50" customFormat="1" ht="13.2">
      <c r="B816" s="86"/>
      <c r="C816" s="87"/>
      <c r="D816" s="87"/>
      <c r="E816" s="87"/>
      <c r="F816" s="87"/>
      <c r="G816" s="87"/>
      <c r="H816" s="87"/>
      <c r="I816" s="87"/>
      <c r="J816" s="87"/>
      <c r="K816" s="88"/>
      <c r="L816" s="89"/>
      <c r="M816" s="90"/>
      <c r="N816" s="57"/>
      <c r="O816" s="57"/>
      <c r="P816" s="91"/>
    </row>
    <row r="817" spans="2:16" s="50" customFormat="1" ht="13.2">
      <c r="B817" s="86"/>
      <c r="C817" s="87"/>
      <c r="D817" s="87"/>
      <c r="E817" s="87"/>
      <c r="F817" s="87"/>
      <c r="G817" s="87"/>
      <c r="H817" s="87"/>
      <c r="I817" s="87"/>
      <c r="J817" s="87"/>
      <c r="K817" s="88"/>
      <c r="L817" s="89"/>
      <c r="M817" s="90"/>
      <c r="N817" s="57"/>
      <c r="O817" s="57"/>
      <c r="P817" s="91"/>
    </row>
    <row r="818" spans="2:16" s="50" customFormat="1" ht="13.2">
      <c r="B818" s="86"/>
      <c r="C818" s="87"/>
      <c r="D818" s="87"/>
      <c r="E818" s="87"/>
      <c r="F818" s="87"/>
      <c r="G818" s="87"/>
      <c r="H818" s="87"/>
      <c r="I818" s="87"/>
      <c r="J818" s="87"/>
      <c r="K818" s="88"/>
      <c r="L818" s="89"/>
      <c r="M818" s="90"/>
      <c r="N818" s="57"/>
      <c r="O818" s="57"/>
      <c r="P818" s="91"/>
    </row>
    <row r="819" spans="2:16" s="50" customFormat="1" ht="13.2">
      <c r="B819" s="86"/>
      <c r="C819" s="87"/>
      <c r="D819" s="87"/>
      <c r="E819" s="87"/>
      <c r="F819" s="87"/>
      <c r="G819" s="87"/>
      <c r="H819" s="87"/>
      <c r="I819" s="87"/>
      <c r="J819" s="87"/>
      <c r="K819" s="88"/>
      <c r="L819" s="89"/>
      <c r="M819" s="90"/>
      <c r="N819" s="57"/>
      <c r="O819" s="57"/>
      <c r="P819" s="91"/>
    </row>
    <row r="820" spans="2:16" s="50" customFormat="1" ht="13.2">
      <c r="B820" s="86"/>
      <c r="C820" s="87"/>
      <c r="D820" s="87"/>
      <c r="E820" s="87"/>
      <c r="F820" s="87"/>
      <c r="G820" s="87"/>
      <c r="H820" s="87"/>
      <c r="I820" s="87"/>
      <c r="J820" s="87"/>
      <c r="K820" s="88"/>
      <c r="L820" s="89"/>
      <c r="M820" s="90"/>
      <c r="N820" s="57"/>
      <c r="O820" s="57"/>
      <c r="P820" s="91"/>
    </row>
    <row r="821" spans="2:16" s="50" customFormat="1" ht="13.2">
      <c r="B821" s="86"/>
      <c r="C821" s="87"/>
      <c r="D821" s="87"/>
      <c r="E821" s="87"/>
      <c r="F821" s="87"/>
      <c r="G821" s="87"/>
      <c r="H821" s="87"/>
      <c r="I821" s="87"/>
      <c r="J821" s="87"/>
      <c r="K821" s="88"/>
      <c r="L821" s="89"/>
      <c r="M821" s="90"/>
      <c r="N821" s="57"/>
      <c r="O821" s="57"/>
      <c r="P821" s="91"/>
    </row>
    <row r="822" spans="2:16" s="50" customFormat="1" ht="13.2">
      <c r="B822" s="86"/>
      <c r="C822" s="87"/>
      <c r="D822" s="87"/>
      <c r="E822" s="87"/>
      <c r="F822" s="87"/>
      <c r="G822" s="87"/>
      <c r="H822" s="87"/>
      <c r="I822" s="87"/>
      <c r="J822" s="87"/>
      <c r="K822" s="88"/>
      <c r="L822" s="89"/>
      <c r="M822" s="90"/>
      <c r="N822" s="57"/>
      <c r="O822" s="57"/>
      <c r="P822" s="91"/>
    </row>
    <row r="823" spans="2:16" s="50" customFormat="1" ht="13.2">
      <c r="B823" s="86"/>
      <c r="C823" s="87"/>
      <c r="D823" s="87"/>
      <c r="E823" s="87"/>
      <c r="F823" s="87"/>
      <c r="G823" s="87"/>
      <c r="H823" s="87"/>
      <c r="I823" s="87"/>
      <c r="J823" s="87"/>
      <c r="K823" s="88"/>
      <c r="L823" s="89"/>
      <c r="M823" s="90"/>
      <c r="N823" s="57"/>
      <c r="O823" s="57"/>
      <c r="P823" s="91"/>
    </row>
    <row r="824" spans="2:16" s="50" customFormat="1" ht="13.2">
      <c r="B824" s="86"/>
      <c r="C824" s="87"/>
      <c r="D824" s="87"/>
      <c r="E824" s="87"/>
      <c r="F824" s="87"/>
      <c r="G824" s="87"/>
      <c r="H824" s="87"/>
      <c r="I824" s="87"/>
      <c r="J824" s="87"/>
      <c r="K824" s="88"/>
      <c r="L824" s="89"/>
      <c r="M824" s="90"/>
      <c r="N824" s="57"/>
      <c r="O824" s="57"/>
      <c r="P824" s="91"/>
    </row>
    <row r="825" spans="2:16" s="50" customFormat="1" ht="13.2">
      <c r="B825" s="86"/>
      <c r="C825" s="87"/>
      <c r="D825" s="87"/>
      <c r="E825" s="87"/>
      <c r="F825" s="87"/>
      <c r="G825" s="87"/>
      <c r="H825" s="87"/>
      <c r="I825" s="87"/>
      <c r="J825" s="87"/>
      <c r="K825" s="88"/>
      <c r="L825" s="89"/>
      <c r="M825" s="90"/>
      <c r="N825" s="57"/>
      <c r="O825" s="57"/>
      <c r="P825" s="91"/>
    </row>
    <row r="826" spans="2:16" s="50" customFormat="1" ht="13.2">
      <c r="B826" s="86"/>
      <c r="C826" s="87"/>
      <c r="D826" s="87"/>
      <c r="E826" s="87"/>
      <c r="F826" s="87"/>
      <c r="G826" s="87"/>
      <c r="H826" s="87"/>
      <c r="I826" s="87"/>
      <c r="J826" s="87"/>
      <c r="K826" s="88"/>
      <c r="L826" s="89"/>
      <c r="M826" s="90"/>
      <c r="N826" s="57"/>
      <c r="O826" s="57"/>
      <c r="P826" s="91"/>
    </row>
    <row r="827" spans="2:16" s="50" customFormat="1" ht="13.2">
      <c r="B827" s="86"/>
      <c r="C827" s="87"/>
      <c r="D827" s="87"/>
      <c r="E827" s="87"/>
      <c r="F827" s="87"/>
      <c r="G827" s="87"/>
      <c r="H827" s="87"/>
      <c r="I827" s="87"/>
      <c r="J827" s="87"/>
      <c r="K827" s="88"/>
      <c r="L827" s="89"/>
      <c r="M827" s="90"/>
      <c r="N827" s="57"/>
      <c r="O827" s="57"/>
      <c r="P827" s="91"/>
    </row>
    <row r="828" spans="2:16" s="50" customFormat="1" ht="13.2">
      <c r="B828" s="86"/>
      <c r="C828" s="87"/>
      <c r="D828" s="87"/>
      <c r="E828" s="87"/>
      <c r="F828" s="87"/>
      <c r="G828" s="87"/>
      <c r="H828" s="87"/>
      <c r="I828" s="87"/>
      <c r="J828" s="87"/>
      <c r="K828" s="88"/>
      <c r="L828" s="89"/>
      <c r="M828" s="90"/>
      <c r="N828" s="57"/>
      <c r="O828" s="57"/>
      <c r="P828" s="91"/>
    </row>
    <row r="829" spans="2:16" s="50" customFormat="1" ht="13.2">
      <c r="B829" s="86"/>
      <c r="C829" s="87"/>
      <c r="D829" s="87"/>
      <c r="E829" s="87"/>
      <c r="F829" s="87"/>
      <c r="G829" s="87"/>
      <c r="H829" s="87"/>
      <c r="I829" s="87"/>
      <c r="J829" s="87"/>
      <c r="K829" s="88"/>
      <c r="L829" s="89"/>
      <c r="M829" s="90"/>
      <c r="N829" s="57"/>
      <c r="O829" s="57"/>
      <c r="P829" s="91"/>
    </row>
    <row r="830" spans="2:16" s="50" customFormat="1" ht="13.2">
      <c r="B830" s="86"/>
      <c r="C830" s="87"/>
      <c r="D830" s="87"/>
      <c r="E830" s="87"/>
      <c r="F830" s="87"/>
      <c r="G830" s="87"/>
      <c r="H830" s="87"/>
      <c r="I830" s="87"/>
      <c r="J830" s="87"/>
      <c r="K830" s="88"/>
      <c r="L830" s="89"/>
      <c r="M830" s="90"/>
      <c r="N830" s="57"/>
      <c r="O830" s="57"/>
      <c r="P830" s="91"/>
    </row>
    <row r="831" spans="2:16" s="50" customFormat="1" ht="13.2">
      <c r="B831" s="86"/>
      <c r="C831" s="87"/>
      <c r="D831" s="87"/>
      <c r="E831" s="87"/>
      <c r="F831" s="87"/>
      <c r="G831" s="87"/>
      <c r="H831" s="87"/>
      <c r="I831" s="87"/>
      <c r="J831" s="87"/>
      <c r="K831" s="88"/>
      <c r="L831" s="89"/>
      <c r="M831" s="90"/>
      <c r="N831" s="57"/>
      <c r="O831" s="57"/>
      <c r="P831" s="91"/>
    </row>
    <row r="832" spans="2:16" s="50" customFormat="1" ht="13.2">
      <c r="B832" s="86"/>
      <c r="C832" s="87"/>
      <c r="D832" s="87"/>
      <c r="E832" s="87"/>
      <c r="F832" s="87"/>
      <c r="G832" s="87"/>
      <c r="H832" s="87"/>
      <c r="I832" s="87"/>
      <c r="J832" s="87"/>
      <c r="K832" s="88"/>
      <c r="L832" s="89"/>
      <c r="M832" s="90"/>
      <c r="N832" s="57"/>
      <c r="O832" s="57"/>
      <c r="P832" s="91"/>
    </row>
    <row r="833" spans="2:16" s="50" customFormat="1" ht="13.2">
      <c r="B833" s="86"/>
      <c r="C833" s="87"/>
      <c r="D833" s="87"/>
      <c r="E833" s="87"/>
      <c r="F833" s="87"/>
      <c r="G833" s="87"/>
      <c r="H833" s="87"/>
      <c r="I833" s="87"/>
      <c r="J833" s="87"/>
      <c r="K833" s="88"/>
      <c r="L833" s="89"/>
      <c r="M833" s="90"/>
      <c r="N833" s="57"/>
      <c r="O833" s="57"/>
      <c r="P833" s="91"/>
    </row>
    <row r="834" spans="2:16" s="50" customFormat="1" ht="13.2">
      <c r="B834" s="86"/>
      <c r="C834" s="87"/>
      <c r="D834" s="87"/>
      <c r="E834" s="87"/>
      <c r="F834" s="87"/>
      <c r="G834" s="87"/>
      <c r="H834" s="87"/>
      <c r="I834" s="87"/>
      <c r="J834" s="87"/>
      <c r="K834" s="88"/>
      <c r="L834" s="89"/>
      <c r="M834" s="90"/>
      <c r="N834" s="57"/>
      <c r="O834" s="57"/>
      <c r="P834" s="91"/>
    </row>
    <row r="835" spans="2:16" s="50" customFormat="1" ht="13.2">
      <c r="B835" s="86"/>
      <c r="C835" s="87"/>
      <c r="D835" s="87"/>
      <c r="E835" s="87"/>
      <c r="F835" s="87"/>
      <c r="G835" s="87"/>
      <c r="H835" s="87"/>
      <c r="I835" s="87"/>
      <c r="J835" s="87"/>
      <c r="K835" s="88"/>
      <c r="L835" s="89"/>
      <c r="M835" s="90"/>
      <c r="N835" s="57"/>
      <c r="O835" s="57"/>
      <c r="P835" s="91"/>
    </row>
    <row r="836" spans="2:16" s="50" customFormat="1" ht="13.2">
      <c r="B836" s="86"/>
      <c r="C836" s="87"/>
      <c r="D836" s="87"/>
      <c r="E836" s="87"/>
      <c r="F836" s="87"/>
      <c r="G836" s="87"/>
      <c r="H836" s="87"/>
      <c r="I836" s="87"/>
      <c r="J836" s="87"/>
      <c r="K836" s="88"/>
      <c r="L836" s="89"/>
      <c r="M836" s="90"/>
      <c r="N836" s="57"/>
      <c r="O836" s="57"/>
      <c r="P836" s="91"/>
    </row>
    <row r="837" spans="2:16" s="50" customFormat="1" ht="13.2">
      <c r="B837" s="86"/>
      <c r="C837" s="87"/>
      <c r="D837" s="87"/>
      <c r="E837" s="87"/>
      <c r="F837" s="87"/>
      <c r="G837" s="87"/>
      <c r="H837" s="87"/>
      <c r="I837" s="87"/>
      <c r="J837" s="87"/>
      <c r="K837" s="88"/>
      <c r="L837" s="89"/>
      <c r="M837" s="90"/>
      <c r="N837" s="57"/>
      <c r="O837" s="57"/>
      <c r="P837" s="91"/>
    </row>
    <row r="838" spans="2:16" s="50" customFormat="1" ht="13.2">
      <c r="B838" s="86"/>
      <c r="C838" s="87"/>
      <c r="D838" s="87"/>
      <c r="E838" s="87"/>
      <c r="F838" s="87"/>
      <c r="G838" s="87"/>
      <c r="H838" s="87"/>
      <c r="I838" s="87"/>
      <c r="J838" s="87"/>
      <c r="K838" s="88"/>
      <c r="L838" s="89"/>
      <c r="M838" s="90"/>
      <c r="N838" s="57"/>
      <c r="O838" s="57"/>
      <c r="P838" s="91"/>
    </row>
    <row r="839" spans="2:16" s="50" customFormat="1" ht="13.2">
      <c r="B839" s="86"/>
      <c r="C839" s="87"/>
      <c r="D839" s="87"/>
      <c r="E839" s="87"/>
      <c r="F839" s="87"/>
      <c r="G839" s="87"/>
      <c r="H839" s="87"/>
      <c r="I839" s="87"/>
      <c r="J839" s="87"/>
      <c r="K839" s="88"/>
      <c r="L839" s="89"/>
      <c r="M839" s="90"/>
      <c r="N839" s="57"/>
      <c r="O839" s="57"/>
      <c r="P839" s="91"/>
    </row>
    <row r="840" spans="2:16" s="50" customFormat="1" ht="13.2">
      <c r="B840" s="86"/>
      <c r="C840" s="87"/>
      <c r="D840" s="87"/>
      <c r="E840" s="87"/>
      <c r="F840" s="87"/>
      <c r="G840" s="87"/>
      <c r="H840" s="87"/>
      <c r="I840" s="87"/>
      <c r="J840" s="87"/>
      <c r="K840" s="88"/>
      <c r="L840" s="89"/>
      <c r="M840" s="90"/>
      <c r="N840" s="57"/>
      <c r="O840" s="57"/>
      <c r="P840" s="91"/>
    </row>
    <row r="841" spans="2:16" s="50" customFormat="1" ht="13.2">
      <c r="B841" s="86"/>
      <c r="C841" s="87"/>
      <c r="D841" s="87"/>
      <c r="E841" s="87"/>
      <c r="F841" s="87"/>
      <c r="G841" s="87"/>
      <c r="H841" s="87"/>
      <c r="I841" s="87"/>
      <c r="J841" s="87"/>
      <c r="K841" s="88"/>
      <c r="L841" s="89"/>
      <c r="M841" s="90"/>
      <c r="N841" s="57"/>
      <c r="O841" s="57"/>
      <c r="P841" s="91"/>
    </row>
    <row r="842" spans="2:16" s="50" customFormat="1" ht="13.2">
      <c r="B842" s="86"/>
      <c r="C842" s="87"/>
      <c r="D842" s="87"/>
      <c r="E842" s="87"/>
      <c r="F842" s="87"/>
      <c r="G842" s="87"/>
      <c r="H842" s="87"/>
      <c r="I842" s="87"/>
      <c r="J842" s="87"/>
      <c r="K842" s="88"/>
      <c r="L842" s="89"/>
      <c r="M842" s="90"/>
      <c r="N842" s="57"/>
      <c r="O842" s="57"/>
      <c r="P842" s="91"/>
    </row>
    <row r="843" spans="2:16" s="50" customFormat="1" ht="13.2">
      <c r="B843" s="86"/>
      <c r="C843" s="87"/>
      <c r="D843" s="87"/>
      <c r="E843" s="87"/>
      <c r="F843" s="87"/>
      <c r="G843" s="87"/>
      <c r="H843" s="87"/>
      <c r="I843" s="87"/>
      <c r="J843" s="87"/>
      <c r="K843" s="88"/>
      <c r="L843" s="89"/>
      <c r="M843" s="90"/>
      <c r="N843" s="57"/>
      <c r="O843" s="57"/>
      <c r="P843" s="91"/>
    </row>
    <row r="844" spans="2:16" s="50" customFormat="1" ht="13.2">
      <c r="B844" s="86"/>
      <c r="C844" s="87"/>
      <c r="D844" s="87"/>
      <c r="E844" s="87"/>
      <c r="F844" s="87"/>
      <c r="G844" s="87"/>
      <c r="H844" s="87"/>
      <c r="I844" s="87"/>
      <c r="J844" s="87"/>
      <c r="K844" s="88"/>
      <c r="L844" s="89"/>
      <c r="M844" s="90"/>
      <c r="N844" s="57"/>
      <c r="O844" s="57"/>
      <c r="P844" s="91"/>
    </row>
    <row r="845" spans="2:16" s="50" customFormat="1" ht="13.2">
      <c r="B845" s="86"/>
      <c r="C845" s="87"/>
      <c r="D845" s="87"/>
      <c r="E845" s="87"/>
      <c r="F845" s="87"/>
      <c r="G845" s="87"/>
      <c r="H845" s="87"/>
      <c r="I845" s="87"/>
      <c r="J845" s="87"/>
      <c r="K845" s="88"/>
      <c r="L845" s="89"/>
      <c r="M845" s="90"/>
      <c r="N845" s="57"/>
      <c r="O845" s="57"/>
      <c r="P845" s="91"/>
    </row>
    <row r="846" spans="2:16" s="50" customFormat="1" ht="13.2">
      <c r="B846" s="86"/>
      <c r="C846" s="87"/>
      <c r="D846" s="87"/>
      <c r="E846" s="87"/>
      <c r="F846" s="87"/>
      <c r="G846" s="87"/>
      <c r="H846" s="87"/>
      <c r="I846" s="87"/>
      <c r="J846" s="87"/>
      <c r="K846" s="88"/>
      <c r="L846" s="89"/>
      <c r="M846" s="90"/>
      <c r="N846" s="57"/>
      <c r="O846" s="57"/>
      <c r="P846" s="91"/>
    </row>
    <row r="847" spans="2:16" s="50" customFormat="1" ht="13.2">
      <c r="B847" s="86"/>
      <c r="C847" s="87"/>
      <c r="D847" s="87"/>
      <c r="E847" s="87"/>
      <c r="F847" s="87"/>
      <c r="G847" s="87"/>
      <c r="H847" s="87"/>
      <c r="I847" s="87"/>
      <c r="J847" s="87"/>
      <c r="K847" s="88"/>
      <c r="L847" s="89"/>
      <c r="M847" s="90"/>
      <c r="N847" s="57"/>
      <c r="O847" s="57"/>
      <c r="P847" s="91"/>
    </row>
    <row r="848" spans="2:16" s="50" customFormat="1" ht="13.2">
      <c r="B848" s="86"/>
      <c r="C848" s="87"/>
      <c r="D848" s="87"/>
      <c r="E848" s="87"/>
      <c r="F848" s="87"/>
      <c r="G848" s="87"/>
      <c r="H848" s="87"/>
      <c r="I848" s="87"/>
      <c r="J848" s="87"/>
      <c r="K848" s="88"/>
      <c r="L848" s="89"/>
      <c r="M848" s="90"/>
      <c r="N848" s="57"/>
      <c r="O848" s="57"/>
      <c r="P848" s="91"/>
    </row>
    <row r="849" spans="2:16" s="50" customFormat="1" ht="13.2">
      <c r="B849" s="86"/>
      <c r="C849" s="87"/>
      <c r="D849" s="87"/>
      <c r="E849" s="87"/>
      <c r="F849" s="87"/>
      <c r="G849" s="87"/>
      <c r="H849" s="87"/>
      <c r="I849" s="87"/>
      <c r="J849" s="87"/>
      <c r="K849" s="88"/>
      <c r="L849" s="89"/>
      <c r="M849" s="90"/>
      <c r="N849" s="57"/>
      <c r="O849" s="57"/>
      <c r="P849" s="91"/>
    </row>
    <row r="850" spans="2:16" s="50" customFormat="1" ht="13.2">
      <c r="B850" s="86"/>
      <c r="C850" s="87"/>
      <c r="D850" s="87"/>
      <c r="E850" s="87"/>
      <c r="F850" s="87"/>
      <c r="G850" s="87"/>
      <c r="H850" s="87"/>
      <c r="I850" s="87"/>
      <c r="J850" s="87"/>
      <c r="K850" s="88"/>
      <c r="L850" s="89"/>
      <c r="M850" s="90"/>
      <c r="N850" s="57"/>
      <c r="O850" s="57"/>
      <c r="P850" s="91"/>
    </row>
    <row r="851" spans="2:16" s="50" customFormat="1" ht="13.2">
      <c r="B851" s="86"/>
      <c r="C851" s="87"/>
      <c r="D851" s="87"/>
      <c r="E851" s="87"/>
      <c r="F851" s="87"/>
      <c r="G851" s="87"/>
      <c r="H851" s="87"/>
      <c r="I851" s="87"/>
      <c r="J851" s="87"/>
      <c r="K851" s="88"/>
      <c r="L851" s="89"/>
      <c r="M851" s="90"/>
      <c r="N851" s="57"/>
      <c r="O851" s="57"/>
      <c r="P851" s="91"/>
    </row>
    <row r="852" spans="2:16" s="50" customFormat="1" ht="13.2">
      <c r="B852" s="86"/>
      <c r="C852" s="87"/>
      <c r="D852" s="87"/>
      <c r="E852" s="87"/>
      <c r="F852" s="87"/>
      <c r="G852" s="87"/>
      <c r="H852" s="87"/>
      <c r="I852" s="87"/>
      <c r="J852" s="87"/>
      <c r="K852" s="88"/>
      <c r="L852" s="89"/>
      <c r="M852" s="90"/>
      <c r="N852" s="57"/>
      <c r="O852" s="57"/>
      <c r="P852" s="91"/>
    </row>
    <row r="853" spans="2:16" s="50" customFormat="1" ht="13.2">
      <c r="B853" s="86"/>
      <c r="C853" s="87"/>
      <c r="D853" s="87"/>
      <c r="E853" s="87"/>
      <c r="F853" s="87"/>
      <c r="G853" s="87"/>
      <c r="H853" s="87"/>
      <c r="I853" s="87"/>
      <c r="J853" s="87"/>
      <c r="K853" s="88"/>
      <c r="L853" s="89"/>
      <c r="M853" s="90"/>
      <c r="N853" s="57"/>
      <c r="O853" s="57"/>
      <c r="P853" s="91"/>
    </row>
    <row r="854" spans="2:16" s="50" customFormat="1" ht="13.2">
      <c r="B854" s="86"/>
      <c r="C854" s="87"/>
      <c r="D854" s="87"/>
      <c r="E854" s="87"/>
      <c r="F854" s="87"/>
      <c r="G854" s="87"/>
      <c r="H854" s="87"/>
      <c r="I854" s="87"/>
      <c r="J854" s="87"/>
      <c r="K854" s="88"/>
      <c r="L854" s="89"/>
      <c r="M854" s="90"/>
      <c r="N854" s="57"/>
      <c r="O854" s="57"/>
      <c r="P854" s="91"/>
    </row>
    <row r="855" spans="2:16" s="50" customFormat="1" ht="13.2">
      <c r="B855" s="86"/>
      <c r="C855" s="87"/>
      <c r="D855" s="87"/>
      <c r="E855" s="87"/>
      <c r="F855" s="87"/>
      <c r="G855" s="87"/>
      <c r="H855" s="87"/>
      <c r="I855" s="87"/>
      <c r="J855" s="87"/>
      <c r="K855" s="88"/>
      <c r="L855" s="89"/>
      <c r="M855" s="90"/>
      <c r="N855" s="57"/>
      <c r="O855" s="57"/>
      <c r="P855" s="91"/>
    </row>
    <row r="856" spans="2:16" s="50" customFormat="1" ht="13.2">
      <c r="B856" s="86"/>
      <c r="C856" s="87"/>
      <c r="D856" s="87"/>
      <c r="E856" s="87"/>
      <c r="F856" s="87"/>
      <c r="G856" s="87"/>
      <c r="H856" s="87"/>
      <c r="I856" s="87"/>
      <c r="J856" s="87"/>
      <c r="K856" s="88"/>
      <c r="L856" s="89"/>
      <c r="M856" s="90"/>
      <c r="N856" s="57"/>
      <c r="O856" s="57"/>
      <c r="P856" s="91"/>
    </row>
    <row r="857" spans="2:16" s="50" customFormat="1" ht="13.2">
      <c r="B857" s="86"/>
      <c r="C857" s="87"/>
      <c r="D857" s="87"/>
      <c r="E857" s="87"/>
      <c r="F857" s="87"/>
      <c r="G857" s="87"/>
      <c r="H857" s="87"/>
      <c r="I857" s="87"/>
      <c r="J857" s="87"/>
      <c r="K857" s="88"/>
      <c r="L857" s="89"/>
      <c r="M857" s="90"/>
      <c r="N857" s="57"/>
      <c r="O857" s="57"/>
      <c r="P857" s="91"/>
    </row>
    <row r="858" spans="2:16" s="50" customFormat="1" ht="13.2">
      <c r="B858" s="86"/>
      <c r="C858" s="87"/>
      <c r="D858" s="87"/>
      <c r="E858" s="87"/>
      <c r="F858" s="87"/>
      <c r="G858" s="87"/>
      <c r="H858" s="87"/>
      <c r="I858" s="87"/>
      <c r="J858" s="87"/>
      <c r="K858" s="88"/>
      <c r="L858" s="89"/>
      <c r="M858" s="90"/>
      <c r="N858" s="57"/>
      <c r="O858" s="57"/>
      <c r="P858" s="91"/>
    </row>
    <row r="859" spans="2:16" s="50" customFormat="1" ht="13.2">
      <c r="B859" s="86"/>
      <c r="C859" s="87"/>
      <c r="D859" s="87"/>
      <c r="E859" s="87"/>
      <c r="F859" s="87"/>
      <c r="G859" s="87"/>
      <c r="H859" s="87"/>
      <c r="I859" s="87"/>
      <c r="J859" s="87"/>
      <c r="K859" s="88"/>
      <c r="L859" s="89"/>
      <c r="M859" s="90"/>
      <c r="N859" s="57"/>
      <c r="O859" s="57"/>
      <c r="P859" s="91"/>
    </row>
    <row r="860" spans="2:16" s="50" customFormat="1" ht="13.2">
      <c r="B860" s="86"/>
      <c r="C860" s="87"/>
      <c r="D860" s="87"/>
      <c r="E860" s="87"/>
      <c r="F860" s="87"/>
      <c r="G860" s="87"/>
      <c r="H860" s="87"/>
      <c r="I860" s="87"/>
      <c r="J860" s="87"/>
      <c r="K860" s="88"/>
      <c r="L860" s="89"/>
      <c r="M860" s="90"/>
      <c r="N860" s="57"/>
      <c r="O860" s="57"/>
      <c r="P860" s="91"/>
    </row>
    <row r="861" spans="2:16" s="50" customFormat="1" ht="13.2">
      <c r="B861" s="86"/>
      <c r="C861" s="87"/>
      <c r="D861" s="87"/>
      <c r="E861" s="87"/>
      <c r="F861" s="87"/>
      <c r="G861" s="87"/>
      <c r="H861" s="87"/>
      <c r="I861" s="87"/>
      <c r="J861" s="87"/>
      <c r="K861" s="88"/>
      <c r="L861" s="89"/>
      <c r="M861" s="90"/>
      <c r="N861" s="57"/>
      <c r="O861" s="57"/>
      <c r="P861" s="91"/>
    </row>
    <row r="862" spans="2:16" s="50" customFormat="1" ht="13.2">
      <c r="B862" s="86"/>
      <c r="C862" s="87"/>
      <c r="D862" s="87"/>
      <c r="E862" s="87"/>
      <c r="F862" s="87"/>
      <c r="G862" s="87"/>
      <c r="H862" s="87"/>
      <c r="I862" s="87"/>
      <c r="J862" s="87"/>
      <c r="K862" s="88"/>
      <c r="L862" s="89"/>
      <c r="M862" s="90"/>
      <c r="N862" s="57"/>
      <c r="O862" s="57"/>
      <c r="P862" s="91"/>
    </row>
    <row r="863" spans="2:16" s="50" customFormat="1" ht="13.2">
      <c r="B863" s="86"/>
      <c r="C863" s="87"/>
      <c r="D863" s="87"/>
      <c r="E863" s="87"/>
      <c r="F863" s="87"/>
      <c r="G863" s="87"/>
      <c r="H863" s="87"/>
      <c r="I863" s="87"/>
      <c r="J863" s="87"/>
      <c r="K863" s="88"/>
      <c r="L863" s="89"/>
      <c r="M863" s="90"/>
      <c r="N863" s="57"/>
      <c r="O863" s="57"/>
      <c r="P863" s="91"/>
    </row>
    <row r="864" spans="2:16" s="50" customFormat="1" ht="13.2">
      <c r="B864" s="86"/>
      <c r="C864" s="87"/>
      <c r="D864" s="87"/>
      <c r="E864" s="87"/>
      <c r="F864" s="87"/>
      <c r="G864" s="87"/>
      <c r="H864" s="87"/>
      <c r="I864" s="87"/>
      <c r="J864" s="87"/>
      <c r="K864" s="88"/>
      <c r="L864" s="89"/>
      <c r="M864" s="90"/>
      <c r="N864" s="57"/>
      <c r="O864" s="57"/>
      <c r="P864" s="91"/>
    </row>
    <row r="865" spans="2:16" s="50" customFormat="1" ht="13.2">
      <c r="B865" s="86"/>
      <c r="C865" s="87"/>
      <c r="D865" s="87"/>
      <c r="E865" s="87"/>
      <c r="F865" s="87"/>
      <c r="G865" s="87"/>
      <c r="H865" s="87"/>
      <c r="I865" s="87"/>
      <c r="J865" s="87"/>
      <c r="K865" s="88"/>
      <c r="L865" s="89"/>
      <c r="M865" s="90"/>
      <c r="N865" s="57"/>
      <c r="O865" s="57"/>
      <c r="P865" s="91"/>
    </row>
    <row r="866" spans="2:16" s="50" customFormat="1" ht="13.2">
      <c r="B866" s="86"/>
      <c r="C866" s="87"/>
      <c r="D866" s="87"/>
      <c r="E866" s="87"/>
      <c r="F866" s="87"/>
      <c r="G866" s="87"/>
      <c r="H866" s="87"/>
      <c r="I866" s="87"/>
      <c r="J866" s="87"/>
      <c r="K866" s="88"/>
      <c r="L866" s="89"/>
      <c r="M866" s="90"/>
      <c r="N866" s="57"/>
      <c r="O866" s="57"/>
      <c r="P866" s="91"/>
    </row>
    <row r="867" spans="2:16" s="50" customFormat="1" ht="13.2">
      <c r="B867" s="86"/>
      <c r="C867" s="87"/>
      <c r="D867" s="87"/>
      <c r="E867" s="87"/>
      <c r="F867" s="87"/>
      <c r="G867" s="87"/>
      <c r="H867" s="87"/>
      <c r="I867" s="87"/>
      <c r="J867" s="87"/>
      <c r="K867" s="88"/>
      <c r="L867" s="89"/>
      <c r="M867" s="90"/>
      <c r="N867" s="57"/>
      <c r="O867" s="57"/>
      <c r="P867" s="91"/>
    </row>
    <row r="868" spans="2:16" s="50" customFormat="1" ht="13.2">
      <c r="B868" s="86"/>
      <c r="C868" s="87"/>
      <c r="D868" s="87"/>
      <c r="E868" s="87"/>
      <c r="F868" s="87"/>
      <c r="G868" s="87"/>
      <c r="H868" s="87"/>
      <c r="I868" s="87"/>
      <c r="J868" s="87"/>
      <c r="K868" s="88"/>
      <c r="L868" s="89"/>
      <c r="M868" s="90"/>
      <c r="N868" s="57"/>
      <c r="O868" s="57"/>
      <c r="P868" s="91"/>
    </row>
    <row r="869" spans="2:16" s="50" customFormat="1" ht="13.2">
      <c r="B869" s="86"/>
      <c r="C869" s="87"/>
      <c r="D869" s="87"/>
      <c r="E869" s="87"/>
      <c r="F869" s="87"/>
      <c r="G869" s="87"/>
      <c r="H869" s="87"/>
      <c r="I869" s="87"/>
      <c r="J869" s="87"/>
      <c r="K869" s="88"/>
      <c r="L869" s="89"/>
      <c r="M869" s="90"/>
      <c r="N869" s="57"/>
      <c r="O869" s="57"/>
      <c r="P869" s="91"/>
    </row>
    <row r="870" spans="2:16" s="50" customFormat="1" ht="13.2">
      <c r="B870" s="86"/>
      <c r="C870" s="87"/>
      <c r="D870" s="87"/>
      <c r="E870" s="87"/>
      <c r="F870" s="87"/>
      <c r="G870" s="87"/>
      <c r="H870" s="87"/>
      <c r="I870" s="87"/>
      <c r="J870" s="87"/>
      <c r="K870" s="88"/>
      <c r="L870" s="89"/>
      <c r="M870" s="90"/>
      <c r="N870" s="57"/>
      <c r="O870" s="57"/>
      <c r="P870" s="91"/>
    </row>
    <row r="871" spans="2:16" s="50" customFormat="1" ht="13.2">
      <c r="B871" s="86"/>
      <c r="C871" s="87"/>
      <c r="D871" s="87"/>
      <c r="E871" s="87"/>
      <c r="F871" s="87"/>
      <c r="G871" s="87"/>
      <c r="H871" s="87"/>
      <c r="I871" s="87"/>
      <c r="J871" s="87"/>
      <c r="K871" s="88"/>
      <c r="L871" s="89"/>
      <c r="M871" s="90"/>
      <c r="N871" s="57"/>
      <c r="O871" s="57"/>
      <c r="P871" s="91"/>
    </row>
    <row r="872" spans="2:16" s="50" customFormat="1" ht="13.2">
      <c r="B872" s="86"/>
      <c r="C872" s="87"/>
      <c r="D872" s="87"/>
      <c r="E872" s="87"/>
      <c r="F872" s="87"/>
      <c r="G872" s="87"/>
      <c r="H872" s="87"/>
      <c r="I872" s="87"/>
      <c r="J872" s="87"/>
      <c r="K872" s="88"/>
      <c r="L872" s="89"/>
      <c r="M872" s="90"/>
      <c r="N872" s="57"/>
      <c r="O872" s="57"/>
      <c r="P872" s="91"/>
    </row>
    <row r="873" spans="2:16" s="50" customFormat="1" ht="13.2">
      <c r="B873" s="86"/>
      <c r="C873" s="87"/>
      <c r="D873" s="87"/>
      <c r="E873" s="87"/>
      <c r="F873" s="87"/>
      <c r="G873" s="87"/>
      <c r="H873" s="87"/>
      <c r="I873" s="87"/>
      <c r="J873" s="87"/>
      <c r="K873" s="88"/>
      <c r="L873" s="89"/>
      <c r="M873" s="90"/>
      <c r="N873" s="57"/>
      <c r="O873" s="57"/>
      <c r="P873" s="91"/>
    </row>
    <row r="874" spans="2:16" s="50" customFormat="1" ht="13.2">
      <c r="B874" s="86"/>
      <c r="C874" s="87"/>
      <c r="D874" s="87"/>
      <c r="E874" s="87"/>
      <c r="F874" s="87"/>
      <c r="G874" s="87"/>
      <c r="H874" s="87"/>
      <c r="I874" s="87"/>
      <c r="J874" s="87"/>
      <c r="K874" s="88"/>
      <c r="L874" s="89"/>
      <c r="M874" s="90"/>
      <c r="N874" s="57"/>
      <c r="O874" s="57"/>
      <c r="P874" s="91"/>
    </row>
    <row r="875" spans="2:16" s="50" customFormat="1" ht="13.2">
      <c r="B875" s="86"/>
      <c r="C875" s="87"/>
      <c r="D875" s="87"/>
      <c r="E875" s="87"/>
      <c r="F875" s="87"/>
      <c r="G875" s="87"/>
      <c r="H875" s="87"/>
      <c r="I875" s="87"/>
      <c r="J875" s="87"/>
      <c r="K875" s="88"/>
      <c r="L875" s="89"/>
      <c r="M875" s="90"/>
      <c r="N875" s="57"/>
      <c r="O875" s="57"/>
      <c r="P875" s="91"/>
    </row>
    <row r="876" spans="2:16" s="50" customFormat="1" ht="13.2">
      <c r="B876" s="86"/>
      <c r="C876" s="87"/>
      <c r="D876" s="87"/>
      <c r="E876" s="87"/>
      <c r="F876" s="87"/>
      <c r="G876" s="87"/>
      <c r="H876" s="87"/>
      <c r="I876" s="87"/>
      <c r="J876" s="87"/>
      <c r="K876" s="88"/>
      <c r="L876" s="89"/>
      <c r="M876" s="90"/>
      <c r="N876" s="57"/>
      <c r="O876" s="57"/>
      <c r="P876" s="91"/>
    </row>
    <row r="877" spans="2:16" s="50" customFormat="1" ht="13.2">
      <c r="B877" s="86"/>
      <c r="C877" s="87"/>
      <c r="D877" s="87"/>
      <c r="E877" s="87"/>
      <c r="F877" s="87"/>
      <c r="G877" s="87"/>
      <c r="H877" s="87"/>
      <c r="I877" s="87"/>
      <c r="J877" s="87"/>
      <c r="K877" s="88"/>
      <c r="L877" s="89"/>
      <c r="M877" s="90"/>
      <c r="N877" s="57"/>
      <c r="O877" s="57"/>
      <c r="P877" s="91"/>
    </row>
    <row r="878" spans="2:16" s="50" customFormat="1" ht="13.2">
      <c r="B878" s="86"/>
      <c r="C878" s="87"/>
      <c r="D878" s="87"/>
      <c r="E878" s="87"/>
      <c r="F878" s="87"/>
      <c r="G878" s="87"/>
      <c r="H878" s="87"/>
      <c r="I878" s="87"/>
      <c r="J878" s="87"/>
      <c r="K878" s="88"/>
      <c r="L878" s="89"/>
      <c r="M878" s="90"/>
      <c r="N878" s="57"/>
      <c r="O878" s="57"/>
      <c r="P878" s="91"/>
    </row>
    <row r="879" spans="2:16" s="50" customFormat="1" ht="13.2">
      <c r="B879" s="86"/>
      <c r="C879" s="87"/>
      <c r="D879" s="87"/>
      <c r="E879" s="87"/>
      <c r="F879" s="87"/>
      <c r="G879" s="87"/>
      <c r="H879" s="87"/>
      <c r="I879" s="87"/>
      <c r="J879" s="87"/>
      <c r="K879" s="88"/>
      <c r="L879" s="89"/>
      <c r="M879" s="90"/>
      <c r="N879" s="57"/>
      <c r="O879" s="57"/>
      <c r="P879" s="91"/>
    </row>
    <row r="880" spans="2:16" s="50" customFormat="1" ht="13.2">
      <c r="B880" s="86"/>
      <c r="C880" s="87"/>
      <c r="D880" s="87"/>
      <c r="E880" s="87"/>
      <c r="F880" s="87"/>
      <c r="G880" s="87"/>
      <c r="H880" s="87"/>
      <c r="I880" s="87"/>
      <c r="J880" s="87"/>
      <c r="K880" s="88"/>
      <c r="L880" s="89"/>
      <c r="M880" s="90"/>
      <c r="N880" s="57"/>
      <c r="O880" s="57"/>
      <c r="P880" s="91"/>
    </row>
    <row r="881" spans="2:16" s="50" customFormat="1" ht="13.2">
      <c r="B881" s="86"/>
      <c r="C881" s="87"/>
      <c r="D881" s="87"/>
      <c r="E881" s="87"/>
      <c r="F881" s="87"/>
      <c r="G881" s="87"/>
      <c r="H881" s="87"/>
      <c r="I881" s="87"/>
      <c r="J881" s="87"/>
      <c r="K881" s="88"/>
      <c r="L881" s="89"/>
      <c r="M881" s="90"/>
      <c r="N881" s="57"/>
      <c r="O881" s="57"/>
      <c r="P881" s="91"/>
    </row>
    <row r="882" spans="2:16" s="50" customFormat="1" ht="13.2">
      <c r="B882" s="86"/>
      <c r="C882" s="87"/>
      <c r="D882" s="87"/>
      <c r="E882" s="87"/>
      <c r="F882" s="87"/>
      <c r="G882" s="87"/>
      <c r="H882" s="87"/>
      <c r="I882" s="87"/>
      <c r="J882" s="87"/>
      <c r="K882" s="88"/>
      <c r="L882" s="89"/>
      <c r="M882" s="90"/>
      <c r="N882" s="57"/>
      <c r="O882" s="57"/>
      <c r="P882" s="91"/>
    </row>
    <row r="883" spans="2:16" s="50" customFormat="1" ht="13.2">
      <c r="B883" s="86"/>
      <c r="C883" s="87"/>
      <c r="D883" s="87"/>
      <c r="E883" s="87"/>
      <c r="F883" s="87"/>
      <c r="G883" s="87"/>
      <c r="H883" s="87"/>
      <c r="I883" s="87"/>
      <c r="J883" s="87"/>
      <c r="K883" s="88"/>
      <c r="L883" s="89"/>
      <c r="M883" s="90"/>
      <c r="N883" s="57"/>
      <c r="O883" s="57"/>
      <c r="P883" s="91"/>
    </row>
    <row r="884" spans="2:16" s="50" customFormat="1" ht="13.2">
      <c r="B884" s="86"/>
      <c r="C884" s="87"/>
      <c r="D884" s="87"/>
      <c r="E884" s="87"/>
      <c r="F884" s="87"/>
      <c r="G884" s="87"/>
      <c r="H884" s="87"/>
      <c r="I884" s="87"/>
      <c r="J884" s="87"/>
      <c r="K884" s="88"/>
      <c r="L884" s="89"/>
      <c r="M884" s="90"/>
      <c r="N884" s="57"/>
      <c r="O884" s="57"/>
      <c r="P884" s="91"/>
    </row>
    <row r="885" spans="2:16" s="50" customFormat="1" ht="13.2">
      <c r="B885" s="86"/>
      <c r="C885" s="87"/>
      <c r="D885" s="87"/>
      <c r="E885" s="87"/>
      <c r="F885" s="87"/>
      <c r="G885" s="87"/>
      <c r="H885" s="87"/>
      <c r="I885" s="87"/>
      <c r="J885" s="87"/>
      <c r="K885" s="88"/>
      <c r="L885" s="89"/>
      <c r="M885" s="90"/>
      <c r="N885" s="57"/>
      <c r="O885" s="57"/>
      <c r="P885" s="91"/>
    </row>
    <row r="886" spans="2:16" s="50" customFormat="1" ht="13.2">
      <c r="B886" s="86"/>
      <c r="C886" s="87"/>
      <c r="D886" s="87"/>
      <c r="E886" s="87"/>
      <c r="F886" s="87"/>
      <c r="G886" s="87"/>
      <c r="H886" s="87"/>
      <c r="I886" s="87"/>
      <c r="J886" s="87"/>
      <c r="K886" s="88"/>
      <c r="L886" s="89"/>
      <c r="M886" s="90"/>
      <c r="N886" s="57"/>
      <c r="O886" s="57"/>
      <c r="P886" s="91"/>
    </row>
    <row r="887" spans="2:16" s="50" customFormat="1" ht="13.2">
      <c r="B887" s="86"/>
      <c r="C887" s="87"/>
      <c r="D887" s="87"/>
      <c r="E887" s="87"/>
      <c r="F887" s="87"/>
      <c r="G887" s="87"/>
      <c r="H887" s="87"/>
      <c r="I887" s="87"/>
      <c r="J887" s="87"/>
      <c r="K887" s="88"/>
      <c r="L887" s="89"/>
      <c r="M887" s="90"/>
      <c r="N887" s="57"/>
      <c r="O887" s="57"/>
      <c r="P887" s="91"/>
    </row>
    <row r="888" spans="2:16" s="50" customFormat="1" ht="13.2">
      <c r="B888" s="86"/>
      <c r="C888" s="87"/>
      <c r="D888" s="87"/>
      <c r="E888" s="87"/>
      <c r="F888" s="87"/>
      <c r="G888" s="87"/>
      <c r="H888" s="87"/>
      <c r="I888" s="87"/>
      <c r="J888" s="87"/>
      <c r="K888" s="88"/>
      <c r="L888" s="89"/>
      <c r="M888" s="90"/>
      <c r="N888" s="57"/>
      <c r="O888" s="57"/>
      <c r="P888" s="91"/>
    </row>
    <row r="889" spans="2:16" s="50" customFormat="1" ht="13.2">
      <c r="B889" s="86"/>
      <c r="C889" s="87"/>
      <c r="D889" s="87"/>
      <c r="E889" s="87"/>
      <c r="F889" s="87"/>
      <c r="G889" s="87"/>
      <c r="H889" s="87"/>
      <c r="I889" s="87"/>
      <c r="J889" s="87"/>
      <c r="K889" s="88"/>
      <c r="L889" s="89"/>
      <c r="M889" s="90"/>
      <c r="N889" s="57"/>
      <c r="O889" s="57"/>
      <c r="P889" s="91"/>
    </row>
    <row r="890" spans="2:16" s="50" customFormat="1" ht="13.2">
      <c r="B890" s="86"/>
      <c r="C890" s="87"/>
      <c r="D890" s="87"/>
      <c r="E890" s="87"/>
      <c r="F890" s="87"/>
      <c r="G890" s="87"/>
      <c r="H890" s="87"/>
      <c r="I890" s="87"/>
      <c r="J890" s="87"/>
      <c r="K890" s="88"/>
      <c r="L890" s="89"/>
      <c r="M890" s="90"/>
      <c r="N890" s="57"/>
      <c r="O890" s="57"/>
      <c r="P890" s="91"/>
    </row>
    <row r="891" spans="2:16" s="50" customFormat="1" ht="13.2">
      <c r="B891" s="86"/>
      <c r="C891" s="87"/>
      <c r="D891" s="87"/>
      <c r="E891" s="87"/>
      <c r="F891" s="87"/>
      <c r="G891" s="87"/>
      <c r="H891" s="87"/>
      <c r="I891" s="87"/>
      <c r="J891" s="87"/>
      <c r="K891" s="88"/>
      <c r="L891" s="89"/>
      <c r="M891" s="90"/>
      <c r="N891" s="57"/>
      <c r="O891" s="57"/>
      <c r="P891" s="91"/>
    </row>
    <row r="892" spans="2:16" s="50" customFormat="1" ht="13.2">
      <c r="B892" s="86"/>
      <c r="C892" s="87"/>
      <c r="D892" s="87"/>
      <c r="E892" s="87"/>
      <c r="F892" s="87"/>
      <c r="G892" s="87"/>
      <c r="H892" s="87"/>
      <c r="I892" s="87"/>
      <c r="J892" s="87"/>
      <c r="K892" s="88"/>
      <c r="L892" s="89"/>
      <c r="M892" s="90"/>
      <c r="N892" s="57"/>
      <c r="O892" s="57"/>
      <c r="P892" s="91"/>
    </row>
    <row r="893" spans="2:16" s="50" customFormat="1" ht="13.2">
      <c r="B893" s="86"/>
      <c r="C893" s="87"/>
      <c r="D893" s="87"/>
      <c r="E893" s="87"/>
      <c r="F893" s="87"/>
      <c r="G893" s="87"/>
      <c r="H893" s="87"/>
      <c r="I893" s="87"/>
      <c r="J893" s="87"/>
      <c r="K893" s="88"/>
      <c r="L893" s="89"/>
      <c r="M893" s="90"/>
      <c r="N893" s="57"/>
      <c r="O893" s="57"/>
      <c r="P893" s="91"/>
    </row>
    <row r="894" spans="2:16" s="50" customFormat="1" ht="13.2">
      <c r="B894" s="86"/>
      <c r="C894" s="87"/>
      <c r="D894" s="87"/>
      <c r="E894" s="87"/>
      <c r="F894" s="87"/>
      <c r="G894" s="87"/>
      <c r="H894" s="87"/>
      <c r="I894" s="87"/>
      <c r="J894" s="87"/>
      <c r="K894" s="88"/>
      <c r="L894" s="89"/>
      <c r="M894" s="90"/>
      <c r="N894" s="57"/>
      <c r="O894" s="57"/>
      <c r="P894" s="91"/>
    </row>
    <row r="895" spans="2:16" s="50" customFormat="1" ht="13.2">
      <c r="B895" s="86"/>
      <c r="C895" s="87"/>
      <c r="D895" s="87"/>
      <c r="E895" s="87"/>
      <c r="F895" s="87"/>
      <c r="G895" s="87"/>
      <c r="H895" s="87"/>
      <c r="I895" s="87"/>
      <c r="J895" s="87"/>
      <c r="K895" s="88"/>
      <c r="L895" s="89"/>
      <c r="M895" s="90"/>
      <c r="N895" s="57"/>
      <c r="O895" s="57"/>
      <c r="P895" s="91"/>
    </row>
    <row r="896" spans="2:16" s="50" customFormat="1" ht="13.2">
      <c r="B896" s="86"/>
      <c r="C896" s="87"/>
      <c r="D896" s="87"/>
      <c r="E896" s="87"/>
      <c r="F896" s="87"/>
      <c r="G896" s="87"/>
      <c r="H896" s="87"/>
      <c r="I896" s="87"/>
      <c r="J896" s="87"/>
      <c r="K896" s="88"/>
      <c r="L896" s="89"/>
      <c r="M896" s="90"/>
      <c r="N896" s="57"/>
      <c r="O896" s="57"/>
      <c r="P896" s="91"/>
    </row>
    <row r="897" spans="2:16" s="50" customFormat="1" ht="13.2">
      <c r="B897" s="86"/>
      <c r="C897" s="87"/>
      <c r="D897" s="87"/>
      <c r="E897" s="87"/>
      <c r="F897" s="87"/>
      <c r="G897" s="87"/>
      <c r="H897" s="87"/>
      <c r="I897" s="87"/>
      <c r="J897" s="87"/>
      <c r="K897" s="88"/>
      <c r="L897" s="89"/>
      <c r="M897" s="90"/>
      <c r="N897" s="57"/>
      <c r="O897" s="57"/>
      <c r="P897" s="91"/>
    </row>
    <row r="898" spans="2:16" s="50" customFormat="1" ht="13.2">
      <c r="B898" s="86"/>
      <c r="C898" s="87"/>
      <c r="D898" s="87"/>
      <c r="E898" s="87"/>
      <c r="F898" s="87"/>
      <c r="G898" s="87"/>
      <c r="H898" s="87"/>
      <c r="I898" s="87"/>
      <c r="J898" s="87"/>
      <c r="K898" s="88"/>
      <c r="L898" s="89"/>
      <c r="M898" s="90"/>
      <c r="N898" s="57"/>
      <c r="O898" s="57"/>
      <c r="P898" s="91"/>
    </row>
    <row r="899" spans="2:16" s="50" customFormat="1" ht="13.2">
      <c r="B899" s="86"/>
      <c r="C899" s="87"/>
      <c r="D899" s="87"/>
      <c r="E899" s="87"/>
      <c r="F899" s="87"/>
      <c r="G899" s="87"/>
      <c r="H899" s="87"/>
      <c r="I899" s="87"/>
      <c r="J899" s="87"/>
      <c r="K899" s="88"/>
      <c r="L899" s="89"/>
      <c r="M899" s="90"/>
      <c r="N899" s="57"/>
      <c r="O899" s="57"/>
      <c r="P899" s="91"/>
    </row>
    <row r="900" spans="2:16" s="50" customFormat="1" ht="13.2">
      <c r="B900" s="86"/>
      <c r="C900" s="87"/>
      <c r="D900" s="87"/>
      <c r="E900" s="87"/>
      <c r="F900" s="87"/>
      <c r="G900" s="87"/>
      <c r="H900" s="87"/>
      <c r="I900" s="87"/>
      <c r="J900" s="87"/>
      <c r="K900" s="88"/>
      <c r="L900" s="89"/>
      <c r="M900" s="90"/>
      <c r="N900" s="57"/>
      <c r="O900" s="57"/>
      <c r="P900" s="91"/>
    </row>
    <row r="901" spans="2:16" s="50" customFormat="1" ht="13.2">
      <c r="B901" s="86"/>
      <c r="C901" s="87"/>
      <c r="D901" s="87"/>
      <c r="E901" s="87"/>
      <c r="F901" s="87"/>
      <c r="G901" s="87"/>
      <c r="H901" s="87"/>
      <c r="I901" s="87"/>
      <c r="J901" s="87"/>
      <c r="K901" s="88"/>
      <c r="L901" s="89"/>
      <c r="M901" s="90"/>
      <c r="N901" s="57"/>
      <c r="O901" s="57"/>
      <c r="P901" s="91"/>
    </row>
    <row r="902" spans="2:16" s="50" customFormat="1" ht="13.2">
      <c r="B902" s="86"/>
      <c r="C902" s="87"/>
      <c r="D902" s="87"/>
      <c r="E902" s="87"/>
      <c r="F902" s="87"/>
      <c r="G902" s="87"/>
      <c r="H902" s="87"/>
      <c r="I902" s="87"/>
      <c r="J902" s="87"/>
      <c r="K902" s="88"/>
      <c r="L902" s="89"/>
      <c r="M902" s="90"/>
      <c r="N902" s="57"/>
      <c r="O902" s="57"/>
      <c r="P902" s="91"/>
    </row>
    <row r="903" spans="2:16" s="50" customFormat="1" ht="13.2">
      <c r="B903" s="86"/>
      <c r="C903" s="87"/>
      <c r="D903" s="87"/>
      <c r="E903" s="87"/>
      <c r="F903" s="87"/>
      <c r="G903" s="87"/>
      <c r="H903" s="87"/>
      <c r="I903" s="87"/>
      <c r="J903" s="87"/>
      <c r="K903" s="88"/>
      <c r="L903" s="89"/>
      <c r="M903" s="90"/>
      <c r="N903" s="57"/>
      <c r="O903" s="57"/>
      <c r="P903" s="91"/>
    </row>
    <row r="904" spans="2:16" s="50" customFormat="1" ht="13.2">
      <c r="B904" s="86"/>
      <c r="C904" s="87"/>
      <c r="D904" s="87"/>
      <c r="E904" s="87"/>
      <c r="F904" s="87"/>
      <c r="G904" s="87"/>
      <c r="H904" s="87"/>
      <c r="I904" s="87"/>
      <c r="J904" s="87"/>
      <c r="K904" s="88"/>
      <c r="L904" s="89"/>
      <c r="M904" s="90"/>
      <c r="N904" s="57"/>
      <c r="O904" s="57"/>
      <c r="P904" s="91"/>
    </row>
    <row r="905" spans="2:16" s="50" customFormat="1" ht="13.2">
      <c r="B905" s="86"/>
      <c r="C905" s="87"/>
      <c r="D905" s="87"/>
      <c r="E905" s="87"/>
      <c r="F905" s="87"/>
      <c r="G905" s="87"/>
      <c r="H905" s="87"/>
      <c r="I905" s="87"/>
      <c r="J905" s="87"/>
      <c r="K905" s="88"/>
      <c r="L905" s="89"/>
      <c r="M905" s="90"/>
      <c r="N905" s="57"/>
      <c r="O905" s="57"/>
      <c r="P905" s="91"/>
    </row>
    <row r="906" spans="2:16" s="50" customFormat="1" ht="13.2">
      <c r="B906" s="86"/>
      <c r="C906" s="87"/>
      <c r="D906" s="87"/>
      <c r="E906" s="87"/>
      <c r="F906" s="87"/>
      <c r="G906" s="87"/>
      <c r="H906" s="87"/>
      <c r="I906" s="87"/>
      <c r="J906" s="87"/>
      <c r="K906" s="88"/>
      <c r="L906" s="89"/>
      <c r="M906" s="90"/>
      <c r="N906" s="57"/>
      <c r="O906" s="57"/>
      <c r="P906" s="91"/>
    </row>
    <row r="907" spans="2:16" s="50" customFormat="1" ht="13.2">
      <c r="B907" s="86"/>
      <c r="C907" s="87"/>
      <c r="D907" s="87"/>
      <c r="E907" s="87"/>
      <c r="F907" s="87"/>
      <c r="G907" s="87"/>
      <c r="H907" s="87"/>
      <c r="I907" s="87"/>
      <c r="J907" s="87"/>
      <c r="K907" s="88"/>
      <c r="L907" s="89"/>
      <c r="M907" s="90"/>
      <c r="N907" s="57"/>
      <c r="O907" s="57"/>
      <c r="P907" s="91"/>
    </row>
    <row r="908" spans="2:16" s="50" customFormat="1" ht="13.2">
      <c r="B908" s="86"/>
      <c r="C908" s="87"/>
      <c r="D908" s="87"/>
      <c r="E908" s="87"/>
      <c r="F908" s="87"/>
      <c r="G908" s="87"/>
      <c r="H908" s="87"/>
      <c r="I908" s="87"/>
      <c r="J908" s="87"/>
      <c r="K908" s="88"/>
      <c r="L908" s="89"/>
      <c r="M908" s="90"/>
      <c r="N908" s="57"/>
      <c r="O908" s="57"/>
      <c r="P908" s="91"/>
    </row>
    <row r="909" spans="2:16" s="50" customFormat="1" ht="13.2">
      <c r="B909" s="86"/>
      <c r="C909" s="87"/>
      <c r="D909" s="87"/>
      <c r="E909" s="87"/>
      <c r="F909" s="87"/>
      <c r="G909" s="87"/>
      <c r="H909" s="87"/>
      <c r="I909" s="87"/>
      <c r="J909" s="87"/>
      <c r="K909" s="88"/>
      <c r="L909" s="89"/>
      <c r="M909" s="90"/>
      <c r="N909" s="57"/>
      <c r="O909" s="57"/>
      <c r="P909" s="91"/>
    </row>
    <row r="910" spans="2:16" s="50" customFormat="1" ht="13.2">
      <c r="B910" s="86"/>
      <c r="C910" s="87"/>
      <c r="D910" s="87"/>
      <c r="E910" s="87"/>
      <c r="F910" s="87"/>
      <c r="G910" s="87"/>
      <c r="H910" s="87"/>
      <c r="I910" s="87"/>
      <c r="J910" s="87"/>
      <c r="K910" s="88"/>
      <c r="L910" s="89"/>
      <c r="M910" s="90"/>
      <c r="N910" s="57"/>
      <c r="O910" s="57"/>
      <c r="P910" s="91"/>
    </row>
    <row r="911" spans="2:16" s="50" customFormat="1" ht="13.2">
      <c r="B911" s="86"/>
      <c r="C911" s="87"/>
      <c r="D911" s="87"/>
      <c r="E911" s="87"/>
      <c r="F911" s="87"/>
      <c r="G911" s="87"/>
      <c r="H911" s="87"/>
      <c r="I911" s="87"/>
      <c r="J911" s="87"/>
      <c r="K911" s="88"/>
      <c r="L911" s="89"/>
      <c r="M911" s="90"/>
      <c r="N911" s="57"/>
      <c r="O911" s="57"/>
      <c r="P911" s="91"/>
    </row>
    <row r="912" spans="2:16" s="50" customFormat="1" ht="13.2">
      <c r="B912" s="86"/>
      <c r="C912" s="87"/>
      <c r="D912" s="87"/>
      <c r="E912" s="87"/>
      <c r="F912" s="87"/>
      <c r="G912" s="87"/>
      <c r="H912" s="87"/>
      <c r="I912" s="87"/>
      <c r="J912" s="87"/>
      <c r="K912" s="88"/>
      <c r="L912" s="89"/>
      <c r="M912" s="90"/>
      <c r="N912" s="57"/>
      <c r="O912" s="57"/>
      <c r="P912" s="91"/>
    </row>
    <row r="913" spans="2:16" s="50" customFormat="1" ht="13.2">
      <c r="B913" s="86"/>
      <c r="C913" s="87"/>
      <c r="D913" s="87"/>
      <c r="E913" s="87"/>
      <c r="F913" s="87"/>
      <c r="G913" s="87"/>
      <c r="H913" s="87"/>
      <c r="I913" s="87"/>
      <c r="J913" s="87"/>
      <c r="K913" s="88"/>
      <c r="L913" s="89"/>
      <c r="M913" s="90"/>
      <c r="N913" s="57"/>
      <c r="O913" s="57"/>
      <c r="P913" s="91"/>
    </row>
    <row r="914" spans="2:16" s="50" customFormat="1" ht="13.2">
      <c r="B914" s="86"/>
      <c r="C914" s="87"/>
      <c r="D914" s="87"/>
      <c r="E914" s="87"/>
      <c r="F914" s="87"/>
      <c r="G914" s="87"/>
      <c r="H914" s="87"/>
      <c r="I914" s="87"/>
      <c r="J914" s="87"/>
      <c r="K914" s="88"/>
      <c r="L914" s="89"/>
      <c r="M914" s="90"/>
      <c r="N914" s="57"/>
      <c r="O914" s="57"/>
      <c r="P914" s="91"/>
    </row>
    <row r="915" spans="2:16" s="50" customFormat="1" ht="13.2">
      <c r="B915" s="86"/>
      <c r="C915" s="87"/>
      <c r="D915" s="87"/>
      <c r="E915" s="87"/>
      <c r="F915" s="87"/>
      <c r="G915" s="87"/>
      <c r="H915" s="87"/>
      <c r="I915" s="87"/>
      <c r="J915" s="87"/>
      <c r="K915" s="88"/>
      <c r="L915" s="89"/>
      <c r="M915" s="90"/>
      <c r="N915" s="57"/>
      <c r="O915" s="57"/>
      <c r="P915" s="91"/>
    </row>
    <row r="916" spans="2:16" s="50" customFormat="1" ht="13.2">
      <c r="B916" s="86"/>
      <c r="C916" s="87"/>
      <c r="D916" s="87"/>
      <c r="E916" s="87"/>
      <c r="F916" s="87"/>
      <c r="G916" s="87"/>
      <c r="H916" s="87"/>
      <c r="I916" s="87"/>
      <c r="J916" s="87"/>
      <c r="K916" s="88"/>
      <c r="L916" s="89"/>
      <c r="M916" s="90"/>
      <c r="N916" s="57"/>
      <c r="O916" s="57"/>
      <c r="P916" s="91"/>
    </row>
    <row r="917" spans="2:16" s="50" customFormat="1" ht="13.2">
      <c r="B917" s="86"/>
      <c r="C917" s="87"/>
      <c r="D917" s="87"/>
      <c r="E917" s="87"/>
      <c r="F917" s="87"/>
      <c r="G917" s="87"/>
      <c r="H917" s="87"/>
      <c r="I917" s="87"/>
      <c r="J917" s="87"/>
      <c r="K917" s="88"/>
      <c r="L917" s="89"/>
      <c r="M917" s="90"/>
      <c r="N917" s="57"/>
      <c r="O917" s="57"/>
      <c r="P917" s="91"/>
    </row>
    <row r="918" spans="2:16" s="50" customFormat="1" ht="13.2">
      <c r="B918" s="86"/>
      <c r="C918" s="87"/>
      <c r="D918" s="87"/>
      <c r="E918" s="87"/>
      <c r="F918" s="87"/>
      <c r="G918" s="87"/>
      <c r="H918" s="87"/>
      <c r="I918" s="87"/>
      <c r="J918" s="87"/>
      <c r="K918" s="88"/>
      <c r="L918" s="89"/>
      <c r="M918" s="90"/>
      <c r="N918" s="57"/>
      <c r="O918" s="57"/>
      <c r="P918" s="91"/>
    </row>
    <row r="919" spans="2:16" s="50" customFormat="1" ht="13.2">
      <c r="B919" s="86"/>
      <c r="C919" s="87"/>
      <c r="D919" s="87"/>
      <c r="E919" s="87"/>
      <c r="F919" s="87"/>
      <c r="G919" s="87"/>
      <c r="H919" s="87"/>
      <c r="I919" s="87"/>
      <c r="J919" s="87"/>
      <c r="K919" s="88"/>
      <c r="L919" s="89"/>
      <c r="M919" s="90"/>
      <c r="N919" s="57"/>
      <c r="O919" s="57"/>
      <c r="P919" s="91"/>
    </row>
    <row r="920" spans="2:16" s="50" customFormat="1" ht="13.2">
      <c r="B920" s="86"/>
      <c r="C920" s="87"/>
      <c r="D920" s="87"/>
      <c r="E920" s="87"/>
      <c r="F920" s="87"/>
      <c r="G920" s="87"/>
      <c r="H920" s="87"/>
      <c r="I920" s="87"/>
      <c r="J920" s="87"/>
      <c r="K920" s="88"/>
      <c r="L920" s="89"/>
      <c r="M920" s="90"/>
      <c r="N920" s="57"/>
      <c r="O920" s="57"/>
      <c r="P920" s="91"/>
    </row>
    <row r="921" spans="2:16" s="50" customFormat="1" ht="13.2">
      <c r="B921" s="86"/>
      <c r="C921" s="87"/>
      <c r="D921" s="87"/>
      <c r="E921" s="87"/>
      <c r="F921" s="87"/>
      <c r="G921" s="87"/>
      <c r="H921" s="87"/>
      <c r="I921" s="87"/>
      <c r="J921" s="87"/>
      <c r="K921" s="88"/>
      <c r="L921" s="89"/>
      <c r="M921" s="90"/>
      <c r="N921" s="57"/>
      <c r="O921" s="57"/>
      <c r="P921" s="91"/>
    </row>
    <row r="922" spans="2:16" s="50" customFormat="1" ht="13.2">
      <c r="B922" s="86"/>
      <c r="C922" s="87"/>
      <c r="D922" s="87"/>
      <c r="E922" s="87"/>
      <c r="F922" s="87"/>
      <c r="G922" s="87"/>
      <c r="H922" s="87"/>
      <c r="I922" s="87"/>
      <c r="J922" s="87"/>
      <c r="K922" s="88"/>
      <c r="L922" s="89"/>
      <c r="M922" s="90"/>
      <c r="N922" s="57"/>
      <c r="O922" s="57"/>
      <c r="P922" s="91"/>
    </row>
    <row r="923" spans="2:16" s="50" customFormat="1" ht="13.2">
      <c r="B923" s="86"/>
      <c r="C923" s="87"/>
      <c r="D923" s="87"/>
      <c r="E923" s="87"/>
      <c r="F923" s="87"/>
      <c r="G923" s="87"/>
      <c r="H923" s="87"/>
      <c r="I923" s="87"/>
      <c r="J923" s="87"/>
      <c r="K923" s="88"/>
      <c r="L923" s="89"/>
      <c r="M923" s="90"/>
      <c r="N923" s="57"/>
      <c r="O923" s="57"/>
      <c r="P923" s="91"/>
    </row>
    <row r="924" spans="2:16" s="50" customFormat="1" ht="13.2">
      <c r="B924" s="86"/>
      <c r="C924" s="87"/>
      <c r="D924" s="87"/>
      <c r="E924" s="87"/>
      <c r="F924" s="87"/>
      <c r="G924" s="87"/>
      <c r="H924" s="87"/>
      <c r="I924" s="87"/>
      <c r="J924" s="87"/>
      <c r="K924" s="88"/>
      <c r="L924" s="89"/>
      <c r="M924" s="90"/>
      <c r="N924" s="57"/>
      <c r="O924" s="57"/>
      <c r="P924" s="91"/>
    </row>
    <row r="925" spans="2:16" s="50" customFormat="1" ht="13.2">
      <c r="B925" s="86"/>
      <c r="C925" s="87"/>
      <c r="D925" s="87"/>
      <c r="E925" s="87"/>
      <c r="F925" s="87"/>
      <c r="G925" s="87"/>
      <c r="H925" s="87"/>
      <c r="I925" s="87"/>
      <c r="J925" s="87"/>
      <c r="K925" s="88"/>
      <c r="L925" s="89"/>
      <c r="M925" s="90"/>
      <c r="N925" s="57"/>
      <c r="O925" s="57"/>
      <c r="P925" s="91"/>
    </row>
    <row r="926" spans="2:16" s="50" customFormat="1" ht="13.2">
      <c r="B926" s="86"/>
      <c r="C926" s="87"/>
      <c r="D926" s="87"/>
      <c r="E926" s="87"/>
      <c r="F926" s="87"/>
      <c r="G926" s="87"/>
      <c r="H926" s="87"/>
      <c r="I926" s="87"/>
      <c r="J926" s="87"/>
      <c r="K926" s="88"/>
      <c r="L926" s="89"/>
      <c r="M926" s="90"/>
      <c r="N926" s="57"/>
      <c r="O926" s="57"/>
      <c r="P926" s="91"/>
    </row>
    <row r="927" spans="2:16" s="50" customFormat="1" ht="13.2">
      <c r="B927" s="86"/>
      <c r="C927" s="87"/>
      <c r="D927" s="87"/>
      <c r="E927" s="87"/>
      <c r="F927" s="87"/>
      <c r="G927" s="87"/>
      <c r="H927" s="87"/>
      <c r="I927" s="87"/>
      <c r="J927" s="87"/>
      <c r="K927" s="88"/>
      <c r="L927" s="89"/>
      <c r="M927" s="90"/>
      <c r="N927" s="57"/>
      <c r="O927" s="57"/>
      <c r="P927" s="91"/>
    </row>
    <row r="928" spans="2:16" s="50" customFormat="1" ht="13.2">
      <c r="B928" s="86"/>
      <c r="C928" s="87"/>
      <c r="D928" s="87"/>
      <c r="E928" s="87"/>
      <c r="F928" s="87"/>
      <c r="G928" s="87"/>
      <c r="H928" s="87"/>
      <c r="I928" s="87"/>
      <c r="J928" s="87"/>
      <c r="K928" s="88"/>
      <c r="L928" s="89"/>
      <c r="M928" s="90"/>
      <c r="N928" s="57"/>
      <c r="O928" s="57"/>
      <c r="P928" s="91"/>
    </row>
    <row r="929" spans="2:16" s="50" customFormat="1" ht="13.2">
      <c r="B929" s="86"/>
      <c r="C929" s="87"/>
      <c r="D929" s="87"/>
      <c r="E929" s="87"/>
      <c r="F929" s="87"/>
      <c r="G929" s="87"/>
      <c r="H929" s="87"/>
      <c r="I929" s="87"/>
      <c r="J929" s="87"/>
      <c r="K929" s="88"/>
      <c r="L929" s="89"/>
      <c r="M929" s="90"/>
      <c r="N929" s="57"/>
      <c r="O929" s="57"/>
      <c r="P929" s="91"/>
    </row>
    <row r="930" spans="2:16" s="50" customFormat="1" ht="13.2">
      <c r="B930" s="86"/>
      <c r="C930" s="87"/>
      <c r="D930" s="87"/>
      <c r="E930" s="87"/>
      <c r="F930" s="87"/>
      <c r="G930" s="87"/>
      <c r="H930" s="87"/>
      <c r="I930" s="87"/>
      <c r="J930" s="87"/>
      <c r="K930" s="88"/>
      <c r="L930" s="89"/>
      <c r="M930" s="90"/>
      <c r="N930" s="57"/>
      <c r="O930" s="57"/>
      <c r="P930" s="91"/>
    </row>
    <row r="931" spans="2:16" s="50" customFormat="1" ht="13.2">
      <c r="B931" s="86"/>
      <c r="C931" s="87"/>
      <c r="D931" s="87"/>
      <c r="E931" s="87"/>
      <c r="F931" s="87"/>
      <c r="G931" s="87"/>
      <c r="H931" s="87"/>
      <c r="I931" s="87"/>
      <c r="J931" s="87"/>
      <c r="K931" s="88"/>
      <c r="L931" s="89"/>
      <c r="M931" s="90"/>
      <c r="N931" s="57"/>
      <c r="O931" s="57"/>
      <c r="P931" s="91"/>
    </row>
    <row r="932" spans="2:16" s="50" customFormat="1" ht="13.2">
      <c r="B932" s="86"/>
      <c r="C932" s="87"/>
      <c r="D932" s="87"/>
      <c r="E932" s="87"/>
      <c r="F932" s="87"/>
      <c r="G932" s="87"/>
      <c r="H932" s="87"/>
      <c r="I932" s="87"/>
      <c r="J932" s="87"/>
      <c r="K932" s="88"/>
      <c r="L932" s="89"/>
      <c r="M932" s="90"/>
      <c r="N932" s="57"/>
      <c r="O932" s="57"/>
      <c r="P932" s="91"/>
    </row>
    <row r="933" spans="2:16" s="50" customFormat="1" ht="13.2">
      <c r="B933" s="86"/>
      <c r="C933" s="87"/>
      <c r="D933" s="87"/>
      <c r="E933" s="87"/>
      <c r="F933" s="87"/>
      <c r="G933" s="87"/>
      <c r="H933" s="87"/>
      <c r="I933" s="87"/>
      <c r="J933" s="87"/>
      <c r="K933" s="88"/>
      <c r="L933" s="89"/>
      <c r="M933" s="90"/>
      <c r="N933" s="57"/>
      <c r="O933" s="57"/>
      <c r="P933" s="91"/>
    </row>
    <row r="934" spans="2:16" s="50" customFormat="1" ht="13.2">
      <c r="B934" s="86"/>
      <c r="C934" s="87"/>
      <c r="D934" s="87"/>
      <c r="E934" s="87"/>
      <c r="F934" s="87"/>
      <c r="G934" s="87"/>
      <c r="H934" s="87"/>
      <c r="I934" s="87"/>
      <c r="J934" s="87"/>
      <c r="K934" s="88"/>
      <c r="L934" s="89"/>
      <c r="M934" s="90"/>
      <c r="N934" s="57"/>
      <c r="O934" s="57"/>
      <c r="P934" s="91"/>
    </row>
    <row r="935" spans="2:16" s="50" customFormat="1" ht="13.2">
      <c r="B935" s="86"/>
      <c r="C935" s="87"/>
      <c r="D935" s="87"/>
      <c r="E935" s="87"/>
      <c r="F935" s="87"/>
      <c r="G935" s="87"/>
      <c r="H935" s="87"/>
      <c r="I935" s="87"/>
      <c r="J935" s="87"/>
      <c r="K935" s="88"/>
      <c r="L935" s="89"/>
      <c r="M935" s="90"/>
      <c r="N935" s="57"/>
      <c r="O935" s="57"/>
      <c r="P935" s="91"/>
    </row>
    <row r="936" spans="2:16" s="50" customFormat="1" ht="13.2">
      <c r="B936" s="86"/>
      <c r="C936" s="87"/>
      <c r="D936" s="87"/>
      <c r="E936" s="87"/>
      <c r="F936" s="87"/>
      <c r="G936" s="87"/>
      <c r="H936" s="87"/>
      <c r="I936" s="87"/>
      <c r="J936" s="87"/>
      <c r="K936" s="88"/>
      <c r="L936" s="89"/>
      <c r="M936" s="90"/>
      <c r="N936" s="57"/>
      <c r="O936" s="57"/>
      <c r="P936" s="91"/>
    </row>
    <row r="937" spans="2:16" s="50" customFormat="1" ht="13.2">
      <c r="B937" s="86"/>
      <c r="C937" s="87"/>
      <c r="D937" s="87"/>
      <c r="E937" s="87"/>
      <c r="F937" s="87"/>
      <c r="G937" s="87"/>
      <c r="H937" s="87"/>
      <c r="I937" s="87"/>
      <c r="J937" s="87"/>
      <c r="K937" s="88"/>
      <c r="L937" s="89"/>
      <c r="M937" s="90"/>
      <c r="N937" s="57"/>
      <c r="O937" s="57"/>
      <c r="P937" s="91"/>
    </row>
    <row r="938" spans="2:16" s="50" customFormat="1" ht="13.2">
      <c r="B938" s="86"/>
      <c r="C938" s="87"/>
      <c r="D938" s="87"/>
      <c r="E938" s="87"/>
      <c r="F938" s="87"/>
      <c r="G938" s="87"/>
      <c r="H938" s="87"/>
      <c r="I938" s="87"/>
      <c r="J938" s="87"/>
      <c r="K938" s="88"/>
      <c r="L938" s="89"/>
      <c r="M938" s="90"/>
      <c r="N938" s="57"/>
      <c r="O938" s="57"/>
      <c r="P938" s="91"/>
    </row>
    <row r="939" spans="2:16" s="50" customFormat="1" ht="13.2">
      <c r="B939" s="86"/>
      <c r="C939" s="87"/>
      <c r="D939" s="87"/>
      <c r="E939" s="87"/>
      <c r="F939" s="87"/>
      <c r="G939" s="87"/>
      <c r="H939" s="87"/>
      <c r="I939" s="87"/>
      <c r="J939" s="87"/>
      <c r="K939" s="88"/>
      <c r="L939" s="89"/>
      <c r="M939" s="90"/>
      <c r="N939" s="57"/>
      <c r="O939" s="57"/>
      <c r="P939" s="91"/>
    </row>
    <row r="940" spans="2:16" s="50" customFormat="1" ht="13.2">
      <c r="B940" s="86"/>
      <c r="C940" s="87"/>
      <c r="D940" s="87"/>
      <c r="E940" s="87"/>
      <c r="F940" s="87"/>
      <c r="G940" s="87"/>
      <c r="H940" s="87"/>
      <c r="I940" s="87"/>
      <c r="J940" s="87"/>
      <c r="K940" s="88"/>
      <c r="L940" s="89"/>
      <c r="M940" s="90"/>
      <c r="N940" s="57"/>
      <c r="O940" s="57"/>
      <c r="P940" s="91"/>
    </row>
    <row r="941" spans="2:16" s="50" customFormat="1" ht="13.2">
      <c r="B941" s="86"/>
      <c r="C941" s="87"/>
      <c r="D941" s="87"/>
      <c r="E941" s="87"/>
      <c r="F941" s="87"/>
      <c r="G941" s="87"/>
      <c r="H941" s="87"/>
      <c r="I941" s="87"/>
      <c r="J941" s="87"/>
      <c r="K941" s="88"/>
      <c r="L941" s="89"/>
      <c r="M941" s="90"/>
      <c r="N941" s="57"/>
      <c r="O941" s="57"/>
      <c r="P941" s="91"/>
    </row>
    <row r="942" spans="2:16" s="50" customFormat="1" ht="13.2">
      <c r="B942" s="86"/>
      <c r="C942" s="87"/>
      <c r="D942" s="87"/>
      <c r="E942" s="87"/>
      <c r="F942" s="87"/>
      <c r="G942" s="87"/>
      <c r="H942" s="87"/>
      <c r="I942" s="87"/>
      <c r="J942" s="87"/>
      <c r="K942" s="88"/>
      <c r="L942" s="89"/>
      <c r="M942" s="90"/>
      <c r="N942" s="57"/>
      <c r="O942" s="57"/>
      <c r="P942" s="91"/>
    </row>
    <row r="943" spans="2:16" s="50" customFormat="1" ht="13.2">
      <c r="B943" s="86"/>
      <c r="C943" s="87"/>
      <c r="D943" s="87"/>
      <c r="E943" s="87"/>
      <c r="F943" s="87"/>
      <c r="G943" s="87"/>
      <c r="H943" s="87"/>
      <c r="I943" s="87"/>
      <c r="J943" s="87"/>
      <c r="K943" s="88"/>
      <c r="L943" s="89"/>
      <c r="M943" s="90"/>
      <c r="N943" s="57"/>
      <c r="O943" s="57"/>
      <c r="P943" s="91"/>
    </row>
    <row r="944" spans="2:16" s="50" customFormat="1" ht="13.2">
      <c r="B944" s="86"/>
      <c r="C944" s="87"/>
      <c r="D944" s="87"/>
      <c r="E944" s="87"/>
      <c r="F944" s="87"/>
      <c r="G944" s="87"/>
      <c r="H944" s="87"/>
      <c r="I944" s="87"/>
      <c r="J944" s="87"/>
      <c r="K944" s="88"/>
      <c r="L944" s="89"/>
      <c r="M944" s="90"/>
      <c r="N944" s="57"/>
      <c r="O944" s="57"/>
      <c r="P944" s="91"/>
    </row>
    <row r="945" spans="2:16" s="50" customFormat="1" ht="13.2">
      <c r="B945" s="86"/>
      <c r="C945" s="87"/>
      <c r="D945" s="87"/>
      <c r="E945" s="87"/>
      <c r="F945" s="87"/>
      <c r="G945" s="87"/>
      <c r="H945" s="87"/>
      <c r="I945" s="87"/>
      <c r="J945" s="87"/>
      <c r="K945" s="88"/>
      <c r="L945" s="89"/>
      <c r="M945" s="90"/>
      <c r="N945" s="57"/>
      <c r="O945" s="57"/>
      <c r="P945" s="91"/>
    </row>
    <row r="946" spans="2:16" s="50" customFormat="1" ht="13.2">
      <c r="B946" s="86"/>
      <c r="C946" s="87"/>
      <c r="D946" s="87"/>
      <c r="E946" s="87"/>
      <c r="F946" s="87"/>
      <c r="G946" s="87"/>
      <c r="H946" s="87"/>
      <c r="I946" s="87"/>
      <c r="J946" s="87"/>
      <c r="K946" s="88"/>
      <c r="L946" s="89"/>
      <c r="M946" s="90"/>
      <c r="N946" s="57"/>
      <c r="O946" s="57"/>
      <c r="P946" s="91"/>
    </row>
    <row r="947" spans="2:16" s="50" customFormat="1" ht="13.2">
      <c r="B947" s="86"/>
      <c r="C947" s="87"/>
      <c r="D947" s="87"/>
      <c r="E947" s="87"/>
      <c r="F947" s="87"/>
      <c r="G947" s="87"/>
      <c r="H947" s="87"/>
      <c r="I947" s="87"/>
      <c r="J947" s="87"/>
      <c r="K947" s="88"/>
      <c r="L947" s="89"/>
      <c r="M947" s="90"/>
      <c r="N947" s="57"/>
      <c r="O947" s="57"/>
      <c r="P947" s="91"/>
    </row>
    <row r="948" spans="2:16" s="50" customFormat="1" ht="13.2">
      <c r="B948" s="86"/>
      <c r="C948" s="87"/>
      <c r="D948" s="87"/>
      <c r="E948" s="87"/>
      <c r="F948" s="87"/>
      <c r="G948" s="87"/>
      <c r="H948" s="87"/>
      <c r="I948" s="87"/>
      <c r="J948" s="87"/>
      <c r="K948" s="88"/>
      <c r="L948" s="89"/>
      <c r="M948" s="90"/>
      <c r="N948" s="57"/>
      <c r="O948" s="57"/>
      <c r="P948" s="91"/>
    </row>
    <row r="949" spans="2:16" s="50" customFormat="1" ht="13.2">
      <c r="B949" s="86"/>
      <c r="C949" s="87"/>
      <c r="D949" s="87"/>
      <c r="E949" s="87"/>
      <c r="F949" s="87"/>
      <c r="G949" s="87"/>
      <c r="H949" s="87"/>
      <c r="I949" s="87"/>
      <c r="J949" s="87"/>
      <c r="K949" s="88"/>
      <c r="L949" s="89"/>
      <c r="M949" s="90"/>
      <c r="N949" s="57"/>
      <c r="O949" s="57"/>
      <c r="P949" s="91"/>
    </row>
    <row r="950" spans="2:16" s="50" customFormat="1" ht="13.2">
      <c r="B950" s="86"/>
      <c r="C950" s="87"/>
      <c r="D950" s="87"/>
      <c r="E950" s="87"/>
      <c r="F950" s="87"/>
      <c r="G950" s="87"/>
      <c r="H950" s="87"/>
      <c r="I950" s="87"/>
      <c r="J950" s="87"/>
      <c r="K950" s="88"/>
      <c r="L950" s="89"/>
      <c r="M950" s="90"/>
      <c r="N950" s="57"/>
      <c r="O950" s="57"/>
      <c r="P950" s="91"/>
    </row>
    <row r="951" spans="2:16" s="50" customFormat="1" ht="13.2">
      <c r="B951" s="86"/>
      <c r="C951" s="87"/>
      <c r="D951" s="87"/>
      <c r="E951" s="87"/>
      <c r="F951" s="87"/>
      <c r="G951" s="87"/>
      <c r="H951" s="87"/>
      <c r="I951" s="87"/>
      <c r="J951" s="87"/>
      <c r="K951" s="88"/>
      <c r="L951" s="89"/>
      <c r="M951" s="90"/>
      <c r="N951" s="57"/>
      <c r="O951" s="57"/>
      <c r="P951" s="91"/>
    </row>
    <row r="952" spans="2:16" s="50" customFormat="1" ht="13.2">
      <c r="B952" s="86"/>
      <c r="C952" s="87"/>
      <c r="D952" s="87"/>
      <c r="E952" s="87"/>
      <c r="F952" s="87"/>
      <c r="G952" s="87"/>
      <c r="H952" s="87"/>
      <c r="I952" s="87"/>
      <c r="J952" s="87"/>
      <c r="K952" s="88"/>
      <c r="L952" s="89"/>
      <c r="M952" s="90"/>
      <c r="N952" s="57"/>
      <c r="O952" s="57"/>
      <c r="P952" s="91"/>
    </row>
    <row r="953" spans="2:16" s="50" customFormat="1" ht="13.2">
      <c r="B953" s="86"/>
      <c r="C953" s="87"/>
      <c r="D953" s="87"/>
      <c r="E953" s="87"/>
      <c r="F953" s="87"/>
      <c r="G953" s="87"/>
      <c r="H953" s="87"/>
      <c r="I953" s="87"/>
      <c r="J953" s="87"/>
      <c r="K953" s="88"/>
      <c r="L953" s="89"/>
      <c r="M953" s="90"/>
      <c r="N953" s="57"/>
      <c r="O953" s="57"/>
      <c r="P953" s="91"/>
    </row>
    <row r="954" spans="2:16" s="50" customFormat="1" ht="13.2">
      <c r="B954" s="86"/>
      <c r="C954" s="87"/>
      <c r="D954" s="87"/>
      <c r="E954" s="87"/>
      <c r="F954" s="87"/>
      <c r="G954" s="87"/>
      <c r="H954" s="87"/>
      <c r="I954" s="87"/>
      <c r="J954" s="87"/>
      <c r="K954" s="88"/>
      <c r="L954" s="89"/>
      <c r="M954" s="90"/>
      <c r="N954" s="57"/>
      <c r="O954" s="57"/>
      <c r="P954" s="91"/>
    </row>
    <row r="955" spans="2:16" s="50" customFormat="1" ht="13.2">
      <c r="B955" s="86"/>
      <c r="C955" s="87"/>
      <c r="D955" s="87"/>
      <c r="E955" s="87"/>
      <c r="F955" s="87"/>
      <c r="G955" s="87"/>
      <c r="H955" s="87"/>
      <c r="I955" s="87"/>
      <c r="J955" s="87"/>
      <c r="K955" s="88"/>
      <c r="L955" s="89"/>
      <c r="M955" s="90"/>
      <c r="N955" s="57"/>
      <c r="O955" s="57"/>
      <c r="P955" s="91"/>
    </row>
    <row r="956" spans="2:16" s="50" customFormat="1" ht="13.2">
      <c r="B956" s="86"/>
      <c r="C956" s="87"/>
      <c r="D956" s="87"/>
      <c r="E956" s="87"/>
      <c r="F956" s="87"/>
      <c r="G956" s="87"/>
      <c r="H956" s="87"/>
      <c r="I956" s="87"/>
      <c r="J956" s="87"/>
      <c r="K956" s="88"/>
      <c r="L956" s="89"/>
      <c r="M956" s="90"/>
      <c r="N956" s="57"/>
      <c r="O956" s="57"/>
      <c r="P956" s="91"/>
    </row>
    <row r="957" spans="2:16" s="50" customFormat="1" ht="13.2">
      <c r="B957" s="86"/>
      <c r="C957" s="87"/>
      <c r="D957" s="87"/>
      <c r="E957" s="87"/>
      <c r="F957" s="87"/>
      <c r="G957" s="87"/>
      <c r="H957" s="87"/>
      <c r="I957" s="87"/>
      <c r="J957" s="87"/>
      <c r="K957" s="88"/>
      <c r="L957" s="89"/>
      <c r="M957" s="90"/>
      <c r="N957" s="57"/>
      <c r="O957" s="57"/>
      <c r="P957" s="91"/>
    </row>
    <row r="958" spans="2:16" s="50" customFormat="1" ht="13.2">
      <c r="B958" s="86"/>
      <c r="C958" s="87"/>
      <c r="D958" s="87"/>
      <c r="E958" s="87"/>
      <c r="F958" s="87"/>
      <c r="G958" s="87"/>
      <c r="H958" s="87"/>
      <c r="I958" s="87"/>
      <c r="J958" s="87"/>
      <c r="K958" s="88"/>
      <c r="L958" s="89"/>
      <c r="M958" s="90"/>
      <c r="N958" s="57"/>
      <c r="O958" s="57"/>
      <c r="P958" s="91"/>
    </row>
    <row r="959" spans="2:16" s="50" customFormat="1" ht="13.2">
      <c r="B959" s="86"/>
      <c r="C959" s="87"/>
      <c r="D959" s="87"/>
      <c r="E959" s="87"/>
      <c r="F959" s="87"/>
      <c r="G959" s="87"/>
      <c r="H959" s="87"/>
      <c r="I959" s="87"/>
      <c r="J959" s="87"/>
      <c r="K959" s="88"/>
      <c r="L959" s="89"/>
      <c r="M959" s="90"/>
      <c r="N959" s="57"/>
      <c r="O959" s="57"/>
      <c r="P959" s="91"/>
    </row>
    <row r="960" spans="2:16" s="50" customFormat="1" ht="13.2">
      <c r="B960" s="86"/>
      <c r="C960" s="87"/>
      <c r="D960" s="87"/>
      <c r="E960" s="87"/>
      <c r="F960" s="87"/>
      <c r="G960" s="87"/>
      <c r="H960" s="87"/>
      <c r="I960" s="87"/>
      <c r="J960" s="87"/>
      <c r="K960" s="88"/>
      <c r="L960" s="89"/>
      <c r="M960" s="90"/>
      <c r="N960" s="57"/>
      <c r="O960" s="57"/>
      <c r="P960" s="91"/>
    </row>
    <row r="961" spans="2:16" s="50" customFormat="1" ht="13.2">
      <c r="B961" s="86"/>
      <c r="C961" s="87"/>
      <c r="D961" s="87"/>
      <c r="E961" s="87"/>
      <c r="F961" s="87"/>
      <c r="G961" s="87"/>
      <c r="H961" s="87"/>
      <c r="I961" s="87"/>
      <c r="J961" s="87"/>
      <c r="K961" s="88"/>
      <c r="L961" s="89"/>
      <c r="M961" s="90"/>
      <c r="N961" s="57"/>
      <c r="O961" s="57"/>
      <c r="P961" s="91"/>
    </row>
    <row r="962" spans="2:16" s="50" customFormat="1" ht="13.2">
      <c r="B962" s="86"/>
      <c r="C962" s="87"/>
      <c r="D962" s="87"/>
      <c r="E962" s="87"/>
      <c r="F962" s="87"/>
      <c r="G962" s="87"/>
      <c r="H962" s="87"/>
      <c r="I962" s="87"/>
      <c r="J962" s="87"/>
      <c r="K962" s="88"/>
      <c r="L962" s="89"/>
      <c r="M962" s="90"/>
      <c r="N962" s="57"/>
      <c r="O962" s="57"/>
      <c r="P962" s="91"/>
    </row>
    <row r="963" spans="2:16" s="50" customFormat="1" ht="13.2">
      <c r="B963" s="86"/>
      <c r="C963" s="87"/>
      <c r="D963" s="87"/>
      <c r="E963" s="87"/>
      <c r="F963" s="87"/>
      <c r="G963" s="87"/>
      <c r="H963" s="87"/>
      <c r="I963" s="87"/>
      <c r="J963" s="87"/>
      <c r="K963" s="88"/>
      <c r="L963" s="89"/>
      <c r="M963" s="90"/>
      <c r="N963" s="57"/>
      <c r="O963" s="57"/>
      <c r="P963" s="91"/>
    </row>
    <row r="964" spans="2:16" s="50" customFormat="1" ht="13.2">
      <c r="B964" s="86"/>
      <c r="C964" s="87"/>
      <c r="D964" s="87"/>
      <c r="E964" s="87"/>
      <c r="F964" s="87"/>
      <c r="G964" s="87"/>
      <c r="H964" s="87"/>
      <c r="I964" s="87"/>
      <c r="J964" s="87"/>
      <c r="K964" s="88"/>
      <c r="L964" s="89"/>
      <c r="M964" s="90"/>
      <c r="N964" s="57"/>
      <c r="O964" s="57"/>
      <c r="P964" s="91"/>
    </row>
    <row r="965" spans="2:16" s="50" customFormat="1" ht="13.2">
      <c r="B965" s="86"/>
      <c r="C965" s="87"/>
      <c r="D965" s="87"/>
      <c r="E965" s="87"/>
      <c r="F965" s="87"/>
      <c r="G965" s="87"/>
      <c r="H965" s="87"/>
      <c r="I965" s="87"/>
      <c r="J965" s="87"/>
      <c r="K965" s="88"/>
      <c r="L965" s="89"/>
      <c r="M965" s="90"/>
      <c r="N965" s="57"/>
      <c r="O965" s="57"/>
      <c r="P965" s="91"/>
    </row>
    <row r="966" spans="2:16" s="50" customFormat="1" ht="13.2">
      <c r="B966" s="86"/>
      <c r="C966" s="87"/>
      <c r="D966" s="87"/>
      <c r="E966" s="87"/>
      <c r="F966" s="87"/>
      <c r="G966" s="87"/>
      <c r="H966" s="87"/>
      <c r="I966" s="87"/>
      <c r="J966" s="87"/>
      <c r="K966" s="88"/>
      <c r="L966" s="89"/>
      <c r="M966" s="90"/>
      <c r="N966" s="57"/>
      <c r="O966" s="57"/>
      <c r="P966" s="91"/>
    </row>
    <row r="967" spans="2:16" s="50" customFormat="1" ht="13.2">
      <c r="B967" s="86"/>
      <c r="C967" s="87"/>
      <c r="D967" s="87"/>
      <c r="E967" s="87"/>
      <c r="F967" s="87"/>
      <c r="G967" s="87"/>
      <c r="H967" s="87"/>
      <c r="I967" s="87"/>
      <c r="J967" s="87"/>
      <c r="K967" s="88"/>
      <c r="L967" s="89"/>
      <c r="M967" s="90"/>
      <c r="N967" s="57"/>
      <c r="O967" s="57"/>
      <c r="P967" s="91"/>
    </row>
    <row r="968" spans="2:16" s="50" customFormat="1" ht="13.2">
      <c r="B968" s="86"/>
      <c r="C968" s="87"/>
      <c r="D968" s="87"/>
      <c r="E968" s="87"/>
      <c r="F968" s="87"/>
      <c r="G968" s="87"/>
      <c r="H968" s="87"/>
      <c r="I968" s="87"/>
      <c r="J968" s="87"/>
      <c r="K968" s="88"/>
      <c r="L968" s="89"/>
      <c r="M968" s="90"/>
      <c r="N968" s="57"/>
      <c r="O968" s="57"/>
      <c r="P968" s="91"/>
    </row>
    <row r="969" spans="2:16" s="50" customFormat="1" ht="13.2">
      <c r="B969" s="86"/>
      <c r="C969" s="87"/>
      <c r="D969" s="87"/>
      <c r="E969" s="87"/>
      <c r="F969" s="87"/>
      <c r="G969" s="87"/>
      <c r="H969" s="87"/>
      <c r="I969" s="87"/>
      <c r="J969" s="87"/>
      <c r="K969" s="88"/>
      <c r="L969" s="89"/>
      <c r="M969" s="90"/>
      <c r="N969" s="57"/>
      <c r="O969" s="57"/>
      <c r="P969" s="91"/>
    </row>
    <row r="970" spans="2:16" s="50" customFormat="1" ht="13.2">
      <c r="B970" s="86"/>
      <c r="C970" s="87"/>
      <c r="D970" s="87"/>
      <c r="E970" s="87"/>
      <c r="F970" s="87"/>
      <c r="G970" s="87"/>
      <c r="H970" s="87"/>
      <c r="I970" s="87"/>
      <c r="J970" s="87"/>
      <c r="K970" s="88"/>
      <c r="L970" s="89"/>
      <c r="M970" s="90"/>
      <c r="N970" s="57"/>
      <c r="O970" s="57"/>
      <c r="P970" s="91"/>
    </row>
    <row r="971" spans="2:16" s="50" customFormat="1" ht="13.2">
      <c r="B971" s="86"/>
      <c r="C971" s="87"/>
      <c r="D971" s="87"/>
      <c r="E971" s="87"/>
      <c r="F971" s="87"/>
      <c r="G971" s="87"/>
      <c r="H971" s="87"/>
      <c r="I971" s="87"/>
      <c r="J971" s="87"/>
      <c r="K971" s="88"/>
      <c r="L971" s="89"/>
      <c r="M971" s="90"/>
      <c r="N971" s="57"/>
      <c r="O971" s="57"/>
      <c r="P971" s="91"/>
    </row>
    <row r="972" spans="2:16" s="50" customFormat="1" ht="13.2">
      <c r="B972" s="86"/>
      <c r="C972" s="87"/>
      <c r="D972" s="87"/>
      <c r="E972" s="87"/>
      <c r="F972" s="87"/>
      <c r="G972" s="87"/>
      <c r="H972" s="87"/>
      <c r="I972" s="87"/>
      <c r="J972" s="87"/>
      <c r="K972" s="88"/>
      <c r="L972" s="89"/>
      <c r="M972" s="90"/>
      <c r="N972" s="57"/>
      <c r="O972" s="57"/>
      <c r="P972" s="91"/>
    </row>
    <row r="973" spans="2:16" s="50" customFormat="1" ht="13.2">
      <c r="B973" s="86"/>
      <c r="C973" s="87"/>
      <c r="D973" s="87"/>
      <c r="E973" s="87"/>
      <c r="F973" s="87"/>
      <c r="G973" s="87"/>
      <c r="H973" s="87"/>
      <c r="I973" s="87"/>
      <c r="J973" s="87"/>
      <c r="K973" s="88"/>
      <c r="L973" s="89"/>
      <c r="M973" s="90"/>
      <c r="N973" s="57"/>
      <c r="O973" s="57"/>
      <c r="P973" s="91"/>
    </row>
    <row r="974" spans="2:16" s="50" customFormat="1" ht="13.2">
      <c r="B974" s="86"/>
      <c r="C974" s="87"/>
      <c r="D974" s="87"/>
      <c r="E974" s="87"/>
      <c r="F974" s="87"/>
      <c r="G974" s="87"/>
      <c r="H974" s="87"/>
      <c r="I974" s="87"/>
      <c r="J974" s="87"/>
      <c r="K974" s="88"/>
      <c r="L974" s="89"/>
      <c r="M974" s="90"/>
      <c r="N974" s="57"/>
      <c r="O974" s="57"/>
      <c r="P974" s="91"/>
    </row>
    <row r="975" spans="2:16" s="50" customFormat="1" ht="13.2">
      <c r="B975" s="86"/>
      <c r="C975" s="87"/>
      <c r="D975" s="87"/>
      <c r="E975" s="87"/>
      <c r="F975" s="87"/>
      <c r="G975" s="87"/>
      <c r="H975" s="87"/>
      <c r="I975" s="87"/>
      <c r="J975" s="87"/>
      <c r="K975" s="88"/>
      <c r="L975" s="89"/>
      <c r="M975" s="90"/>
      <c r="N975" s="57"/>
      <c r="O975" s="57"/>
      <c r="P975" s="91"/>
    </row>
    <row r="976" spans="2:16" s="50" customFormat="1" ht="13.2">
      <c r="B976" s="86"/>
      <c r="C976" s="87"/>
      <c r="D976" s="87"/>
      <c r="E976" s="87"/>
      <c r="F976" s="87"/>
      <c r="G976" s="87"/>
      <c r="H976" s="87"/>
      <c r="I976" s="87"/>
      <c r="J976" s="87"/>
      <c r="K976" s="88"/>
      <c r="L976" s="89"/>
      <c r="M976" s="90"/>
      <c r="N976" s="57"/>
      <c r="O976" s="57"/>
      <c r="P976" s="91"/>
    </row>
    <row r="977" spans="2:16" s="50" customFormat="1" ht="13.2">
      <c r="B977" s="86"/>
      <c r="C977" s="87"/>
      <c r="D977" s="87"/>
      <c r="E977" s="87"/>
      <c r="F977" s="87"/>
      <c r="G977" s="87"/>
      <c r="H977" s="87"/>
      <c r="I977" s="87"/>
      <c r="J977" s="87"/>
      <c r="K977" s="88"/>
      <c r="L977" s="89"/>
      <c r="M977" s="90"/>
      <c r="N977" s="57"/>
      <c r="O977" s="57"/>
      <c r="P977" s="91"/>
    </row>
    <row r="978" spans="2:16" s="50" customFormat="1" ht="13.2">
      <c r="B978" s="86"/>
      <c r="C978" s="87"/>
      <c r="D978" s="87"/>
      <c r="E978" s="87"/>
      <c r="F978" s="87"/>
      <c r="G978" s="87"/>
      <c r="H978" s="87"/>
      <c r="I978" s="87"/>
      <c r="J978" s="87"/>
      <c r="K978" s="88"/>
      <c r="L978" s="89"/>
      <c r="M978" s="90"/>
      <c r="N978" s="57"/>
      <c r="O978" s="57"/>
      <c r="P978" s="91"/>
    </row>
    <row r="979" spans="2:16" s="50" customFormat="1" ht="13.2">
      <c r="B979" s="86"/>
      <c r="C979" s="87"/>
      <c r="D979" s="87"/>
      <c r="E979" s="87"/>
      <c r="F979" s="87"/>
      <c r="G979" s="87"/>
      <c r="H979" s="87"/>
      <c r="I979" s="87"/>
      <c r="J979" s="87"/>
      <c r="K979" s="88"/>
      <c r="L979" s="89"/>
      <c r="M979" s="90"/>
      <c r="N979" s="57"/>
      <c r="O979" s="57"/>
      <c r="P979" s="91"/>
    </row>
    <row r="980" spans="2:16" s="50" customFormat="1" ht="13.2">
      <c r="B980" s="86"/>
      <c r="C980" s="87"/>
      <c r="D980" s="87"/>
      <c r="E980" s="87"/>
      <c r="F980" s="87"/>
      <c r="G980" s="87"/>
      <c r="H980" s="87"/>
      <c r="I980" s="87"/>
      <c r="J980" s="87"/>
      <c r="K980" s="88"/>
      <c r="L980" s="89"/>
      <c r="M980" s="90"/>
      <c r="N980" s="57"/>
      <c r="O980" s="57"/>
      <c r="P980" s="91"/>
    </row>
    <row r="981" spans="2:16" s="50" customFormat="1" ht="13.2">
      <c r="B981" s="86"/>
      <c r="C981" s="87"/>
      <c r="D981" s="87"/>
      <c r="E981" s="87"/>
      <c r="F981" s="87"/>
      <c r="G981" s="87"/>
      <c r="H981" s="87"/>
      <c r="I981" s="87"/>
      <c r="J981" s="87"/>
      <c r="K981" s="88"/>
      <c r="L981" s="89"/>
      <c r="M981" s="90"/>
      <c r="N981" s="57"/>
      <c r="O981" s="57"/>
      <c r="P981" s="91"/>
    </row>
    <row r="982" spans="2:16" s="50" customFormat="1" ht="13.2">
      <c r="B982" s="86"/>
      <c r="C982" s="87"/>
      <c r="D982" s="87"/>
      <c r="E982" s="87"/>
      <c r="F982" s="87"/>
      <c r="G982" s="87"/>
      <c r="H982" s="87"/>
      <c r="I982" s="87"/>
      <c r="J982" s="87"/>
      <c r="K982" s="88"/>
      <c r="L982" s="89"/>
      <c r="M982" s="90"/>
      <c r="N982" s="57"/>
      <c r="O982" s="57"/>
      <c r="P982" s="91"/>
    </row>
    <row r="983" spans="2:16" s="50" customFormat="1" ht="13.2">
      <c r="B983" s="86"/>
      <c r="C983" s="87"/>
      <c r="D983" s="87"/>
      <c r="E983" s="87"/>
      <c r="F983" s="87"/>
      <c r="G983" s="87"/>
      <c r="H983" s="87"/>
      <c r="I983" s="87"/>
      <c r="J983" s="87"/>
      <c r="K983" s="88"/>
      <c r="L983" s="89"/>
      <c r="M983" s="90"/>
      <c r="N983" s="57"/>
      <c r="O983" s="57"/>
      <c r="P983" s="91"/>
    </row>
    <row r="984" spans="2:16" s="50" customFormat="1" ht="13.2">
      <c r="B984" s="86"/>
      <c r="C984" s="87"/>
      <c r="D984" s="87"/>
      <c r="E984" s="87"/>
      <c r="F984" s="87"/>
      <c r="G984" s="87"/>
      <c r="H984" s="87"/>
      <c r="I984" s="87"/>
      <c r="J984" s="87"/>
      <c r="K984" s="88"/>
      <c r="L984" s="89"/>
      <c r="M984" s="90"/>
      <c r="N984" s="57"/>
      <c r="O984" s="57"/>
      <c r="P984" s="91"/>
    </row>
    <row r="985" spans="2:16" s="50" customFormat="1" ht="13.2">
      <c r="B985" s="86"/>
      <c r="C985" s="87"/>
      <c r="D985" s="87"/>
      <c r="E985" s="87"/>
      <c r="F985" s="87"/>
      <c r="G985" s="87"/>
      <c r="H985" s="87"/>
      <c r="I985" s="87"/>
      <c r="J985" s="87"/>
      <c r="K985" s="88"/>
      <c r="L985" s="89"/>
      <c r="M985" s="90"/>
      <c r="N985" s="57"/>
      <c r="O985" s="57"/>
      <c r="P985" s="91"/>
    </row>
    <row r="986" spans="2:16" s="50" customFormat="1" ht="13.2">
      <c r="B986" s="86"/>
      <c r="C986" s="87"/>
      <c r="D986" s="87"/>
      <c r="E986" s="87"/>
      <c r="F986" s="87"/>
      <c r="G986" s="87"/>
      <c r="H986" s="87"/>
      <c r="I986" s="87"/>
      <c r="J986" s="87"/>
      <c r="K986" s="88"/>
      <c r="L986" s="89"/>
      <c r="M986" s="90"/>
      <c r="N986" s="57"/>
      <c r="O986" s="57"/>
      <c r="P986" s="91"/>
    </row>
    <row r="987" spans="2:16" s="50" customFormat="1" ht="13.2">
      <c r="B987" s="86"/>
      <c r="C987" s="87"/>
      <c r="D987" s="87"/>
      <c r="E987" s="87"/>
      <c r="F987" s="87"/>
      <c r="G987" s="87"/>
      <c r="H987" s="87"/>
      <c r="I987" s="87"/>
      <c r="J987" s="87"/>
      <c r="K987" s="88"/>
      <c r="L987" s="89"/>
      <c r="M987" s="90"/>
      <c r="N987" s="57"/>
      <c r="O987" s="57"/>
      <c r="P987" s="91"/>
    </row>
    <row r="988" spans="2:16" s="50" customFormat="1" ht="13.2">
      <c r="B988" s="86"/>
      <c r="C988" s="87"/>
      <c r="D988" s="87"/>
      <c r="E988" s="87"/>
      <c r="F988" s="87"/>
      <c r="G988" s="87"/>
      <c r="H988" s="87"/>
      <c r="I988" s="87"/>
      <c r="J988" s="87"/>
      <c r="K988" s="88"/>
      <c r="L988" s="89"/>
      <c r="M988" s="90"/>
      <c r="N988" s="57"/>
      <c r="O988" s="57"/>
      <c r="P988" s="91"/>
    </row>
    <row r="989" spans="2:16" s="50" customFormat="1" ht="13.2">
      <c r="B989" s="86"/>
      <c r="C989" s="87"/>
      <c r="D989" s="87"/>
      <c r="E989" s="87"/>
      <c r="F989" s="87"/>
      <c r="G989" s="87"/>
      <c r="H989" s="87"/>
      <c r="I989" s="87"/>
      <c r="J989" s="87"/>
      <c r="K989" s="88"/>
      <c r="L989" s="89"/>
      <c r="M989" s="90"/>
      <c r="N989" s="57"/>
      <c r="O989" s="57"/>
      <c r="P989" s="91"/>
    </row>
    <row r="990" spans="2:16" s="50" customFormat="1" ht="13.2">
      <c r="B990" s="86"/>
      <c r="C990" s="87"/>
      <c r="D990" s="87"/>
      <c r="E990" s="87"/>
      <c r="F990" s="87"/>
      <c r="G990" s="87"/>
      <c r="H990" s="87"/>
      <c r="I990" s="87"/>
      <c r="J990" s="87"/>
      <c r="K990" s="88"/>
      <c r="L990" s="89"/>
      <c r="M990" s="90"/>
      <c r="N990" s="57"/>
      <c r="O990" s="57"/>
      <c r="P990" s="91"/>
    </row>
    <row r="991" spans="2:16" s="50" customFormat="1" ht="13.2">
      <c r="B991" s="86"/>
      <c r="C991" s="87"/>
      <c r="D991" s="87"/>
      <c r="E991" s="87"/>
      <c r="F991" s="87"/>
      <c r="G991" s="87"/>
      <c r="H991" s="87"/>
      <c r="I991" s="87"/>
      <c r="J991" s="87"/>
      <c r="K991" s="88"/>
      <c r="L991" s="89"/>
      <c r="M991" s="90"/>
      <c r="N991" s="57"/>
      <c r="O991" s="57"/>
      <c r="P991" s="91"/>
    </row>
    <row r="992" spans="2:16" s="50" customFormat="1" ht="13.2">
      <c r="B992" s="86"/>
      <c r="C992" s="87"/>
      <c r="D992" s="87"/>
      <c r="E992" s="87"/>
      <c r="F992" s="87"/>
      <c r="G992" s="87"/>
      <c r="H992" s="87"/>
      <c r="I992" s="87"/>
      <c r="J992" s="87"/>
      <c r="K992" s="88"/>
      <c r="L992" s="89"/>
      <c r="M992" s="90"/>
      <c r="N992" s="57"/>
      <c r="O992" s="57"/>
      <c r="P992" s="91"/>
    </row>
    <row r="993" spans="2:16" s="50" customFormat="1" ht="13.2">
      <c r="B993" s="86"/>
      <c r="C993" s="87"/>
      <c r="D993" s="87"/>
      <c r="E993" s="87"/>
      <c r="F993" s="87"/>
      <c r="G993" s="87"/>
      <c r="H993" s="87"/>
      <c r="I993" s="87"/>
      <c r="J993" s="87"/>
      <c r="K993" s="88"/>
      <c r="L993" s="89"/>
      <c r="M993" s="90"/>
      <c r="N993" s="57"/>
      <c r="O993" s="57"/>
      <c r="P993" s="91"/>
    </row>
    <row r="994" spans="2:16" s="50" customFormat="1" ht="13.2">
      <c r="B994" s="86"/>
      <c r="C994" s="87"/>
      <c r="D994" s="87"/>
      <c r="E994" s="87"/>
      <c r="F994" s="87"/>
      <c r="G994" s="87"/>
      <c r="H994" s="87"/>
      <c r="I994" s="87"/>
      <c r="J994" s="87"/>
      <c r="K994" s="88"/>
      <c r="L994" s="89"/>
      <c r="M994" s="90"/>
      <c r="N994" s="57"/>
      <c r="O994" s="57"/>
      <c r="P994" s="91"/>
    </row>
    <row r="995" spans="2:16" s="50" customFormat="1" ht="13.2">
      <c r="B995" s="86"/>
      <c r="C995" s="87"/>
      <c r="D995" s="87"/>
      <c r="E995" s="87"/>
      <c r="F995" s="87"/>
      <c r="G995" s="87"/>
      <c r="H995" s="87"/>
      <c r="I995" s="87"/>
      <c r="J995" s="87"/>
      <c r="K995" s="88"/>
      <c r="L995" s="89"/>
      <c r="M995" s="90"/>
      <c r="N995" s="57"/>
      <c r="O995" s="57"/>
      <c r="P995" s="91"/>
    </row>
    <row r="996" spans="2:16" s="50" customFormat="1" ht="13.2">
      <c r="B996" s="86"/>
      <c r="C996" s="87"/>
      <c r="D996" s="87"/>
      <c r="E996" s="87"/>
      <c r="F996" s="87"/>
      <c r="G996" s="87"/>
      <c r="H996" s="87"/>
      <c r="I996" s="87"/>
      <c r="J996" s="87"/>
      <c r="K996" s="88"/>
      <c r="L996" s="89"/>
      <c r="M996" s="90"/>
      <c r="N996" s="57"/>
      <c r="O996" s="57"/>
      <c r="P996" s="91"/>
    </row>
    <row r="997" spans="2:16" s="50" customFormat="1" ht="13.2">
      <c r="B997" s="86"/>
      <c r="C997" s="87"/>
      <c r="D997" s="87"/>
      <c r="E997" s="87"/>
      <c r="F997" s="87"/>
      <c r="G997" s="87"/>
      <c r="H997" s="87"/>
      <c r="I997" s="87"/>
      <c r="J997" s="87"/>
      <c r="K997" s="88"/>
      <c r="L997" s="89"/>
      <c r="M997" s="90"/>
      <c r="N997" s="57"/>
      <c r="O997" s="57"/>
      <c r="P997" s="91"/>
    </row>
    <row r="998" spans="2:16" s="50" customFormat="1" ht="13.2">
      <c r="B998" s="86"/>
      <c r="C998" s="87"/>
      <c r="D998" s="87"/>
      <c r="E998" s="87"/>
      <c r="F998" s="87"/>
      <c r="G998" s="87"/>
      <c r="H998" s="87"/>
      <c r="I998" s="87"/>
      <c r="J998" s="87"/>
      <c r="K998" s="88"/>
      <c r="L998" s="89"/>
      <c r="M998" s="90"/>
      <c r="N998" s="57"/>
      <c r="O998" s="57"/>
      <c r="P998" s="91"/>
    </row>
    <row r="999" spans="2:16" s="50" customFormat="1" ht="13.2">
      <c r="B999" s="86"/>
      <c r="C999" s="87"/>
      <c r="D999" s="87"/>
      <c r="E999" s="87"/>
      <c r="F999" s="87"/>
      <c r="G999" s="87"/>
      <c r="H999" s="87"/>
      <c r="I999" s="87"/>
      <c r="J999" s="87"/>
      <c r="K999" s="88"/>
      <c r="L999" s="89"/>
      <c r="M999" s="90"/>
      <c r="N999" s="57"/>
      <c r="O999" s="57"/>
      <c r="P999" s="91"/>
    </row>
    <row r="1000" spans="2:16" s="50" customFormat="1" ht="13.2">
      <c r="B1000" s="86"/>
      <c r="C1000" s="87"/>
      <c r="D1000" s="87"/>
      <c r="E1000" s="87"/>
      <c r="F1000" s="87"/>
      <c r="G1000" s="87"/>
      <c r="H1000" s="87"/>
      <c r="I1000" s="87"/>
      <c r="J1000" s="87"/>
      <c r="K1000" s="88"/>
      <c r="L1000" s="89"/>
      <c r="M1000" s="90"/>
      <c r="N1000" s="57"/>
      <c r="O1000" s="57"/>
      <c r="P1000" s="91"/>
    </row>
    <row r="1001" spans="2:16" s="50" customFormat="1" ht="13.2">
      <c r="B1001" s="86"/>
      <c r="C1001" s="87"/>
      <c r="D1001" s="87"/>
      <c r="E1001" s="87"/>
      <c r="F1001" s="87"/>
      <c r="G1001" s="87"/>
      <c r="H1001" s="87"/>
      <c r="I1001" s="87"/>
      <c r="J1001" s="87"/>
      <c r="K1001" s="88"/>
      <c r="L1001" s="89"/>
      <c r="M1001" s="90"/>
      <c r="N1001" s="57"/>
      <c r="O1001" s="57"/>
      <c r="P1001" s="91"/>
    </row>
    <row r="1002" spans="2:16" s="50" customFormat="1" ht="13.2">
      <c r="B1002" s="86"/>
      <c r="C1002" s="87"/>
      <c r="D1002" s="87"/>
      <c r="E1002" s="87"/>
      <c r="F1002" s="87"/>
      <c r="G1002" s="87"/>
      <c r="H1002" s="87"/>
      <c r="I1002" s="87"/>
      <c r="J1002" s="87"/>
      <c r="K1002" s="88"/>
      <c r="L1002" s="89"/>
      <c r="M1002" s="90"/>
      <c r="N1002" s="57"/>
      <c r="O1002" s="57"/>
      <c r="P1002" s="91"/>
    </row>
    <row r="1003" spans="2:16" s="50" customFormat="1" ht="13.2">
      <c r="B1003" s="86"/>
      <c r="C1003" s="87"/>
      <c r="D1003" s="87"/>
      <c r="E1003" s="87"/>
      <c r="F1003" s="87"/>
      <c r="G1003" s="87"/>
      <c r="H1003" s="87"/>
      <c r="I1003" s="87"/>
      <c r="J1003" s="87"/>
      <c r="K1003" s="88"/>
      <c r="L1003" s="89"/>
      <c r="M1003" s="90"/>
      <c r="N1003" s="57"/>
      <c r="O1003" s="57"/>
      <c r="P1003" s="91"/>
    </row>
    <row r="1004" spans="2:16" s="50" customFormat="1" ht="13.2">
      <c r="B1004" s="86"/>
      <c r="C1004" s="87"/>
      <c r="D1004" s="87"/>
      <c r="E1004" s="87"/>
      <c r="F1004" s="87"/>
      <c r="G1004" s="87"/>
      <c r="H1004" s="87"/>
      <c r="I1004" s="87"/>
      <c r="J1004" s="87"/>
      <c r="K1004" s="88"/>
      <c r="L1004" s="89"/>
      <c r="M1004" s="90"/>
      <c r="N1004" s="57"/>
      <c r="O1004" s="57"/>
      <c r="P1004" s="91"/>
    </row>
    <row r="1005" spans="2:16" s="50" customFormat="1" ht="13.2">
      <c r="B1005" s="86"/>
      <c r="C1005" s="87"/>
      <c r="D1005" s="87"/>
      <c r="E1005" s="87"/>
      <c r="F1005" s="87"/>
      <c r="G1005" s="87"/>
      <c r="H1005" s="87"/>
      <c r="I1005" s="87"/>
      <c r="J1005" s="87"/>
      <c r="K1005" s="88"/>
      <c r="L1005" s="89"/>
      <c r="M1005" s="90"/>
      <c r="N1005" s="57"/>
      <c r="O1005" s="57"/>
      <c r="P1005" s="91"/>
    </row>
    <row r="1006" spans="2:16" s="50" customFormat="1" ht="13.2">
      <c r="B1006" s="86"/>
      <c r="C1006" s="87"/>
      <c r="D1006" s="87"/>
      <c r="E1006" s="87"/>
      <c r="F1006" s="87"/>
      <c r="G1006" s="87"/>
      <c r="H1006" s="87"/>
      <c r="I1006" s="87"/>
      <c r="J1006" s="87"/>
      <c r="K1006" s="88"/>
      <c r="L1006" s="89"/>
      <c r="M1006" s="90"/>
      <c r="N1006" s="57"/>
      <c r="O1006" s="57"/>
      <c r="P1006" s="91"/>
    </row>
    <row r="1007" spans="2:16" s="50" customFormat="1" ht="13.2">
      <c r="B1007" s="86"/>
      <c r="C1007" s="87"/>
      <c r="D1007" s="87"/>
      <c r="E1007" s="87"/>
      <c r="F1007" s="87"/>
      <c r="G1007" s="87"/>
      <c r="H1007" s="87"/>
      <c r="I1007" s="87"/>
      <c r="J1007" s="87"/>
      <c r="K1007" s="88"/>
      <c r="L1007" s="89"/>
      <c r="M1007" s="90"/>
      <c r="N1007" s="57"/>
      <c r="O1007" s="57"/>
      <c r="P1007" s="91"/>
    </row>
    <row r="1008" spans="2:16" s="50" customFormat="1" ht="13.2">
      <c r="B1008" s="86"/>
      <c r="C1008" s="87"/>
      <c r="D1008" s="87"/>
      <c r="E1008" s="87"/>
      <c r="F1008" s="87"/>
      <c r="G1008" s="87"/>
      <c r="H1008" s="87"/>
      <c r="I1008" s="87"/>
      <c r="J1008" s="87"/>
      <c r="K1008" s="88"/>
      <c r="L1008" s="89"/>
      <c r="M1008" s="90"/>
      <c r="N1008" s="57"/>
      <c r="O1008" s="57"/>
      <c r="P1008" s="91"/>
    </row>
    <row r="1009" spans="2:16" s="50" customFormat="1" ht="13.2">
      <c r="B1009" s="86"/>
      <c r="C1009" s="87"/>
      <c r="D1009" s="87"/>
      <c r="E1009" s="87"/>
      <c r="F1009" s="87"/>
      <c r="G1009" s="87"/>
      <c r="H1009" s="87"/>
      <c r="I1009" s="87"/>
      <c r="J1009" s="87"/>
      <c r="K1009" s="88"/>
      <c r="L1009" s="89"/>
      <c r="M1009" s="90"/>
      <c r="N1009" s="57"/>
      <c r="O1009" s="57"/>
      <c r="P1009" s="91"/>
    </row>
    <row r="1010" spans="2:16" s="50" customFormat="1" ht="13.2">
      <c r="B1010" s="86"/>
      <c r="C1010" s="87"/>
      <c r="D1010" s="87"/>
      <c r="E1010" s="87"/>
      <c r="F1010" s="87"/>
      <c r="G1010" s="87"/>
      <c r="H1010" s="87"/>
      <c r="I1010" s="87"/>
      <c r="J1010" s="87"/>
      <c r="K1010" s="88"/>
      <c r="L1010" s="89"/>
      <c r="M1010" s="90"/>
      <c r="N1010" s="57"/>
      <c r="O1010" s="57"/>
      <c r="P1010" s="91"/>
    </row>
    <row r="1011" spans="2:16" s="50" customFormat="1" ht="13.2">
      <c r="B1011" s="86"/>
      <c r="C1011" s="87"/>
      <c r="D1011" s="87"/>
      <c r="E1011" s="87"/>
      <c r="F1011" s="87"/>
      <c r="G1011" s="87"/>
      <c r="H1011" s="87"/>
      <c r="I1011" s="87"/>
      <c r="J1011" s="87"/>
      <c r="K1011" s="88"/>
      <c r="L1011" s="89"/>
      <c r="M1011" s="90"/>
      <c r="N1011" s="57"/>
      <c r="O1011" s="57"/>
      <c r="P1011" s="91"/>
    </row>
    <row r="1012" spans="2:16" s="50" customFormat="1" ht="13.2">
      <c r="B1012" s="86"/>
      <c r="C1012" s="87"/>
      <c r="D1012" s="87"/>
      <c r="E1012" s="87"/>
      <c r="F1012" s="87"/>
      <c r="G1012" s="87"/>
      <c r="H1012" s="87"/>
      <c r="I1012" s="87"/>
      <c r="J1012" s="87"/>
      <c r="K1012" s="88"/>
      <c r="L1012" s="89"/>
      <c r="M1012" s="90"/>
      <c r="N1012" s="57"/>
      <c r="O1012" s="57"/>
      <c r="P1012" s="91"/>
    </row>
    <row r="1013" spans="2:16" s="50" customFormat="1" ht="13.2">
      <c r="B1013" s="86"/>
      <c r="C1013" s="87"/>
      <c r="D1013" s="87"/>
      <c r="E1013" s="87"/>
      <c r="F1013" s="87"/>
      <c r="G1013" s="87"/>
      <c r="H1013" s="87"/>
      <c r="I1013" s="87"/>
      <c r="J1013" s="87"/>
      <c r="K1013" s="88"/>
      <c r="L1013" s="89"/>
      <c r="M1013" s="90"/>
      <c r="N1013" s="57"/>
      <c r="O1013" s="57"/>
      <c r="P1013" s="91"/>
    </row>
    <row r="1014" spans="2:16" s="50" customFormat="1" ht="13.2">
      <c r="B1014" s="86"/>
      <c r="C1014" s="87"/>
      <c r="D1014" s="87"/>
      <c r="E1014" s="87"/>
      <c r="F1014" s="87"/>
      <c r="G1014" s="87"/>
      <c r="H1014" s="87"/>
      <c r="I1014" s="87"/>
      <c r="J1014" s="87"/>
      <c r="K1014" s="88"/>
      <c r="L1014" s="89"/>
      <c r="M1014" s="90"/>
      <c r="N1014" s="57"/>
      <c r="O1014" s="57"/>
      <c r="P1014" s="91"/>
    </row>
    <row r="1015" spans="2:16" s="50" customFormat="1" ht="13.2">
      <c r="B1015" s="86"/>
      <c r="C1015" s="87"/>
      <c r="D1015" s="87"/>
      <c r="E1015" s="87"/>
      <c r="F1015" s="87"/>
      <c r="G1015" s="87"/>
      <c r="H1015" s="87"/>
      <c r="I1015" s="87"/>
      <c r="J1015" s="87"/>
      <c r="K1015" s="88"/>
      <c r="L1015" s="89"/>
      <c r="M1015" s="90"/>
      <c r="N1015" s="57"/>
      <c r="O1015" s="57"/>
      <c r="P1015" s="91"/>
    </row>
    <row r="1016" spans="2:16" s="50" customFormat="1" ht="13.2">
      <c r="B1016" s="86"/>
      <c r="C1016" s="87"/>
      <c r="D1016" s="87"/>
      <c r="E1016" s="87"/>
      <c r="F1016" s="87"/>
      <c r="G1016" s="87"/>
      <c r="H1016" s="87"/>
      <c r="I1016" s="87"/>
      <c r="J1016" s="87"/>
      <c r="K1016" s="88"/>
      <c r="L1016" s="89"/>
      <c r="M1016" s="90"/>
      <c r="N1016" s="57"/>
      <c r="O1016" s="57"/>
      <c r="P1016" s="91"/>
    </row>
    <row r="1017" spans="2:16" s="50" customFormat="1" ht="13.2">
      <c r="B1017" s="86"/>
      <c r="C1017" s="87"/>
      <c r="D1017" s="87"/>
      <c r="E1017" s="87"/>
      <c r="F1017" s="87"/>
      <c r="G1017" s="87"/>
      <c r="H1017" s="87"/>
      <c r="I1017" s="87"/>
      <c r="J1017" s="87"/>
      <c r="K1017" s="88"/>
      <c r="L1017" s="89"/>
      <c r="M1017" s="90"/>
      <c r="N1017" s="57"/>
      <c r="O1017" s="57"/>
      <c r="P1017" s="91"/>
    </row>
    <row r="1018" spans="2:16" s="50" customFormat="1" ht="13.2">
      <c r="B1018" s="86"/>
      <c r="C1018" s="87"/>
      <c r="D1018" s="87"/>
      <c r="E1018" s="87"/>
      <c r="F1018" s="87"/>
      <c r="G1018" s="87"/>
      <c r="H1018" s="87"/>
      <c r="I1018" s="87"/>
      <c r="J1018" s="87"/>
      <c r="K1018" s="88"/>
      <c r="L1018" s="89"/>
      <c r="M1018" s="90"/>
      <c r="N1018" s="57"/>
      <c r="O1018" s="57"/>
      <c r="P1018" s="91"/>
    </row>
    <row r="1019" spans="2:16" s="50" customFormat="1" ht="13.2">
      <c r="B1019" s="86"/>
      <c r="C1019" s="87"/>
      <c r="D1019" s="87"/>
      <c r="E1019" s="87"/>
      <c r="F1019" s="87"/>
      <c r="G1019" s="87"/>
      <c r="H1019" s="87"/>
      <c r="I1019" s="87"/>
      <c r="J1019" s="87"/>
      <c r="K1019" s="88"/>
      <c r="L1019" s="89"/>
      <c r="M1019" s="90"/>
      <c r="N1019" s="57"/>
      <c r="O1019" s="57"/>
      <c r="P1019" s="91"/>
    </row>
    <row r="1020" spans="2:16" s="50" customFormat="1" ht="13.2">
      <c r="B1020" s="86"/>
      <c r="C1020" s="87"/>
      <c r="D1020" s="87"/>
      <c r="E1020" s="87"/>
      <c r="F1020" s="87"/>
      <c r="G1020" s="87"/>
      <c r="H1020" s="87"/>
      <c r="I1020" s="87"/>
      <c r="J1020" s="87"/>
      <c r="K1020" s="88"/>
      <c r="L1020" s="89"/>
      <c r="M1020" s="90"/>
      <c r="N1020" s="57"/>
      <c r="O1020" s="57"/>
      <c r="P1020" s="91"/>
    </row>
    <row r="1021" spans="2:16" s="50" customFormat="1" ht="13.2">
      <c r="B1021" s="86"/>
      <c r="C1021" s="87"/>
      <c r="D1021" s="87"/>
      <c r="E1021" s="87"/>
      <c r="F1021" s="87"/>
      <c r="G1021" s="87"/>
      <c r="H1021" s="87"/>
      <c r="I1021" s="87"/>
      <c r="J1021" s="87"/>
      <c r="K1021" s="88"/>
      <c r="L1021" s="89"/>
      <c r="M1021" s="90"/>
      <c r="N1021" s="57"/>
      <c r="O1021" s="57"/>
      <c r="P1021" s="91"/>
    </row>
    <row r="1022" spans="2:16" s="50" customFormat="1" ht="13.2">
      <c r="B1022" s="86"/>
      <c r="C1022" s="87"/>
      <c r="D1022" s="87"/>
      <c r="E1022" s="87"/>
      <c r="F1022" s="87"/>
      <c r="G1022" s="87"/>
      <c r="H1022" s="87"/>
      <c r="I1022" s="87"/>
      <c r="J1022" s="87"/>
      <c r="K1022" s="88"/>
      <c r="L1022" s="89"/>
      <c r="M1022" s="90"/>
      <c r="N1022" s="57"/>
      <c r="O1022" s="57"/>
      <c r="P1022" s="91"/>
    </row>
    <row r="1023" spans="2:16" s="50" customFormat="1" ht="13.2">
      <c r="B1023" s="86"/>
      <c r="C1023" s="87"/>
      <c r="D1023" s="87"/>
      <c r="E1023" s="87"/>
      <c r="F1023" s="87"/>
      <c r="G1023" s="87"/>
      <c r="H1023" s="87"/>
      <c r="I1023" s="87"/>
      <c r="J1023" s="87"/>
      <c r="K1023" s="88"/>
      <c r="L1023" s="89"/>
      <c r="M1023" s="90"/>
      <c r="N1023" s="57"/>
      <c r="O1023" s="57"/>
      <c r="P1023" s="91"/>
    </row>
    <row r="1024" spans="2:16" s="50" customFormat="1" ht="13.2">
      <c r="B1024" s="86"/>
      <c r="C1024" s="87"/>
      <c r="D1024" s="87"/>
      <c r="E1024" s="87"/>
      <c r="F1024" s="87"/>
      <c r="G1024" s="87"/>
      <c r="H1024" s="87"/>
      <c r="I1024" s="87"/>
      <c r="J1024" s="87"/>
      <c r="K1024" s="88"/>
      <c r="L1024" s="89"/>
      <c r="M1024" s="90"/>
      <c r="N1024" s="57"/>
      <c r="O1024" s="57"/>
      <c r="P1024" s="91"/>
    </row>
    <row r="1025" spans="2:16" s="50" customFormat="1" ht="13.2">
      <c r="B1025" s="86"/>
      <c r="C1025" s="87"/>
      <c r="D1025" s="87"/>
      <c r="E1025" s="87"/>
      <c r="F1025" s="87"/>
      <c r="G1025" s="87"/>
      <c r="H1025" s="87"/>
      <c r="I1025" s="87"/>
      <c r="J1025" s="87"/>
      <c r="K1025" s="88"/>
      <c r="L1025" s="89"/>
      <c r="M1025" s="90"/>
      <c r="N1025" s="57"/>
      <c r="O1025" s="57"/>
      <c r="P1025" s="91"/>
    </row>
    <row r="1026" spans="2:16" s="50" customFormat="1" ht="13.2">
      <c r="B1026" s="86"/>
      <c r="C1026" s="87"/>
      <c r="D1026" s="87"/>
      <c r="E1026" s="87"/>
      <c r="F1026" s="87"/>
      <c r="G1026" s="87"/>
      <c r="H1026" s="87"/>
      <c r="I1026" s="87"/>
      <c r="J1026" s="87"/>
      <c r="K1026" s="88"/>
      <c r="L1026" s="89"/>
      <c r="M1026" s="90"/>
      <c r="N1026" s="57"/>
      <c r="O1026" s="57"/>
      <c r="P1026" s="91"/>
    </row>
    <row r="1027" spans="2:16" s="50" customFormat="1" ht="13.2">
      <c r="B1027" s="86"/>
      <c r="C1027" s="87"/>
      <c r="D1027" s="87"/>
      <c r="E1027" s="87"/>
      <c r="F1027" s="87"/>
      <c r="G1027" s="87"/>
      <c r="H1027" s="87"/>
      <c r="I1027" s="87"/>
      <c r="J1027" s="87"/>
      <c r="K1027" s="88"/>
      <c r="L1027" s="89"/>
      <c r="M1027" s="90"/>
      <c r="N1027" s="57"/>
      <c r="O1027" s="57"/>
      <c r="P1027" s="91"/>
    </row>
    <row r="1028" spans="2:16" s="50" customFormat="1" ht="13.2">
      <c r="B1028" s="86"/>
      <c r="C1028" s="87"/>
      <c r="D1028" s="87"/>
      <c r="E1028" s="87"/>
      <c r="F1028" s="87"/>
      <c r="G1028" s="87"/>
      <c r="H1028" s="87"/>
      <c r="I1028" s="87"/>
      <c r="J1028" s="87"/>
      <c r="K1028" s="88"/>
      <c r="L1028" s="89"/>
      <c r="M1028" s="90"/>
      <c r="N1028" s="57"/>
      <c r="O1028" s="57"/>
      <c r="P1028" s="91"/>
    </row>
    <row r="1029" spans="2:16" s="50" customFormat="1" ht="13.2">
      <c r="B1029" s="86"/>
      <c r="C1029" s="87"/>
      <c r="D1029" s="87"/>
      <c r="E1029" s="87"/>
      <c r="F1029" s="87"/>
      <c r="G1029" s="87"/>
      <c r="H1029" s="87"/>
      <c r="I1029" s="87"/>
      <c r="J1029" s="87"/>
      <c r="K1029" s="88"/>
      <c r="L1029" s="89"/>
      <c r="M1029" s="90"/>
      <c r="N1029" s="57"/>
      <c r="O1029" s="57"/>
      <c r="P1029" s="91"/>
    </row>
    <row r="1030" spans="2:16" s="50" customFormat="1" ht="13.2">
      <c r="B1030" s="86"/>
      <c r="C1030" s="87"/>
      <c r="D1030" s="87"/>
      <c r="E1030" s="87"/>
      <c r="F1030" s="87"/>
      <c r="G1030" s="87"/>
      <c r="H1030" s="87"/>
      <c r="I1030" s="87"/>
      <c r="J1030" s="87"/>
      <c r="K1030" s="88"/>
      <c r="L1030" s="89"/>
      <c r="M1030" s="90"/>
      <c r="N1030" s="57"/>
      <c r="O1030" s="57"/>
      <c r="P1030" s="91"/>
    </row>
    <row r="1031" spans="2:16" s="50" customFormat="1" ht="13.2">
      <c r="B1031" s="86"/>
      <c r="C1031" s="87"/>
      <c r="D1031" s="87"/>
      <c r="E1031" s="87"/>
      <c r="F1031" s="87"/>
      <c r="G1031" s="87"/>
      <c r="H1031" s="87"/>
      <c r="I1031" s="87"/>
      <c r="J1031" s="87"/>
      <c r="K1031" s="88"/>
      <c r="L1031" s="89"/>
      <c r="M1031" s="90"/>
      <c r="N1031" s="57"/>
      <c r="O1031" s="57"/>
      <c r="P1031" s="91"/>
    </row>
    <row r="1032" spans="2:16" s="50" customFormat="1" ht="13.2">
      <c r="B1032" s="86"/>
      <c r="C1032" s="87"/>
      <c r="D1032" s="87"/>
      <c r="E1032" s="87"/>
      <c r="F1032" s="87"/>
      <c r="G1032" s="87"/>
      <c r="H1032" s="87"/>
      <c r="I1032" s="87"/>
      <c r="J1032" s="87"/>
      <c r="K1032" s="88"/>
      <c r="L1032" s="89"/>
      <c r="M1032" s="90"/>
      <c r="N1032" s="57"/>
      <c r="O1032" s="57"/>
      <c r="P1032" s="91"/>
    </row>
    <row r="1033" spans="2:16" s="50" customFormat="1" ht="13.2">
      <c r="B1033" s="86"/>
      <c r="C1033" s="87"/>
      <c r="D1033" s="87"/>
      <c r="E1033" s="87"/>
      <c r="F1033" s="87"/>
      <c r="G1033" s="87"/>
      <c r="H1033" s="87"/>
      <c r="I1033" s="87"/>
      <c r="J1033" s="87"/>
      <c r="K1033" s="88"/>
      <c r="L1033" s="89"/>
      <c r="M1033" s="90"/>
      <c r="N1033" s="57"/>
      <c r="O1033" s="57"/>
      <c r="P1033" s="91"/>
    </row>
    <row r="1034" spans="2:16" s="50" customFormat="1" ht="13.2">
      <c r="B1034" s="86"/>
      <c r="C1034" s="87"/>
      <c r="D1034" s="87"/>
      <c r="E1034" s="87"/>
      <c r="F1034" s="87"/>
      <c r="G1034" s="87"/>
      <c r="H1034" s="87"/>
      <c r="I1034" s="87"/>
      <c r="J1034" s="87"/>
      <c r="K1034" s="88"/>
      <c r="L1034" s="89"/>
      <c r="M1034" s="90"/>
      <c r="N1034" s="57"/>
      <c r="O1034" s="57"/>
      <c r="P1034" s="91"/>
    </row>
    <row r="1035" spans="2:16" s="50" customFormat="1" ht="13.2">
      <c r="B1035" s="86"/>
      <c r="C1035" s="87"/>
      <c r="D1035" s="87"/>
      <c r="E1035" s="87"/>
      <c r="F1035" s="87"/>
      <c r="G1035" s="87"/>
      <c r="H1035" s="87"/>
      <c r="I1035" s="87"/>
      <c r="J1035" s="87"/>
      <c r="K1035" s="88"/>
      <c r="L1035" s="89"/>
      <c r="M1035" s="90"/>
      <c r="N1035" s="57"/>
      <c r="O1035" s="57"/>
      <c r="P1035" s="91"/>
    </row>
    <row r="1036" spans="2:16" s="50" customFormat="1" ht="13.2">
      <c r="B1036" s="86"/>
      <c r="C1036" s="87"/>
      <c r="D1036" s="87"/>
      <c r="E1036" s="87"/>
      <c r="F1036" s="87"/>
      <c r="G1036" s="87"/>
      <c r="H1036" s="87"/>
      <c r="I1036" s="87"/>
      <c r="J1036" s="87"/>
      <c r="K1036" s="88"/>
      <c r="L1036" s="89"/>
      <c r="M1036" s="90"/>
      <c r="N1036" s="57"/>
      <c r="O1036" s="57"/>
      <c r="P1036" s="91"/>
    </row>
    <row r="1037" spans="2:16" s="50" customFormat="1" ht="13.2">
      <c r="B1037" s="86"/>
      <c r="C1037" s="87"/>
      <c r="D1037" s="87"/>
      <c r="E1037" s="87"/>
      <c r="F1037" s="87"/>
      <c r="G1037" s="87"/>
      <c r="H1037" s="87"/>
      <c r="I1037" s="87"/>
      <c r="J1037" s="87"/>
      <c r="K1037" s="88"/>
      <c r="L1037" s="89"/>
      <c r="M1037" s="90"/>
      <c r="N1037" s="57"/>
      <c r="O1037" s="57"/>
      <c r="P1037" s="91"/>
    </row>
    <row r="1038" spans="2:16" s="50" customFormat="1" ht="13.2">
      <c r="B1038" s="86"/>
      <c r="C1038" s="87"/>
      <c r="D1038" s="87"/>
      <c r="E1038" s="87"/>
      <c r="F1038" s="87"/>
      <c r="G1038" s="87"/>
      <c r="H1038" s="87"/>
      <c r="I1038" s="87"/>
      <c r="J1038" s="87"/>
      <c r="K1038" s="88"/>
      <c r="L1038" s="89"/>
      <c r="M1038" s="90"/>
      <c r="N1038" s="57"/>
      <c r="O1038" s="57"/>
      <c r="P1038" s="91"/>
    </row>
    <row r="1039" spans="2:16" s="50" customFormat="1" ht="13.2">
      <c r="B1039" s="86"/>
      <c r="C1039" s="87"/>
      <c r="D1039" s="87"/>
      <c r="E1039" s="87"/>
      <c r="F1039" s="87"/>
      <c r="G1039" s="87"/>
      <c r="H1039" s="87"/>
      <c r="I1039" s="87"/>
      <c r="J1039" s="87"/>
      <c r="K1039" s="88"/>
      <c r="L1039" s="89"/>
      <c r="M1039" s="90"/>
      <c r="N1039" s="57"/>
      <c r="O1039" s="57"/>
      <c r="P1039" s="91"/>
    </row>
    <row r="1040" spans="2:16" s="50" customFormat="1" ht="13.2">
      <c r="B1040" s="86"/>
      <c r="C1040" s="87"/>
      <c r="D1040" s="87"/>
      <c r="E1040" s="87"/>
      <c r="F1040" s="87"/>
      <c r="G1040" s="87"/>
      <c r="H1040" s="87"/>
      <c r="I1040" s="87"/>
      <c r="J1040" s="87"/>
      <c r="K1040" s="88"/>
      <c r="L1040" s="89"/>
      <c r="M1040" s="90"/>
      <c r="N1040" s="57"/>
      <c r="O1040" s="57"/>
      <c r="P1040" s="91"/>
    </row>
    <row r="1041" spans="2:16" s="50" customFormat="1" ht="13.2">
      <c r="B1041" s="86"/>
      <c r="C1041" s="87"/>
      <c r="D1041" s="87"/>
      <c r="E1041" s="87"/>
      <c r="F1041" s="87"/>
      <c r="G1041" s="87"/>
      <c r="H1041" s="87"/>
      <c r="I1041" s="87"/>
      <c r="J1041" s="87"/>
      <c r="K1041" s="88"/>
      <c r="L1041" s="89"/>
      <c r="M1041" s="90"/>
      <c r="N1041" s="57"/>
      <c r="O1041" s="57"/>
      <c r="P1041" s="91"/>
    </row>
    <row r="1042" spans="2:16" s="50" customFormat="1" ht="13.2">
      <c r="B1042" s="86"/>
      <c r="C1042" s="87"/>
      <c r="D1042" s="87"/>
      <c r="E1042" s="87"/>
      <c r="F1042" s="87"/>
      <c r="G1042" s="87"/>
      <c r="H1042" s="87"/>
      <c r="I1042" s="87"/>
      <c r="J1042" s="87"/>
      <c r="K1042" s="88"/>
      <c r="L1042" s="89"/>
      <c r="M1042" s="90"/>
      <c r="N1042" s="57"/>
      <c r="O1042" s="57"/>
      <c r="P1042" s="91"/>
    </row>
    <row r="1043" spans="2:16" s="50" customFormat="1" ht="13.2">
      <c r="B1043" s="86"/>
      <c r="C1043" s="87"/>
      <c r="D1043" s="87"/>
      <c r="E1043" s="87"/>
      <c r="F1043" s="87"/>
      <c r="G1043" s="87"/>
      <c r="H1043" s="87"/>
      <c r="I1043" s="87"/>
      <c r="J1043" s="87"/>
      <c r="K1043" s="88"/>
      <c r="L1043" s="89"/>
      <c r="M1043" s="90"/>
      <c r="N1043" s="57"/>
      <c r="O1043" s="57"/>
      <c r="P1043" s="91"/>
    </row>
    <row r="1044" spans="2:16" s="50" customFormat="1" ht="13.2">
      <c r="B1044" s="86"/>
      <c r="C1044" s="87"/>
      <c r="D1044" s="87"/>
      <c r="E1044" s="87"/>
      <c r="F1044" s="87"/>
      <c r="G1044" s="87"/>
      <c r="H1044" s="87"/>
      <c r="I1044" s="87"/>
      <c r="J1044" s="87"/>
      <c r="K1044" s="88"/>
      <c r="L1044" s="89"/>
      <c r="M1044" s="90"/>
      <c r="N1044" s="57"/>
      <c r="O1044" s="57"/>
      <c r="P1044" s="91"/>
    </row>
    <row r="1045" spans="2:16" s="50" customFormat="1" ht="13.2">
      <c r="B1045" s="86"/>
      <c r="C1045" s="87"/>
      <c r="D1045" s="87"/>
      <c r="E1045" s="87"/>
      <c r="F1045" s="87"/>
      <c r="G1045" s="87"/>
      <c r="H1045" s="87"/>
      <c r="I1045" s="87"/>
      <c r="J1045" s="87"/>
      <c r="K1045" s="88"/>
      <c r="L1045" s="89"/>
      <c r="M1045" s="90"/>
      <c r="N1045" s="57"/>
      <c r="O1045" s="57"/>
      <c r="P1045" s="91"/>
    </row>
    <row r="1046" spans="2:16" s="50" customFormat="1" ht="13.2">
      <c r="B1046" s="86"/>
      <c r="C1046" s="87"/>
      <c r="D1046" s="87"/>
      <c r="E1046" s="87"/>
      <c r="F1046" s="87"/>
      <c r="G1046" s="87"/>
      <c r="H1046" s="87"/>
      <c r="I1046" s="87"/>
      <c r="J1046" s="87"/>
      <c r="K1046" s="88"/>
      <c r="L1046" s="89"/>
      <c r="M1046" s="90"/>
      <c r="N1046" s="57"/>
      <c r="O1046" s="57"/>
      <c r="P1046" s="91"/>
    </row>
    <row r="1047" spans="2:16" s="50" customFormat="1" ht="13.2">
      <c r="B1047" s="86"/>
      <c r="C1047" s="87"/>
      <c r="D1047" s="87"/>
      <c r="E1047" s="87"/>
      <c r="F1047" s="87"/>
      <c r="G1047" s="87"/>
      <c r="H1047" s="87"/>
      <c r="I1047" s="87"/>
      <c r="J1047" s="87"/>
      <c r="K1047" s="88"/>
      <c r="L1047" s="89"/>
      <c r="M1047" s="90"/>
      <c r="N1047" s="57"/>
      <c r="O1047" s="57"/>
      <c r="P1047" s="91"/>
    </row>
    <row r="1048" spans="2:16" s="50" customFormat="1" ht="13.2">
      <c r="B1048" s="86"/>
      <c r="C1048" s="87"/>
      <c r="D1048" s="87"/>
      <c r="E1048" s="87"/>
      <c r="F1048" s="87"/>
      <c r="G1048" s="87"/>
      <c r="H1048" s="87"/>
      <c r="I1048" s="87"/>
      <c r="J1048" s="87"/>
      <c r="K1048" s="88"/>
      <c r="L1048" s="89"/>
      <c r="M1048" s="90"/>
      <c r="N1048" s="57"/>
      <c r="O1048" s="57"/>
      <c r="P1048" s="91"/>
    </row>
    <row r="1049" spans="2:16" s="50" customFormat="1" ht="13.2">
      <c r="B1049" s="86"/>
      <c r="C1049" s="87"/>
      <c r="D1049" s="87"/>
      <c r="E1049" s="87"/>
      <c r="F1049" s="87"/>
      <c r="G1049" s="87"/>
      <c r="H1049" s="87"/>
      <c r="I1049" s="87"/>
      <c r="J1049" s="87"/>
      <c r="K1049" s="88"/>
      <c r="L1049" s="89"/>
      <c r="M1049" s="90"/>
      <c r="N1049" s="57"/>
      <c r="O1049" s="57"/>
      <c r="P1049" s="91"/>
    </row>
    <row r="1050" spans="2:16" s="50" customFormat="1" ht="13.2">
      <c r="B1050" s="86"/>
      <c r="C1050" s="87"/>
      <c r="D1050" s="87"/>
      <c r="E1050" s="87"/>
      <c r="F1050" s="87"/>
      <c r="G1050" s="87"/>
      <c r="H1050" s="87"/>
      <c r="I1050" s="87"/>
      <c r="J1050" s="87"/>
      <c r="K1050" s="88"/>
      <c r="L1050" s="89"/>
      <c r="M1050" s="90"/>
      <c r="N1050" s="57"/>
      <c r="O1050" s="57"/>
      <c r="P1050" s="91"/>
    </row>
    <row r="1051" spans="2:16" s="50" customFormat="1" ht="13.2">
      <c r="B1051" s="86"/>
      <c r="C1051" s="87"/>
      <c r="D1051" s="87"/>
      <c r="E1051" s="87"/>
      <c r="F1051" s="87"/>
      <c r="G1051" s="87"/>
      <c r="H1051" s="87"/>
      <c r="I1051" s="87"/>
      <c r="J1051" s="87"/>
      <c r="K1051" s="88"/>
      <c r="L1051" s="89"/>
      <c r="M1051" s="90"/>
      <c r="N1051" s="57"/>
      <c r="O1051" s="57"/>
      <c r="P1051" s="91"/>
    </row>
    <row r="1052" spans="2:16" s="50" customFormat="1" ht="13.2">
      <c r="B1052" s="86"/>
      <c r="C1052" s="87"/>
      <c r="D1052" s="87"/>
      <c r="E1052" s="87"/>
      <c r="F1052" s="87"/>
      <c r="G1052" s="87"/>
      <c r="H1052" s="87"/>
      <c r="I1052" s="87"/>
      <c r="J1052" s="87"/>
      <c r="K1052" s="88"/>
      <c r="L1052" s="89"/>
      <c r="M1052" s="90"/>
      <c r="N1052" s="57"/>
      <c r="O1052" s="57"/>
      <c r="P1052" s="91"/>
    </row>
    <row r="1053" spans="2:16" s="50" customFormat="1" ht="13.2">
      <c r="B1053" s="86"/>
      <c r="C1053" s="87"/>
      <c r="D1053" s="87"/>
      <c r="E1053" s="87"/>
      <c r="F1053" s="87"/>
      <c r="G1053" s="87"/>
      <c r="H1053" s="87"/>
      <c r="I1053" s="87"/>
      <c r="J1053" s="87"/>
      <c r="K1053" s="88"/>
      <c r="L1053" s="89"/>
      <c r="M1053" s="90"/>
      <c r="N1053" s="57"/>
      <c r="O1053" s="57"/>
      <c r="P1053" s="91"/>
    </row>
    <row r="1054" spans="2:16" s="50" customFormat="1" ht="13.2">
      <c r="B1054" s="86"/>
      <c r="C1054" s="87"/>
      <c r="D1054" s="87"/>
      <c r="E1054" s="87"/>
      <c r="F1054" s="87"/>
      <c r="G1054" s="87"/>
      <c r="H1054" s="87"/>
      <c r="I1054" s="87"/>
      <c r="J1054" s="87"/>
      <c r="K1054" s="88"/>
      <c r="L1054" s="89"/>
      <c r="M1054" s="90"/>
      <c r="N1054" s="57"/>
      <c r="O1054" s="57"/>
      <c r="P1054" s="91"/>
    </row>
    <row r="1055" spans="2:16" s="50" customFormat="1" ht="13.2">
      <c r="B1055" s="86"/>
      <c r="C1055" s="87"/>
      <c r="D1055" s="87"/>
      <c r="E1055" s="87"/>
      <c r="F1055" s="87"/>
      <c r="G1055" s="87"/>
      <c r="H1055" s="87"/>
      <c r="I1055" s="87"/>
      <c r="J1055" s="87"/>
      <c r="K1055" s="88"/>
      <c r="L1055" s="89"/>
      <c r="M1055" s="90"/>
      <c r="N1055" s="57"/>
      <c r="O1055" s="57"/>
      <c r="P1055" s="91"/>
    </row>
    <row r="1056" spans="2:16" s="50" customFormat="1" ht="13.2">
      <c r="B1056" s="86"/>
      <c r="C1056" s="87"/>
      <c r="D1056" s="87"/>
      <c r="E1056" s="87"/>
      <c r="F1056" s="87"/>
      <c r="G1056" s="87"/>
      <c r="H1056" s="87"/>
      <c r="I1056" s="87"/>
      <c r="J1056" s="87"/>
      <c r="K1056" s="88"/>
      <c r="L1056" s="89"/>
      <c r="M1056" s="90"/>
      <c r="N1056" s="57"/>
      <c r="O1056" s="57"/>
      <c r="P1056" s="91"/>
    </row>
    <row r="1057" spans="2:16" s="50" customFormat="1" ht="13.2">
      <c r="B1057" s="86"/>
      <c r="C1057" s="87"/>
      <c r="D1057" s="87"/>
      <c r="E1057" s="87"/>
      <c r="F1057" s="87"/>
      <c r="G1057" s="87"/>
      <c r="H1057" s="87"/>
      <c r="I1057" s="87"/>
      <c r="J1057" s="87"/>
      <c r="K1057" s="88"/>
      <c r="L1057" s="89"/>
      <c r="M1057" s="90"/>
      <c r="N1057" s="57"/>
      <c r="O1057" s="57"/>
      <c r="P1057" s="91"/>
    </row>
    <row r="1058" spans="2:16" s="50" customFormat="1" ht="13.2">
      <c r="B1058" s="86"/>
      <c r="C1058" s="87"/>
      <c r="D1058" s="87"/>
      <c r="E1058" s="87"/>
      <c r="F1058" s="87"/>
      <c r="G1058" s="87"/>
      <c r="H1058" s="87"/>
      <c r="I1058" s="87"/>
      <c r="J1058" s="87"/>
      <c r="K1058" s="88"/>
      <c r="L1058" s="89"/>
      <c r="M1058" s="90"/>
      <c r="N1058" s="57"/>
      <c r="O1058" s="57"/>
      <c r="P1058" s="91"/>
    </row>
    <row r="1059" spans="2:16" s="50" customFormat="1" ht="13.2">
      <c r="B1059" s="86"/>
      <c r="C1059" s="87"/>
      <c r="D1059" s="87"/>
      <c r="E1059" s="87"/>
      <c r="F1059" s="87"/>
      <c r="G1059" s="87"/>
      <c r="H1059" s="87"/>
      <c r="I1059" s="87"/>
      <c r="J1059" s="87"/>
      <c r="K1059" s="88"/>
      <c r="L1059" s="89"/>
      <c r="M1059" s="90"/>
      <c r="N1059" s="57"/>
      <c r="O1059" s="57"/>
      <c r="P1059" s="91"/>
    </row>
    <row r="1060" spans="2:16" s="50" customFormat="1" ht="13.2">
      <c r="B1060" s="86"/>
      <c r="C1060" s="87"/>
      <c r="D1060" s="87"/>
      <c r="E1060" s="87"/>
      <c r="F1060" s="87"/>
      <c r="G1060" s="87"/>
      <c r="H1060" s="87"/>
      <c r="I1060" s="87"/>
      <c r="J1060" s="87"/>
      <c r="K1060" s="88"/>
      <c r="L1060" s="89"/>
      <c r="M1060" s="90"/>
      <c r="N1060" s="57"/>
      <c r="O1060" s="57"/>
      <c r="P1060" s="91"/>
    </row>
    <row r="1061" spans="2:16" s="50" customFormat="1" ht="13.2">
      <c r="B1061" s="86"/>
      <c r="C1061" s="87"/>
      <c r="D1061" s="87"/>
      <c r="E1061" s="87"/>
      <c r="F1061" s="87"/>
      <c r="G1061" s="87"/>
      <c r="H1061" s="87"/>
      <c r="I1061" s="87"/>
      <c r="J1061" s="87"/>
      <c r="K1061" s="88"/>
      <c r="L1061" s="89"/>
      <c r="M1061" s="90"/>
      <c r="N1061" s="57"/>
      <c r="O1061" s="57"/>
      <c r="P1061" s="91"/>
    </row>
    <row r="1062" spans="2:16" s="50" customFormat="1" ht="13.2">
      <c r="B1062" s="86"/>
      <c r="C1062" s="87"/>
      <c r="D1062" s="87"/>
      <c r="E1062" s="87"/>
      <c r="F1062" s="87"/>
      <c r="G1062" s="87"/>
      <c r="H1062" s="87"/>
      <c r="I1062" s="87"/>
      <c r="J1062" s="87"/>
      <c r="K1062" s="88"/>
      <c r="L1062" s="89"/>
      <c r="M1062" s="90"/>
      <c r="N1062" s="57"/>
      <c r="O1062" s="57"/>
      <c r="P1062" s="91"/>
    </row>
    <row r="1063" spans="2:16" s="50" customFormat="1" ht="13.2">
      <c r="B1063" s="86"/>
      <c r="C1063" s="87"/>
      <c r="D1063" s="87"/>
      <c r="E1063" s="87"/>
      <c r="F1063" s="87"/>
      <c r="G1063" s="87"/>
      <c r="H1063" s="87"/>
      <c r="I1063" s="87"/>
      <c r="J1063" s="87"/>
      <c r="K1063" s="88"/>
      <c r="L1063" s="89"/>
      <c r="M1063" s="90"/>
      <c r="N1063" s="57"/>
      <c r="O1063" s="57"/>
      <c r="P1063" s="91"/>
    </row>
    <row r="1064" spans="2:16" s="50" customFormat="1" ht="13.2">
      <c r="B1064" s="86"/>
      <c r="C1064" s="87"/>
      <c r="D1064" s="87"/>
      <c r="E1064" s="87"/>
      <c r="F1064" s="87"/>
      <c r="G1064" s="87"/>
      <c r="H1064" s="87"/>
      <c r="I1064" s="87"/>
      <c r="J1064" s="87"/>
      <c r="K1064" s="88"/>
      <c r="L1064" s="89"/>
      <c r="M1064" s="90"/>
      <c r="N1064" s="57"/>
      <c r="O1064" s="57"/>
      <c r="P1064" s="91"/>
    </row>
    <row r="1065" spans="2:16" s="50" customFormat="1" ht="13.2">
      <c r="B1065" s="86"/>
      <c r="C1065" s="87"/>
      <c r="D1065" s="87"/>
      <c r="E1065" s="87"/>
      <c r="F1065" s="87"/>
      <c r="G1065" s="87"/>
      <c r="H1065" s="87"/>
      <c r="I1065" s="87"/>
      <c r="J1065" s="87"/>
      <c r="K1065" s="88"/>
      <c r="L1065" s="89"/>
      <c r="M1065" s="90"/>
      <c r="N1065" s="57"/>
      <c r="O1065" s="57"/>
      <c r="P1065" s="91"/>
    </row>
    <row r="1066" spans="2:16" s="50" customFormat="1" ht="13.2">
      <c r="B1066" s="86"/>
      <c r="C1066" s="87"/>
      <c r="D1066" s="87"/>
      <c r="E1066" s="87"/>
      <c r="F1066" s="87"/>
      <c r="G1066" s="87"/>
      <c r="H1066" s="87"/>
      <c r="I1066" s="87"/>
      <c r="J1066" s="87"/>
      <c r="K1066" s="88"/>
      <c r="L1066" s="89"/>
      <c r="M1066" s="90"/>
      <c r="N1066" s="57"/>
      <c r="O1066" s="57"/>
      <c r="P1066" s="91"/>
    </row>
    <row r="1067" spans="2:16" s="50" customFormat="1" ht="13.2">
      <c r="B1067" s="86"/>
      <c r="C1067" s="87"/>
      <c r="D1067" s="87"/>
      <c r="E1067" s="87"/>
      <c r="F1067" s="87"/>
      <c r="G1067" s="87"/>
      <c r="H1067" s="87"/>
      <c r="I1067" s="87"/>
      <c r="J1067" s="87"/>
      <c r="K1067" s="88"/>
      <c r="L1067" s="89"/>
      <c r="M1067" s="90"/>
      <c r="N1067" s="57"/>
      <c r="O1067" s="57"/>
      <c r="P1067" s="91"/>
    </row>
    <row r="1068" spans="2:16" s="50" customFormat="1" ht="13.2">
      <c r="B1068" s="86"/>
      <c r="C1068" s="87"/>
      <c r="D1068" s="87"/>
      <c r="E1068" s="87"/>
      <c r="F1068" s="87"/>
      <c r="G1068" s="87"/>
      <c r="H1068" s="87"/>
      <c r="I1068" s="87"/>
      <c r="J1068" s="87"/>
      <c r="K1068" s="88"/>
      <c r="L1068" s="89"/>
      <c r="M1068" s="90"/>
      <c r="N1068" s="57"/>
      <c r="O1068" s="57"/>
      <c r="P1068" s="91"/>
    </row>
    <row r="1069" spans="2:16" s="50" customFormat="1" ht="13.2">
      <c r="B1069" s="86"/>
      <c r="C1069" s="87"/>
      <c r="D1069" s="87"/>
      <c r="E1069" s="87"/>
      <c r="F1069" s="87"/>
      <c r="G1069" s="87"/>
      <c r="H1069" s="87"/>
      <c r="I1069" s="87"/>
      <c r="J1069" s="87"/>
      <c r="K1069" s="88"/>
      <c r="L1069" s="89"/>
      <c r="M1069" s="90"/>
      <c r="N1069" s="57"/>
      <c r="O1069" s="57"/>
      <c r="P1069" s="91"/>
    </row>
    <row r="1070" spans="2:16" s="50" customFormat="1" ht="13.2">
      <c r="B1070" s="86"/>
      <c r="C1070" s="87"/>
      <c r="D1070" s="87"/>
      <c r="E1070" s="87"/>
      <c r="F1070" s="87"/>
      <c r="G1070" s="87"/>
      <c r="H1070" s="87"/>
      <c r="I1070" s="87"/>
      <c r="J1070" s="87"/>
      <c r="K1070" s="88"/>
      <c r="L1070" s="89"/>
      <c r="M1070" s="90"/>
      <c r="N1070" s="57"/>
      <c r="O1070" s="57"/>
      <c r="P1070" s="91"/>
    </row>
    <row r="1071" spans="2:16" s="50" customFormat="1" ht="13.2">
      <c r="B1071" s="86"/>
      <c r="C1071" s="87"/>
      <c r="D1071" s="87"/>
      <c r="E1071" s="87"/>
      <c r="F1071" s="87"/>
      <c r="G1071" s="87"/>
      <c r="H1071" s="87"/>
      <c r="I1071" s="87"/>
      <c r="J1071" s="87"/>
      <c r="K1071" s="88"/>
      <c r="L1071" s="89"/>
      <c r="M1071" s="90"/>
      <c r="N1071" s="57"/>
      <c r="O1071" s="57"/>
      <c r="P1071" s="91"/>
    </row>
    <row r="1072" spans="2:16" s="50" customFormat="1" ht="13.2">
      <c r="B1072" s="86"/>
      <c r="C1072" s="87"/>
      <c r="D1072" s="87"/>
      <c r="E1072" s="87"/>
      <c r="F1072" s="87"/>
      <c r="G1072" s="87"/>
      <c r="H1072" s="87"/>
      <c r="I1072" s="87"/>
      <c r="J1072" s="87"/>
      <c r="K1072" s="88"/>
      <c r="L1072" s="89"/>
      <c r="M1072" s="90"/>
      <c r="N1072" s="57"/>
      <c r="O1072" s="57"/>
      <c r="P1072" s="91"/>
    </row>
    <row r="1073" spans="2:16" s="50" customFormat="1" ht="13.2">
      <c r="B1073" s="86"/>
      <c r="C1073" s="87"/>
      <c r="D1073" s="87"/>
      <c r="E1073" s="87"/>
      <c r="F1073" s="87"/>
      <c r="G1073" s="87"/>
      <c r="H1073" s="87"/>
      <c r="I1073" s="87"/>
      <c r="J1073" s="87"/>
      <c r="K1073" s="88"/>
      <c r="L1073" s="89"/>
      <c r="M1073" s="90"/>
      <c r="N1073" s="57"/>
      <c r="O1073" s="57"/>
      <c r="P1073" s="91"/>
    </row>
    <row r="1074" spans="2:16" s="50" customFormat="1" ht="13.2">
      <c r="B1074" s="86"/>
      <c r="C1074" s="87"/>
      <c r="D1074" s="87"/>
      <c r="E1074" s="87"/>
      <c r="F1074" s="87"/>
      <c r="G1074" s="87"/>
      <c r="H1074" s="87"/>
      <c r="I1074" s="87"/>
      <c r="J1074" s="87"/>
      <c r="K1074" s="88"/>
      <c r="L1074" s="89"/>
      <c r="M1074" s="90"/>
      <c r="N1074" s="57"/>
      <c r="O1074" s="57"/>
      <c r="P1074" s="91"/>
    </row>
    <row r="1075" spans="2:16" s="50" customFormat="1" ht="13.2">
      <c r="B1075" s="86"/>
      <c r="C1075" s="87"/>
      <c r="D1075" s="87"/>
      <c r="E1075" s="87"/>
      <c r="F1075" s="87"/>
      <c r="G1075" s="87"/>
      <c r="H1075" s="87"/>
      <c r="I1075" s="87"/>
      <c r="J1075" s="87"/>
      <c r="K1075" s="88"/>
      <c r="L1075" s="89"/>
      <c r="M1075" s="90"/>
      <c r="N1075" s="57"/>
      <c r="O1075" s="57"/>
      <c r="P1075" s="91"/>
    </row>
    <row r="1076" spans="2:16" s="50" customFormat="1" ht="13.2">
      <c r="B1076" s="86"/>
      <c r="C1076" s="87"/>
      <c r="D1076" s="87"/>
      <c r="E1076" s="87"/>
      <c r="F1076" s="87"/>
      <c r="G1076" s="87"/>
      <c r="H1076" s="87"/>
      <c r="I1076" s="87"/>
      <c r="J1076" s="87"/>
      <c r="K1076" s="88"/>
      <c r="L1076" s="89"/>
      <c r="M1076" s="90"/>
      <c r="N1076" s="57"/>
      <c r="O1076" s="57"/>
      <c r="P1076" s="91"/>
    </row>
    <row r="1077" spans="2:16" s="50" customFormat="1" ht="13.2">
      <c r="B1077" s="86"/>
      <c r="C1077" s="87"/>
      <c r="D1077" s="87"/>
      <c r="E1077" s="87"/>
      <c r="F1077" s="87"/>
      <c r="G1077" s="87"/>
      <c r="H1077" s="87"/>
      <c r="I1077" s="87"/>
      <c r="J1077" s="87"/>
      <c r="K1077" s="88"/>
      <c r="L1077" s="89"/>
      <c r="M1077" s="90"/>
      <c r="N1077" s="57"/>
      <c r="O1077" s="57"/>
      <c r="P1077" s="91"/>
    </row>
    <row r="1078" spans="2:16" s="50" customFormat="1" ht="13.2">
      <c r="B1078" s="86"/>
      <c r="C1078" s="87"/>
      <c r="D1078" s="87"/>
      <c r="E1078" s="87"/>
      <c r="F1078" s="87"/>
      <c r="G1078" s="87"/>
      <c r="H1078" s="87"/>
      <c r="I1078" s="87"/>
      <c r="J1078" s="87"/>
      <c r="K1078" s="88"/>
      <c r="L1078" s="89"/>
      <c r="M1078" s="90"/>
      <c r="N1078" s="57"/>
      <c r="O1078" s="57"/>
      <c r="P1078" s="91"/>
    </row>
    <row r="1079" spans="2:16" s="50" customFormat="1" ht="13.2">
      <c r="B1079" s="86"/>
      <c r="C1079" s="87"/>
      <c r="D1079" s="87"/>
      <c r="E1079" s="87"/>
      <c r="F1079" s="87"/>
      <c r="G1079" s="87"/>
      <c r="H1079" s="87"/>
      <c r="I1079" s="87"/>
      <c r="J1079" s="87"/>
      <c r="K1079" s="88"/>
      <c r="L1079" s="89"/>
      <c r="M1079" s="90"/>
      <c r="N1079" s="57"/>
      <c r="O1079" s="57"/>
      <c r="P1079" s="91"/>
    </row>
    <row r="1080" spans="2:16" s="50" customFormat="1" ht="13.2">
      <c r="B1080" s="86"/>
      <c r="C1080" s="87"/>
      <c r="D1080" s="87"/>
      <c r="E1080" s="87"/>
      <c r="F1080" s="87"/>
      <c r="G1080" s="87"/>
      <c r="H1080" s="87"/>
      <c r="I1080" s="87"/>
      <c r="J1080" s="87"/>
      <c r="K1080" s="88"/>
      <c r="L1080" s="89"/>
      <c r="M1080" s="90"/>
      <c r="N1080" s="57"/>
      <c r="O1080" s="57"/>
      <c r="P1080" s="91"/>
    </row>
    <row r="1081" spans="2:16" s="50" customFormat="1" ht="13.2">
      <c r="B1081" s="86"/>
      <c r="C1081" s="87"/>
      <c r="D1081" s="87"/>
      <c r="E1081" s="87"/>
      <c r="F1081" s="87"/>
      <c r="G1081" s="87"/>
      <c r="H1081" s="87"/>
      <c r="I1081" s="87"/>
      <c r="J1081" s="87"/>
      <c r="K1081" s="88"/>
      <c r="L1081" s="89"/>
      <c r="M1081" s="90"/>
      <c r="N1081" s="57"/>
      <c r="O1081" s="57"/>
      <c r="P1081" s="91"/>
    </row>
    <row r="1082" spans="2:16" s="50" customFormat="1" ht="13.2">
      <c r="B1082" s="86"/>
      <c r="C1082" s="87"/>
      <c r="D1082" s="87"/>
      <c r="E1082" s="87"/>
      <c r="F1082" s="87"/>
      <c r="G1082" s="87"/>
      <c r="H1082" s="87"/>
      <c r="I1082" s="87"/>
      <c r="J1082" s="87"/>
      <c r="K1082" s="88"/>
      <c r="L1082" s="89"/>
      <c r="M1082" s="90"/>
      <c r="N1082" s="57"/>
      <c r="O1082" s="57"/>
      <c r="P1082" s="91"/>
    </row>
    <row r="1083" spans="2:16" s="50" customFormat="1" ht="13.2">
      <c r="B1083" s="86"/>
      <c r="C1083" s="87"/>
      <c r="D1083" s="87"/>
      <c r="E1083" s="87"/>
      <c r="F1083" s="87"/>
      <c r="G1083" s="87"/>
      <c r="H1083" s="87"/>
      <c r="I1083" s="87"/>
      <c r="J1083" s="87"/>
      <c r="K1083" s="88"/>
      <c r="L1083" s="89"/>
      <c r="M1083" s="90"/>
      <c r="N1083" s="57"/>
      <c r="O1083" s="57"/>
      <c r="P1083" s="91"/>
    </row>
    <row r="1084" spans="2:16" s="50" customFormat="1" ht="13.2">
      <c r="B1084" s="86"/>
      <c r="C1084" s="87"/>
      <c r="D1084" s="87"/>
      <c r="E1084" s="87"/>
      <c r="F1084" s="87"/>
      <c r="G1084" s="87"/>
      <c r="H1084" s="87"/>
      <c r="I1084" s="87"/>
      <c r="J1084" s="87"/>
      <c r="K1084" s="88"/>
      <c r="L1084" s="89"/>
      <c r="M1084" s="90"/>
      <c r="N1084" s="57"/>
      <c r="O1084" s="57"/>
      <c r="P1084" s="91"/>
    </row>
    <row r="1085" spans="2:16" s="50" customFormat="1" ht="13.2">
      <c r="B1085" s="86"/>
      <c r="C1085" s="87"/>
      <c r="D1085" s="87"/>
      <c r="E1085" s="87"/>
      <c r="F1085" s="87"/>
      <c r="G1085" s="87"/>
      <c r="H1085" s="87"/>
      <c r="I1085" s="87"/>
      <c r="J1085" s="87"/>
      <c r="K1085" s="88"/>
      <c r="L1085" s="89"/>
      <c r="M1085" s="90"/>
      <c r="N1085" s="57"/>
      <c r="O1085" s="57"/>
      <c r="P1085" s="91"/>
    </row>
    <row r="1086" spans="2:16" s="50" customFormat="1" ht="13.2">
      <c r="B1086" s="86"/>
      <c r="C1086" s="87"/>
      <c r="D1086" s="87"/>
      <c r="E1086" s="87"/>
      <c r="F1086" s="87"/>
      <c r="G1086" s="87"/>
      <c r="H1086" s="87"/>
      <c r="I1086" s="87"/>
      <c r="J1086" s="87"/>
      <c r="K1086" s="88"/>
      <c r="L1086" s="89"/>
      <c r="M1086" s="90"/>
      <c r="N1086" s="57"/>
      <c r="O1086" s="57"/>
      <c r="P1086" s="91"/>
    </row>
    <row r="1087" spans="2:16" s="50" customFormat="1" ht="13.2">
      <c r="B1087" s="86"/>
      <c r="C1087" s="87"/>
      <c r="D1087" s="87"/>
      <c r="E1087" s="87"/>
      <c r="F1087" s="87"/>
      <c r="G1087" s="87"/>
      <c r="H1087" s="87"/>
      <c r="I1087" s="87"/>
      <c r="J1087" s="87"/>
      <c r="K1087" s="88"/>
      <c r="L1087" s="89"/>
      <c r="M1087" s="90"/>
      <c r="N1087" s="57"/>
      <c r="O1087" s="57"/>
      <c r="P1087" s="91"/>
    </row>
    <row r="1088" spans="2:16" s="50" customFormat="1" ht="13.2">
      <c r="B1088" s="86"/>
      <c r="C1088" s="87"/>
      <c r="D1088" s="87"/>
      <c r="E1088" s="87"/>
      <c r="F1088" s="87"/>
      <c r="G1088" s="87"/>
      <c r="H1088" s="87"/>
      <c r="I1088" s="87"/>
      <c r="J1088" s="87"/>
      <c r="K1088" s="88"/>
      <c r="L1088" s="89"/>
      <c r="M1088" s="90"/>
      <c r="N1088" s="57"/>
      <c r="O1088" s="57"/>
      <c r="P1088" s="91"/>
    </row>
    <row r="1089" spans="2:16" s="50" customFormat="1" ht="13.2">
      <c r="B1089" s="86"/>
      <c r="C1089" s="87"/>
      <c r="D1089" s="87"/>
      <c r="E1089" s="87"/>
      <c r="F1089" s="87"/>
      <c r="G1089" s="87"/>
      <c r="H1089" s="87"/>
      <c r="I1089" s="87"/>
      <c r="J1089" s="87"/>
      <c r="K1089" s="88"/>
      <c r="L1089" s="89"/>
      <c r="M1089" s="90"/>
      <c r="N1089" s="57"/>
      <c r="O1089" s="57"/>
      <c r="P1089" s="91"/>
    </row>
    <row r="1090" spans="2:16" s="50" customFormat="1" ht="13.2">
      <c r="B1090" s="86"/>
      <c r="C1090" s="87"/>
      <c r="D1090" s="87"/>
      <c r="E1090" s="87"/>
      <c r="F1090" s="87"/>
      <c r="G1090" s="87"/>
      <c r="H1090" s="87"/>
      <c r="I1090" s="87"/>
      <c r="J1090" s="87"/>
      <c r="K1090" s="88"/>
      <c r="L1090" s="89"/>
      <c r="M1090" s="90"/>
      <c r="N1090" s="57"/>
      <c r="O1090" s="57"/>
      <c r="P1090" s="91"/>
    </row>
    <row r="1091" spans="2:16" s="50" customFormat="1" ht="13.2">
      <c r="B1091" s="86"/>
      <c r="C1091" s="87"/>
      <c r="D1091" s="87"/>
      <c r="E1091" s="87"/>
      <c r="F1091" s="87"/>
      <c r="G1091" s="87"/>
      <c r="H1091" s="87"/>
      <c r="I1091" s="87"/>
      <c r="J1091" s="87"/>
      <c r="K1091" s="88"/>
      <c r="L1091" s="89"/>
      <c r="M1091" s="90"/>
      <c r="N1091" s="57"/>
      <c r="O1091" s="57"/>
      <c r="P1091" s="91"/>
    </row>
    <row r="1092" spans="2:16" s="50" customFormat="1" ht="13.2">
      <c r="B1092" s="86"/>
      <c r="C1092" s="87"/>
      <c r="D1092" s="87"/>
      <c r="E1092" s="87"/>
      <c r="F1092" s="87"/>
      <c r="G1092" s="87"/>
      <c r="H1092" s="87"/>
      <c r="I1092" s="87"/>
      <c r="J1092" s="87"/>
      <c r="K1092" s="88"/>
      <c r="L1092" s="89"/>
      <c r="M1092" s="90"/>
      <c r="N1092" s="57"/>
      <c r="O1092" s="57"/>
      <c r="P1092" s="91"/>
    </row>
    <row r="1093" spans="2:16" s="50" customFormat="1" ht="13.2">
      <c r="B1093" s="86"/>
      <c r="C1093" s="87"/>
      <c r="D1093" s="87"/>
      <c r="E1093" s="87"/>
      <c r="F1093" s="87"/>
      <c r="G1093" s="87"/>
      <c r="H1093" s="87"/>
      <c r="I1093" s="87"/>
      <c r="J1093" s="87"/>
      <c r="K1093" s="88"/>
      <c r="L1093" s="89"/>
      <c r="M1093" s="90"/>
      <c r="N1093" s="57"/>
      <c r="O1093" s="57"/>
      <c r="P1093" s="91"/>
    </row>
    <row r="1094" spans="2:16" s="50" customFormat="1" ht="13.2">
      <c r="B1094" s="86"/>
      <c r="C1094" s="87"/>
      <c r="D1094" s="87"/>
      <c r="E1094" s="87"/>
      <c r="F1094" s="87"/>
      <c r="G1094" s="87"/>
      <c r="H1094" s="87"/>
      <c r="I1094" s="87"/>
      <c r="J1094" s="87"/>
      <c r="K1094" s="88"/>
      <c r="L1094" s="89"/>
      <c r="M1094" s="90"/>
      <c r="N1094" s="57"/>
      <c r="O1094" s="57"/>
      <c r="P1094" s="91"/>
    </row>
    <row r="1095" spans="2:16" s="50" customFormat="1" ht="13.2">
      <c r="B1095" s="86"/>
      <c r="C1095" s="87"/>
      <c r="D1095" s="87"/>
      <c r="E1095" s="87"/>
      <c r="F1095" s="87"/>
      <c r="G1095" s="87"/>
      <c r="H1095" s="87"/>
      <c r="I1095" s="87"/>
      <c r="J1095" s="87"/>
      <c r="K1095" s="88"/>
      <c r="L1095" s="89"/>
      <c r="M1095" s="90"/>
      <c r="N1095" s="57"/>
      <c r="O1095" s="57"/>
      <c r="P1095" s="91"/>
    </row>
    <row r="1096" spans="2:16" s="50" customFormat="1" ht="13.2">
      <c r="B1096" s="86"/>
      <c r="C1096" s="87"/>
      <c r="D1096" s="87"/>
      <c r="E1096" s="87"/>
      <c r="F1096" s="87"/>
      <c r="G1096" s="87"/>
      <c r="H1096" s="87"/>
      <c r="I1096" s="87"/>
      <c r="J1096" s="87"/>
      <c r="K1096" s="88"/>
      <c r="L1096" s="89"/>
      <c r="M1096" s="90"/>
      <c r="N1096" s="57"/>
      <c r="O1096" s="57"/>
      <c r="P1096" s="91"/>
    </row>
    <row r="1097" spans="2:16" s="50" customFormat="1" ht="13.2">
      <c r="B1097" s="86"/>
      <c r="C1097" s="87"/>
      <c r="D1097" s="87"/>
      <c r="E1097" s="87"/>
      <c r="F1097" s="87"/>
      <c r="G1097" s="87"/>
      <c r="H1097" s="87"/>
      <c r="I1097" s="87"/>
      <c r="J1097" s="87"/>
      <c r="K1097" s="88"/>
      <c r="L1097" s="89"/>
      <c r="M1097" s="90"/>
      <c r="N1097" s="57"/>
      <c r="O1097" s="57"/>
      <c r="P1097" s="91"/>
    </row>
    <row r="1098" spans="2:16" s="50" customFormat="1" ht="13.2">
      <c r="B1098" s="86"/>
      <c r="C1098" s="87"/>
      <c r="D1098" s="87"/>
      <c r="E1098" s="87"/>
      <c r="F1098" s="87"/>
      <c r="G1098" s="87"/>
      <c r="H1098" s="87"/>
      <c r="I1098" s="87"/>
      <c r="J1098" s="87"/>
      <c r="K1098" s="88"/>
      <c r="L1098" s="89"/>
      <c r="M1098" s="90"/>
      <c r="N1098" s="57"/>
      <c r="O1098" s="57"/>
      <c r="P1098" s="91"/>
    </row>
    <row r="1099" spans="2:16" s="50" customFormat="1" ht="13.2">
      <c r="B1099" s="86"/>
      <c r="C1099" s="87"/>
      <c r="D1099" s="87"/>
      <c r="E1099" s="87"/>
      <c r="F1099" s="87"/>
      <c r="G1099" s="87"/>
      <c r="H1099" s="87"/>
      <c r="I1099" s="87"/>
      <c r="J1099" s="87"/>
      <c r="K1099" s="88"/>
      <c r="L1099" s="89"/>
      <c r="M1099" s="90"/>
      <c r="N1099" s="57"/>
      <c r="O1099" s="57"/>
      <c r="P1099" s="91"/>
    </row>
    <row r="1100" spans="2:16" s="50" customFormat="1" ht="13.2">
      <c r="B1100" s="86"/>
      <c r="C1100" s="87"/>
      <c r="D1100" s="87"/>
      <c r="E1100" s="87"/>
      <c r="F1100" s="87"/>
      <c r="G1100" s="87"/>
      <c r="H1100" s="87"/>
      <c r="I1100" s="87"/>
      <c r="J1100" s="87"/>
      <c r="K1100" s="88"/>
      <c r="L1100" s="89"/>
      <c r="M1100" s="90"/>
      <c r="N1100" s="57"/>
      <c r="O1100" s="57"/>
      <c r="P1100" s="91"/>
    </row>
    <row r="1101" spans="2:16" s="50" customFormat="1" ht="13.2">
      <c r="B1101" s="86"/>
      <c r="C1101" s="87"/>
      <c r="D1101" s="87"/>
      <c r="E1101" s="87"/>
      <c r="F1101" s="87"/>
      <c r="G1101" s="87"/>
      <c r="H1101" s="87"/>
      <c r="I1101" s="87"/>
      <c r="J1101" s="87"/>
      <c r="K1101" s="88"/>
      <c r="L1101" s="89"/>
      <c r="M1101" s="90"/>
      <c r="N1101" s="57"/>
      <c r="O1101" s="57"/>
      <c r="P1101" s="91"/>
    </row>
    <row r="1102" spans="2:16" s="50" customFormat="1" ht="13.2">
      <c r="B1102" s="86"/>
      <c r="C1102" s="87"/>
      <c r="D1102" s="87"/>
      <c r="E1102" s="87"/>
      <c r="F1102" s="87"/>
      <c r="G1102" s="87"/>
      <c r="H1102" s="87"/>
      <c r="I1102" s="87"/>
      <c r="J1102" s="87"/>
      <c r="K1102" s="88"/>
      <c r="L1102" s="89"/>
      <c r="M1102" s="90"/>
      <c r="N1102" s="57"/>
      <c r="O1102" s="57"/>
      <c r="P1102" s="91"/>
    </row>
    <row r="1103" spans="2:16" s="50" customFormat="1" ht="13.2">
      <c r="B1103" s="86"/>
      <c r="C1103" s="87"/>
      <c r="D1103" s="87"/>
      <c r="E1103" s="87"/>
      <c r="F1103" s="87"/>
      <c r="G1103" s="87"/>
      <c r="H1103" s="87"/>
      <c r="I1103" s="87"/>
      <c r="J1103" s="87"/>
      <c r="K1103" s="88"/>
      <c r="L1103" s="89"/>
      <c r="M1103" s="90"/>
      <c r="N1103" s="57"/>
      <c r="O1103" s="57"/>
      <c r="P1103" s="91"/>
    </row>
    <row r="1104" spans="2:16" s="50" customFormat="1" ht="13.2">
      <c r="B1104" s="86"/>
      <c r="C1104" s="87"/>
      <c r="D1104" s="87"/>
      <c r="E1104" s="87"/>
      <c r="F1104" s="87"/>
      <c r="G1104" s="87"/>
      <c r="H1104" s="87"/>
      <c r="I1104" s="87"/>
      <c r="J1104" s="87"/>
      <c r="K1104" s="88"/>
      <c r="L1104" s="89"/>
      <c r="M1104" s="90"/>
      <c r="N1104" s="57"/>
      <c r="O1104" s="57"/>
      <c r="P1104" s="91"/>
    </row>
    <row r="1105" spans="2:16" s="50" customFormat="1" ht="13.2">
      <c r="B1105" s="86"/>
      <c r="C1105" s="87"/>
      <c r="D1105" s="87"/>
      <c r="E1105" s="87"/>
      <c r="F1105" s="87"/>
      <c r="G1105" s="87"/>
      <c r="H1105" s="87"/>
      <c r="I1105" s="87"/>
      <c r="J1105" s="87"/>
      <c r="K1105" s="88"/>
      <c r="L1105" s="89"/>
      <c r="M1105" s="90"/>
      <c r="N1105" s="57"/>
      <c r="O1105" s="57"/>
      <c r="P1105" s="91"/>
    </row>
    <row r="1106" spans="2:16" s="50" customFormat="1" ht="13.2">
      <c r="B1106" s="86"/>
      <c r="C1106" s="87"/>
      <c r="D1106" s="87"/>
      <c r="E1106" s="87"/>
      <c r="F1106" s="87"/>
      <c r="G1106" s="87"/>
      <c r="H1106" s="87"/>
      <c r="I1106" s="87"/>
      <c r="J1106" s="87"/>
      <c r="K1106" s="88"/>
      <c r="L1106" s="89"/>
      <c r="M1106" s="90"/>
      <c r="N1106" s="57"/>
      <c r="O1106" s="57"/>
      <c r="P1106" s="91"/>
    </row>
    <row r="1107" spans="2:16" s="50" customFormat="1" ht="13.2">
      <c r="B1107" s="86"/>
      <c r="C1107" s="87"/>
      <c r="D1107" s="87"/>
      <c r="E1107" s="87"/>
      <c r="F1107" s="87"/>
      <c r="G1107" s="87"/>
      <c r="H1107" s="87"/>
      <c r="I1107" s="87"/>
      <c r="J1107" s="87"/>
      <c r="K1107" s="88"/>
      <c r="L1107" s="89"/>
      <c r="M1107" s="90"/>
      <c r="N1107" s="57"/>
      <c r="O1107" s="57"/>
      <c r="P1107" s="91"/>
    </row>
    <row r="1108" spans="2:16" s="50" customFormat="1" ht="13.2">
      <c r="B1108" s="86"/>
      <c r="C1108" s="87"/>
      <c r="D1108" s="87"/>
      <c r="E1108" s="87"/>
      <c r="F1108" s="87"/>
      <c r="G1108" s="87"/>
      <c r="H1108" s="87"/>
      <c r="I1108" s="87"/>
      <c r="J1108" s="87"/>
      <c r="K1108" s="88"/>
      <c r="L1108" s="89"/>
      <c r="M1108" s="90"/>
      <c r="N1108" s="57"/>
      <c r="O1108" s="57"/>
      <c r="P1108" s="91"/>
    </row>
    <row r="1109" spans="2:16" s="50" customFormat="1" ht="13.2">
      <c r="B1109" s="86"/>
      <c r="C1109" s="87"/>
      <c r="D1109" s="87"/>
      <c r="E1109" s="87"/>
      <c r="F1109" s="87"/>
      <c r="G1109" s="87"/>
      <c r="H1109" s="87"/>
      <c r="I1109" s="87"/>
      <c r="J1109" s="87"/>
      <c r="K1109" s="88"/>
      <c r="L1109" s="89"/>
      <c r="M1109" s="90"/>
      <c r="N1109" s="57"/>
      <c r="O1109" s="57"/>
      <c r="P1109" s="91"/>
    </row>
    <row r="1110" spans="2:16" s="50" customFormat="1" ht="13.2">
      <c r="B1110" s="86"/>
      <c r="C1110" s="87"/>
      <c r="D1110" s="87"/>
      <c r="E1110" s="87"/>
      <c r="F1110" s="87"/>
      <c r="G1110" s="87"/>
      <c r="H1110" s="87"/>
      <c r="I1110" s="87"/>
      <c r="J1110" s="87"/>
      <c r="K1110" s="88"/>
      <c r="L1110" s="89"/>
      <c r="M1110" s="90"/>
      <c r="N1110" s="57"/>
      <c r="O1110" s="57"/>
      <c r="P1110" s="91"/>
    </row>
    <row r="1111" spans="2:16" s="50" customFormat="1" ht="13.2">
      <c r="B1111" s="86"/>
      <c r="C1111" s="87"/>
      <c r="D1111" s="87"/>
      <c r="E1111" s="87"/>
      <c r="F1111" s="87"/>
      <c r="G1111" s="87"/>
      <c r="H1111" s="87"/>
      <c r="I1111" s="87"/>
      <c r="J1111" s="87"/>
      <c r="K1111" s="88"/>
      <c r="L1111" s="89"/>
      <c r="M1111" s="90"/>
      <c r="N1111" s="57"/>
      <c r="O1111" s="57"/>
      <c r="P1111" s="91"/>
    </row>
    <row r="1112" spans="2:16" s="50" customFormat="1" ht="13.2">
      <c r="B1112" s="86"/>
      <c r="C1112" s="87"/>
      <c r="D1112" s="87"/>
      <c r="E1112" s="87"/>
      <c r="F1112" s="87"/>
      <c r="G1112" s="87"/>
      <c r="H1112" s="87"/>
      <c r="I1112" s="87"/>
      <c r="J1112" s="87"/>
      <c r="K1112" s="88"/>
      <c r="L1112" s="89"/>
      <c r="M1112" s="90"/>
      <c r="N1112" s="57"/>
      <c r="O1112" s="57"/>
      <c r="P1112" s="91"/>
    </row>
    <row r="1113" spans="2:16" s="50" customFormat="1" ht="13.2">
      <c r="B1113" s="86"/>
      <c r="C1113" s="87"/>
      <c r="D1113" s="87"/>
      <c r="E1113" s="87"/>
      <c r="F1113" s="87"/>
      <c r="G1113" s="87"/>
      <c r="H1113" s="87"/>
      <c r="I1113" s="87"/>
      <c r="J1113" s="87"/>
      <c r="K1113" s="88"/>
      <c r="L1113" s="89"/>
      <c r="M1113" s="90"/>
      <c r="N1113" s="57"/>
      <c r="O1113" s="57"/>
      <c r="P1113" s="91"/>
    </row>
    <row r="1114" spans="2:16" s="50" customFormat="1" ht="13.2">
      <c r="B1114" s="86"/>
      <c r="C1114" s="87"/>
      <c r="D1114" s="87"/>
      <c r="E1114" s="87"/>
      <c r="F1114" s="87"/>
      <c r="G1114" s="87"/>
      <c r="H1114" s="87"/>
      <c r="I1114" s="87"/>
      <c r="J1114" s="87"/>
      <c r="K1114" s="88"/>
      <c r="L1114" s="89"/>
      <c r="M1114" s="90"/>
      <c r="N1114" s="57"/>
      <c r="O1114" s="57"/>
      <c r="P1114" s="91"/>
    </row>
    <row r="1115" spans="2:16" s="50" customFormat="1" ht="13.2">
      <c r="B1115" s="86"/>
      <c r="C1115" s="87"/>
      <c r="D1115" s="87"/>
      <c r="E1115" s="87"/>
      <c r="F1115" s="87"/>
      <c r="G1115" s="87"/>
      <c r="H1115" s="87"/>
      <c r="I1115" s="87"/>
      <c r="J1115" s="87"/>
      <c r="K1115" s="88"/>
      <c r="L1115" s="89"/>
      <c r="M1115" s="90"/>
      <c r="N1115" s="57"/>
      <c r="O1115" s="57"/>
      <c r="P1115" s="91"/>
    </row>
    <row r="1116" spans="2:16" s="50" customFormat="1" ht="13.2">
      <c r="B1116" s="86"/>
      <c r="C1116" s="87"/>
      <c r="D1116" s="87"/>
      <c r="E1116" s="87"/>
      <c r="F1116" s="87"/>
      <c r="G1116" s="87"/>
      <c r="H1116" s="87"/>
      <c r="I1116" s="87"/>
      <c r="J1116" s="87"/>
      <c r="K1116" s="88"/>
      <c r="L1116" s="89"/>
      <c r="M1116" s="90"/>
      <c r="N1116" s="57"/>
      <c r="O1116" s="57"/>
      <c r="P1116" s="91"/>
    </row>
    <row r="1117" spans="2:16" s="50" customFormat="1" ht="13.2">
      <c r="B1117" s="86"/>
      <c r="C1117" s="87"/>
      <c r="D1117" s="87"/>
      <c r="E1117" s="87"/>
      <c r="F1117" s="87"/>
      <c r="G1117" s="87"/>
      <c r="H1117" s="87"/>
      <c r="I1117" s="87"/>
      <c r="J1117" s="87"/>
      <c r="K1117" s="88"/>
      <c r="L1117" s="89"/>
      <c r="M1117" s="90"/>
      <c r="N1117" s="57"/>
      <c r="O1117" s="57"/>
      <c r="P1117" s="91"/>
    </row>
    <row r="1118" spans="2:16" s="50" customFormat="1" ht="13.2">
      <c r="B1118" s="86"/>
      <c r="C1118" s="87"/>
      <c r="D1118" s="87"/>
      <c r="E1118" s="87"/>
      <c r="F1118" s="87"/>
      <c r="G1118" s="87"/>
      <c r="H1118" s="87"/>
      <c r="I1118" s="87"/>
      <c r="J1118" s="87"/>
      <c r="K1118" s="88"/>
      <c r="L1118" s="89"/>
      <c r="M1118" s="90"/>
      <c r="N1118" s="57"/>
      <c r="O1118" s="57"/>
      <c r="P1118" s="91"/>
    </row>
    <row r="1119" spans="2:16" s="50" customFormat="1" ht="13.2">
      <c r="B1119" s="86"/>
      <c r="C1119" s="87"/>
      <c r="D1119" s="87"/>
      <c r="E1119" s="87"/>
      <c r="F1119" s="87"/>
      <c r="G1119" s="87"/>
      <c r="H1119" s="87"/>
      <c r="I1119" s="87"/>
      <c r="J1119" s="87"/>
      <c r="K1119" s="88"/>
      <c r="L1119" s="89"/>
      <c r="M1119" s="90"/>
      <c r="N1119" s="57"/>
      <c r="O1119" s="57"/>
      <c r="P1119" s="91"/>
    </row>
    <row r="1120" spans="2:16" s="50" customFormat="1" ht="13.2">
      <c r="B1120" s="86"/>
      <c r="C1120" s="87"/>
      <c r="D1120" s="87"/>
      <c r="E1120" s="87"/>
      <c r="F1120" s="87"/>
      <c r="G1120" s="87"/>
      <c r="H1120" s="87"/>
      <c r="I1120" s="87"/>
      <c r="J1120" s="87"/>
      <c r="K1120" s="88"/>
      <c r="L1120" s="89"/>
      <c r="M1120" s="90"/>
      <c r="N1120" s="57"/>
      <c r="O1120" s="57"/>
      <c r="P1120" s="91"/>
    </row>
    <row r="1121" spans="2:16" s="50" customFormat="1" ht="13.2">
      <c r="B1121" s="86"/>
      <c r="C1121" s="87"/>
      <c r="D1121" s="87"/>
      <c r="E1121" s="87"/>
      <c r="F1121" s="87"/>
      <c r="G1121" s="87"/>
      <c r="H1121" s="87"/>
      <c r="I1121" s="87"/>
      <c r="J1121" s="87"/>
      <c r="K1121" s="88"/>
      <c r="L1121" s="89"/>
      <c r="M1121" s="90"/>
      <c r="N1121" s="57"/>
      <c r="O1121" s="57"/>
      <c r="P1121" s="91"/>
    </row>
    <row r="1122" spans="2:16" s="50" customFormat="1" ht="13.2">
      <c r="B1122" s="86"/>
      <c r="C1122" s="87"/>
      <c r="D1122" s="87"/>
      <c r="E1122" s="87"/>
      <c r="F1122" s="87"/>
      <c r="G1122" s="87"/>
      <c r="H1122" s="87"/>
      <c r="I1122" s="87"/>
      <c r="J1122" s="87"/>
      <c r="K1122" s="88"/>
      <c r="L1122" s="89"/>
      <c r="M1122" s="90"/>
      <c r="N1122" s="57"/>
      <c r="O1122" s="57"/>
      <c r="P1122" s="91"/>
    </row>
    <row r="1123" spans="2:16" s="50" customFormat="1" ht="13.2">
      <c r="B1123" s="86"/>
      <c r="C1123" s="87"/>
      <c r="D1123" s="87"/>
      <c r="E1123" s="87"/>
      <c r="F1123" s="87"/>
      <c r="G1123" s="87"/>
      <c r="H1123" s="87"/>
      <c r="I1123" s="87"/>
      <c r="J1123" s="87"/>
      <c r="K1123" s="88"/>
      <c r="L1123" s="89"/>
      <c r="M1123" s="90"/>
      <c r="N1123" s="57"/>
      <c r="O1123" s="57"/>
      <c r="P1123" s="91"/>
    </row>
    <row r="1124" spans="2:16" s="50" customFormat="1" ht="13.2">
      <c r="B1124" s="86"/>
      <c r="C1124" s="87"/>
      <c r="D1124" s="87"/>
      <c r="E1124" s="87"/>
      <c r="F1124" s="87"/>
      <c r="G1124" s="87"/>
      <c r="H1124" s="87"/>
      <c r="I1124" s="87"/>
      <c r="J1124" s="87"/>
      <c r="K1124" s="88"/>
      <c r="L1124" s="89"/>
      <c r="M1124" s="90"/>
      <c r="N1124" s="57"/>
      <c r="O1124" s="57"/>
      <c r="P1124" s="91"/>
    </row>
    <row r="1125" spans="2:16" s="50" customFormat="1" ht="13.2">
      <c r="B1125" s="86"/>
      <c r="C1125" s="87"/>
      <c r="D1125" s="87"/>
      <c r="E1125" s="87"/>
      <c r="F1125" s="87"/>
      <c r="G1125" s="87"/>
      <c r="H1125" s="87"/>
      <c r="I1125" s="87"/>
      <c r="J1125" s="87"/>
      <c r="K1125" s="88"/>
      <c r="L1125" s="89"/>
      <c r="M1125" s="90"/>
      <c r="N1125" s="57"/>
      <c r="O1125" s="57"/>
      <c r="P1125" s="91"/>
    </row>
    <row r="1126" spans="2:16" s="50" customFormat="1" ht="13.2">
      <c r="B1126" s="86"/>
      <c r="C1126" s="87"/>
      <c r="D1126" s="87"/>
      <c r="E1126" s="87"/>
      <c r="F1126" s="87"/>
      <c r="G1126" s="87"/>
      <c r="H1126" s="87"/>
      <c r="I1126" s="87"/>
      <c r="J1126" s="87"/>
      <c r="K1126" s="88"/>
      <c r="L1126" s="89"/>
      <c r="M1126" s="90"/>
      <c r="N1126" s="57"/>
      <c r="O1126" s="57"/>
      <c r="P1126" s="91"/>
    </row>
    <row r="1127" spans="2:16" s="50" customFormat="1" ht="13.2">
      <c r="B1127" s="86"/>
      <c r="C1127" s="87"/>
      <c r="D1127" s="87"/>
      <c r="E1127" s="87"/>
      <c r="F1127" s="87"/>
      <c r="G1127" s="87"/>
      <c r="H1127" s="87"/>
      <c r="I1127" s="87"/>
      <c r="J1127" s="87"/>
      <c r="K1127" s="88"/>
      <c r="L1127" s="89"/>
      <c r="M1127" s="90"/>
      <c r="N1127" s="57"/>
      <c r="O1127" s="57"/>
      <c r="P1127" s="91"/>
    </row>
    <row r="1128" spans="2:16" s="50" customFormat="1" ht="13.2">
      <c r="B1128" s="86"/>
      <c r="C1128" s="87"/>
      <c r="D1128" s="87"/>
      <c r="E1128" s="87"/>
      <c r="F1128" s="87"/>
      <c r="G1128" s="87"/>
      <c r="H1128" s="87"/>
      <c r="I1128" s="87"/>
      <c r="J1128" s="87"/>
      <c r="K1128" s="88"/>
      <c r="L1128" s="89"/>
      <c r="M1128" s="90"/>
      <c r="N1128" s="57"/>
      <c r="O1128" s="57"/>
      <c r="P1128" s="91"/>
    </row>
    <row r="1129" spans="2:16" s="50" customFormat="1" ht="13.2">
      <c r="B1129" s="86"/>
      <c r="C1129" s="87"/>
      <c r="D1129" s="87"/>
      <c r="E1129" s="87"/>
      <c r="F1129" s="87"/>
      <c r="G1129" s="87"/>
      <c r="H1129" s="87"/>
      <c r="I1129" s="87"/>
      <c r="J1129" s="87"/>
      <c r="K1129" s="88"/>
      <c r="L1129" s="89"/>
      <c r="M1129" s="90"/>
      <c r="N1129" s="57"/>
      <c r="O1129" s="57"/>
      <c r="P1129" s="91"/>
    </row>
    <row r="1130" spans="2:16" s="50" customFormat="1" ht="13.2">
      <c r="B1130" s="86"/>
      <c r="C1130" s="87"/>
      <c r="D1130" s="87"/>
      <c r="E1130" s="87"/>
      <c r="F1130" s="87"/>
      <c r="G1130" s="87"/>
      <c r="H1130" s="87"/>
      <c r="I1130" s="87"/>
      <c r="J1130" s="87"/>
      <c r="K1130" s="88"/>
      <c r="L1130" s="89"/>
      <c r="M1130" s="90"/>
      <c r="N1130" s="57"/>
      <c r="O1130" s="57"/>
      <c r="P1130" s="91"/>
    </row>
    <row r="1131" spans="2:16" s="50" customFormat="1" ht="13.2">
      <c r="B1131" s="86"/>
      <c r="C1131" s="87"/>
      <c r="D1131" s="87"/>
      <c r="E1131" s="87"/>
      <c r="F1131" s="87"/>
      <c r="G1131" s="87"/>
      <c r="H1131" s="87"/>
      <c r="I1131" s="87"/>
      <c r="J1131" s="87"/>
      <c r="K1131" s="88"/>
      <c r="L1131" s="89"/>
      <c r="M1131" s="90"/>
      <c r="N1131" s="57"/>
      <c r="O1131" s="57"/>
      <c r="P1131" s="91"/>
    </row>
    <row r="1132" spans="2:16" s="50" customFormat="1" ht="13.2">
      <c r="B1132" s="86"/>
      <c r="C1132" s="87"/>
      <c r="D1132" s="87"/>
      <c r="E1132" s="87"/>
      <c r="F1132" s="87"/>
      <c r="G1132" s="87"/>
      <c r="H1132" s="87"/>
      <c r="I1132" s="87"/>
      <c r="J1132" s="87"/>
      <c r="K1132" s="88"/>
      <c r="L1132" s="89"/>
      <c r="M1132" s="90"/>
      <c r="N1132" s="57"/>
      <c r="O1132" s="57"/>
      <c r="P1132" s="91"/>
    </row>
    <row r="1133" spans="2:16" s="50" customFormat="1" ht="13.2">
      <c r="B1133" s="86"/>
      <c r="C1133" s="87"/>
      <c r="D1133" s="87"/>
      <c r="E1133" s="87"/>
      <c r="F1133" s="87"/>
      <c r="G1133" s="87"/>
      <c r="H1133" s="87"/>
      <c r="I1133" s="87"/>
      <c r="J1133" s="87"/>
      <c r="K1133" s="88"/>
      <c r="L1133" s="89"/>
      <c r="M1133" s="90"/>
      <c r="N1133" s="57"/>
      <c r="O1133" s="57"/>
      <c r="P1133" s="91"/>
    </row>
    <row r="1134" spans="2:16" s="50" customFormat="1" ht="13.2">
      <c r="B1134" s="86"/>
      <c r="C1134" s="87"/>
      <c r="D1134" s="87"/>
      <c r="E1134" s="87"/>
      <c r="F1134" s="87"/>
      <c r="G1134" s="87"/>
      <c r="H1134" s="87"/>
      <c r="I1134" s="87"/>
      <c r="J1134" s="87"/>
      <c r="K1134" s="88"/>
      <c r="L1134" s="89"/>
      <c r="M1134" s="90"/>
      <c r="N1134" s="57"/>
      <c r="O1134" s="57"/>
      <c r="P1134" s="91"/>
    </row>
    <row r="1135" spans="2:16" s="50" customFormat="1" ht="13.2">
      <c r="B1135" s="86"/>
      <c r="C1135" s="87"/>
      <c r="D1135" s="87"/>
      <c r="E1135" s="87"/>
      <c r="F1135" s="87"/>
      <c r="G1135" s="87"/>
      <c r="H1135" s="87"/>
      <c r="I1135" s="87"/>
      <c r="J1135" s="87"/>
      <c r="K1135" s="88"/>
      <c r="L1135" s="89"/>
      <c r="M1135" s="90"/>
      <c r="N1135" s="57"/>
      <c r="O1135" s="57"/>
      <c r="P1135" s="91"/>
    </row>
    <row r="1136" spans="2:16" s="50" customFormat="1" ht="13.2">
      <c r="B1136" s="86"/>
      <c r="C1136" s="87"/>
      <c r="D1136" s="87"/>
      <c r="E1136" s="87"/>
      <c r="F1136" s="87"/>
      <c r="G1136" s="87"/>
      <c r="H1136" s="87"/>
      <c r="I1136" s="87"/>
      <c r="J1136" s="87"/>
      <c r="K1136" s="88"/>
      <c r="L1136" s="89"/>
      <c r="M1136" s="90"/>
      <c r="N1136" s="57"/>
      <c r="O1136" s="57"/>
      <c r="P1136" s="91"/>
    </row>
    <row r="1137" spans="2:16" s="50" customFormat="1" ht="13.2">
      <c r="B1137" s="86"/>
      <c r="C1137" s="87"/>
      <c r="D1137" s="87"/>
      <c r="E1137" s="87"/>
      <c r="F1137" s="87"/>
      <c r="G1137" s="87"/>
      <c r="H1137" s="87"/>
      <c r="I1137" s="87"/>
      <c r="J1137" s="87"/>
      <c r="K1137" s="88"/>
      <c r="L1137" s="89"/>
      <c r="M1137" s="90"/>
      <c r="N1137" s="57"/>
      <c r="O1137" s="57"/>
      <c r="P1137" s="91"/>
    </row>
    <row r="1138" spans="2:16" s="50" customFormat="1" ht="13.2">
      <c r="B1138" s="86"/>
      <c r="C1138" s="87"/>
      <c r="D1138" s="87"/>
      <c r="E1138" s="87"/>
      <c r="F1138" s="87"/>
      <c r="G1138" s="87"/>
      <c r="H1138" s="87"/>
      <c r="I1138" s="87"/>
      <c r="J1138" s="87"/>
      <c r="K1138" s="88"/>
      <c r="L1138" s="89"/>
      <c r="M1138" s="90"/>
      <c r="N1138" s="57"/>
      <c r="O1138" s="57"/>
      <c r="P1138" s="91"/>
    </row>
    <row r="1139" spans="2:16" s="50" customFormat="1" ht="13.2">
      <c r="B1139" s="86"/>
      <c r="C1139" s="87"/>
      <c r="D1139" s="87"/>
      <c r="E1139" s="87"/>
      <c r="F1139" s="87"/>
      <c r="G1139" s="87"/>
      <c r="H1139" s="87"/>
      <c r="I1139" s="87"/>
      <c r="J1139" s="87"/>
      <c r="K1139" s="88"/>
      <c r="L1139" s="89"/>
      <c r="M1139" s="90"/>
      <c r="N1139" s="57"/>
      <c r="O1139" s="57"/>
      <c r="P1139" s="91"/>
    </row>
    <row r="1140" spans="2:16" s="50" customFormat="1" ht="13.2">
      <c r="B1140" s="86"/>
      <c r="C1140" s="87"/>
      <c r="D1140" s="87"/>
      <c r="E1140" s="87"/>
      <c r="F1140" s="87"/>
      <c r="G1140" s="87"/>
      <c r="H1140" s="87"/>
      <c r="I1140" s="87"/>
      <c r="J1140" s="87"/>
      <c r="K1140" s="88"/>
      <c r="L1140" s="89"/>
      <c r="M1140" s="90"/>
      <c r="N1140" s="57"/>
      <c r="O1140" s="57"/>
      <c r="P1140" s="91"/>
    </row>
    <row r="1141" spans="2:16" s="50" customFormat="1" ht="13.2">
      <c r="B1141" s="86"/>
      <c r="C1141" s="87"/>
      <c r="D1141" s="87"/>
      <c r="E1141" s="87"/>
      <c r="F1141" s="87"/>
      <c r="G1141" s="87"/>
      <c r="H1141" s="87"/>
      <c r="I1141" s="87"/>
      <c r="J1141" s="87"/>
      <c r="K1141" s="88"/>
      <c r="L1141" s="89"/>
      <c r="M1141" s="90"/>
      <c r="N1141" s="57"/>
      <c r="O1141" s="57"/>
      <c r="P1141" s="91"/>
    </row>
    <row r="1142" spans="2:16" s="50" customFormat="1" ht="13.2">
      <c r="B1142" s="86"/>
      <c r="C1142" s="87"/>
      <c r="D1142" s="87"/>
      <c r="E1142" s="87"/>
      <c r="F1142" s="87"/>
      <c r="G1142" s="87"/>
      <c r="H1142" s="87"/>
      <c r="I1142" s="87"/>
      <c r="J1142" s="87"/>
      <c r="K1142" s="88"/>
      <c r="L1142" s="89"/>
      <c r="M1142" s="90"/>
      <c r="N1142" s="57"/>
      <c r="O1142" s="57"/>
      <c r="P1142" s="91"/>
    </row>
    <row r="1143" spans="2:16" s="50" customFormat="1" ht="13.2">
      <c r="B1143" s="86"/>
      <c r="C1143" s="87"/>
      <c r="D1143" s="87"/>
      <c r="E1143" s="87"/>
      <c r="F1143" s="87"/>
      <c r="G1143" s="87"/>
      <c r="H1143" s="87"/>
      <c r="I1143" s="87"/>
      <c r="J1143" s="87"/>
      <c r="K1143" s="88"/>
      <c r="L1143" s="89"/>
      <c r="M1143" s="90"/>
      <c r="N1143" s="57"/>
      <c r="O1143" s="57"/>
      <c r="P1143" s="91"/>
    </row>
    <row r="1144" spans="2:16" s="50" customFormat="1" ht="13.2">
      <c r="B1144" s="86"/>
      <c r="C1144" s="87"/>
      <c r="D1144" s="87"/>
      <c r="E1144" s="87"/>
      <c r="F1144" s="87"/>
      <c r="G1144" s="87"/>
      <c r="H1144" s="87"/>
      <c r="I1144" s="87"/>
      <c r="J1144" s="87"/>
      <c r="K1144" s="88"/>
      <c r="L1144" s="89"/>
      <c r="M1144" s="90"/>
      <c r="N1144" s="57"/>
      <c r="O1144" s="57"/>
      <c r="P1144" s="91"/>
    </row>
    <row r="1145" spans="2:16" s="50" customFormat="1" ht="13.2">
      <c r="B1145" s="86"/>
      <c r="C1145" s="87"/>
      <c r="D1145" s="87"/>
      <c r="E1145" s="87"/>
      <c r="F1145" s="87"/>
      <c r="G1145" s="87"/>
      <c r="H1145" s="87"/>
      <c r="I1145" s="87"/>
      <c r="J1145" s="87"/>
      <c r="K1145" s="88"/>
      <c r="L1145" s="89"/>
      <c r="M1145" s="90"/>
      <c r="N1145" s="57"/>
      <c r="O1145" s="57"/>
      <c r="P1145" s="91"/>
    </row>
    <row r="1146" spans="2:16" s="50" customFormat="1" ht="13.2">
      <c r="B1146" s="86"/>
      <c r="C1146" s="87"/>
      <c r="D1146" s="87"/>
      <c r="E1146" s="87"/>
      <c r="F1146" s="87"/>
      <c r="G1146" s="87"/>
      <c r="H1146" s="87"/>
      <c r="I1146" s="87"/>
      <c r="J1146" s="87"/>
      <c r="K1146" s="88"/>
      <c r="L1146" s="89"/>
      <c r="M1146" s="90"/>
      <c r="N1146" s="57"/>
      <c r="O1146" s="57"/>
      <c r="P1146" s="91"/>
    </row>
    <row r="1147" spans="2:16" s="50" customFormat="1" ht="13.2">
      <c r="B1147" s="86"/>
      <c r="C1147" s="87"/>
      <c r="D1147" s="87"/>
      <c r="E1147" s="87"/>
      <c r="F1147" s="87"/>
      <c r="G1147" s="87"/>
      <c r="H1147" s="87"/>
      <c r="I1147" s="87"/>
      <c r="J1147" s="87"/>
      <c r="K1147" s="88"/>
      <c r="L1147" s="89"/>
      <c r="M1147" s="90"/>
      <c r="N1147" s="57"/>
      <c r="O1147" s="57"/>
      <c r="P1147" s="91"/>
    </row>
    <row r="1148" spans="2:16" s="50" customFormat="1" ht="13.2">
      <c r="B1148" s="86"/>
      <c r="C1148" s="87"/>
      <c r="D1148" s="87"/>
      <c r="E1148" s="87"/>
      <c r="F1148" s="87"/>
      <c r="G1148" s="87"/>
      <c r="H1148" s="87"/>
      <c r="I1148" s="87"/>
      <c r="J1148" s="87"/>
      <c r="K1148" s="88"/>
      <c r="L1148" s="89"/>
      <c r="M1148" s="90"/>
      <c r="N1148" s="57"/>
      <c r="O1148" s="57"/>
      <c r="P1148" s="91"/>
    </row>
    <row r="1149" spans="2:16" s="50" customFormat="1" ht="13.2">
      <c r="B1149" s="86"/>
      <c r="C1149" s="87"/>
      <c r="D1149" s="87"/>
      <c r="E1149" s="87"/>
      <c r="F1149" s="87"/>
      <c r="G1149" s="87"/>
      <c r="H1149" s="87"/>
      <c r="I1149" s="87"/>
      <c r="J1149" s="87"/>
      <c r="K1149" s="88"/>
      <c r="L1149" s="89"/>
      <c r="M1149" s="90"/>
      <c r="N1149" s="57"/>
      <c r="O1149" s="57"/>
      <c r="P1149" s="91"/>
    </row>
    <row r="1150" spans="2:16" s="50" customFormat="1" ht="13.2">
      <c r="B1150" s="86"/>
      <c r="C1150" s="87"/>
      <c r="D1150" s="87"/>
      <c r="E1150" s="87"/>
      <c r="F1150" s="87"/>
      <c r="G1150" s="87"/>
      <c r="H1150" s="87"/>
      <c r="I1150" s="87"/>
      <c r="J1150" s="87"/>
      <c r="K1150" s="88"/>
      <c r="L1150" s="89"/>
      <c r="M1150" s="90"/>
      <c r="N1150" s="57"/>
      <c r="O1150" s="57"/>
      <c r="P1150" s="91"/>
    </row>
    <row r="1151" spans="2:16" s="50" customFormat="1" ht="13.2">
      <c r="B1151" s="86"/>
      <c r="C1151" s="87"/>
      <c r="D1151" s="87"/>
      <c r="E1151" s="87"/>
      <c r="F1151" s="87"/>
      <c r="G1151" s="87"/>
      <c r="H1151" s="87"/>
      <c r="I1151" s="87"/>
      <c r="J1151" s="87"/>
      <c r="K1151" s="88"/>
      <c r="L1151" s="89"/>
      <c r="M1151" s="90"/>
      <c r="N1151" s="57"/>
      <c r="O1151" s="57"/>
      <c r="P1151" s="91"/>
    </row>
    <row r="1152" spans="2:16" s="50" customFormat="1" ht="13.2">
      <c r="B1152" s="86"/>
      <c r="C1152" s="87"/>
      <c r="D1152" s="87"/>
      <c r="E1152" s="87"/>
      <c r="F1152" s="87"/>
      <c r="G1152" s="87"/>
      <c r="H1152" s="87"/>
      <c r="I1152" s="87"/>
      <c r="J1152" s="87"/>
      <c r="K1152" s="88"/>
      <c r="L1152" s="89"/>
      <c r="M1152" s="90"/>
      <c r="N1152" s="57"/>
      <c r="O1152" s="57"/>
      <c r="P1152" s="91"/>
    </row>
    <row r="1153" spans="2:16" s="50" customFormat="1" ht="13.2">
      <c r="B1153" s="86"/>
      <c r="C1153" s="87"/>
      <c r="D1153" s="87"/>
      <c r="E1153" s="87"/>
      <c r="F1153" s="87"/>
      <c r="G1153" s="87"/>
      <c r="H1153" s="87"/>
      <c r="I1153" s="87"/>
      <c r="J1153" s="87"/>
      <c r="K1153" s="88"/>
      <c r="L1153" s="89"/>
      <c r="M1153" s="90"/>
      <c r="N1153" s="57"/>
      <c r="O1153" s="57"/>
      <c r="P1153" s="91"/>
    </row>
    <row r="1154" spans="2:16" s="50" customFormat="1" ht="13.2">
      <c r="B1154" s="86"/>
      <c r="C1154" s="87"/>
      <c r="D1154" s="87"/>
      <c r="E1154" s="87"/>
      <c r="F1154" s="87"/>
      <c r="G1154" s="87"/>
      <c r="H1154" s="87"/>
      <c r="I1154" s="87"/>
      <c r="J1154" s="87"/>
      <c r="K1154" s="88"/>
      <c r="L1154" s="89"/>
      <c r="M1154" s="90"/>
      <c r="N1154" s="57"/>
      <c r="O1154" s="57"/>
      <c r="P1154" s="91"/>
    </row>
    <row r="1155" spans="2:16" s="50" customFormat="1" ht="13.2">
      <c r="B1155" s="86"/>
      <c r="C1155" s="87"/>
      <c r="D1155" s="87"/>
      <c r="E1155" s="87"/>
      <c r="F1155" s="87"/>
      <c r="G1155" s="87"/>
      <c r="H1155" s="87"/>
      <c r="I1155" s="87"/>
      <c r="J1155" s="87"/>
      <c r="K1155" s="88"/>
      <c r="L1155" s="89"/>
      <c r="M1155" s="90"/>
      <c r="N1155" s="57"/>
      <c r="O1155" s="57"/>
      <c r="P1155" s="91"/>
    </row>
    <row r="1156" spans="2:16" s="50" customFormat="1" ht="13.2">
      <c r="B1156" s="86"/>
      <c r="C1156" s="87"/>
      <c r="D1156" s="87"/>
      <c r="E1156" s="87"/>
      <c r="F1156" s="87"/>
      <c r="G1156" s="87"/>
      <c r="H1156" s="87"/>
      <c r="I1156" s="87"/>
      <c r="J1156" s="87"/>
      <c r="K1156" s="88"/>
      <c r="L1156" s="89"/>
      <c r="M1156" s="90"/>
      <c r="N1156" s="57"/>
      <c r="O1156" s="57"/>
      <c r="P1156" s="91"/>
    </row>
    <row r="1157" spans="2:16" s="50" customFormat="1" ht="13.2">
      <c r="B1157" s="86"/>
      <c r="C1157" s="87"/>
      <c r="D1157" s="87"/>
      <c r="E1157" s="87"/>
      <c r="F1157" s="87"/>
      <c r="G1157" s="87"/>
      <c r="H1157" s="87"/>
      <c r="I1157" s="87"/>
      <c r="J1157" s="87"/>
      <c r="K1157" s="88"/>
      <c r="L1157" s="89"/>
      <c r="M1157" s="90"/>
      <c r="N1157" s="57"/>
      <c r="O1157" s="57"/>
      <c r="P1157" s="91"/>
    </row>
    <row r="1158" spans="2:16" s="50" customFormat="1" ht="13.2">
      <c r="B1158" s="86"/>
      <c r="C1158" s="87"/>
      <c r="D1158" s="87"/>
      <c r="E1158" s="87"/>
      <c r="F1158" s="87"/>
      <c r="G1158" s="87"/>
      <c r="H1158" s="87"/>
      <c r="I1158" s="87"/>
      <c r="J1158" s="87"/>
      <c r="K1158" s="88"/>
      <c r="L1158" s="89"/>
      <c r="M1158" s="90"/>
      <c r="N1158" s="57"/>
      <c r="O1158" s="57"/>
      <c r="P1158" s="91"/>
    </row>
    <row r="1159" spans="2:16" s="50" customFormat="1" ht="13.2">
      <c r="B1159" s="86"/>
      <c r="C1159" s="87"/>
      <c r="D1159" s="87"/>
      <c r="E1159" s="87"/>
      <c r="F1159" s="87"/>
      <c r="G1159" s="87"/>
      <c r="H1159" s="87"/>
      <c r="I1159" s="87"/>
      <c r="J1159" s="87"/>
      <c r="K1159" s="88"/>
      <c r="L1159" s="89"/>
      <c r="M1159" s="90"/>
      <c r="N1159" s="57"/>
      <c r="O1159" s="57"/>
      <c r="P1159" s="91"/>
    </row>
    <row r="1160" spans="2:16" s="50" customFormat="1" ht="13.2">
      <c r="B1160" s="86"/>
      <c r="C1160" s="87"/>
      <c r="D1160" s="87"/>
      <c r="E1160" s="87"/>
      <c r="F1160" s="87"/>
      <c r="G1160" s="87"/>
      <c r="H1160" s="87"/>
      <c r="I1160" s="87"/>
      <c r="J1160" s="87"/>
      <c r="K1160" s="88"/>
      <c r="L1160" s="89"/>
      <c r="M1160" s="90"/>
      <c r="N1160" s="57"/>
      <c r="O1160" s="57"/>
      <c r="P1160" s="91"/>
    </row>
    <row r="1161" spans="2:16" s="50" customFormat="1" ht="13.2">
      <c r="B1161" s="86"/>
      <c r="C1161" s="87"/>
      <c r="D1161" s="87"/>
      <c r="E1161" s="87"/>
      <c r="F1161" s="87"/>
      <c r="G1161" s="87"/>
      <c r="H1161" s="87"/>
      <c r="I1161" s="87"/>
      <c r="J1161" s="87"/>
      <c r="K1161" s="88"/>
      <c r="L1161" s="89"/>
      <c r="M1161" s="90"/>
      <c r="N1161" s="57"/>
      <c r="O1161" s="57"/>
      <c r="P1161" s="91"/>
    </row>
    <row r="1162" spans="2:16" s="50" customFormat="1" ht="13.2">
      <c r="B1162" s="86"/>
      <c r="C1162" s="87"/>
      <c r="D1162" s="87"/>
      <c r="E1162" s="87"/>
      <c r="F1162" s="87"/>
      <c r="G1162" s="87"/>
      <c r="H1162" s="87"/>
      <c r="I1162" s="87"/>
      <c r="J1162" s="87"/>
      <c r="K1162" s="88"/>
      <c r="L1162" s="89"/>
      <c r="M1162" s="90"/>
      <c r="N1162" s="57"/>
      <c r="O1162" s="57"/>
      <c r="P1162" s="91"/>
    </row>
    <row r="1163" spans="2:16" s="50" customFormat="1" ht="13.2">
      <c r="B1163" s="86"/>
      <c r="C1163" s="87"/>
      <c r="D1163" s="87"/>
      <c r="E1163" s="87"/>
      <c r="F1163" s="87"/>
      <c r="G1163" s="87"/>
      <c r="H1163" s="87"/>
      <c r="I1163" s="87"/>
      <c r="J1163" s="87"/>
      <c r="K1163" s="88"/>
      <c r="L1163" s="89"/>
      <c r="M1163" s="90"/>
      <c r="N1163" s="57"/>
      <c r="O1163" s="57"/>
      <c r="P1163" s="91"/>
    </row>
    <row r="1164" spans="2:16" s="50" customFormat="1" ht="13.2">
      <c r="B1164" s="86"/>
      <c r="C1164" s="87"/>
      <c r="D1164" s="87"/>
      <c r="E1164" s="87"/>
      <c r="F1164" s="87"/>
      <c r="G1164" s="87"/>
      <c r="H1164" s="87"/>
      <c r="I1164" s="87"/>
      <c r="J1164" s="87"/>
      <c r="K1164" s="88"/>
      <c r="L1164" s="89"/>
      <c r="M1164" s="90"/>
      <c r="N1164" s="57"/>
      <c r="O1164" s="57"/>
      <c r="P1164" s="91"/>
    </row>
    <row r="1165" spans="2:16" s="50" customFormat="1" ht="13.2">
      <c r="B1165" s="86"/>
      <c r="C1165" s="87"/>
      <c r="D1165" s="87"/>
      <c r="E1165" s="87"/>
      <c r="F1165" s="87"/>
      <c r="G1165" s="87"/>
      <c r="H1165" s="87"/>
      <c r="I1165" s="87"/>
      <c r="J1165" s="87"/>
      <c r="K1165" s="88"/>
      <c r="L1165" s="89"/>
      <c r="M1165" s="90"/>
      <c r="N1165" s="57"/>
      <c r="O1165" s="57"/>
      <c r="P1165" s="91"/>
    </row>
    <row r="1166" spans="2:16" s="50" customFormat="1" ht="13.2">
      <c r="B1166" s="86"/>
      <c r="C1166" s="87"/>
      <c r="D1166" s="87"/>
      <c r="E1166" s="87"/>
      <c r="F1166" s="87"/>
      <c r="G1166" s="87"/>
      <c r="H1166" s="87"/>
      <c r="I1166" s="87"/>
      <c r="J1166" s="87"/>
      <c r="K1166" s="88"/>
      <c r="L1166" s="89"/>
      <c r="M1166" s="90"/>
      <c r="N1166" s="57"/>
      <c r="O1166" s="57"/>
      <c r="P1166" s="91"/>
    </row>
    <row r="1167" spans="2:16" s="50" customFormat="1" ht="13.2">
      <c r="B1167" s="86"/>
      <c r="C1167" s="87"/>
      <c r="D1167" s="87"/>
      <c r="E1167" s="87"/>
      <c r="F1167" s="87"/>
      <c r="G1167" s="87"/>
      <c r="H1167" s="87"/>
      <c r="I1167" s="87"/>
      <c r="J1167" s="87"/>
      <c r="K1167" s="88"/>
      <c r="L1167" s="89"/>
      <c r="M1167" s="90"/>
      <c r="N1167" s="57"/>
      <c r="O1167" s="57"/>
      <c r="P1167" s="91"/>
    </row>
    <row r="1168" spans="2:16" s="50" customFormat="1" ht="13.2">
      <c r="B1168" s="86"/>
      <c r="C1168" s="87"/>
      <c r="D1168" s="87"/>
      <c r="E1168" s="87"/>
      <c r="F1168" s="87"/>
      <c r="G1168" s="87"/>
      <c r="H1168" s="87"/>
      <c r="I1168" s="87"/>
      <c r="J1168" s="87"/>
      <c r="K1168" s="88"/>
      <c r="L1168" s="89"/>
      <c r="M1168" s="90"/>
      <c r="N1168" s="57"/>
      <c r="O1168" s="57"/>
      <c r="P1168" s="91"/>
    </row>
    <row r="1169" spans="2:16" s="50" customFormat="1" ht="13.2">
      <c r="B1169" s="86"/>
      <c r="C1169" s="87"/>
      <c r="D1169" s="87"/>
      <c r="E1169" s="87"/>
      <c r="F1169" s="87"/>
      <c r="G1169" s="87"/>
      <c r="H1169" s="87"/>
      <c r="I1169" s="87"/>
      <c r="J1169" s="87"/>
      <c r="K1169" s="88"/>
      <c r="L1169" s="89"/>
      <c r="M1169" s="90"/>
      <c r="N1169" s="57"/>
      <c r="O1169" s="57"/>
      <c r="P1169" s="91"/>
    </row>
    <row r="1170" spans="2:16" s="50" customFormat="1" ht="13.2">
      <c r="B1170" s="86"/>
      <c r="C1170" s="87"/>
      <c r="D1170" s="87"/>
      <c r="E1170" s="87"/>
      <c r="F1170" s="87"/>
      <c r="G1170" s="87"/>
      <c r="H1170" s="87"/>
      <c r="I1170" s="87"/>
      <c r="J1170" s="87"/>
      <c r="K1170" s="88"/>
      <c r="L1170" s="89"/>
      <c r="M1170" s="90"/>
      <c r="N1170" s="57"/>
      <c r="O1170" s="57"/>
      <c r="P1170" s="91"/>
    </row>
    <row r="1171" spans="2:16" s="50" customFormat="1" ht="13.2">
      <c r="B1171" s="86"/>
      <c r="C1171" s="87"/>
      <c r="D1171" s="87"/>
      <c r="E1171" s="87"/>
      <c r="F1171" s="87"/>
      <c r="G1171" s="87"/>
      <c r="H1171" s="87"/>
      <c r="I1171" s="87"/>
      <c r="J1171" s="87"/>
      <c r="K1171" s="88"/>
      <c r="L1171" s="89"/>
      <c r="M1171" s="90"/>
      <c r="N1171" s="57"/>
      <c r="O1171" s="57"/>
      <c r="P1171" s="91"/>
    </row>
    <row r="1172" spans="2:16" s="50" customFormat="1" ht="13.2">
      <c r="B1172" s="86"/>
      <c r="C1172" s="87"/>
      <c r="D1172" s="87"/>
      <c r="E1172" s="87"/>
      <c r="F1172" s="87"/>
      <c r="G1172" s="87"/>
      <c r="H1172" s="87"/>
      <c r="I1172" s="87"/>
      <c r="J1172" s="87"/>
      <c r="K1172" s="88"/>
      <c r="L1172" s="89"/>
      <c r="M1172" s="90"/>
      <c r="N1172" s="57"/>
      <c r="O1172" s="57"/>
      <c r="P1172" s="91"/>
    </row>
    <row r="1173" spans="2:16" s="50" customFormat="1" ht="13.2">
      <c r="B1173" s="86"/>
      <c r="C1173" s="87"/>
      <c r="D1173" s="87"/>
      <c r="E1173" s="87"/>
      <c r="F1173" s="87"/>
      <c r="G1173" s="87"/>
      <c r="H1173" s="87"/>
      <c r="I1173" s="87"/>
      <c r="J1173" s="87"/>
      <c r="K1173" s="88"/>
      <c r="L1173" s="89"/>
      <c r="M1173" s="90"/>
      <c r="N1173" s="57"/>
      <c r="O1173" s="57"/>
      <c r="P1173" s="91"/>
    </row>
    <row r="1174" spans="2:16" s="50" customFormat="1" ht="13.2">
      <c r="B1174" s="86"/>
      <c r="C1174" s="87"/>
      <c r="D1174" s="87"/>
      <c r="E1174" s="87"/>
      <c r="F1174" s="87"/>
      <c r="G1174" s="87"/>
      <c r="H1174" s="87"/>
      <c r="I1174" s="87"/>
      <c r="J1174" s="87"/>
      <c r="K1174" s="88"/>
      <c r="L1174" s="89"/>
      <c r="M1174" s="90"/>
      <c r="N1174" s="57"/>
      <c r="O1174" s="57"/>
      <c r="P1174" s="91"/>
    </row>
    <row r="1175" spans="2:16" s="50" customFormat="1" ht="13.2">
      <c r="B1175" s="86"/>
      <c r="C1175" s="87"/>
      <c r="D1175" s="87"/>
      <c r="E1175" s="87"/>
      <c r="F1175" s="87"/>
      <c r="G1175" s="87"/>
      <c r="H1175" s="87"/>
      <c r="I1175" s="87"/>
      <c r="J1175" s="87"/>
      <c r="K1175" s="88"/>
      <c r="L1175" s="89"/>
      <c r="M1175" s="90"/>
      <c r="N1175" s="57"/>
      <c r="O1175" s="57"/>
      <c r="P1175" s="91"/>
    </row>
  </sheetData>
  <autoFilter ref="A14:P75" xr:uid="{00000000-0009-0000-0000-000001000000}"/>
  <mergeCells count="34">
    <mergeCell ref="A73:N73"/>
    <mergeCell ref="A74:N74"/>
    <mergeCell ref="J11:J13"/>
    <mergeCell ref="K11:K13"/>
    <mergeCell ref="L11:L13"/>
    <mergeCell ref="M11:M13"/>
    <mergeCell ref="N11:N13"/>
    <mergeCell ref="D11:D13"/>
    <mergeCell ref="A11:A13"/>
    <mergeCell ref="E11:H11"/>
    <mergeCell ref="I11:I13"/>
    <mergeCell ref="B11:B13"/>
    <mergeCell ref="C11:C13"/>
    <mergeCell ref="L87:O87"/>
    <mergeCell ref="L88:O88"/>
    <mergeCell ref="L89:O89"/>
    <mergeCell ref="A75:N75"/>
    <mergeCell ref="N78:O78"/>
    <mergeCell ref="B3:B4"/>
    <mergeCell ref="C3:P3"/>
    <mergeCell ref="C4:P4"/>
    <mergeCell ref="C5:P5"/>
    <mergeCell ref="A6:P6"/>
    <mergeCell ref="P11:P13"/>
    <mergeCell ref="E13:F13"/>
    <mergeCell ref="G13:H13"/>
    <mergeCell ref="N10:P10"/>
    <mergeCell ref="C2:P2"/>
    <mergeCell ref="A7:L7"/>
    <mergeCell ref="A8:L8"/>
    <mergeCell ref="A9:L9"/>
    <mergeCell ref="A10:B10"/>
    <mergeCell ref="C10:L10"/>
    <mergeCell ref="O11:O13"/>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171"/>
  <sheetViews>
    <sheetView topLeftCell="A62" zoomScale="90" zoomScaleNormal="90" workbookViewId="0">
      <selection activeCell="R69" sqref="R69"/>
    </sheetView>
  </sheetViews>
  <sheetFormatPr defaultColWidth="7.5546875" defaultRowHeight="15.6"/>
  <cols>
    <col min="1" max="1" width="4.109375" style="9" customWidth="1"/>
    <col min="2" max="2" width="44.88671875" style="92" customWidth="1"/>
    <col min="3" max="3" width="14.33203125" style="93" customWidth="1"/>
    <col min="4" max="4" width="9.5546875" style="93" customWidth="1"/>
    <col min="5" max="5" width="5.6640625" style="93" customWidth="1"/>
    <col min="6" max="6" width="5.5546875" style="93" customWidth="1"/>
    <col min="7" max="9" width="5.6640625" style="93" customWidth="1"/>
    <col min="10" max="10" width="4" style="93" customWidth="1"/>
    <col min="11" max="11" width="5" style="94" customWidth="1"/>
    <col min="12" max="12" width="4.5546875" style="95" customWidth="1"/>
    <col min="13" max="13" width="8" style="96" customWidth="1"/>
    <col min="14" max="14" width="13" style="97" customWidth="1"/>
    <col min="15" max="15" width="14" style="98" customWidth="1"/>
    <col min="16" max="16" width="38" style="99" customWidth="1"/>
    <col min="17" max="17" width="18" style="9" customWidth="1"/>
    <col min="18" max="18" width="17.109375" style="9" customWidth="1"/>
    <col min="19" max="16384" width="7.5546875" style="9"/>
  </cols>
  <sheetData>
    <row r="1" spans="1:18" ht="6.75" customHeight="1">
      <c r="A1" s="1"/>
      <c r="B1" s="101"/>
      <c r="C1" s="2"/>
      <c r="D1" s="2"/>
      <c r="E1" s="2"/>
      <c r="F1" s="2"/>
      <c r="G1" s="2"/>
      <c r="H1" s="2"/>
      <c r="I1" s="2"/>
      <c r="J1" s="2"/>
      <c r="K1" s="3"/>
      <c r="L1" s="4"/>
      <c r="M1" s="5"/>
      <c r="N1" s="6"/>
      <c r="O1" s="7"/>
      <c r="P1" s="8"/>
    </row>
    <row r="2" spans="1:18" ht="15">
      <c r="A2" s="1"/>
      <c r="B2" s="10"/>
      <c r="C2" s="122" t="s">
        <v>75</v>
      </c>
      <c r="D2" s="122"/>
      <c r="E2" s="122"/>
      <c r="F2" s="122"/>
      <c r="G2" s="122"/>
      <c r="H2" s="122"/>
      <c r="I2" s="122"/>
      <c r="J2" s="122"/>
      <c r="K2" s="122"/>
      <c r="L2" s="122"/>
      <c r="M2" s="122"/>
      <c r="N2" s="122"/>
      <c r="O2" s="122"/>
      <c r="P2" s="122"/>
    </row>
    <row r="3" spans="1:18" ht="15">
      <c r="A3" s="1"/>
      <c r="B3" s="123"/>
      <c r="C3" s="124" t="s">
        <v>76</v>
      </c>
      <c r="D3" s="124"/>
      <c r="E3" s="124"/>
      <c r="F3" s="124"/>
      <c r="G3" s="124"/>
      <c r="H3" s="124"/>
      <c r="I3" s="124"/>
      <c r="J3" s="124"/>
      <c r="K3" s="124"/>
      <c r="L3" s="124"/>
      <c r="M3" s="124"/>
      <c r="N3" s="124"/>
      <c r="O3" s="124"/>
      <c r="P3" s="124"/>
    </row>
    <row r="4" spans="1:18" ht="15">
      <c r="A4" s="1"/>
      <c r="B4" s="123"/>
      <c r="C4" s="124" t="s">
        <v>77</v>
      </c>
      <c r="D4" s="124"/>
      <c r="E4" s="124"/>
      <c r="F4" s="124"/>
      <c r="G4" s="124"/>
      <c r="H4" s="124"/>
      <c r="I4" s="124"/>
      <c r="J4" s="124"/>
      <c r="K4" s="124"/>
      <c r="L4" s="124"/>
      <c r="M4" s="124"/>
      <c r="N4" s="124"/>
      <c r="O4" s="124"/>
      <c r="P4" s="124"/>
    </row>
    <row r="5" spans="1:18" ht="15">
      <c r="A5" s="11"/>
      <c r="B5" s="12"/>
      <c r="C5" s="125" t="s">
        <v>78</v>
      </c>
      <c r="D5" s="125"/>
      <c r="E5" s="125"/>
      <c r="F5" s="125"/>
      <c r="G5" s="125"/>
      <c r="H5" s="125"/>
      <c r="I5" s="125"/>
      <c r="J5" s="125"/>
      <c r="K5" s="125"/>
      <c r="L5" s="125"/>
      <c r="M5" s="125"/>
      <c r="N5" s="125"/>
      <c r="O5" s="125"/>
      <c r="P5" s="125"/>
    </row>
    <row r="6" spans="1:18" s="13" customFormat="1" ht="30" customHeight="1">
      <c r="A6" s="126" t="s">
        <v>79</v>
      </c>
      <c r="B6" s="126"/>
      <c r="C6" s="126"/>
      <c r="D6" s="126"/>
      <c r="E6" s="126"/>
      <c r="F6" s="126"/>
      <c r="G6" s="126"/>
      <c r="H6" s="126"/>
      <c r="I6" s="126"/>
      <c r="J6" s="126"/>
      <c r="K6" s="126"/>
      <c r="L6" s="126"/>
      <c r="M6" s="126"/>
      <c r="N6" s="126"/>
      <c r="O6" s="126"/>
      <c r="P6" s="126"/>
    </row>
    <row r="7" spans="1:18" s="13" customFormat="1" ht="39" customHeight="1">
      <c r="A7" s="127" t="s">
        <v>135</v>
      </c>
      <c r="B7" s="128"/>
      <c r="C7" s="128"/>
      <c r="D7" s="128"/>
      <c r="E7" s="128"/>
      <c r="F7" s="128"/>
      <c r="G7" s="128"/>
      <c r="H7" s="128"/>
      <c r="I7" s="128"/>
      <c r="J7" s="128"/>
      <c r="K7" s="128"/>
      <c r="L7" s="129"/>
      <c r="M7" s="14" t="s">
        <v>80</v>
      </c>
      <c r="N7" s="15"/>
      <c r="O7" s="16"/>
      <c r="P7" s="17" t="s">
        <v>141</v>
      </c>
    </row>
    <row r="8" spans="1:18" s="13" customFormat="1" ht="18.75" customHeight="1">
      <c r="A8" s="127" t="s">
        <v>0</v>
      </c>
      <c r="B8" s="128"/>
      <c r="C8" s="128"/>
      <c r="D8" s="128"/>
      <c r="E8" s="128"/>
      <c r="F8" s="128"/>
      <c r="G8" s="128"/>
      <c r="H8" s="128"/>
      <c r="I8" s="128"/>
      <c r="J8" s="128"/>
      <c r="K8" s="128"/>
      <c r="L8" s="129"/>
      <c r="M8" s="14" t="s">
        <v>81</v>
      </c>
      <c r="N8" s="18"/>
      <c r="O8" s="18"/>
      <c r="P8" s="19" t="s">
        <v>82</v>
      </c>
    </row>
    <row r="9" spans="1:18" s="13" customFormat="1" ht="18.75" customHeight="1">
      <c r="A9" s="127" t="s">
        <v>83</v>
      </c>
      <c r="B9" s="128"/>
      <c r="C9" s="128"/>
      <c r="D9" s="128"/>
      <c r="E9" s="128"/>
      <c r="F9" s="128"/>
      <c r="G9" s="128"/>
      <c r="H9" s="128"/>
      <c r="I9" s="128"/>
      <c r="J9" s="128"/>
      <c r="K9" s="128"/>
      <c r="L9" s="129"/>
      <c r="M9" s="14" t="s">
        <v>84</v>
      </c>
      <c r="N9" s="15"/>
      <c r="O9" s="16"/>
      <c r="P9" s="20" t="s">
        <v>85</v>
      </c>
    </row>
    <row r="10" spans="1:18" s="13" customFormat="1" ht="28.5" customHeight="1">
      <c r="A10" s="127" t="s">
        <v>86</v>
      </c>
      <c r="B10" s="128"/>
      <c r="C10" s="127" t="s">
        <v>1</v>
      </c>
      <c r="D10" s="128"/>
      <c r="E10" s="128"/>
      <c r="F10" s="128"/>
      <c r="G10" s="128"/>
      <c r="H10" s="128"/>
      <c r="I10" s="128"/>
      <c r="J10" s="128"/>
      <c r="K10" s="128"/>
      <c r="L10" s="129"/>
      <c r="M10" s="21" t="s">
        <v>87</v>
      </c>
      <c r="N10" s="119" t="s">
        <v>142</v>
      </c>
      <c r="O10" s="120"/>
      <c r="P10" s="121"/>
    </row>
    <row r="11" spans="1:18" s="13" customFormat="1" ht="12.75" customHeight="1">
      <c r="A11" s="147" t="s">
        <v>88</v>
      </c>
      <c r="B11" s="147" t="s">
        <v>89</v>
      </c>
      <c r="C11" s="148" t="s">
        <v>90</v>
      </c>
      <c r="D11" s="148" t="s">
        <v>2</v>
      </c>
      <c r="E11" s="157" t="s">
        <v>91</v>
      </c>
      <c r="F11" s="157"/>
      <c r="G11" s="157"/>
      <c r="H11" s="157"/>
      <c r="I11" s="146" t="s">
        <v>92</v>
      </c>
      <c r="J11" s="146" t="s">
        <v>93</v>
      </c>
      <c r="K11" s="148" t="s">
        <v>94</v>
      </c>
      <c r="L11" s="150" t="s">
        <v>95</v>
      </c>
      <c r="M11" s="152" t="s">
        <v>96</v>
      </c>
      <c r="N11" s="154" t="s">
        <v>97</v>
      </c>
      <c r="O11" s="154" t="s">
        <v>98</v>
      </c>
      <c r="P11" s="116" t="s">
        <v>99</v>
      </c>
    </row>
    <row r="12" spans="1:18" s="13" customFormat="1" ht="27" customHeight="1">
      <c r="A12" s="156"/>
      <c r="B12" s="156"/>
      <c r="C12" s="149"/>
      <c r="D12" s="149" t="s">
        <v>2</v>
      </c>
      <c r="E12" s="22" t="s">
        <v>100</v>
      </c>
      <c r="F12" s="22" t="s">
        <v>101</v>
      </c>
      <c r="G12" s="22" t="s">
        <v>102</v>
      </c>
      <c r="H12" s="22" t="s">
        <v>103</v>
      </c>
      <c r="I12" s="146"/>
      <c r="J12" s="146"/>
      <c r="K12" s="149"/>
      <c r="L12" s="151"/>
      <c r="M12" s="153"/>
      <c r="N12" s="155"/>
      <c r="O12" s="155"/>
      <c r="P12" s="117"/>
    </row>
    <row r="13" spans="1:18" s="13" customFormat="1" ht="13.8">
      <c r="A13" s="156"/>
      <c r="B13" s="156"/>
      <c r="C13" s="149"/>
      <c r="D13" s="149"/>
      <c r="E13" s="118" t="s">
        <v>104</v>
      </c>
      <c r="F13" s="118"/>
      <c r="G13" s="118" t="s">
        <v>105</v>
      </c>
      <c r="H13" s="118"/>
      <c r="I13" s="147"/>
      <c r="J13" s="147"/>
      <c r="K13" s="149"/>
      <c r="L13" s="151"/>
      <c r="M13" s="153"/>
      <c r="N13" s="155"/>
      <c r="O13" s="155"/>
      <c r="P13" s="117"/>
    </row>
    <row r="14" spans="1:18" s="13" customFormat="1" ht="13.8">
      <c r="A14" s="23"/>
      <c r="B14" s="23"/>
      <c r="C14" s="24"/>
      <c r="D14" s="24"/>
      <c r="E14" s="25"/>
      <c r="F14" s="25"/>
      <c r="G14" s="25"/>
      <c r="H14" s="25"/>
      <c r="I14" s="23"/>
      <c r="J14" s="23"/>
      <c r="K14" s="24"/>
      <c r="L14" s="26"/>
      <c r="M14" s="27"/>
      <c r="N14" s="28"/>
      <c r="O14" s="28"/>
      <c r="P14" s="29"/>
    </row>
    <row r="15" spans="1:18" s="30" customFormat="1" ht="79.2">
      <c r="A15" s="31" t="s">
        <v>5</v>
      </c>
      <c r="B15" s="34" t="s">
        <v>143</v>
      </c>
      <c r="C15" s="31" t="s">
        <v>5</v>
      </c>
      <c r="D15" s="31" t="s">
        <v>106</v>
      </c>
      <c r="E15" s="31">
        <v>4500</v>
      </c>
      <c r="F15" s="31">
        <v>800</v>
      </c>
      <c r="G15" s="31">
        <v>4450</v>
      </c>
      <c r="H15" s="31">
        <v>750</v>
      </c>
      <c r="I15" s="31"/>
      <c r="J15" s="31"/>
      <c r="K15" s="31"/>
      <c r="L15" s="31" t="s">
        <v>7</v>
      </c>
      <c r="M15" s="35">
        <v>57</v>
      </c>
      <c r="N15" s="32">
        <v>4468200</v>
      </c>
      <c r="O15" s="32">
        <f>N15*M15</f>
        <v>254687400</v>
      </c>
      <c r="P15" s="33" t="s">
        <v>144</v>
      </c>
      <c r="Q15" s="30">
        <v>4490000</v>
      </c>
      <c r="R15" s="30">
        <f>Q15*M15</f>
        <v>255930000</v>
      </c>
    </row>
    <row r="16" spans="1:18" s="30" customFormat="1" ht="79.2">
      <c r="A16" s="31" t="s">
        <v>5</v>
      </c>
      <c r="B16" s="34" t="s">
        <v>145</v>
      </c>
      <c r="C16" s="31" t="s">
        <v>5</v>
      </c>
      <c r="D16" s="31" t="s">
        <v>106</v>
      </c>
      <c r="E16" s="31">
        <v>2000</v>
      </c>
      <c r="F16" s="31">
        <v>2000</v>
      </c>
      <c r="G16" s="31">
        <f>E16-50</f>
        <v>1950</v>
      </c>
      <c r="H16" s="31">
        <f>F16-50</f>
        <v>1950</v>
      </c>
      <c r="I16" s="31"/>
      <c r="J16" s="31"/>
      <c r="K16" s="31"/>
      <c r="L16" s="31" t="s">
        <v>7</v>
      </c>
      <c r="M16" s="35">
        <v>11</v>
      </c>
      <c r="N16" s="32">
        <v>4725600</v>
      </c>
      <c r="O16" s="32">
        <f t="shared" ref="O16:O66" si="0">N16*M16</f>
        <v>51981600</v>
      </c>
      <c r="P16" s="33" t="s">
        <v>146</v>
      </c>
      <c r="Q16" s="30">
        <v>4890000</v>
      </c>
      <c r="R16" s="30">
        <f t="shared" ref="R16:R67" si="1">Q16*M16</f>
        <v>53790000</v>
      </c>
    </row>
    <row r="17" spans="1:18" s="30" customFormat="1" ht="79.2">
      <c r="A17" s="31" t="s">
        <v>5</v>
      </c>
      <c r="B17" s="34" t="s">
        <v>147</v>
      </c>
      <c r="C17" s="31" t="s">
        <v>5</v>
      </c>
      <c r="D17" s="31" t="s">
        <v>106</v>
      </c>
      <c r="E17" s="31">
        <v>2000</v>
      </c>
      <c r="F17" s="31">
        <v>1000</v>
      </c>
      <c r="G17" s="31">
        <v>1950</v>
      </c>
      <c r="H17" s="31">
        <v>950</v>
      </c>
      <c r="I17" s="31"/>
      <c r="J17" s="31"/>
      <c r="K17" s="31"/>
      <c r="L17" s="31" t="s">
        <v>7</v>
      </c>
      <c r="M17" s="35">
        <v>7</v>
      </c>
      <c r="N17" s="32">
        <v>2435400</v>
      </c>
      <c r="O17" s="32">
        <f t="shared" si="0"/>
        <v>17047800</v>
      </c>
      <c r="P17" s="33" t="s">
        <v>146</v>
      </c>
      <c r="Q17" s="30">
        <v>2450000</v>
      </c>
      <c r="R17" s="30">
        <f t="shared" si="1"/>
        <v>17150000</v>
      </c>
    </row>
    <row r="18" spans="1:18" s="30" customFormat="1" ht="79.2">
      <c r="A18" s="31" t="s">
        <v>5</v>
      </c>
      <c r="B18" s="34" t="s">
        <v>148</v>
      </c>
      <c r="C18" s="31" t="s">
        <v>5</v>
      </c>
      <c r="D18" s="31" t="s">
        <v>106</v>
      </c>
      <c r="E18" s="31">
        <v>1500</v>
      </c>
      <c r="F18" s="31">
        <v>1500</v>
      </c>
      <c r="G18" s="31">
        <v>1450</v>
      </c>
      <c r="H18" s="31">
        <v>1450</v>
      </c>
      <c r="I18" s="31"/>
      <c r="J18" s="31"/>
      <c r="K18" s="31"/>
      <c r="L18" s="31" t="s">
        <v>7</v>
      </c>
      <c r="M18" s="35">
        <v>54</v>
      </c>
      <c r="N18" s="32">
        <v>2708200</v>
      </c>
      <c r="O18" s="32">
        <f t="shared" si="0"/>
        <v>146242800</v>
      </c>
      <c r="P18" s="33" t="s">
        <v>146</v>
      </c>
      <c r="Q18" s="30">
        <v>2860000</v>
      </c>
      <c r="R18" s="30">
        <f t="shared" si="1"/>
        <v>154440000</v>
      </c>
    </row>
    <row r="19" spans="1:18" s="30" customFormat="1" ht="79.2">
      <c r="A19" s="31" t="s">
        <v>5</v>
      </c>
      <c r="B19" s="34" t="s">
        <v>149</v>
      </c>
      <c r="C19" s="31" t="s">
        <v>5</v>
      </c>
      <c r="D19" s="31" t="s">
        <v>106</v>
      </c>
      <c r="E19" s="31">
        <v>1000</v>
      </c>
      <c r="F19" s="31">
        <v>1000</v>
      </c>
      <c r="G19" s="31">
        <v>950</v>
      </c>
      <c r="H19" s="31">
        <v>950</v>
      </c>
      <c r="I19" s="31"/>
      <c r="J19" s="31"/>
      <c r="K19" s="31"/>
      <c r="L19" s="31" t="s">
        <v>7</v>
      </c>
      <c r="M19" s="35">
        <v>12</v>
      </c>
      <c r="N19" s="32">
        <v>1250700</v>
      </c>
      <c r="O19" s="32">
        <f t="shared" si="0"/>
        <v>15008400</v>
      </c>
      <c r="P19" s="33" t="s">
        <v>146</v>
      </c>
      <c r="Q19" s="30">
        <v>1320000</v>
      </c>
      <c r="R19" s="30">
        <f t="shared" si="1"/>
        <v>15840000</v>
      </c>
    </row>
    <row r="20" spans="1:18" s="30" customFormat="1" ht="79.2">
      <c r="A20" s="31" t="s">
        <v>5</v>
      </c>
      <c r="B20" s="34" t="s">
        <v>150</v>
      </c>
      <c r="C20" s="31" t="s">
        <v>5</v>
      </c>
      <c r="D20" s="31" t="s">
        <v>106</v>
      </c>
      <c r="E20" s="31">
        <v>1000</v>
      </c>
      <c r="F20" s="31">
        <v>700</v>
      </c>
      <c r="G20" s="31">
        <f>E20-50</f>
        <v>950</v>
      </c>
      <c r="H20" s="31">
        <f>F20-50</f>
        <v>650</v>
      </c>
      <c r="I20" s="31"/>
      <c r="J20" s="31"/>
      <c r="K20" s="31"/>
      <c r="L20" s="31" t="s">
        <v>7</v>
      </c>
      <c r="M20" s="35">
        <v>2</v>
      </c>
      <c r="N20" s="32">
        <v>880000.00000000012</v>
      </c>
      <c r="O20" s="32">
        <f t="shared" si="0"/>
        <v>1760000.0000000002</v>
      </c>
      <c r="P20" s="33" t="s">
        <v>146</v>
      </c>
      <c r="Q20" s="30">
        <v>920000</v>
      </c>
      <c r="R20" s="30">
        <f t="shared" si="1"/>
        <v>1840000</v>
      </c>
    </row>
    <row r="21" spans="1:18" s="30" customFormat="1" ht="52.8">
      <c r="A21" s="31" t="s">
        <v>21</v>
      </c>
      <c r="B21" s="34" t="s">
        <v>22</v>
      </c>
      <c r="C21" s="31" t="s">
        <v>107</v>
      </c>
      <c r="D21" s="31" t="s">
        <v>106</v>
      </c>
      <c r="E21" s="31">
        <v>1200</v>
      </c>
      <c r="F21" s="31">
        <v>600</v>
      </c>
      <c r="G21" s="31">
        <v>1150</v>
      </c>
      <c r="H21" s="31">
        <v>550</v>
      </c>
      <c r="I21" s="31"/>
      <c r="J21" s="31"/>
      <c r="K21" s="31"/>
      <c r="L21" s="31" t="s">
        <v>7</v>
      </c>
      <c r="M21" s="35">
        <v>140</v>
      </c>
      <c r="N21" s="102">
        <v>1051600</v>
      </c>
      <c r="O21" s="32">
        <f t="shared" si="0"/>
        <v>147224000</v>
      </c>
      <c r="P21" s="33" t="s">
        <v>126</v>
      </c>
      <c r="Q21" s="30">
        <v>1230000</v>
      </c>
      <c r="R21" s="30">
        <f t="shared" si="1"/>
        <v>172200000</v>
      </c>
    </row>
    <row r="22" spans="1:18" s="30" customFormat="1" ht="52.8">
      <c r="A22" s="31" t="s">
        <v>21</v>
      </c>
      <c r="B22" s="34" t="s">
        <v>23</v>
      </c>
      <c r="C22" s="31" t="s">
        <v>107</v>
      </c>
      <c r="D22" s="31" t="s">
        <v>106</v>
      </c>
      <c r="E22" s="31">
        <v>600</v>
      </c>
      <c r="F22" s="31">
        <v>600</v>
      </c>
      <c r="G22" s="31">
        <v>550</v>
      </c>
      <c r="H22" s="31">
        <v>550</v>
      </c>
      <c r="I22" s="31"/>
      <c r="J22" s="31"/>
      <c r="K22" s="31"/>
      <c r="L22" s="31" t="s">
        <v>7</v>
      </c>
      <c r="M22" s="35">
        <v>14</v>
      </c>
      <c r="N22" s="102">
        <v>556600</v>
      </c>
      <c r="O22" s="32">
        <f t="shared" si="0"/>
        <v>7792400</v>
      </c>
      <c r="P22" s="33" t="s">
        <v>126</v>
      </c>
      <c r="Q22" s="30">
        <v>590000</v>
      </c>
      <c r="R22" s="30">
        <f t="shared" si="1"/>
        <v>8260000</v>
      </c>
    </row>
    <row r="23" spans="1:18" s="30" customFormat="1" ht="39.6">
      <c r="A23" s="31" t="s">
        <v>21</v>
      </c>
      <c r="B23" s="34" t="s">
        <v>151</v>
      </c>
      <c r="C23" s="31" t="s">
        <v>107</v>
      </c>
      <c r="D23" s="31" t="s">
        <v>106</v>
      </c>
      <c r="E23" s="31">
        <v>500</v>
      </c>
      <c r="F23" s="31">
        <v>500</v>
      </c>
      <c r="G23" s="31">
        <v>450</v>
      </c>
      <c r="H23" s="31">
        <v>450</v>
      </c>
      <c r="I23" s="31"/>
      <c r="J23" s="31"/>
      <c r="K23" s="31"/>
      <c r="L23" s="31" t="s">
        <v>39</v>
      </c>
      <c r="M23" s="35">
        <v>32</v>
      </c>
      <c r="N23" s="102">
        <v>408100.00000000006</v>
      </c>
      <c r="O23" s="32">
        <f t="shared" si="0"/>
        <v>13059200.000000002</v>
      </c>
      <c r="P23" s="33" t="s">
        <v>126</v>
      </c>
      <c r="Q23" s="30">
        <v>530000</v>
      </c>
      <c r="R23" s="30">
        <f t="shared" si="1"/>
        <v>16960000</v>
      </c>
    </row>
    <row r="24" spans="1:18" s="30" customFormat="1" ht="52.8">
      <c r="A24" s="31" t="s">
        <v>24</v>
      </c>
      <c r="B24" s="34" t="s">
        <v>25</v>
      </c>
      <c r="C24" s="31"/>
      <c r="D24" s="31"/>
      <c r="E24" s="31"/>
      <c r="F24" s="31"/>
      <c r="G24" s="31"/>
      <c r="H24" s="31"/>
      <c r="I24" s="31"/>
      <c r="J24" s="31"/>
      <c r="K24" s="31"/>
      <c r="L24" s="31" t="s">
        <v>26</v>
      </c>
      <c r="M24" s="35">
        <v>1696</v>
      </c>
      <c r="N24" s="32"/>
      <c r="O24" s="32">
        <f t="shared" si="0"/>
        <v>0</v>
      </c>
      <c r="P24" s="33"/>
      <c r="R24" s="30">
        <f t="shared" si="1"/>
        <v>0</v>
      </c>
    </row>
    <row r="25" spans="1:18" s="30" customFormat="1" ht="52.8">
      <c r="A25" s="31" t="s">
        <v>24</v>
      </c>
      <c r="B25" s="34" t="s">
        <v>152</v>
      </c>
      <c r="C25" s="31"/>
      <c r="D25" s="31"/>
      <c r="E25" s="31"/>
      <c r="F25" s="31"/>
      <c r="G25" s="31"/>
      <c r="H25" s="31"/>
      <c r="I25" s="31"/>
      <c r="J25" s="31"/>
      <c r="K25" s="31"/>
      <c r="L25" s="31" t="s">
        <v>26</v>
      </c>
      <c r="M25" s="35">
        <v>791</v>
      </c>
      <c r="N25" s="32"/>
      <c r="O25" s="32">
        <f t="shared" si="0"/>
        <v>0</v>
      </c>
      <c r="P25" s="33"/>
      <c r="R25" s="30">
        <f t="shared" si="1"/>
        <v>0</v>
      </c>
    </row>
    <row r="26" spans="1:18" s="30" customFormat="1" ht="52.8">
      <c r="A26" s="31" t="s">
        <v>24</v>
      </c>
      <c r="B26" s="34" t="s">
        <v>27</v>
      </c>
      <c r="C26" s="31"/>
      <c r="D26" s="31"/>
      <c r="E26" s="31"/>
      <c r="F26" s="31"/>
      <c r="G26" s="31"/>
      <c r="H26" s="31"/>
      <c r="I26" s="31"/>
      <c r="J26" s="31"/>
      <c r="K26" s="31"/>
      <c r="L26" s="31" t="s">
        <v>26</v>
      </c>
      <c r="M26" s="35">
        <v>118</v>
      </c>
      <c r="N26" s="32"/>
      <c r="O26" s="32">
        <f t="shared" si="0"/>
        <v>0</v>
      </c>
      <c r="P26" s="33"/>
      <c r="R26" s="30">
        <f t="shared" si="1"/>
        <v>0</v>
      </c>
    </row>
    <row r="27" spans="1:18" s="30" customFormat="1" ht="52.8">
      <c r="A27" s="31" t="s">
        <v>24</v>
      </c>
      <c r="B27" s="34" t="s">
        <v>153</v>
      </c>
      <c r="C27" s="31"/>
      <c r="D27" s="31"/>
      <c r="E27" s="31"/>
      <c r="F27" s="31"/>
      <c r="G27" s="31"/>
      <c r="H27" s="31"/>
      <c r="I27" s="31"/>
      <c r="J27" s="31"/>
      <c r="K27" s="31"/>
      <c r="L27" s="31" t="s">
        <v>26</v>
      </c>
      <c r="M27" s="35">
        <v>523</v>
      </c>
      <c r="N27" s="32"/>
      <c r="O27" s="32">
        <f t="shared" si="0"/>
        <v>0</v>
      </c>
      <c r="P27" s="33"/>
      <c r="R27" s="30">
        <f t="shared" si="1"/>
        <v>0</v>
      </c>
    </row>
    <row r="28" spans="1:18" s="30" customFormat="1" ht="92.4">
      <c r="A28" s="31" t="s">
        <v>24</v>
      </c>
      <c r="B28" s="34" t="s">
        <v>154</v>
      </c>
      <c r="C28" s="31"/>
      <c r="D28" s="31"/>
      <c r="E28" s="31"/>
      <c r="F28" s="31"/>
      <c r="G28" s="31"/>
      <c r="H28" s="31"/>
      <c r="I28" s="31"/>
      <c r="J28" s="31"/>
      <c r="K28" s="31"/>
      <c r="L28" s="31" t="s">
        <v>26</v>
      </c>
      <c r="M28" s="35">
        <v>4369</v>
      </c>
      <c r="N28" s="32"/>
      <c r="O28" s="32">
        <f t="shared" si="0"/>
        <v>0</v>
      </c>
      <c r="P28" s="33"/>
      <c r="R28" s="30">
        <f t="shared" si="1"/>
        <v>0</v>
      </c>
    </row>
    <row r="29" spans="1:18" s="30" customFormat="1" ht="79.2">
      <c r="A29" s="31" t="s">
        <v>24</v>
      </c>
      <c r="B29" s="34" t="s">
        <v>155</v>
      </c>
      <c r="C29" s="31"/>
      <c r="D29" s="31"/>
      <c r="E29" s="31"/>
      <c r="F29" s="31"/>
      <c r="G29" s="31"/>
      <c r="H29" s="31"/>
      <c r="I29" s="31"/>
      <c r="J29" s="31"/>
      <c r="K29" s="31"/>
      <c r="L29" s="31" t="s">
        <v>26</v>
      </c>
      <c r="M29" s="35">
        <v>275</v>
      </c>
      <c r="N29" s="32"/>
      <c r="O29" s="32">
        <f t="shared" si="0"/>
        <v>0</v>
      </c>
      <c r="P29" s="33"/>
      <c r="R29" s="30">
        <f t="shared" si="1"/>
        <v>0</v>
      </c>
    </row>
    <row r="30" spans="1:18" s="30" customFormat="1" ht="79.2">
      <c r="A30" s="31" t="s">
        <v>24</v>
      </c>
      <c r="B30" s="34" t="s">
        <v>156</v>
      </c>
      <c r="C30" s="31"/>
      <c r="D30" s="31"/>
      <c r="E30" s="31"/>
      <c r="F30" s="31"/>
      <c r="G30" s="31"/>
      <c r="H30" s="31"/>
      <c r="I30" s="31"/>
      <c r="J30" s="31"/>
      <c r="K30" s="31"/>
      <c r="L30" s="31" t="s">
        <v>26</v>
      </c>
      <c r="M30" s="35">
        <v>3185</v>
      </c>
      <c r="N30" s="32"/>
      <c r="O30" s="32">
        <f t="shared" si="0"/>
        <v>0</v>
      </c>
      <c r="P30" s="33"/>
      <c r="R30" s="30">
        <f t="shared" si="1"/>
        <v>0</v>
      </c>
    </row>
    <row r="31" spans="1:18" s="30" customFormat="1" ht="79.2">
      <c r="A31" s="31" t="s">
        <v>24</v>
      </c>
      <c r="B31" s="34" t="s">
        <v>157</v>
      </c>
      <c r="C31" s="31"/>
      <c r="D31" s="31"/>
      <c r="E31" s="31"/>
      <c r="F31" s="31"/>
      <c r="G31" s="31"/>
      <c r="H31" s="31"/>
      <c r="I31" s="31"/>
      <c r="J31" s="31"/>
      <c r="K31" s="31"/>
      <c r="L31" s="31" t="s">
        <v>26</v>
      </c>
      <c r="M31" s="35">
        <v>4557</v>
      </c>
      <c r="N31" s="32"/>
      <c r="O31" s="32">
        <f t="shared" si="0"/>
        <v>0</v>
      </c>
      <c r="P31" s="33"/>
      <c r="R31" s="30">
        <f t="shared" si="1"/>
        <v>0</v>
      </c>
    </row>
    <row r="32" spans="1:18" s="30" customFormat="1" ht="79.2">
      <c r="A32" s="31" t="s">
        <v>24</v>
      </c>
      <c r="B32" s="34" t="s">
        <v>158</v>
      </c>
      <c r="C32" s="31"/>
      <c r="D32" s="31"/>
      <c r="E32" s="31"/>
      <c r="F32" s="31"/>
      <c r="G32" s="31"/>
      <c r="H32" s="31"/>
      <c r="I32" s="31"/>
      <c r="J32" s="31"/>
      <c r="K32" s="31"/>
      <c r="L32" s="31" t="s">
        <v>26</v>
      </c>
      <c r="M32" s="35">
        <v>31</v>
      </c>
      <c r="N32" s="32"/>
      <c r="O32" s="32">
        <f t="shared" si="0"/>
        <v>0</v>
      </c>
      <c r="P32" s="33"/>
      <c r="R32" s="30">
        <f t="shared" si="1"/>
        <v>0</v>
      </c>
    </row>
    <row r="33" spans="1:18" s="30" customFormat="1" ht="79.2">
      <c r="A33" s="31" t="s">
        <v>24</v>
      </c>
      <c r="B33" s="34" t="s">
        <v>159</v>
      </c>
      <c r="C33" s="31"/>
      <c r="D33" s="31"/>
      <c r="E33" s="31"/>
      <c r="F33" s="31"/>
      <c r="G33" s="31"/>
      <c r="H33" s="31"/>
      <c r="I33" s="31"/>
      <c r="J33" s="31"/>
      <c r="K33" s="31"/>
      <c r="L33" s="31" t="s">
        <v>26</v>
      </c>
      <c r="M33" s="35">
        <v>102</v>
      </c>
      <c r="N33" s="32"/>
      <c r="O33" s="32">
        <f t="shared" si="0"/>
        <v>0</v>
      </c>
      <c r="P33" s="33"/>
      <c r="R33" s="30">
        <f t="shared" si="1"/>
        <v>0</v>
      </c>
    </row>
    <row r="34" spans="1:18" s="30" customFormat="1" ht="79.2">
      <c r="A34" s="31" t="s">
        <v>24</v>
      </c>
      <c r="B34" s="34" t="s">
        <v>160</v>
      </c>
      <c r="C34" s="31"/>
      <c r="D34" s="31"/>
      <c r="E34" s="31"/>
      <c r="F34" s="31"/>
      <c r="G34" s="31"/>
      <c r="H34" s="31"/>
      <c r="I34" s="31"/>
      <c r="J34" s="31"/>
      <c r="K34" s="31"/>
      <c r="L34" s="31" t="s">
        <v>26</v>
      </c>
      <c r="M34" s="35">
        <v>571</v>
      </c>
      <c r="N34" s="32"/>
      <c r="O34" s="32">
        <f t="shared" si="0"/>
        <v>0</v>
      </c>
      <c r="P34" s="33"/>
      <c r="R34" s="30">
        <f t="shared" si="1"/>
        <v>0</v>
      </c>
    </row>
    <row r="35" spans="1:18" s="30" customFormat="1" ht="79.2">
      <c r="A35" s="31" t="s">
        <v>24</v>
      </c>
      <c r="B35" s="34" t="s">
        <v>161</v>
      </c>
      <c r="C35" s="31"/>
      <c r="D35" s="31"/>
      <c r="E35" s="31"/>
      <c r="F35" s="31"/>
      <c r="G35" s="31"/>
      <c r="H35" s="31"/>
      <c r="I35" s="31"/>
      <c r="J35" s="31"/>
      <c r="K35" s="31"/>
      <c r="L35" s="31" t="s">
        <v>26</v>
      </c>
      <c r="M35" s="35">
        <v>208</v>
      </c>
      <c r="N35" s="32"/>
      <c r="O35" s="32">
        <f t="shared" si="0"/>
        <v>0</v>
      </c>
      <c r="P35" s="33"/>
      <c r="R35" s="30">
        <f t="shared" si="1"/>
        <v>0</v>
      </c>
    </row>
    <row r="36" spans="1:18" s="30" customFormat="1" ht="79.2">
      <c r="A36" s="31" t="s">
        <v>24</v>
      </c>
      <c r="B36" s="34" t="s">
        <v>162</v>
      </c>
      <c r="C36" s="31"/>
      <c r="D36" s="31"/>
      <c r="E36" s="31"/>
      <c r="F36" s="31"/>
      <c r="G36" s="31"/>
      <c r="H36" s="31"/>
      <c r="I36" s="31"/>
      <c r="J36" s="31"/>
      <c r="K36" s="31"/>
      <c r="L36" s="31" t="s">
        <v>26</v>
      </c>
      <c r="M36" s="35">
        <v>900</v>
      </c>
      <c r="N36" s="32"/>
      <c r="O36" s="32">
        <f t="shared" si="0"/>
        <v>0</v>
      </c>
      <c r="P36" s="33"/>
      <c r="R36" s="30">
        <f t="shared" si="1"/>
        <v>0</v>
      </c>
    </row>
    <row r="37" spans="1:18" s="30" customFormat="1" ht="39.6">
      <c r="A37" s="31" t="s">
        <v>3</v>
      </c>
      <c r="B37" s="34" t="s">
        <v>35</v>
      </c>
      <c r="C37" s="31"/>
      <c r="D37" s="31"/>
      <c r="E37" s="31"/>
      <c r="F37" s="31"/>
      <c r="G37" s="31"/>
      <c r="H37" s="31"/>
      <c r="I37" s="31"/>
      <c r="J37" s="31"/>
      <c r="K37" s="31"/>
      <c r="L37" s="31" t="s">
        <v>36</v>
      </c>
      <c r="M37" s="35">
        <v>1</v>
      </c>
      <c r="N37" s="32"/>
      <c r="O37" s="32">
        <f t="shared" si="0"/>
        <v>0</v>
      </c>
      <c r="P37" s="33"/>
      <c r="R37" s="30">
        <f t="shared" si="1"/>
        <v>0</v>
      </c>
    </row>
    <row r="38" spans="1:18" s="30" customFormat="1" ht="52.8">
      <c r="A38" s="31" t="s">
        <v>37</v>
      </c>
      <c r="B38" s="34" t="s">
        <v>38</v>
      </c>
      <c r="C38" s="31" t="s">
        <v>123</v>
      </c>
      <c r="D38" s="31" t="s">
        <v>106</v>
      </c>
      <c r="E38" s="31">
        <v>2000</v>
      </c>
      <c r="F38" s="31">
        <v>400</v>
      </c>
      <c r="G38" s="31">
        <v>1000</v>
      </c>
      <c r="H38" s="31">
        <v>400</v>
      </c>
      <c r="I38" s="31">
        <v>2</v>
      </c>
      <c r="J38" s="31">
        <v>200</v>
      </c>
      <c r="K38" s="31">
        <v>1.1499999999999999</v>
      </c>
      <c r="L38" s="31" t="s">
        <v>39</v>
      </c>
      <c r="M38" s="35">
        <v>48</v>
      </c>
      <c r="N38" s="32">
        <v>9387821.2268456407</v>
      </c>
      <c r="O38" s="32">
        <f t="shared" si="0"/>
        <v>450615418.88859075</v>
      </c>
      <c r="P38" s="33" t="s">
        <v>128</v>
      </c>
      <c r="Q38" s="30">
        <v>7920000</v>
      </c>
      <c r="R38" s="30">
        <f t="shared" si="1"/>
        <v>380160000</v>
      </c>
    </row>
    <row r="39" spans="1:18" s="30" customFormat="1" ht="52.8">
      <c r="A39" s="31" t="s">
        <v>37</v>
      </c>
      <c r="B39" s="34" t="s">
        <v>163</v>
      </c>
      <c r="C39" s="31" t="s">
        <v>123</v>
      </c>
      <c r="D39" s="31" t="s">
        <v>106</v>
      </c>
      <c r="E39" s="31">
        <v>1200</v>
      </c>
      <c r="F39" s="31">
        <v>400</v>
      </c>
      <c r="G39" s="31"/>
      <c r="H39" s="31"/>
      <c r="I39" s="31"/>
      <c r="J39" s="31">
        <v>200</v>
      </c>
      <c r="K39" s="31">
        <v>1.1499999999999999</v>
      </c>
      <c r="L39" s="31" t="s">
        <v>39</v>
      </c>
      <c r="M39" s="35">
        <v>8</v>
      </c>
      <c r="N39" s="32">
        <v>5123838.4944966454</v>
      </c>
      <c r="O39" s="32">
        <f t="shared" si="0"/>
        <v>40990707.955973163</v>
      </c>
      <c r="P39" s="33" t="s">
        <v>128</v>
      </c>
      <c r="Q39" s="30">
        <v>4300000</v>
      </c>
      <c r="R39" s="30">
        <f t="shared" si="1"/>
        <v>34400000</v>
      </c>
    </row>
    <row r="40" spans="1:18" s="30" customFormat="1" ht="52.8">
      <c r="A40" s="31" t="s">
        <v>37</v>
      </c>
      <c r="B40" s="34" t="s">
        <v>41</v>
      </c>
      <c r="C40" s="31" t="s">
        <v>123</v>
      </c>
      <c r="D40" s="31" t="s">
        <v>106</v>
      </c>
      <c r="E40" s="31">
        <v>1000</v>
      </c>
      <c r="F40" s="31">
        <v>350</v>
      </c>
      <c r="G40" s="31"/>
      <c r="H40" s="31"/>
      <c r="I40" s="31"/>
      <c r="J40" s="31">
        <v>200</v>
      </c>
      <c r="K40" s="31">
        <v>1.1499999999999999</v>
      </c>
      <c r="L40" s="31" t="s">
        <v>39</v>
      </c>
      <c r="M40" s="35">
        <v>7</v>
      </c>
      <c r="N40" s="32">
        <v>4531029.0392617462</v>
      </c>
      <c r="O40" s="32">
        <f t="shared" si="0"/>
        <v>31717203.274832223</v>
      </c>
      <c r="P40" s="33" t="s">
        <v>128</v>
      </c>
      <c r="Q40" s="30">
        <v>4030000</v>
      </c>
      <c r="R40" s="30">
        <f t="shared" si="1"/>
        <v>28210000</v>
      </c>
    </row>
    <row r="41" spans="1:18" s="30" customFormat="1" ht="52.8">
      <c r="A41" s="31" t="s">
        <v>37</v>
      </c>
      <c r="B41" s="34" t="s">
        <v>164</v>
      </c>
      <c r="C41" s="31" t="s">
        <v>123</v>
      </c>
      <c r="D41" s="31" t="s">
        <v>106</v>
      </c>
      <c r="E41" s="31">
        <v>700</v>
      </c>
      <c r="F41" s="31">
        <v>300</v>
      </c>
      <c r="G41" s="31"/>
      <c r="H41" s="31"/>
      <c r="I41" s="31"/>
      <c r="J41" s="31">
        <v>200</v>
      </c>
      <c r="K41" s="31">
        <v>1.1499999999999999</v>
      </c>
      <c r="L41" s="31" t="s">
        <v>39</v>
      </c>
      <c r="M41" s="35">
        <v>2</v>
      </c>
      <c r="N41" s="32">
        <v>3678194.2832214767</v>
      </c>
      <c r="O41" s="32">
        <f t="shared" si="0"/>
        <v>7356388.5664429534</v>
      </c>
      <c r="P41" s="33" t="s">
        <v>128</v>
      </c>
      <c r="Q41" s="30">
        <v>3680000</v>
      </c>
      <c r="R41" s="30">
        <f t="shared" si="1"/>
        <v>7360000</v>
      </c>
    </row>
    <row r="42" spans="1:18" s="30" customFormat="1" ht="26.4">
      <c r="A42" s="31" t="s">
        <v>42</v>
      </c>
      <c r="B42" s="34" t="s">
        <v>165</v>
      </c>
      <c r="C42" s="31" t="s">
        <v>42</v>
      </c>
      <c r="D42" s="31" t="s">
        <v>106</v>
      </c>
      <c r="E42" s="31">
        <v>4500</v>
      </c>
      <c r="F42" s="31">
        <v>800</v>
      </c>
      <c r="G42" s="31"/>
      <c r="H42" s="31"/>
      <c r="I42" s="31"/>
      <c r="J42" s="31">
        <v>200</v>
      </c>
      <c r="K42" s="31">
        <v>1.1499999999999999</v>
      </c>
      <c r="L42" s="31" t="s">
        <v>39</v>
      </c>
      <c r="M42" s="35">
        <v>57</v>
      </c>
      <c r="N42" s="32">
        <v>7168875</v>
      </c>
      <c r="O42" s="32">
        <f t="shared" si="0"/>
        <v>408625875</v>
      </c>
      <c r="P42" s="33" t="s">
        <v>129</v>
      </c>
      <c r="Q42" s="30">
        <v>9546000</v>
      </c>
      <c r="R42" s="30">
        <f t="shared" si="1"/>
        <v>544122000</v>
      </c>
    </row>
    <row r="43" spans="1:18" s="30" customFormat="1" ht="26.4">
      <c r="A43" s="31" t="s">
        <v>42</v>
      </c>
      <c r="B43" s="34" t="s">
        <v>166</v>
      </c>
      <c r="C43" s="31" t="s">
        <v>42</v>
      </c>
      <c r="D43" s="31" t="s">
        <v>106</v>
      </c>
      <c r="E43" s="31">
        <v>2000</v>
      </c>
      <c r="F43" s="31">
        <v>2000</v>
      </c>
      <c r="G43" s="31"/>
      <c r="H43" s="31"/>
      <c r="I43" s="31"/>
      <c r="J43" s="31">
        <v>200</v>
      </c>
      <c r="K43" s="31">
        <v>1.1499999999999999</v>
      </c>
      <c r="L43" s="31" t="s">
        <v>39</v>
      </c>
      <c r="M43" s="35">
        <v>11</v>
      </c>
      <c r="N43" s="32">
        <v>6985125</v>
      </c>
      <c r="O43" s="32">
        <f t="shared" si="0"/>
        <v>76836375</v>
      </c>
      <c r="P43" s="33" t="s">
        <v>129</v>
      </c>
      <c r="Q43" s="30">
        <v>9280000</v>
      </c>
      <c r="R43" s="30">
        <f t="shared" si="1"/>
        <v>102080000</v>
      </c>
    </row>
    <row r="44" spans="1:18" s="30" customFormat="1" ht="26.4">
      <c r="A44" s="31" t="s">
        <v>42</v>
      </c>
      <c r="B44" s="34" t="s">
        <v>167</v>
      </c>
      <c r="C44" s="31" t="s">
        <v>42</v>
      </c>
      <c r="D44" s="31" t="s">
        <v>106</v>
      </c>
      <c r="E44" s="31">
        <v>2000</v>
      </c>
      <c r="F44" s="31">
        <v>1000</v>
      </c>
      <c r="G44" s="31"/>
      <c r="H44" s="31"/>
      <c r="I44" s="31"/>
      <c r="J44" s="31">
        <v>200</v>
      </c>
      <c r="K44" s="31">
        <v>1.1499999999999999</v>
      </c>
      <c r="L44" s="31" t="s">
        <v>39</v>
      </c>
      <c r="M44" s="35">
        <v>7</v>
      </c>
      <c r="N44" s="32">
        <v>3903375</v>
      </c>
      <c r="O44" s="32">
        <f t="shared" si="0"/>
        <v>27323625</v>
      </c>
      <c r="P44" s="33" t="s">
        <v>131</v>
      </c>
      <c r="Q44" s="30">
        <v>5060000</v>
      </c>
      <c r="R44" s="30">
        <f t="shared" si="1"/>
        <v>35420000</v>
      </c>
    </row>
    <row r="45" spans="1:18" s="30" customFormat="1" ht="26.4">
      <c r="A45" s="31" t="s">
        <v>42</v>
      </c>
      <c r="B45" s="34" t="s">
        <v>50</v>
      </c>
      <c r="C45" s="31" t="s">
        <v>42</v>
      </c>
      <c r="D45" s="31" t="s">
        <v>106</v>
      </c>
      <c r="E45" s="31">
        <v>1500</v>
      </c>
      <c r="F45" s="31">
        <v>1500</v>
      </c>
      <c r="G45" s="31"/>
      <c r="H45" s="31"/>
      <c r="I45" s="31"/>
      <c r="J45" s="31">
        <v>200</v>
      </c>
      <c r="K45" s="31">
        <v>1.1499999999999999</v>
      </c>
      <c r="L45" s="31" t="s">
        <v>39</v>
      </c>
      <c r="M45" s="35">
        <v>54</v>
      </c>
      <c r="N45" s="32">
        <v>4024125</v>
      </c>
      <c r="O45" s="32">
        <f t="shared" si="0"/>
        <v>217302750</v>
      </c>
      <c r="P45" s="33" t="s">
        <v>131</v>
      </c>
      <c r="Q45" s="30">
        <v>5235000</v>
      </c>
      <c r="R45" s="30">
        <f t="shared" si="1"/>
        <v>282690000</v>
      </c>
    </row>
    <row r="46" spans="1:18" s="30" customFormat="1" ht="26.4">
      <c r="A46" s="31" t="s">
        <v>42</v>
      </c>
      <c r="B46" s="34" t="s">
        <v>52</v>
      </c>
      <c r="C46" s="31" t="s">
        <v>42</v>
      </c>
      <c r="D46" s="31" t="s">
        <v>106</v>
      </c>
      <c r="E46" s="31">
        <v>1000</v>
      </c>
      <c r="F46" s="31">
        <v>1000</v>
      </c>
      <c r="G46" s="31"/>
      <c r="H46" s="31"/>
      <c r="I46" s="31"/>
      <c r="J46" s="31">
        <v>200</v>
      </c>
      <c r="K46" s="31">
        <v>1.1499999999999999</v>
      </c>
      <c r="L46" s="31" t="s">
        <v>39</v>
      </c>
      <c r="M46" s="35">
        <v>12</v>
      </c>
      <c r="N46" s="32">
        <v>2287687.5</v>
      </c>
      <c r="O46" s="32">
        <f t="shared" si="0"/>
        <v>27452250</v>
      </c>
      <c r="P46" s="33" t="s">
        <v>132</v>
      </c>
      <c r="Q46" s="30">
        <v>2740000</v>
      </c>
      <c r="R46" s="30">
        <f t="shared" si="1"/>
        <v>32880000</v>
      </c>
    </row>
    <row r="47" spans="1:18" s="30" customFormat="1" ht="26.4">
      <c r="A47" s="31" t="s">
        <v>42</v>
      </c>
      <c r="B47" s="34" t="s">
        <v>168</v>
      </c>
      <c r="C47" s="31" t="s">
        <v>42</v>
      </c>
      <c r="D47" s="31" t="s">
        <v>106</v>
      </c>
      <c r="E47" s="31">
        <v>1000</v>
      </c>
      <c r="F47" s="31">
        <v>700</v>
      </c>
      <c r="G47" s="31"/>
      <c r="H47" s="31"/>
      <c r="I47" s="31" t="s">
        <v>169</v>
      </c>
      <c r="J47" s="31">
        <v>200</v>
      </c>
      <c r="K47" s="31">
        <v>1.1499999999999999</v>
      </c>
      <c r="L47" s="31" t="s">
        <v>39</v>
      </c>
      <c r="M47" s="35">
        <v>2</v>
      </c>
      <c r="N47" s="32">
        <v>2054062.5</v>
      </c>
      <c r="O47" s="32">
        <f t="shared" si="0"/>
        <v>4108125</v>
      </c>
      <c r="P47" s="33" t="s">
        <v>132</v>
      </c>
      <c r="Q47" s="30">
        <v>2404000</v>
      </c>
      <c r="R47" s="30">
        <f t="shared" si="1"/>
        <v>4808000</v>
      </c>
    </row>
    <row r="48" spans="1:18" s="30" customFormat="1" ht="26.4">
      <c r="A48" s="31" t="s">
        <v>57</v>
      </c>
      <c r="B48" s="34" t="s">
        <v>58</v>
      </c>
      <c r="C48" s="31" t="s">
        <v>57</v>
      </c>
      <c r="D48" s="31" t="s">
        <v>106</v>
      </c>
      <c r="E48" s="31">
        <v>1800</v>
      </c>
      <c r="F48" s="31">
        <v>1500</v>
      </c>
      <c r="G48" s="31"/>
      <c r="H48" s="31"/>
      <c r="I48" s="31"/>
      <c r="J48" s="31">
        <v>200</v>
      </c>
      <c r="K48" s="31">
        <v>1.1499999999999999</v>
      </c>
      <c r="L48" s="31" t="s">
        <v>39</v>
      </c>
      <c r="M48" s="35">
        <v>9</v>
      </c>
      <c r="N48" s="32">
        <v>2523750</v>
      </c>
      <c r="O48" s="32">
        <f t="shared" si="0"/>
        <v>22713750</v>
      </c>
      <c r="P48" s="33" t="s">
        <v>170</v>
      </c>
      <c r="Q48" s="30">
        <v>2436000</v>
      </c>
      <c r="R48" s="30">
        <f t="shared" si="1"/>
        <v>21924000</v>
      </c>
    </row>
    <row r="49" spans="1:18" s="30" customFormat="1" ht="26.4">
      <c r="A49" s="31" t="s">
        <v>57</v>
      </c>
      <c r="B49" s="34" t="s">
        <v>59</v>
      </c>
      <c r="C49" s="31" t="s">
        <v>57</v>
      </c>
      <c r="D49" s="31" t="s">
        <v>106</v>
      </c>
      <c r="E49" s="31">
        <v>1400</v>
      </c>
      <c r="F49" s="31">
        <v>500</v>
      </c>
      <c r="G49" s="31"/>
      <c r="H49" s="31"/>
      <c r="I49" s="31"/>
      <c r="J49" s="31">
        <v>200</v>
      </c>
      <c r="K49" s="31">
        <v>1.1499999999999999</v>
      </c>
      <c r="L49" s="31" t="s">
        <v>39</v>
      </c>
      <c r="M49" s="35">
        <v>7</v>
      </c>
      <c r="N49" s="32">
        <v>1212500</v>
      </c>
      <c r="O49" s="32">
        <f t="shared" si="0"/>
        <v>8487500</v>
      </c>
      <c r="P49" s="33" t="s">
        <v>170</v>
      </c>
      <c r="Q49" s="30">
        <v>1288000</v>
      </c>
      <c r="R49" s="30">
        <f t="shared" si="1"/>
        <v>9016000</v>
      </c>
    </row>
    <row r="50" spans="1:18" s="30" customFormat="1" ht="26.4">
      <c r="A50" s="31" t="s">
        <v>171</v>
      </c>
      <c r="B50" s="34" t="s">
        <v>172</v>
      </c>
      <c r="C50" s="31" t="s">
        <v>171</v>
      </c>
      <c r="D50" s="31" t="s">
        <v>106</v>
      </c>
      <c r="E50" s="31">
        <v>1000</v>
      </c>
      <c r="F50" s="31">
        <v>500</v>
      </c>
      <c r="G50" s="31"/>
      <c r="H50" s="31"/>
      <c r="I50" s="31"/>
      <c r="J50" s="31">
        <v>200</v>
      </c>
      <c r="K50" s="31">
        <v>1.1499999999999999</v>
      </c>
      <c r="L50" s="31" t="s">
        <v>39</v>
      </c>
      <c r="M50" s="35">
        <v>32</v>
      </c>
      <c r="N50" s="32">
        <v>1153450</v>
      </c>
      <c r="O50" s="32">
        <f t="shared" si="0"/>
        <v>36910400</v>
      </c>
      <c r="P50" s="33" t="s">
        <v>173</v>
      </c>
      <c r="Q50" s="30">
        <v>979999.99999999988</v>
      </c>
      <c r="R50" s="30">
        <f t="shared" si="1"/>
        <v>31359999.999999996</v>
      </c>
    </row>
    <row r="51" spans="1:18" s="30" customFormat="1" ht="39.6">
      <c r="A51" s="31" t="s">
        <v>3</v>
      </c>
      <c r="B51" s="34" t="s">
        <v>174</v>
      </c>
      <c r="C51" s="31"/>
      <c r="D51" s="31"/>
      <c r="E51" s="31"/>
      <c r="F51" s="31"/>
      <c r="G51" s="31"/>
      <c r="H51" s="31"/>
      <c r="I51" s="31"/>
      <c r="J51" s="31"/>
      <c r="K51" s="31"/>
      <c r="L51" s="31" t="s">
        <v>7</v>
      </c>
      <c r="M51" s="35">
        <v>22</v>
      </c>
      <c r="N51" s="32"/>
      <c r="O51" s="32">
        <f t="shared" si="0"/>
        <v>0</v>
      </c>
      <c r="P51" s="33"/>
      <c r="R51" s="30">
        <f t="shared" si="1"/>
        <v>0</v>
      </c>
    </row>
    <row r="52" spans="1:18" s="30" customFormat="1" ht="52.8">
      <c r="A52" s="31" t="s">
        <v>3</v>
      </c>
      <c r="B52" s="34" t="s">
        <v>175</v>
      </c>
      <c r="C52" s="31"/>
      <c r="D52" s="31"/>
      <c r="E52" s="31"/>
      <c r="F52" s="31"/>
      <c r="G52" s="31"/>
      <c r="H52" s="31"/>
      <c r="I52" s="31"/>
      <c r="J52" s="31"/>
      <c r="K52" s="31"/>
      <c r="L52" s="31" t="s">
        <v>176</v>
      </c>
      <c r="M52" s="35">
        <v>2330</v>
      </c>
      <c r="N52" s="32"/>
      <c r="O52" s="32">
        <f t="shared" si="0"/>
        <v>0</v>
      </c>
      <c r="P52" s="33"/>
      <c r="R52" s="30">
        <f t="shared" si="1"/>
        <v>0</v>
      </c>
    </row>
    <row r="53" spans="1:18" s="30" customFormat="1" ht="39.6">
      <c r="A53" s="31" t="s">
        <v>177</v>
      </c>
      <c r="B53" s="34" t="s">
        <v>178</v>
      </c>
      <c r="C53" s="31"/>
      <c r="D53" s="31"/>
      <c r="E53" s="31"/>
      <c r="F53" s="31"/>
      <c r="G53" s="31"/>
      <c r="H53" s="31"/>
      <c r="I53" s="31"/>
      <c r="J53" s="31"/>
      <c r="K53" s="31"/>
      <c r="L53" s="31" t="s">
        <v>7</v>
      </c>
      <c r="M53" s="35">
        <v>44</v>
      </c>
      <c r="N53" s="32"/>
      <c r="O53" s="32">
        <f t="shared" si="0"/>
        <v>0</v>
      </c>
      <c r="P53" s="33"/>
      <c r="R53" s="30">
        <f t="shared" si="1"/>
        <v>0</v>
      </c>
    </row>
    <row r="54" spans="1:18" s="30" customFormat="1" ht="39.6">
      <c r="A54" s="31" t="s">
        <v>5</v>
      </c>
      <c r="B54" s="34" t="s">
        <v>60</v>
      </c>
      <c r="C54" s="31" t="s">
        <v>133</v>
      </c>
      <c r="D54" s="31" t="s">
        <v>106</v>
      </c>
      <c r="E54" s="31">
        <v>1800</v>
      </c>
      <c r="F54" s="31">
        <v>1500</v>
      </c>
      <c r="G54" s="31">
        <f>E54-50</f>
        <v>1750</v>
      </c>
      <c r="H54" s="31">
        <f>F54-50</f>
        <v>1450</v>
      </c>
      <c r="I54" s="31"/>
      <c r="J54" s="31"/>
      <c r="K54" s="31"/>
      <c r="L54" s="31" t="s">
        <v>7</v>
      </c>
      <c r="M54" s="35">
        <v>9</v>
      </c>
      <c r="N54" s="32">
        <v>3650460.0000000005</v>
      </c>
      <c r="O54" s="32">
        <f t="shared" si="0"/>
        <v>32854140.000000004</v>
      </c>
      <c r="P54" s="33" t="s">
        <v>127</v>
      </c>
      <c r="Q54" s="30">
        <v>2770000</v>
      </c>
      <c r="R54" s="30">
        <f t="shared" si="1"/>
        <v>24930000</v>
      </c>
    </row>
    <row r="55" spans="1:18" s="30" customFormat="1" ht="44.25" customHeight="1">
      <c r="A55" s="31" t="s">
        <v>5</v>
      </c>
      <c r="B55" s="34" t="s">
        <v>179</v>
      </c>
      <c r="C55" s="31" t="s">
        <v>133</v>
      </c>
      <c r="D55" s="31" t="s">
        <v>106</v>
      </c>
      <c r="E55" s="31">
        <v>1400</v>
      </c>
      <c r="F55" s="31">
        <v>500</v>
      </c>
      <c r="G55" s="31">
        <v>1350</v>
      </c>
      <c r="H55" s="31">
        <v>450</v>
      </c>
      <c r="I55" s="31"/>
      <c r="J55" s="31"/>
      <c r="K55" s="31"/>
      <c r="L55" s="31" t="s">
        <v>7</v>
      </c>
      <c r="M55" s="35">
        <v>7</v>
      </c>
      <c r="N55" s="32">
        <v>1015410.0000000001</v>
      </c>
      <c r="O55" s="32">
        <f t="shared" si="0"/>
        <v>7107870.0000000009</v>
      </c>
      <c r="P55" s="33" t="s">
        <v>127</v>
      </c>
      <c r="Q55" s="30">
        <v>1130000</v>
      </c>
      <c r="R55" s="30">
        <f t="shared" si="1"/>
        <v>7910000</v>
      </c>
    </row>
    <row r="56" spans="1:18" s="30" customFormat="1" ht="44.25" customHeight="1">
      <c r="A56" s="31" t="s">
        <v>5</v>
      </c>
      <c r="B56" s="34" t="s">
        <v>180</v>
      </c>
      <c r="C56" s="31" t="s">
        <v>133</v>
      </c>
      <c r="D56" s="31" t="s">
        <v>106</v>
      </c>
      <c r="E56" s="31">
        <v>1000</v>
      </c>
      <c r="F56" s="31">
        <v>600</v>
      </c>
      <c r="G56" s="31">
        <v>950</v>
      </c>
      <c r="H56" s="31">
        <v>550</v>
      </c>
      <c r="I56" s="31"/>
      <c r="J56" s="31"/>
      <c r="K56" s="31"/>
      <c r="L56" s="31" t="s">
        <v>7</v>
      </c>
      <c r="M56" s="35">
        <v>6</v>
      </c>
      <c r="N56" s="32">
        <v>858440.00000000012</v>
      </c>
      <c r="O56" s="32">
        <f t="shared" si="0"/>
        <v>5150640.0000000009</v>
      </c>
      <c r="P56" s="33" t="s">
        <v>127</v>
      </c>
      <c r="Q56" s="30">
        <v>990000</v>
      </c>
      <c r="R56" s="30">
        <f t="shared" si="1"/>
        <v>5940000</v>
      </c>
    </row>
    <row r="57" spans="1:18" s="30" customFormat="1" ht="79.2">
      <c r="A57" s="31" t="s">
        <v>62</v>
      </c>
      <c r="B57" s="34" t="s">
        <v>63</v>
      </c>
      <c r="C57" s="31"/>
      <c r="D57" s="31"/>
      <c r="E57" s="31"/>
      <c r="F57" s="31"/>
      <c r="G57" s="31"/>
      <c r="H57" s="31"/>
      <c r="I57" s="31"/>
      <c r="J57" s="31"/>
      <c r="K57" s="31"/>
      <c r="L57" s="31" t="s">
        <v>7</v>
      </c>
      <c r="M57" s="35">
        <v>9</v>
      </c>
      <c r="N57" s="32"/>
      <c r="O57" s="32">
        <f t="shared" si="0"/>
        <v>0</v>
      </c>
      <c r="P57" s="33"/>
      <c r="R57" s="30">
        <f t="shared" si="1"/>
        <v>0</v>
      </c>
    </row>
    <row r="58" spans="1:18" s="30" customFormat="1" ht="66">
      <c r="A58" s="31" t="s">
        <v>62</v>
      </c>
      <c r="B58" s="34" t="s">
        <v>64</v>
      </c>
      <c r="C58" s="31"/>
      <c r="D58" s="31"/>
      <c r="E58" s="31"/>
      <c r="F58" s="31"/>
      <c r="G58" s="31"/>
      <c r="H58" s="31"/>
      <c r="I58" s="31"/>
      <c r="J58" s="31"/>
      <c r="K58" s="31"/>
      <c r="L58" s="31" t="s">
        <v>7</v>
      </c>
      <c r="M58" s="35">
        <v>7</v>
      </c>
      <c r="N58" s="32"/>
      <c r="O58" s="32">
        <f t="shared" si="0"/>
        <v>0</v>
      </c>
      <c r="P58" s="33"/>
      <c r="R58" s="30">
        <f t="shared" si="1"/>
        <v>0</v>
      </c>
    </row>
    <row r="59" spans="1:18" s="30" customFormat="1" ht="66">
      <c r="A59" s="31" t="s">
        <v>62</v>
      </c>
      <c r="B59" s="34" t="s">
        <v>181</v>
      </c>
      <c r="C59" s="31"/>
      <c r="D59" s="31"/>
      <c r="E59" s="31"/>
      <c r="F59" s="31"/>
      <c r="G59" s="31"/>
      <c r="H59" s="31"/>
      <c r="I59" s="31"/>
      <c r="J59" s="31"/>
      <c r="K59" s="31"/>
      <c r="L59" s="31" t="s">
        <v>7</v>
      </c>
      <c r="M59" s="35">
        <v>6</v>
      </c>
      <c r="N59" s="32"/>
      <c r="O59" s="32">
        <f t="shared" si="0"/>
        <v>0</v>
      </c>
      <c r="P59" s="33"/>
      <c r="R59" s="30">
        <f t="shared" si="1"/>
        <v>0</v>
      </c>
    </row>
    <row r="60" spans="1:18" s="30" customFormat="1" ht="26.4">
      <c r="A60" s="31" t="s">
        <v>65</v>
      </c>
      <c r="B60" s="34" t="s">
        <v>66</v>
      </c>
      <c r="C60" s="31"/>
      <c r="D60" s="31"/>
      <c r="E60" s="31"/>
      <c r="F60" s="31"/>
      <c r="G60" s="31"/>
      <c r="H60" s="31"/>
      <c r="I60" s="31"/>
      <c r="J60" s="31"/>
      <c r="K60" s="31"/>
      <c r="L60" s="31" t="s">
        <v>7</v>
      </c>
      <c r="M60" s="35">
        <v>22</v>
      </c>
      <c r="N60" s="32"/>
      <c r="O60" s="32">
        <f t="shared" si="0"/>
        <v>0</v>
      </c>
      <c r="P60" s="33"/>
      <c r="R60" s="30">
        <f t="shared" si="1"/>
        <v>0</v>
      </c>
    </row>
    <row r="61" spans="1:18" s="30" customFormat="1" ht="79.2">
      <c r="A61" s="31" t="s">
        <v>67</v>
      </c>
      <c r="B61" s="34" t="s">
        <v>68</v>
      </c>
      <c r="C61" s="31"/>
      <c r="D61" s="31"/>
      <c r="E61" s="31"/>
      <c r="F61" s="31"/>
      <c r="G61" s="31"/>
      <c r="H61" s="31"/>
      <c r="I61" s="31"/>
      <c r="J61" s="31"/>
      <c r="K61" s="31"/>
      <c r="L61" s="31" t="s">
        <v>7</v>
      </c>
      <c r="M61" s="35">
        <v>9</v>
      </c>
      <c r="N61" s="32"/>
      <c r="O61" s="32">
        <f t="shared" si="0"/>
        <v>0</v>
      </c>
      <c r="P61" s="33"/>
      <c r="R61" s="30">
        <f t="shared" si="1"/>
        <v>0</v>
      </c>
    </row>
    <row r="62" spans="1:18" s="30" customFormat="1" ht="52.8">
      <c r="A62" s="31" t="s">
        <v>67</v>
      </c>
      <c r="B62" s="34" t="s">
        <v>182</v>
      </c>
      <c r="C62" s="31"/>
      <c r="D62" s="31"/>
      <c r="E62" s="31"/>
      <c r="F62" s="31"/>
      <c r="G62" s="31"/>
      <c r="H62" s="31"/>
      <c r="I62" s="31"/>
      <c r="J62" s="31"/>
      <c r="K62" s="31"/>
      <c r="L62" s="31" t="s">
        <v>7</v>
      </c>
      <c r="M62" s="35">
        <v>9</v>
      </c>
      <c r="N62" s="32"/>
      <c r="O62" s="32">
        <f t="shared" si="0"/>
        <v>0</v>
      </c>
      <c r="P62" s="33"/>
      <c r="R62" s="30">
        <f t="shared" si="1"/>
        <v>0</v>
      </c>
    </row>
    <row r="63" spans="1:18" s="30" customFormat="1" ht="79.2">
      <c r="A63" s="31" t="s">
        <v>67</v>
      </c>
      <c r="B63" s="34" t="s">
        <v>183</v>
      </c>
      <c r="C63" s="31"/>
      <c r="D63" s="31"/>
      <c r="E63" s="31"/>
      <c r="F63" s="31"/>
      <c r="G63" s="31"/>
      <c r="H63" s="31"/>
      <c r="I63" s="31"/>
      <c r="J63" s="31"/>
      <c r="K63" s="31"/>
      <c r="L63" s="31" t="s">
        <v>7</v>
      </c>
      <c r="M63" s="35">
        <v>6</v>
      </c>
      <c r="N63" s="32"/>
      <c r="O63" s="32">
        <f t="shared" si="0"/>
        <v>0</v>
      </c>
      <c r="P63" s="33"/>
      <c r="R63" s="30">
        <f t="shared" si="1"/>
        <v>0</v>
      </c>
    </row>
    <row r="64" spans="1:18" s="30" customFormat="1" ht="52.8">
      <c r="A64" s="31" t="s">
        <v>67</v>
      </c>
      <c r="B64" s="34" t="s">
        <v>71</v>
      </c>
      <c r="C64" s="31"/>
      <c r="D64" s="31"/>
      <c r="E64" s="31"/>
      <c r="F64" s="31"/>
      <c r="G64" s="31"/>
      <c r="H64" s="31"/>
      <c r="I64" s="31"/>
      <c r="J64" s="31"/>
      <c r="K64" s="31"/>
      <c r="L64" s="31" t="s">
        <v>7</v>
      </c>
      <c r="M64" s="35">
        <v>6</v>
      </c>
      <c r="N64" s="32"/>
      <c r="O64" s="32">
        <f t="shared" si="0"/>
        <v>0</v>
      </c>
      <c r="P64" s="33"/>
      <c r="R64" s="30">
        <f t="shared" si="1"/>
        <v>0</v>
      </c>
    </row>
    <row r="65" spans="1:18" s="30" customFormat="1" ht="26.4">
      <c r="A65" s="31" t="s">
        <v>3</v>
      </c>
      <c r="B65" s="34" t="s">
        <v>72</v>
      </c>
      <c r="C65" s="31"/>
      <c r="D65" s="31"/>
      <c r="E65" s="31"/>
      <c r="F65" s="31"/>
      <c r="G65" s="31"/>
      <c r="H65" s="31"/>
      <c r="I65" s="31"/>
      <c r="J65" s="31"/>
      <c r="K65" s="31"/>
      <c r="L65" s="31" t="s">
        <v>7</v>
      </c>
      <c r="M65" s="35">
        <v>44</v>
      </c>
      <c r="N65" s="32"/>
      <c r="O65" s="32">
        <f t="shared" si="0"/>
        <v>0</v>
      </c>
      <c r="P65" s="33"/>
      <c r="R65" s="30">
        <f t="shared" si="1"/>
        <v>0</v>
      </c>
    </row>
    <row r="66" spans="1:18" s="30" customFormat="1" ht="13.2">
      <c r="A66" s="31"/>
      <c r="B66" s="34" t="s">
        <v>73</v>
      </c>
      <c r="C66" s="31"/>
      <c r="D66" s="31"/>
      <c r="E66" s="31"/>
      <c r="F66" s="31"/>
      <c r="G66" s="31"/>
      <c r="H66" s="31"/>
      <c r="I66" s="31"/>
      <c r="J66" s="31"/>
      <c r="K66" s="31"/>
      <c r="L66" s="31" t="s">
        <v>74</v>
      </c>
      <c r="M66" s="35">
        <v>1</v>
      </c>
      <c r="N66" s="32"/>
      <c r="O66" s="32">
        <f t="shared" si="0"/>
        <v>0</v>
      </c>
      <c r="P66" s="33" t="s">
        <v>138</v>
      </c>
      <c r="R66" s="30">
        <f t="shared" si="1"/>
        <v>0</v>
      </c>
    </row>
    <row r="67" spans="1:18" s="30" customFormat="1" ht="13.2">
      <c r="A67" s="31"/>
      <c r="B67" s="34" t="s">
        <v>184</v>
      </c>
      <c r="C67" s="31"/>
      <c r="D67" s="31"/>
      <c r="E67" s="31"/>
      <c r="F67" s="31"/>
      <c r="G67" s="31"/>
      <c r="H67" s="31"/>
      <c r="I67" s="31"/>
      <c r="J67" s="31"/>
      <c r="K67" s="31"/>
      <c r="L67" s="31" t="s">
        <v>74</v>
      </c>
      <c r="M67" s="35">
        <v>1</v>
      </c>
      <c r="N67" s="32"/>
      <c r="O67" s="32"/>
      <c r="P67" s="33" t="s">
        <v>185</v>
      </c>
      <c r="R67" s="30">
        <f t="shared" si="1"/>
        <v>0</v>
      </c>
    </row>
    <row r="68" spans="1:18" s="30" customFormat="1" ht="29.4" customHeight="1">
      <c r="A68" s="31"/>
      <c r="B68" s="31"/>
      <c r="C68" s="31"/>
      <c r="D68" s="31"/>
      <c r="E68" s="31"/>
      <c r="F68" s="31"/>
      <c r="G68" s="31"/>
      <c r="H68" s="31"/>
      <c r="I68" s="31"/>
      <c r="J68" s="31"/>
      <c r="K68" s="31"/>
      <c r="L68" s="31"/>
      <c r="M68" s="31"/>
      <c r="N68" s="32"/>
      <c r="O68" s="32"/>
      <c r="P68" s="31"/>
    </row>
    <row r="69" spans="1:18" s="30" customFormat="1" ht="32.25" customHeight="1">
      <c r="A69" s="140" t="s">
        <v>108</v>
      </c>
      <c r="B69" s="141"/>
      <c r="C69" s="141"/>
      <c r="D69" s="141"/>
      <c r="E69" s="141"/>
      <c r="F69" s="141"/>
      <c r="G69" s="141"/>
      <c r="H69" s="141"/>
      <c r="I69" s="141"/>
      <c r="J69" s="141"/>
      <c r="K69" s="141"/>
      <c r="L69" s="141"/>
      <c r="M69" s="141"/>
      <c r="N69" s="142"/>
      <c r="O69" s="36">
        <f>SUM(O15:O68)</f>
        <v>2060356618.6858392</v>
      </c>
      <c r="P69" s="37"/>
      <c r="R69" s="160">
        <f>SUM(R15:R68)</f>
        <v>2249620000</v>
      </c>
    </row>
    <row r="70" spans="1:18" s="30" customFormat="1" ht="32.25" customHeight="1">
      <c r="A70" s="143" t="s">
        <v>124</v>
      </c>
      <c r="B70" s="144"/>
      <c r="C70" s="144"/>
      <c r="D70" s="144"/>
      <c r="E70" s="144"/>
      <c r="F70" s="144"/>
      <c r="G70" s="144"/>
      <c r="H70" s="144"/>
      <c r="I70" s="144"/>
      <c r="J70" s="144"/>
      <c r="K70" s="144"/>
      <c r="L70" s="144"/>
      <c r="M70" s="144"/>
      <c r="N70" s="145"/>
      <c r="O70" s="38">
        <f>O69*0.08</f>
        <v>164828529.49486715</v>
      </c>
      <c r="P70" s="39"/>
    </row>
    <row r="71" spans="1:18" s="30" customFormat="1" ht="32.25" customHeight="1">
      <c r="A71" s="136" t="s">
        <v>125</v>
      </c>
      <c r="B71" s="137"/>
      <c r="C71" s="137"/>
      <c r="D71" s="137"/>
      <c r="E71" s="137"/>
      <c r="F71" s="137"/>
      <c r="G71" s="137"/>
      <c r="H71" s="137"/>
      <c r="I71" s="137"/>
      <c r="J71" s="137"/>
      <c r="K71" s="137"/>
      <c r="L71" s="137"/>
      <c r="M71" s="137"/>
      <c r="N71" s="138"/>
      <c r="O71" s="40">
        <f>SUM(O69:O70)</f>
        <v>2225185148.1807065</v>
      </c>
      <c r="P71" s="41"/>
    </row>
    <row r="72" spans="1:18" s="50" customFormat="1" ht="15" customHeight="1">
      <c r="A72" s="42"/>
      <c r="B72" s="43"/>
      <c r="C72" s="44"/>
      <c r="D72" s="44"/>
      <c r="E72" s="44"/>
      <c r="F72" s="44"/>
      <c r="G72" s="44"/>
      <c r="H72" s="44"/>
      <c r="I72" s="44"/>
      <c r="J72" s="44"/>
      <c r="K72" s="45"/>
      <c r="L72" s="46"/>
      <c r="M72" s="47"/>
      <c r="N72" s="48"/>
      <c r="O72" s="48"/>
      <c r="P72" s="49"/>
    </row>
    <row r="73" spans="1:18" s="50" customFormat="1" ht="15" customHeight="1">
      <c r="A73" s="51"/>
      <c r="B73" s="52" t="s">
        <v>109</v>
      </c>
      <c r="C73" s="53"/>
      <c r="D73" s="53"/>
      <c r="E73" s="53"/>
      <c r="F73" s="54"/>
      <c r="G73" s="53"/>
      <c r="H73" s="51"/>
      <c r="I73" s="51"/>
      <c r="J73" s="51"/>
      <c r="K73" s="51"/>
      <c r="L73" s="51"/>
      <c r="M73" s="55"/>
      <c r="N73" s="139" t="s">
        <v>110</v>
      </c>
      <c r="O73" s="139"/>
      <c r="P73" s="57"/>
    </row>
    <row r="74" spans="1:18" s="50" customFormat="1" ht="15" customHeight="1">
      <c r="A74" s="51"/>
      <c r="B74" s="58" t="s">
        <v>111</v>
      </c>
      <c r="C74" s="59"/>
      <c r="D74" s="59"/>
      <c r="E74" s="59"/>
      <c r="F74" s="60"/>
      <c r="G74" s="60"/>
      <c r="H74" s="51"/>
      <c r="I74" s="51"/>
      <c r="J74" s="51"/>
      <c r="K74" s="51"/>
      <c r="L74" s="61"/>
      <c r="M74" s="62"/>
      <c r="N74" s="62"/>
      <c r="O74" s="56"/>
      <c r="P74" s="57"/>
    </row>
    <row r="75" spans="1:18" s="50" customFormat="1" ht="15" customHeight="1">
      <c r="A75" s="51"/>
      <c r="B75" s="58" t="s">
        <v>112</v>
      </c>
      <c r="C75" s="59"/>
      <c r="D75" s="59"/>
      <c r="E75" s="59"/>
      <c r="F75" s="60"/>
      <c r="G75" s="60"/>
      <c r="H75" s="51"/>
      <c r="I75" s="51"/>
      <c r="J75" s="51"/>
      <c r="K75" s="51"/>
      <c r="L75" s="61"/>
      <c r="M75" s="62"/>
      <c r="N75" s="62"/>
      <c r="O75" s="56"/>
      <c r="P75" s="57"/>
    </row>
    <row r="76" spans="1:18" s="50" customFormat="1" ht="15" customHeight="1">
      <c r="A76" s="51"/>
      <c r="B76" s="58" t="s">
        <v>113</v>
      </c>
      <c r="C76" s="59"/>
      <c r="D76" s="59"/>
      <c r="E76" s="59"/>
      <c r="F76" s="60"/>
      <c r="G76" s="60"/>
      <c r="H76" s="51"/>
      <c r="I76" s="51"/>
      <c r="J76" s="51"/>
      <c r="K76" s="51"/>
      <c r="L76" s="61"/>
      <c r="M76" s="62"/>
      <c r="N76" s="62"/>
      <c r="O76" s="56"/>
      <c r="P76" s="57"/>
    </row>
    <row r="77" spans="1:18" s="50" customFormat="1" ht="15" customHeight="1">
      <c r="A77" s="51"/>
      <c r="B77" s="58" t="s">
        <v>114</v>
      </c>
      <c r="C77" s="59"/>
      <c r="D77" s="59"/>
      <c r="E77" s="59"/>
      <c r="F77" s="60"/>
      <c r="G77" s="60"/>
      <c r="H77" s="51"/>
      <c r="I77" s="51"/>
      <c r="J77" s="51"/>
      <c r="K77" s="51"/>
      <c r="L77" s="61"/>
      <c r="M77" s="62"/>
      <c r="N77" s="62"/>
      <c r="O77" s="56"/>
      <c r="P77" s="57"/>
    </row>
    <row r="78" spans="1:18" s="50" customFormat="1" ht="15" customHeight="1">
      <c r="A78" s="51"/>
      <c r="B78" s="63" t="s">
        <v>115</v>
      </c>
      <c r="C78" s="64"/>
      <c r="D78" s="64"/>
      <c r="E78" s="64"/>
      <c r="F78" s="65"/>
      <c r="G78" s="65"/>
      <c r="H78" s="51"/>
      <c r="I78" s="51"/>
      <c r="J78" s="51"/>
      <c r="K78" s="51"/>
      <c r="L78" s="61"/>
      <c r="M78" s="66"/>
      <c r="N78" s="67"/>
      <c r="O78" s="68"/>
      <c r="P78" s="57"/>
    </row>
    <row r="79" spans="1:18" s="50" customFormat="1" ht="15" customHeight="1">
      <c r="A79" s="51"/>
      <c r="B79" s="69" t="s">
        <v>116</v>
      </c>
      <c r="C79" s="69"/>
      <c r="D79" s="69"/>
      <c r="E79" s="69"/>
      <c r="F79" s="69"/>
      <c r="G79" s="69"/>
      <c r="H79" s="51"/>
      <c r="I79" s="51"/>
      <c r="J79" s="51"/>
      <c r="K79" s="51"/>
      <c r="L79" s="61"/>
      <c r="M79" s="66"/>
      <c r="N79" s="67"/>
      <c r="O79" s="68"/>
      <c r="P79" s="57"/>
    </row>
    <row r="80" spans="1:18" s="50" customFormat="1" ht="15" customHeight="1">
      <c r="A80" s="51"/>
      <c r="B80" s="70" t="s">
        <v>117</v>
      </c>
      <c r="C80" s="59"/>
      <c r="D80" s="59"/>
      <c r="E80" s="59"/>
      <c r="F80" s="65"/>
      <c r="G80" s="65"/>
      <c r="H80" s="51"/>
      <c r="I80" s="51"/>
      <c r="J80" s="51"/>
      <c r="K80" s="51"/>
      <c r="L80" s="61"/>
      <c r="M80" s="66"/>
      <c r="N80" s="67"/>
      <c r="O80" s="68"/>
      <c r="P80" s="57"/>
    </row>
    <row r="81" spans="1:16" s="50" customFormat="1" ht="15" customHeight="1">
      <c r="A81" s="51"/>
      <c r="B81" s="71" t="s">
        <v>118</v>
      </c>
      <c r="C81" s="72"/>
      <c r="D81" s="72"/>
      <c r="E81" s="72"/>
      <c r="F81" s="73"/>
      <c r="G81" s="73"/>
      <c r="H81" s="51"/>
      <c r="I81" s="51"/>
      <c r="J81" s="51"/>
      <c r="K81" s="51"/>
      <c r="L81" s="61"/>
      <c r="M81" s="66"/>
      <c r="N81" s="67"/>
      <c r="O81" s="74"/>
      <c r="P81" s="57"/>
    </row>
    <row r="82" spans="1:16" s="50" customFormat="1" ht="15" customHeight="1">
      <c r="A82" s="51"/>
      <c r="B82" s="69" t="s">
        <v>119</v>
      </c>
      <c r="C82" s="69"/>
      <c r="D82" s="69"/>
      <c r="E82" s="69"/>
      <c r="F82" s="69"/>
      <c r="G82" s="69"/>
      <c r="H82" s="51"/>
      <c r="I82" s="51"/>
      <c r="J82" s="51"/>
      <c r="K82" s="51"/>
      <c r="L82" s="61"/>
      <c r="M82" s="66"/>
      <c r="N82" s="67"/>
      <c r="O82" s="74"/>
      <c r="P82" s="57"/>
    </row>
    <row r="83" spans="1:16" s="50" customFormat="1" ht="15" customHeight="1">
      <c r="A83" s="45"/>
      <c r="B83" s="69" t="s">
        <v>120</v>
      </c>
      <c r="C83" s="69"/>
      <c r="D83" s="69"/>
      <c r="E83" s="69"/>
      <c r="F83" s="69"/>
      <c r="G83" s="69"/>
      <c r="H83" s="51"/>
      <c r="I83" s="45"/>
      <c r="J83" s="45"/>
      <c r="K83" s="75"/>
      <c r="L83" s="130"/>
      <c r="M83" s="130"/>
      <c r="N83" s="130"/>
      <c r="O83" s="131"/>
      <c r="P83" s="57"/>
    </row>
    <row r="84" spans="1:16" s="50" customFormat="1" ht="15" customHeight="1">
      <c r="A84" s="76"/>
      <c r="B84" s="77" t="s">
        <v>121</v>
      </c>
      <c r="C84" s="69"/>
      <c r="D84" s="69"/>
      <c r="E84" s="69"/>
      <c r="F84" s="69"/>
      <c r="G84" s="69"/>
      <c r="H84" s="78"/>
      <c r="I84" s="76"/>
      <c r="J84" s="76"/>
      <c r="K84" s="76"/>
      <c r="L84" s="132"/>
      <c r="M84" s="132"/>
      <c r="N84" s="132"/>
      <c r="O84" s="133"/>
      <c r="P84" s="57"/>
    </row>
    <row r="85" spans="1:16" s="13" customFormat="1" ht="15" customHeight="1">
      <c r="A85" s="79"/>
      <c r="B85" s="77" t="s">
        <v>122</v>
      </c>
      <c r="C85" s="69"/>
      <c r="D85" s="69"/>
      <c r="E85" s="69"/>
      <c r="F85" s="69"/>
      <c r="G85" s="69"/>
      <c r="H85" s="78"/>
      <c r="I85" s="80"/>
      <c r="J85" s="80"/>
      <c r="K85" s="81"/>
      <c r="L85" s="134"/>
      <c r="M85" s="134"/>
      <c r="N85" s="134"/>
      <c r="O85" s="135"/>
      <c r="P85" s="82"/>
    </row>
    <row r="86" spans="1:16" s="50" customFormat="1" ht="15" customHeight="1">
      <c r="A86" s="42"/>
      <c r="B86" s="83"/>
      <c r="C86" s="72"/>
      <c r="D86" s="72"/>
      <c r="E86" s="72"/>
      <c r="F86" s="73"/>
      <c r="G86" s="73"/>
      <c r="H86" s="80"/>
      <c r="I86" s="44"/>
      <c r="J86" s="45"/>
      <c r="K86" s="46"/>
      <c r="L86" s="47"/>
      <c r="M86" s="84"/>
      <c r="N86" s="84"/>
      <c r="O86" s="85"/>
      <c r="P86" s="57"/>
    </row>
    <row r="87" spans="1:16" s="50" customFormat="1" ht="15" customHeight="1">
      <c r="A87" s="42"/>
      <c r="B87" s="43"/>
      <c r="C87" s="44"/>
      <c r="D87" s="44"/>
      <c r="E87" s="44"/>
      <c r="F87" s="44"/>
      <c r="G87" s="44"/>
      <c r="H87" s="44"/>
      <c r="I87" s="44"/>
      <c r="J87" s="44"/>
      <c r="K87" s="45"/>
      <c r="L87" s="46"/>
      <c r="M87" s="47"/>
      <c r="N87" s="48"/>
      <c r="O87" s="48"/>
      <c r="P87" s="49"/>
    </row>
    <row r="88" spans="1:16" s="50" customFormat="1" ht="15" customHeight="1">
      <c r="A88" s="42"/>
      <c r="B88" s="43"/>
      <c r="C88" s="44"/>
      <c r="D88" s="44"/>
      <c r="E88" s="44"/>
      <c r="F88" s="44"/>
      <c r="G88" s="44"/>
      <c r="H88" s="44"/>
      <c r="I88" s="44"/>
      <c r="J88" s="44"/>
      <c r="K88" s="45"/>
      <c r="L88" s="46"/>
      <c r="M88" s="47"/>
      <c r="N88" s="48"/>
      <c r="O88" s="48"/>
      <c r="P88" s="49"/>
    </row>
    <row r="89" spans="1:16" s="50" customFormat="1" ht="15" customHeight="1">
      <c r="A89" s="42"/>
      <c r="B89" s="43"/>
      <c r="C89" s="44"/>
      <c r="D89" s="44"/>
      <c r="E89" s="44"/>
      <c r="F89" s="44"/>
      <c r="G89" s="44"/>
      <c r="H89" s="44"/>
      <c r="I89" s="44"/>
      <c r="J89" s="44"/>
      <c r="K89" s="45"/>
      <c r="L89" s="46"/>
      <c r="M89" s="47"/>
      <c r="N89" s="48"/>
      <c r="O89" s="48"/>
      <c r="P89" s="49"/>
    </row>
    <row r="90" spans="1:16" s="50" customFormat="1" ht="15" customHeight="1">
      <c r="A90" s="42"/>
      <c r="B90" s="43"/>
      <c r="C90" s="44"/>
      <c r="D90" s="44"/>
      <c r="E90" s="44"/>
      <c r="F90" s="44"/>
      <c r="G90" s="44"/>
      <c r="H90" s="44"/>
      <c r="I90" s="44"/>
      <c r="J90" s="44"/>
      <c r="K90" s="45"/>
      <c r="L90" s="46"/>
      <c r="M90" s="47"/>
      <c r="N90" s="48"/>
      <c r="O90" s="48"/>
      <c r="P90" s="49"/>
    </row>
    <row r="91" spans="1:16" s="50" customFormat="1" ht="15" customHeight="1">
      <c r="A91" s="42"/>
      <c r="B91" s="43"/>
      <c r="C91" s="44"/>
      <c r="D91" s="44"/>
      <c r="E91" s="44"/>
      <c r="F91" s="44"/>
      <c r="G91" s="44"/>
      <c r="H91" s="44"/>
      <c r="I91" s="44"/>
      <c r="J91" s="44"/>
      <c r="K91" s="45"/>
      <c r="L91" s="46"/>
      <c r="M91" s="47"/>
      <c r="N91" s="48"/>
      <c r="O91" s="48"/>
      <c r="P91" s="49"/>
    </row>
    <row r="92" spans="1:16" s="50" customFormat="1" ht="15" customHeight="1">
      <c r="A92" s="42"/>
      <c r="B92" s="43"/>
      <c r="C92" s="44"/>
      <c r="D92" s="44"/>
      <c r="E92" s="44"/>
      <c r="F92" s="44"/>
      <c r="G92" s="44"/>
      <c r="H92" s="44"/>
      <c r="I92" s="44"/>
      <c r="J92" s="44"/>
      <c r="K92" s="45"/>
      <c r="L92" s="46"/>
      <c r="M92" s="47"/>
      <c r="N92" s="48"/>
      <c r="O92" s="48"/>
      <c r="P92" s="49"/>
    </row>
    <row r="93" spans="1:16" s="50" customFormat="1" ht="15" customHeight="1">
      <c r="A93" s="42"/>
      <c r="B93" s="43"/>
      <c r="C93" s="44"/>
      <c r="D93" s="44"/>
      <c r="E93" s="44"/>
      <c r="F93" s="44"/>
      <c r="G93" s="44"/>
      <c r="H93" s="44"/>
      <c r="I93" s="44"/>
      <c r="J93" s="44"/>
      <c r="K93" s="45"/>
      <c r="L93" s="46"/>
      <c r="M93" s="47"/>
      <c r="N93" s="48"/>
      <c r="O93" s="48"/>
      <c r="P93" s="49"/>
    </row>
    <row r="94" spans="1:16" s="50" customFormat="1" ht="15" customHeight="1">
      <c r="A94" s="42"/>
      <c r="B94" s="43"/>
      <c r="C94" s="44"/>
      <c r="D94" s="44"/>
      <c r="E94" s="44"/>
      <c r="F94" s="44"/>
      <c r="G94" s="44"/>
      <c r="H94" s="44"/>
      <c r="I94" s="44"/>
      <c r="J94" s="44"/>
      <c r="K94" s="45"/>
      <c r="L94" s="46"/>
      <c r="M94" s="47"/>
      <c r="N94" s="48"/>
      <c r="O94" s="48"/>
      <c r="P94" s="49"/>
    </row>
    <row r="95" spans="1:16" s="50" customFormat="1" ht="13.2">
      <c r="A95" s="42"/>
      <c r="B95" s="43"/>
      <c r="C95" s="44"/>
      <c r="D95" s="44"/>
      <c r="E95" s="44"/>
      <c r="F95" s="44"/>
      <c r="G95" s="44"/>
      <c r="H95" s="44"/>
      <c r="I95" s="44"/>
      <c r="J95" s="44"/>
      <c r="K95" s="45"/>
      <c r="L95" s="46"/>
      <c r="M95" s="47"/>
      <c r="N95" s="48"/>
      <c r="O95" s="48"/>
      <c r="P95" s="49"/>
    </row>
    <row r="96" spans="1:16" s="50" customFormat="1" ht="13.2">
      <c r="A96" s="42"/>
      <c r="B96" s="43"/>
      <c r="C96" s="44"/>
      <c r="D96" s="44"/>
      <c r="E96" s="44"/>
      <c r="F96" s="44"/>
      <c r="G96" s="44"/>
      <c r="H96" s="44"/>
      <c r="I96" s="44"/>
      <c r="J96" s="44"/>
      <c r="K96" s="45"/>
      <c r="L96" s="46"/>
      <c r="M96" s="47"/>
      <c r="N96" s="48"/>
      <c r="O96" s="48"/>
      <c r="P96" s="49"/>
    </row>
    <row r="97" spans="2:16" s="50" customFormat="1" ht="13.2">
      <c r="B97" s="86"/>
      <c r="C97" s="87"/>
      <c r="D97" s="87"/>
      <c r="E97" s="87"/>
      <c r="F97" s="87"/>
      <c r="G97" s="87"/>
      <c r="H97" s="87"/>
      <c r="I97" s="87"/>
      <c r="J97" s="87"/>
      <c r="K97" s="88"/>
      <c r="L97" s="89"/>
      <c r="M97" s="90"/>
      <c r="N97" s="57"/>
      <c r="O97" s="57"/>
      <c r="P97" s="91"/>
    </row>
    <row r="98" spans="2:16" s="50" customFormat="1" ht="13.2">
      <c r="B98" s="86"/>
      <c r="C98" s="87"/>
      <c r="D98" s="87"/>
      <c r="E98" s="87"/>
      <c r="F98" s="87"/>
      <c r="G98" s="87"/>
      <c r="H98" s="87"/>
      <c r="I98" s="87"/>
      <c r="J98" s="87"/>
      <c r="K98" s="88"/>
      <c r="L98" s="89"/>
      <c r="M98" s="90"/>
      <c r="N98" s="57"/>
      <c r="O98" s="57"/>
      <c r="P98" s="91"/>
    </row>
    <row r="99" spans="2:16" s="50" customFormat="1" ht="13.2">
      <c r="B99" s="86"/>
      <c r="C99" s="87"/>
      <c r="D99" s="87"/>
      <c r="E99" s="87"/>
      <c r="F99" s="87"/>
      <c r="G99" s="87"/>
      <c r="H99" s="87"/>
      <c r="I99" s="87"/>
      <c r="J99" s="87"/>
      <c r="K99" s="88"/>
      <c r="L99" s="89"/>
      <c r="M99" s="90"/>
      <c r="N99" s="57"/>
      <c r="O99" s="57"/>
      <c r="P99" s="91"/>
    </row>
    <row r="100" spans="2:16" s="50" customFormat="1" ht="13.2">
      <c r="B100" s="86"/>
      <c r="C100" s="87"/>
      <c r="D100" s="87"/>
      <c r="E100" s="87"/>
      <c r="F100" s="87"/>
      <c r="G100" s="87"/>
      <c r="H100" s="87"/>
      <c r="I100" s="87"/>
      <c r="J100" s="87"/>
      <c r="K100" s="88"/>
      <c r="L100" s="89"/>
      <c r="M100" s="90"/>
      <c r="N100" s="57"/>
      <c r="O100" s="57"/>
      <c r="P100" s="91"/>
    </row>
    <row r="101" spans="2:16" s="50" customFormat="1" ht="13.2">
      <c r="B101" s="86"/>
      <c r="C101" s="87"/>
      <c r="D101" s="87"/>
      <c r="E101" s="87"/>
      <c r="F101" s="87"/>
      <c r="G101" s="87"/>
      <c r="H101" s="87"/>
      <c r="I101" s="87"/>
      <c r="J101" s="87"/>
      <c r="K101" s="88"/>
      <c r="L101" s="89"/>
      <c r="M101" s="90"/>
      <c r="N101" s="57"/>
      <c r="O101" s="57"/>
      <c r="P101" s="91"/>
    </row>
    <row r="102" spans="2:16" s="50" customFormat="1" ht="13.2">
      <c r="B102" s="86"/>
      <c r="C102" s="87"/>
      <c r="D102" s="87"/>
      <c r="E102" s="87"/>
      <c r="F102" s="87"/>
      <c r="G102" s="87"/>
      <c r="H102" s="87"/>
      <c r="I102" s="87"/>
      <c r="J102" s="87"/>
      <c r="K102" s="88"/>
      <c r="L102" s="89"/>
      <c r="M102" s="90"/>
      <c r="N102" s="57"/>
      <c r="O102" s="57"/>
      <c r="P102" s="91"/>
    </row>
    <row r="103" spans="2:16" s="50" customFormat="1" ht="13.2">
      <c r="B103" s="86"/>
      <c r="C103" s="87"/>
      <c r="D103" s="87"/>
      <c r="E103" s="87"/>
      <c r="F103" s="87"/>
      <c r="G103" s="87"/>
      <c r="H103" s="87"/>
      <c r="I103" s="87"/>
      <c r="J103" s="87"/>
      <c r="K103" s="88"/>
      <c r="L103" s="89"/>
      <c r="M103" s="90"/>
      <c r="N103" s="57"/>
      <c r="O103" s="57"/>
      <c r="P103" s="91"/>
    </row>
    <row r="104" spans="2:16" s="50" customFormat="1" ht="13.2">
      <c r="B104" s="86"/>
      <c r="C104" s="87"/>
      <c r="D104" s="87"/>
      <c r="E104" s="87"/>
      <c r="F104" s="87"/>
      <c r="G104" s="87"/>
      <c r="H104" s="87"/>
      <c r="I104" s="87"/>
      <c r="J104" s="87"/>
      <c r="K104" s="88"/>
      <c r="L104" s="89"/>
      <c r="M104" s="90"/>
      <c r="N104" s="57"/>
      <c r="O104" s="57"/>
      <c r="P104" s="91"/>
    </row>
    <row r="105" spans="2:16" s="50" customFormat="1" ht="13.2">
      <c r="B105" s="86"/>
      <c r="C105" s="87"/>
      <c r="D105" s="87"/>
      <c r="E105" s="87"/>
      <c r="F105" s="87"/>
      <c r="G105" s="87"/>
      <c r="H105" s="87"/>
      <c r="I105" s="87"/>
      <c r="J105" s="87"/>
      <c r="K105" s="88"/>
      <c r="L105" s="89"/>
      <c r="M105" s="90"/>
      <c r="N105" s="57"/>
      <c r="O105" s="57"/>
      <c r="P105" s="91"/>
    </row>
    <row r="106" spans="2:16" s="50" customFormat="1" ht="13.2">
      <c r="B106" s="86"/>
      <c r="C106" s="87"/>
      <c r="D106" s="87"/>
      <c r="E106" s="87"/>
      <c r="F106" s="87"/>
      <c r="G106" s="87"/>
      <c r="H106" s="87"/>
      <c r="I106" s="87"/>
      <c r="J106" s="87"/>
      <c r="K106" s="88"/>
      <c r="L106" s="89"/>
      <c r="M106" s="90"/>
      <c r="N106" s="57"/>
      <c r="O106" s="57"/>
      <c r="P106" s="91"/>
    </row>
    <row r="107" spans="2:16" s="50" customFormat="1" ht="13.2">
      <c r="B107" s="86"/>
      <c r="C107" s="87"/>
      <c r="D107" s="87"/>
      <c r="E107" s="87"/>
      <c r="F107" s="87"/>
      <c r="G107" s="87"/>
      <c r="H107" s="87"/>
      <c r="I107" s="87"/>
      <c r="J107" s="87"/>
      <c r="K107" s="88"/>
      <c r="L107" s="89"/>
      <c r="M107" s="90"/>
      <c r="N107" s="57"/>
      <c r="O107" s="57"/>
      <c r="P107" s="91"/>
    </row>
    <row r="108" spans="2:16" s="50" customFormat="1" ht="13.2">
      <c r="B108" s="86"/>
      <c r="C108" s="87"/>
      <c r="D108" s="87"/>
      <c r="E108" s="87"/>
      <c r="F108" s="87"/>
      <c r="G108" s="87"/>
      <c r="H108" s="87"/>
      <c r="I108" s="87"/>
      <c r="J108" s="87"/>
      <c r="K108" s="88"/>
      <c r="L108" s="89"/>
      <c r="M108" s="90"/>
      <c r="N108" s="57"/>
      <c r="O108" s="57"/>
      <c r="P108" s="91"/>
    </row>
    <row r="109" spans="2:16" s="50" customFormat="1" ht="13.2">
      <c r="B109" s="86"/>
      <c r="C109" s="87"/>
      <c r="D109" s="87"/>
      <c r="E109" s="87"/>
      <c r="F109" s="87"/>
      <c r="G109" s="87"/>
      <c r="H109" s="87"/>
      <c r="I109" s="87"/>
      <c r="J109" s="87"/>
      <c r="K109" s="88"/>
      <c r="L109" s="89"/>
      <c r="M109" s="90"/>
      <c r="N109" s="57"/>
      <c r="O109" s="57"/>
      <c r="P109" s="91"/>
    </row>
    <row r="110" spans="2:16" s="50" customFormat="1" ht="13.2">
      <c r="B110" s="86"/>
      <c r="C110" s="87"/>
      <c r="D110" s="87"/>
      <c r="E110" s="87"/>
      <c r="F110" s="87"/>
      <c r="G110" s="87"/>
      <c r="H110" s="87"/>
      <c r="I110" s="87"/>
      <c r="J110" s="87"/>
      <c r="K110" s="88"/>
      <c r="L110" s="89"/>
      <c r="M110" s="90"/>
      <c r="N110" s="57"/>
      <c r="O110" s="57"/>
      <c r="P110" s="91"/>
    </row>
    <row r="111" spans="2:16" s="50" customFormat="1" ht="13.2">
      <c r="B111" s="86"/>
      <c r="C111" s="87"/>
      <c r="D111" s="87"/>
      <c r="E111" s="87"/>
      <c r="F111" s="87"/>
      <c r="G111" s="87"/>
      <c r="H111" s="87"/>
      <c r="I111" s="87"/>
      <c r="J111" s="87"/>
      <c r="K111" s="88"/>
      <c r="L111" s="89"/>
      <c r="M111" s="90"/>
      <c r="N111" s="57"/>
      <c r="O111" s="57"/>
      <c r="P111" s="91"/>
    </row>
    <row r="112" spans="2:16" s="50" customFormat="1" ht="13.2">
      <c r="B112" s="86"/>
      <c r="C112" s="87"/>
      <c r="D112" s="87"/>
      <c r="E112" s="87"/>
      <c r="F112" s="87"/>
      <c r="G112" s="87"/>
      <c r="H112" s="87"/>
      <c r="I112" s="87"/>
      <c r="J112" s="87"/>
      <c r="K112" s="88"/>
      <c r="L112" s="89"/>
      <c r="M112" s="90"/>
      <c r="N112" s="57"/>
      <c r="O112" s="57"/>
      <c r="P112" s="91"/>
    </row>
    <row r="113" spans="2:16" s="50" customFormat="1" ht="13.2">
      <c r="B113" s="86"/>
      <c r="C113" s="87"/>
      <c r="D113" s="87"/>
      <c r="E113" s="87"/>
      <c r="F113" s="87"/>
      <c r="G113" s="87"/>
      <c r="H113" s="87"/>
      <c r="I113" s="87"/>
      <c r="J113" s="87"/>
      <c r="K113" s="88"/>
      <c r="L113" s="89"/>
      <c r="M113" s="90"/>
      <c r="N113" s="57"/>
      <c r="O113" s="57"/>
      <c r="P113" s="91"/>
    </row>
    <row r="114" spans="2:16" s="50" customFormat="1" ht="13.2">
      <c r="B114" s="86"/>
      <c r="C114" s="87"/>
      <c r="D114" s="87"/>
      <c r="E114" s="87"/>
      <c r="F114" s="87"/>
      <c r="G114" s="87"/>
      <c r="H114" s="87"/>
      <c r="I114" s="87"/>
      <c r="J114" s="87"/>
      <c r="K114" s="88"/>
      <c r="L114" s="89"/>
      <c r="M114" s="90"/>
      <c r="N114" s="57"/>
      <c r="O114" s="57"/>
      <c r="P114" s="91"/>
    </row>
    <row r="115" spans="2:16" s="50" customFormat="1" ht="13.2">
      <c r="B115" s="86"/>
      <c r="C115" s="87"/>
      <c r="D115" s="87"/>
      <c r="E115" s="87"/>
      <c r="F115" s="87"/>
      <c r="G115" s="87"/>
      <c r="H115" s="87"/>
      <c r="I115" s="87"/>
      <c r="J115" s="87"/>
      <c r="K115" s="88"/>
      <c r="L115" s="89"/>
      <c r="M115" s="90"/>
      <c r="N115" s="57"/>
      <c r="O115" s="57"/>
      <c r="P115" s="91"/>
    </row>
    <row r="116" spans="2:16" s="50" customFormat="1" ht="13.2">
      <c r="B116" s="86"/>
      <c r="C116" s="87"/>
      <c r="D116" s="87"/>
      <c r="E116" s="87"/>
      <c r="F116" s="87"/>
      <c r="G116" s="87"/>
      <c r="H116" s="87"/>
      <c r="I116" s="87"/>
      <c r="J116" s="87"/>
      <c r="K116" s="88"/>
      <c r="L116" s="89"/>
      <c r="M116" s="90"/>
      <c r="N116" s="57"/>
      <c r="O116" s="57"/>
      <c r="P116" s="91"/>
    </row>
    <row r="117" spans="2:16" s="50" customFormat="1" ht="13.2">
      <c r="B117" s="86"/>
      <c r="C117" s="87"/>
      <c r="D117" s="87"/>
      <c r="E117" s="87"/>
      <c r="F117" s="87"/>
      <c r="G117" s="87"/>
      <c r="H117" s="87"/>
      <c r="I117" s="87"/>
      <c r="J117" s="87"/>
      <c r="K117" s="88"/>
      <c r="L117" s="89"/>
      <c r="M117" s="90"/>
      <c r="N117" s="57"/>
      <c r="O117" s="57"/>
      <c r="P117" s="91"/>
    </row>
    <row r="118" spans="2:16" s="50" customFormat="1" ht="13.2">
      <c r="B118" s="86"/>
      <c r="C118" s="87"/>
      <c r="D118" s="87"/>
      <c r="E118" s="87"/>
      <c r="F118" s="87"/>
      <c r="G118" s="87"/>
      <c r="H118" s="87"/>
      <c r="I118" s="87"/>
      <c r="J118" s="87"/>
      <c r="K118" s="88"/>
      <c r="L118" s="89"/>
      <c r="M118" s="90"/>
      <c r="N118" s="57"/>
      <c r="O118" s="57"/>
      <c r="P118" s="91"/>
    </row>
    <row r="119" spans="2:16" s="50" customFormat="1" ht="13.2">
      <c r="B119" s="86"/>
      <c r="C119" s="87"/>
      <c r="D119" s="87"/>
      <c r="E119" s="87"/>
      <c r="F119" s="87"/>
      <c r="G119" s="87"/>
      <c r="H119" s="87"/>
      <c r="I119" s="87"/>
      <c r="J119" s="87"/>
      <c r="K119" s="88"/>
      <c r="L119" s="89"/>
      <c r="M119" s="90"/>
      <c r="N119" s="57"/>
      <c r="O119" s="57"/>
      <c r="P119" s="91"/>
    </row>
    <row r="120" spans="2:16" s="50" customFormat="1" ht="13.2">
      <c r="B120" s="86"/>
      <c r="C120" s="87"/>
      <c r="D120" s="87"/>
      <c r="E120" s="87"/>
      <c r="F120" s="87"/>
      <c r="G120" s="87"/>
      <c r="H120" s="87"/>
      <c r="I120" s="87"/>
      <c r="J120" s="87"/>
      <c r="K120" s="88"/>
      <c r="L120" s="89"/>
      <c r="M120" s="90"/>
      <c r="N120" s="57"/>
      <c r="O120" s="57"/>
      <c r="P120" s="91"/>
    </row>
    <row r="121" spans="2:16" s="50" customFormat="1" ht="13.2">
      <c r="B121" s="86"/>
      <c r="C121" s="87"/>
      <c r="D121" s="87"/>
      <c r="E121" s="87"/>
      <c r="F121" s="87"/>
      <c r="G121" s="87"/>
      <c r="H121" s="87"/>
      <c r="I121" s="87"/>
      <c r="J121" s="87"/>
      <c r="K121" s="88"/>
      <c r="L121" s="89"/>
      <c r="M121" s="90"/>
      <c r="N121" s="57"/>
      <c r="O121" s="57"/>
      <c r="P121" s="91"/>
    </row>
    <row r="122" spans="2:16" s="50" customFormat="1" ht="13.2">
      <c r="B122" s="86"/>
      <c r="C122" s="87"/>
      <c r="D122" s="87"/>
      <c r="E122" s="87"/>
      <c r="F122" s="87"/>
      <c r="G122" s="87"/>
      <c r="H122" s="87"/>
      <c r="I122" s="87"/>
      <c r="J122" s="87"/>
      <c r="K122" s="88"/>
      <c r="L122" s="89"/>
      <c r="M122" s="90"/>
      <c r="N122" s="57"/>
      <c r="O122" s="57"/>
      <c r="P122" s="91"/>
    </row>
    <row r="123" spans="2:16" s="50" customFormat="1" ht="13.2">
      <c r="B123" s="86"/>
      <c r="C123" s="87"/>
      <c r="D123" s="87"/>
      <c r="E123" s="87"/>
      <c r="F123" s="87"/>
      <c r="G123" s="87"/>
      <c r="H123" s="87"/>
      <c r="I123" s="87"/>
      <c r="J123" s="87"/>
      <c r="K123" s="88"/>
      <c r="L123" s="89"/>
      <c r="M123" s="90"/>
      <c r="N123" s="57"/>
      <c r="O123" s="57"/>
      <c r="P123" s="91"/>
    </row>
    <row r="124" spans="2:16" s="50" customFormat="1" ht="13.2">
      <c r="B124" s="86"/>
      <c r="C124" s="87"/>
      <c r="D124" s="87"/>
      <c r="E124" s="87"/>
      <c r="F124" s="87"/>
      <c r="G124" s="87"/>
      <c r="H124" s="87"/>
      <c r="I124" s="87"/>
      <c r="J124" s="87"/>
      <c r="K124" s="88"/>
      <c r="L124" s="89"/>
      <c r="M124" s="90"/>
      <c r="N124" s="57"/>
      <c r="O124" s="57"/>
      <c r="P124" s="91"/>
    </row>
    <row r="125" spans="2:16" s="50" customFormat="1" ht="13.2">
      <c r="B125" s="86"/>
      <c r="C125" s="87"/>
      <c r="D125" s="87"/>
      <c r="E125" s="87"/>
      <c r="F125" s="87"/>
      <c r="G125" s="87"/>
      <c r="H125" s="87"/>
      <c r="I125" s="87"/>
      <c r="J125" s="87"/>
      <c r="K125" s="88"/>
      <c r="L125" s="89"/>
      <c r="M125" s="90"/>
      <c r="N125" s="57"/>
      <c r="O125" s="57"/>
      <c r="P125" s="91"/>
    </row>
    <row r="126" spans="2:16" s="50" customFormat="1" ht="13.2">
      <c r="B126" s="86"/>
      <c r="C126" s="87"/>
      <c r="D126" s="87"/>
      <c r="E126" s="87"/>
      <c r="F126" s="87"/>
      <c r="G126" s="87"/>
      <c r="H126" s="87"/>
      <c r="I126" s="87"/>
      <c r="J126" s="87"/>
      <c r="K126" s="88"/>
      <c r="L126" s="89"/>
      <c r="M126" s="90"/>
      <c r="N126" s="57"/>
      <c r="O126" s="57"/>
      <c r="P126" s="91"/>
    </row>
    <row r="127" spans="2:16" s="50" customFormat="1" ht="13.2">
      <c r="B127" s="86"/>
      <c r="C127" s="87"/>
      <c r="D127" s="87"/>
      <c r="E127" s="87"/>
      <c r="F127" s="87"/>
      <c r="G127" s="87"/>
      <c r="H127" s="87"/>
      <c r="I127" s="87"/>
      <c r="J127" s="87"/>
      <c r="K127" s="88"/>
      <c r="L127" s="89"/>
      <c r="M127" s="90"/>
      <c r="N127" s="57"/>
      <c r="O127" s="57"/>
      <c r="P127" s="91"/>
    </row>
    <row r="128" spans="2:16" s="50" customFormat="1" ht="13.2">
      <c r="B128" s="86"/>
      <c r="C128" s="87"/>
      <c r="D128" s="87"/>
      <c r="E128" s="87"/>
      <c r="F128" s="87"/>
      <c r="G128" s="87"/>
      <c r="H128" s="87"/>
      <c r="I128" s="87"/>
      <c r="J128" s="87"/>
      <c r="K128" s="88"/>
      <c r="L128" s="89"/>
      <c r="M128" s="90"/>
      <c r="N128" s="57"/>
      <c r="O128" s="57"/>
      <c r="P128" s="91"/>
    </row>
    <row r="129" spans="2:16" s="50" customFormat="1" ht="13.2">
      <c r="B129" s="86"/>
      <c r="C129" s="87"/>
      <c r="D129" s="87"/>
      <c r="E129" s="87"/>
      <c r="F129" s="87"/>
      <c r="G129" s="87"/>
      <c r="H129" s="87"/>
      <c r="I129" s="87"/>
      <c r="J129" s="87"/>
      <c r="K129" s="88"/>
      <c r="L129" s="89"/>
      <c r="M129" s="90"/>
      <c r="N129" s="57"/>
      <c r="O129" s="57"/>
      <c r="P129" s="91"/>
    </row>
    <row r="130" spans="2:16" s="50" customFormat="1" ht="13.2">
      <c r="B130" s="86"/>
      <c r="C130" s="87"/>
      <c r="D130" s="87"/>
      <c r="E130" s="87"/>
      <c r="F130" s="87"/>
      <c r="G130" s="87"/>
      <c r="H130" s="87"/>
      <c r="I130" s="87"/>
      <c r="J130" s="87"/>
      <c r="K130" s="88"/>
      <c r="L130" s="89"/>
      <c r="M130" s="90"/>
      <c r="N130" s="57"/>
      <c r="O130" s="57"/>
      <c r="P130" s="91"/>
    </row>
    <row r="131" spans="2:16" s="50" customFormat="1" ht="13.2">
      <c r="B131" s="86"/>
      <c r="C131" s="87"/>
      <c r="D131" s="87"/>
      <c r="E131" s="87"/>
      <c r="F131" s="87"/>
      <c r="G131" s="87"/>
      <c r="H131" s="87"/>
      <c r="I131" s="87"/>
      <c r="J131" s="87"/>
      <c r="K131" s="88"/>
      <c r="L131" s="89"/>
      <c r="M131" s="90"/>
      <c r="N131" s="57"/>
      <c r="O131" s="57"/>
      <c r="P131" s="91"/>
    </row>
    <row r="132" spans="2:16" s="50" customFormat="1" ht="13.2">
      <c r="B132" s="86"/>
      <c r="C132" s="87"/>
      <c r="D132" s="87"/>
      <c r="E132" s="87"/>
      <c r="F132" s="87"/>
      <c r="G132" s="87"/>
      <c r="H132" s="87"/>
      <c r="I132" s="87"/>
      <c r="J132" s="87"/>
      <c r="K132" s="88"/>
      <c r="L132" s="89"/>
      <c r="M132" s="90"/>
      <c r="N132" s="57"/>
      <c r="O132" s="57"/>
      <c r="P132" s="91"/>
    </row>
    <row r="133" spans="2:16" s="50" customFormat="1" ht="13.2">
      <c r="B133" s="86"/>
      <c r="C133" s="87"/>
      <c r="D133" s="87"/>
      <c r="E133" s="87"/>
      <c r="F133" s="87"/>
      <c r="G133" s="87"/>
      <c r="H133" s="87"/>
      <c r="I133" s="87"/>
      <c r="J133" s="87"/>
      <c r="K133" s="88"/>
      <c r="L133" s="89"/>
      <c r="M133" s="90"/>
      <c r="N133" s="57"/>
      <c r="O133" s="57"/>
      <c r="P133" s="91"/>
    </row>
    <row r="134" spans="2:16" s="50" customFormat="1" ht="13.2">
      <c r="B134" s="86"/>
      <c r="C134" s="87"/>
      <c r="D134" s="87"/>
      <c r="E134" s="87"/>
      <c r="F134" s="87"/>
      <c r="G134" s="87"/>
      <c r="H134" s="87"/>
      <c r="I134" s="87"/>
      <c r="J134" s="87"/>
      <c r="K134" s="88"/>
      <c r="L134" s="89"/>
      <c r="M134" s="90"/>
      <c r="N134" s="57"/>
      <c r="O134" s="57"/>
      <c r="P134" s="91"/>
    </row>
    <row r="135" spans="2:16" s="50" customFormat="1" ht="13.2">
      <c r="B135" s="86"/>
      <c r="C135" s="87"/>
      <c r="D135" s="87"/>
      <c r="E135" s="87"/>
      <c r="F135" s="87"/>
      <c r="G135" s="87"/>
      <c r="H135" s="87"/>
      <c r="I135" s="87"/>
      <c r="J135" s="87"/>
      <c r="K135" s="88"/>
      <c r="L135" s="89"/>
      <c r="M135" s="90"/>
      <c r="N135" s="57"/>
      <c r="O135" s="57"/>
      <c r="P135" s="91"/>
    </row>
    <row r="136" spans="2:16" s="50" customFormat="1" ht="13.2">
      <c r="B136" s="86"/>
      <c r="C136" s="87"/>
      <c r="D136" s="87"/>
      <c r="E136" s="87"/>
      <c r="F136" s="87"/>
      <c r="G136" s="87"/>
      <c r="H136" s="87"/>
      <c r="I136" s="87"/>
      <c r="J136" s="87"/>
      <c r="K136" s="88"/>
      <c r="L136" s="89"/>
      <c r="M136" s="90"/>
      <c r="N136" s="57"/>
      <c r="O136" s="57"/>
      <c r="P136" s="91"/>
    </row>
    <row r="137" spans="2:16" s="50" customFormat="1" ht="13.2">
      <c r="B137" s="86"/>
      <c r="C137" s="87"/>
      <c r="D137" s="87"/>
      <c r="E137" s="87"/>
      <c r="F137" s="87"/>
      <c r="G137" s="87"/>
      <c r="H137" s="87"/>
      <c r="I137" s="87"/>
      <c r="J137" s="87"/>
      <c r="K137" s="88"/>
      <c r="L137" s="89"/>
      <c r="M137" s="90"/>
      <c r="N137" s="57"/>
      <c r="O137" s="57"/>
      <c r="P137" s="91"/>
    </row>
    <row r="138" spans="2:16" s="50" customFormat="1" ht="13.2">
      <c r="B138" s="86"/>
      <c r="C138" s="87"/>
      <c r="D138" s="87"/>
      <c r="E138" s="87"/>
      <c r="F138" s="87"/>
      <c r="G138" s="87"/>
      <c r="H138" s="87"/>
      <c r="I138" s="87"/>
      <c r="J138" s="87"/>
      <c r="K138" s="88"/>
      <c r="L138" s="89"/>
      <c r="M138" s="90"/>
      <c r="N138" s="57"/>
      <c r="O138" s="57"/>
      <c r="P138" s="91"/>
    </row>
    <row r="139" spans="2:16" s="50" customFormat="1" ht="13.2">
      <c r="B139" s="86"/>
      <c r="C139" s="87"/>
      <c r="D139" s="87"/>
      <c r="E139" s="87"/>
      <c r="F139" s="87"/>
      <c r="G139" s="87"/>
      <c r="H139" s="87"/>
      <c r="I139" s="87"/>
      <c r="J139" s="87"/>
      <c r="K139" s="88"/>
      <c r="L139" s="89"/>
      <c r="M139" s="90"/>
      <c r="N139" s="57"/>
      <c r="O139" s="57"/>
      <c r="P139" s="91"/>
    </row>
    <row r="140" spans="2:16" s="50" customFormat="1" ht="13.2">
      <c r="B140" s="86"/>
      <c r="C140" s="87"/>
      <c r="D140" s="87"/>
      <c r="E140" s="87"/>
      <c r="F140" s="87"/>
      <c r="G140" s="87"/>
      <c r="H140" s="87"/>
      <c r="I140" s="87"/>
      <c r="J140" s="87"/>
      <c r="K140" s="88"/>
      <c r="L140" s="89"/>
      <c r="M140" s="90"/>
      <c r="N140" s="57"/>
      <c r="O140" s="57"/>
      <c r="P140" s="91"/>
    </row>
    <row r="141" spans="2:16" s="50" customFormat="1" ht="13.2">
      <c r="B141" s="86"/>
      <c r="C141" s="87"/>
      <c r="D141" s="87"/>
      <c r="E141" s="87"/>
      <c r="F141" s="87"/>
      <c r="G141" s="87"/>
      <c r="H141" s="87"/>
      <c r="I141" s="87"/>
      <c r="J141" s="87"/>
      <c r="K141" s="88"/>
      <c r="L141" s="89"/>
      <c r="M141" s="90"/>
      <c r="N141" s="57"/>
      <c r="O141" s="57"/>
      <c r="P141" s="91"/>
    </row>
    <row r="142" spans="2:16" s="50" customFormat="1" ht="13.2">
      <c r="B142" s="86"/>
      <c r="C142" s="87"/>
      <c r="D142" s="87"/>
      <c r="E142" s="87"/>
      <c r="F142" s="87"/>
      <c r="G142" s="87"/>
      <c r="H142" s="87"/>
      <c r="I142" s="87"/>
      <c r="J142" s="87"/>
      <c r="K142" s="88"/>
      <c r="L142" s="89"/>
      <c r="M142" s="90"/>
      <c r="N142" s="57"/>
      <c r="O142" s="57"/>
      <c r="P142" s="91"/>
    </row>
    <row r="143" spans="2:16" s="50" customFormat="1" ht="13.2">
      <c r="B143" s="86"/>
      <c r="C143" s="87"/>
      <c r="D143" s="87"/>
      <c r="E143" s="87"/>
      <c r="F143" s="87"/>
      <c r="G143" s="87"/>
      <c r="H143" s="87"/>
      <c r="I143" s="87"/>
      <c r="J143" s="87"/>
      <c r="K143" s="88"/>
      <c r="L143" s="89"/>
      <c r="M143" s="90"/>
      <c r="N143" s="57"/>
      <c r="O143" s="57"/>
      <c r="P143" s="91"/>
    </row>
    <row r="144" spans="2:16" s="50" customFormat="1" ht="13.2">
      <c r="B144" s="86"/>
      <c r="C144" s="87"/>
      <c r="D144" s="87"/>
      <c r="E144" s="87"/>
      <c r="F144" s="87"/>
      <c r="G144" s="87"/>
      <c r="H144" s="87"/>
      <c r="I144" s="87"/>
      <c r="J144" s="87"/>
      <c r="K144" s="88"/>
      <c r="L144" s="89"/>
      <c r="M144" s="90"/>
      <c r="N144" s="57"/>
      <c r="O144" s="57"/>
      <c r="P144" s="91"/>
    </row>
    <row r="145" spans="2:16" s="50" customFormat="1" ht="13.2">
      <c r="B145" s="86"/>
      <c r="C145" s="87"/>
      <c r="D145" s="87"/>
      <c r="E145" s="87"/>
      <c r="F145" s="87"/>
      <c r="G145" s="87"/>
      <c r="H145" s="87"/>
      <c r="I145" s="87"/>
      <c r="J145" s="87"/>
      <c r="K145" s="88"/>
      <c r="L145" s="89"/>
      <c r="M145" s="90"/>
      <c r="N145" s="57"/>
      <c r="O145" s="57"/>
      <c r="P145" s="91"/>
    </row>
    <row r="146" spans="2:16" s="50" customFormat="1" ht="13.2">
      <c r="B146" s="86"/>
      <c r="C146" s="87"/>
      <c r="D146" s="87"/>
      <c r="E146" s="87"/>
      <c r="F146" s="87"/>
      <c r="G146" s="87"/>
      <c r="H146" s="87"/>
      <c r="I146" s="87"/>
      <c r="J146" s="87"/>
      <c r="K146" s="88"/>
      <c r="L146" s="89"/>
      <c r="M146" s="90"/>
      <c r="N146" s="57"/>
      <c r="O146" s="57"/>
      <c r="P146" s="91"/>
    </row>
    <row r="147" spans="2:16" s="50" customFormat="1" ht="13.2">
      <c r="B147" s="86"/>
      <c r="C147" s="87"/>
      <c r="D147" s="87"/>
      <c r="E147" s="87"/>
      <c r="F147" s="87"/>
      <c r="G147" s="87"/>
      <c r="H147" s="87"/>
      <c r="I147" s="87"/>
      <c r="J147" s="87"/>
      <c r="K147" s="88"/>
      <c r="L147" s="89"/>
      <c r="M147" s="90"/>
      <c r="N147" s="57"/>
      <c r="O147" s="57"/>
      <c r="P147" s="91"/>
    </row>
    <row r="148" spans="2:16" s="50" customFormat="1" ht="13.2">
      <c r="B148" s="86"/>
      <c r="C148" s="87"/>
      <c r="D148" s="87"/>
      <c r="E148" s="87"/>
      <c r="F148" s="87"/>
      <c r="G148" s="87"/>
      <c r="H148" s="87"/>
      <c r="I148" s="87"/>
      <c r="J148" s="87"/>
      <c r="K148" s="88"/>
      <c r="L148" s="89"/>
      <c r="M148" s="90"/>
      <c r="N148" s="57"/>
      <c r="O148" s="57"/>
      <c r="P148" s="91"/>
    </row>
    <row r="149" spans="2:16" s="50" customFormat="1" ht="13.2">
      <c r="B149" s="86"/>
      <c r="C149" s="87"/>
      <c r="D149" s="87"/>
      <c r="E149" s="87"/>
      <c r="F149" s="87"/>
      <c r="G149" s="87"/>
      <c r="H149" s="87"/>
      <c r="I149" s="87"/>
      <c r="J149" s="87"/>
      <c r="K149" s="88"/>
      <c r="L149" s="89"/>
      <c r="M149" s="90"/>
      <c r="N149" s="57"/>
      <c r="O149" s="57"/>
      <c r="P149" s="91"/>
    </row>
    <row r="150" spans="2:16" s="50" customFormat="1" ht="13.2">
      <c r="B150" s="86"/>
      <c r="C150" s="87"/>
      <c r="D150" s="87"/>
      <c r="E150" s="87"/>
      <c r="F150" s="87"/>
      <c r="G150" s="87"/>
      <c r="H150" s="87"/>
      <c r="I150" s="87"/>
      <c r="J150" s="87"/>
      <c r="K150" s="88"/>
      <c r="L150" s="89"/>
      <c r="M150" s="90"/>
      <c r="N150" s="57"/>
      <c r="O150" s="57"/>
      <c r="P150" s="91"/>
    </row>
    <row r="151" spans="2:16" s="50" customFormat="1" ht="13.2">
      <c r="B151" s="86"/>
      <c r="C151" s="87"/>
      <c r="D151" s="87"/>
      <c r="E151" s="87"/>
      <c r="F151" s="87"/>
      <c r="G151" s="87"/>
      <c r="H151" s="87"/>
      <c r="I151" s="87"/>
      <c r="J151" s="87"/>
      <c r="K151" s="88"/>
      <c r="L151" s="89"/>
      <c r="M151" s="90"/>
      <c r="N151" s="57"/>
      <c r="O151" s="57"/>
      <c r="P151" s="91"/>
    </row>
    <row r="152" spans="2:16" s="50" customFormat="1" ht="13.2">
      <c r="B152" s="86"/>
      <c r="C152" s="87"/>
      <c r="D152" s="87"/>
      <c r="E152" s="87"/>
      <c r="F152" s="87"/>
      <c r="G152" s="87"/>
      <c r="H152" s="87"/>
      <c r="I152" s="87"/>
      <c r="J152" s="87"/>
      <c r="K152" s="88"/>
      <c r="L152" s="89"/>
      <c r="M152" s="90"/>
      <c r="N152" s="57"/>
      <c r="O152" s="57"/>
      <c r="P152" s="91"/>
    </row>
    <row r="153" spans="2:16" s="50" customFormat="1" ht="13.2">
      <c r="B153" s="86"/>
      <c r="C153" s="87"/>
      <c r="D153" s="87"/>
      <c r="E153" s="87"/>
      <c r="F153" s="87"/>
      <c r="G153" s="87"/>
      <c r="H153" s="87"/>
      <c r="I153" s="87"/>
      <c r="J153" s="87"/>
      <c r="K153" s="88"/>
      <c r="L153" s="89"/>
      <c r="M153" s="90"/>
      <c r="N153" s="57"/>
      <c r="O153" s="57"/>
      <c r="P153" s="91"/>
    </row>
    <row r="154" spans="2:16" s="50" customFormat="1" ht="13.2">
      <c r="B154" s="86"/>
      <c r="C154" s="87"/>
      <c r="D154" s="87"/>
      <c r="E154" s="87"/>
      <c r="F154" s="87"/>
      <c r="G154" s="87"/>
      <c r="H154" s="87"/>
      <c r="I154" s="87"/>
      <c r="J154" s="87"/>
      <c r="K154" s="88"/>
      <c r="L154" s="89"/>
      <c r="M154" s="90"/>
      <c r="N154" s="57"/>
      <c r="O154" s="57"/>
      <c r="P154" s="91"/>
    </row>
    <row r="155" spans="2:16" s="50" customFormat="1" ht="13.2">
      <c r="B155" s="86"/>
      <c r="C155" s="87"/>
      <c r="D155" s="87"/>
      <c r="E155" s="87"/>
      <c r="F155" s="87"/>
      <c r="G155" s="87"/>
      <c r="H155" s="87"/>
      <c r="I155" s="87"/>
      <c r="J155" s="87"/>
      <c r="K155" s="88"/>
      <c r="L155" s="89"/>
      <c r="M155" s="90"/>
      <c r="N155" s="57"/>
      <c r="O155" s="57"/>
      <c r="P155" s="91"/>
    </row>
    <row r="156" spans="2:16" s="50" customFormat="1" ht="13.2">
      <c r="B156" s="86"/>
      <c r="C156" s="87"/>
      <c r="D156" s="87"/>
      <c r="E156" s="87"/>
      <c r="F156" s="87"/>
      <c r="G156" s="87"/>
      <c r="H156" s="87"/>
      <c r="I156" s="87"/>
      <c r="J156" s="87"/>
      <c r="K156" s="88"/>
      <c r="L156" s="89"/>
      <c r="M156" s="90"/>
      <c r="N156" s="57"/>
      <c r="O156" s="57"/>
      <c r="P156" s="91"/>
    </row>
    <row r="157" spans="2:16" s="50" customFormat="1" ht="13.2">
      <c r="B157" s="86"/>
      <c r="C157" s="87"/>
      <c r="D157" s="87"/>
      <c r="E157" s="87"/>
      <c r="F157" s="87"/>
      <c r="G157" s="87"/>
      <c r="H157" s="87"/>
      <c r="I157" s="87"/>
      <c r="J157" s="87"/>
      <c r="K157" s="88"/>
      <c r="L157" s="89"/>
      <c r="M157" s="90"/>
      <c r="N157" s="57"/>
      <c r="O157" s="57"/>
      <c r="P157" s="91"/>
    </row>
    <row r="158" spans="2:16" s="50" customFormat="1" ht="13.2">
      <c r="B158" s="86"/>
      <c r="C158" s="87"/>
      <c r="D158" s="87"/>
      <c r="E158" s="87"/>
      <c r="F158" s="87"/>
      <c r="G158" s="87"/>
      <c r="H158" s="87"/>
      <c r="I158" s="87"/>
      <c r="J158" s="87"/>
      <c r="K158" s="88"/>
      <c r="L158" s="89"/>
      <c r="M158" s="90"/>
      <c r="N158" s="57"/>
      <c r="O158" s="57"/>
      <c r="P158" s="91"/>
    </row>
    <row r="159" spans="2:16" s="50" customFormat="1" ht="13.2">
      <c r="B159" s="86"/>
      <c r="C159" s="87"/>
      <c r="D159" s="87"/>
      <c r="E159" s="87"/>
      <c r="F159" s="87"/>
      <c r="G159" s="87"/>
      <c r="H159" s="87"/>
      <c r="I159" s="87"/>
      <c r="J159" s="87"/>
      <c r="K159" s="88"/>
      <c r="L159" s="89"/>
      <c r="M159" s="90"/>
      <c r="N159" s="57"/>
      <c r="O159" s="57"/>
      <c r="P159" s="91"/>
    </row>
    <row r="160" spans="2:16" s="50" customFormat="1" ht="13.2">
      <c r="B160" s="86"/>
      <c r="C160" s="87"/>
      <c r="D160" s="87"/>
      <c r="E160" s="87"/>
      <c r="F160" s="87"/>
      <c r="G160" s="87"/>
      <c r="H160" s="87"/>
      <c r="I160" s="87"/>
      <c r="J160" s="87"/>
      <c r="K160" s="88"/>
      <c r="L160" s="89"/>
      <c r="M160" s="90"/>
      <c r="N160" s="57"/>
      <c r="O160" s="57"/>
      <c r="P160" s="91"/>
    </row>
    <row r="161" spans="2:16" s="50" customFormat="1" ht="13.2">
      <c r="B161" s="86"/>
      <c r="C161" s="87"/>
      <c r="D161" s="87"/>
      <c r="E161" s="87"/>
      <c r="F161" s="87"/>
      <c r="G161" s="87"/>
      <c r="H161" s="87"/>
      <c r="I161" s="87"/>
      <c r="J161" s="87"/>
      <c r="K161" s="88"/>
      <c r="L161" s="89"/>
      <c r="M161" s="90"/>
      <c r="N161" s="57"/>
      <c r="O161" s="57"/>
      <c r="P161" s="91"/>
    </row>
    <row r="162" spans="2:16" s="50" customFormat="1" ht="13.2">
      <c r="B162" s="86"/>
      <c r="C162" s="87"/>
      <c r="D162" s="87"/>
      <c r="E162" s="87"/>
      <c r="F162" s="87"/>
      <c r="G162" s="87"/>
      <c r="H162" s="87"/>
      <c r="I162" s="87"/>
      <c r="J162" s="87"/>
      <c r="K162" s="88"/>
      <c r="L162" s="89"/>
      <c r="M162" s="90"/>
      <c r="N162" s="57"/>
      <c r="O162" s="57"/>
      <c r="P162" s="91"/>
    </row>
    <row r="163" spans="2:16" s="50" customFormat="1" ht="13.2">
      <c r="B163" s="86"/>
      <c r="C163" s="87"/>
      <c r="D163" s="87"/>
      <c r="E163" s="87"/>
      <c r="F163" s="87"/>
      <c r="G163" s="87"/>
      <c r="H163" s="87"/>
      <c r="I163" s="87"/>
      <c r="J163" s="87"/>
      <c r="K163" s="88"/>
      <c r="L163" s="89"/>
      <c r="M163" s="90"/>
      <c r="N163" s="57"/>
      <c r="O163" s="57"/>
      <c r="P163" s="91"/>
    </row>
    <row r="164" spans="2:16" s="50" customFormat="1" ht="13.2">
      <c r="B164" s="86"/>
      <c r="C164" s="87"/>
      <c r="D164" s="87"/>
      <c r="E164" s="87"/>
      <c r="F164" s="87"/>
      <c r="G164" s="87"/>
      <c r="H164" s="87"/>
      <c r="I164" s="87"/>
      <c r="J164" s="87"/>
      <c r="K164" s="88"/>
      <c r="L164" s="89"/>
      <c r="M164" s="90"/>
      <c r="N164" s="57"/>
      <c r="O164" s="57"/>
      <c r="P164" s="91"/>
    </row>
    <row r="165" spans="2:16" s="50" customFormat="1" ht="13.2">
      <c r="B165" s="86"/>
      <c r="C165" s="87"/>
      <c r="D165" s="87"/>
      <c r="E165" s="87"/>
      <c r="F165" s="87"/>
      <c r="G165" s="87"/>
      <c r="H165" s="87"/>
      <c r="I165" s="87"/>
      <c r="J165" s="87"/>
      <c r="K165" s="88"/>
      <c r="L165" s="89"/>
      <c r="M165" s="90"/>
      <c r="N165" s="57"/>
      <c r="O165" s="57"/>
      <c r="P165" s="91"/>
    </row>
    <row r="166" spans="2:16" s="50" customFormat="1" ht="13.2">
      <c r="B166" s="86"/>
      <c r="C166" s="87"/>
      <c r="D166" s="87"/>
      <c r="E166" s="87"/>
      <c r="F166" s="87"/>
      <c r="G166" s="87"/>
      <c r="H166" s="87"/>
      <c r="I166" s="87"/>
      <c r="J166" s="87"/>
      <c r="K166" s="88"/>
      <c r="L166" s="89"/>
      <c r="M166" s="90"/>
      <c r="N166" s="57"/>
      <c r="O166" s="57"/>
      <c r="P166" s="91"/>
    </row>
    <row r="167" spans="2:16" s="50" customFormat="1" ht="13.2">
      <c r="B167" s="86"/>
      <c r="C167" s="87"/>
      <c r="D167" s="87"/>
      <c r="E167" s="87"/>
      <c r="F167" s="87"/>
      <c r="G167" s="87"/>
      <c r="H167" s="87"/>
      <c r="I167" s="87"/>
      <c r="J167" s="87"/>
      <c r="K167" s="88"/>
      <c r="L167" s="89"/>
      <c r="M167" s="90"/>
      <c r="N167" s="57"/>
      <c r="O167" s="57"/>
      <c r="P167" s="91"/>
    </row>
    <row r="168" spans="2:16" s="50" customFormat="1" ht="13.2">
      <c r="B168" s="86"/>
      <c r="C168" s="87"/>
      <c r="D168" s="87"/>
      <c r="E168" s="87"/>
      <c r="F168" s="87"/>
      <c r="G168" s="87"/>
      <c r="H168" s="87"/>
      <c r="I168" s="87"/>
      <c r="J168" s="87"/>
      <c r="K168" s="88"/>
      <c r="L168" s="89"/>
      <c r="M168" s="90"/>
      <c r="N168" s="57"/>
      <c r="O168" s="57"/>
      <c r="P168" s="91"/>
    </row>
    <row r="169" spans="2:16" s="50" customFormat="1" ht="13.2">
      <c r="B169" s="86"/>
      <c r="C169" s="87"/>
      <c r="D169" s="87"/>
      <c r="E169" s="87"/>
      <c r="F169" s="87"/>
      <c r="G169" s="87"/>
      <c r="H169" s="87"/>
      <c r="I169" s="87"/>
      <c r="J169" s="87"/>
      <c r="K169" s="88"/>
      <c r="L169" s="89"/>
      <c r="M169" s="90"/>
      <c r="N169" s="57"/>
      <c r="O169" s="57"/>
      <c r="P169" s="91"/>
    </row>
    <row r="170" spans="2:16" s="50" customFormat="1" ht="13.2">
      <c r="B170" s="86"/>
      <c r="C170" s="87"/>
      <c r="D170" s="87"/>
      <c r="E170" s="87"/>
      <c r="F170" s="87"/>
      <c r="G170" s="87"/>
      <c r="H170" s="87"/>
      <c r="I170" s="87"/>
      <c r="J170" s="87"/>
      <c r="K170" s="88"/>
      <c r="L170" s="89"/>
      <c r="M170" s="90"/>
      <c r="N170" s="57"/>
      <c r="O170" s="57"/>
      <c r="P170" s="91"/>
    </row>
    <row r="171" spans="2:16" s="50" customFormat="1" ht="13.2">
      <c r="B171" s="86"/>
      <c r="C171" s="87"/>
      <c r="D171" s="87"/>
      <c r="E171" s="87"/>
      <c r="F171" s="87"/>
      <c r="G171" s="87"/>
      <c r="H171" s="87"/>
      <c r="I171" s="87"/>
      <c r="J171" s="87"/>
      <c r="K171" s="88"/>
      <c r="L171" s="89"/>
      <c r="M171" s="90"/>
      <c r="N171" s="57"/>
      <c r="O171" s="57"/>
      <c r="P171" s="91"/>
    </row>
    <row r="172" spans="2:16" s="50" customFormat="1" ht="13.2">
      <c r="B172" s="86"/>
      <c r="C172" s="87"/>
      <c r="D172" s="87"/>
      <c r="E172" s="87"/>
      <c r="F172" s="87"/>
      <c r="G172" s="87"/>
      <c r="H172" s="87"/>
      <c r="I172" s="87"/>
      <c r="J172" s="87"/>
      <c r="K172" s="88"/>
      <c r="L172" s="89"/>
      <c r="M172" s="90"/>
      <c r="N172" s="57"/>
      <c r="O172" s="57"/>
      <c r="P172" s="91"/>
    </row>
    <row r="173" spans="2:16" s="50" customFormat="1" ht="13.2">
      <c r="B173" s="86"/>
      <c r="C173" s="87"/>
      <c r="D173" s="87"/>
      <c r="E173" s="87"/>
      <c r="F173" s="87"/>
      <c r="G173" s="87"/>
      <c r="H173" s="87"/>
      <c r="I173" s="87"/>
      <c r="J173" s="87"/>
      <c r="K173" s="88"/>
      <c r="L173" s="89"/>
      <c r="M173" s="90"/>
      <c r="N173" s="57"/>
      <c r="O173" s="57"/>
      <c r="P173" s="91"/>
    </row>
    <row r="174" spans="2:16" s="50" customFormat="1" ht="13.2">
      <c r="B174" s="86"/>
      <c r="C174" s="87"/>
      <c r="D174" s="87"/>
      <c r="E174" s="87"/>
      <c r="F174" s="87"/>
      <c r="G174" s="87"/>
      <c r="H174" s="87"/>
      <c r="I174" s="87"/>
      <c r="J174" s="87"/>
      <c r="K174" s="88"/>
      <c r="L174" s="89"/>
      <c r="M174" s="90"/>
      <c r="N174" s="57"/>
      <c r="O174" s="57"/>
      <c r="P174" s="91"/>
    </row>
    <row r="175" spans="2:16" s="50" customFormat="1" ht="13.2">
      <c r="B175" s="86"/>
      <c r="C175" s="87"/>
      <c r="D175" s="87"/>
      <c r="E175" s="87"/>
      <c r="F175" s="87"/>
      <c r="G175" s="87"/>
      <c r="H175" s="87"/>
      <c r="I175" s="87"/>
      <c r="J175" s="87"/>
      <c r="K175" s="88"/>
      <c r="L175" s="89"/>
      <c r="M175" s="90"/>
      <c r="N175" s="57"/>
      <c r="O175" s="57"/>
      <c r="P175" s="91"/>
    </row>
    <row r="176" spans="2:16" s="50" customFormat="1" ht="13.2">
      <c r="B176" s="86"/>
      <c r="C176" s="87"/>
      <c r="D176" s="87"/>
      <c r="E176" s="87"/>
      <c r="F176" s="87"/>
      <c r="G176" s="87"/>
      <c r="H176" s="87"/>
      <c r="I176" s="87"/>
      <c r="J176" s="87"/>
      <c r="K176" s="88"/>
      <c r="L176" s="89"/>
      <c r="M176" s="90"/>
      <c r="N176" s="57"/>
      <c r="O176" s="57"/>
      <c r="P176" s="91"/>
    </row>
    <row r="177" spans="2:16" s="50" customFormat="1" ht="13.2">
      <c r="B177" s="86"/>
      <c r="C177" s="87"/>
      <c r="D177" s="87"/>
      <c r="E177" s="87"/>
      <c r="F177" s="87"/>
      <c r="G177" s="87"/>
      <c r="H177" s="87"/>
      <c r="I177" s="87"/>
      <c r="J177" s="87"/>
      <c r="K177" s="88"/>
      <c r="L177" s="89"/>
      <c r="M177" s="90"/>
      <c r="N177" s="57"/>
      <c r="O177" s="57"/>
      <c r="P177" s="91"/>
    </row>
    <row r="178" spans="2:16" s="50" customFormat="1" ht="13.2">
      <c r="B178" s="86"/>
      <c r="C178" s="87"/>
      <c r="D178" s="87"/>
      <c r="E178" s="87"/>
      <c r="F178" s="87"/>
      <c r="G178" s="87"/>
      <c r="H178" s="87"/>
      <c r="I178" s="87"/>
      <c r="J178" s="87"/>
      <c r="K178" s="88"/>
      <c r="L178" s="89"/>
      <c r="M178" s="90"/>
      <c r="N178" s="57"/>
      <c r="O178" s="57"/>
      <c r="P178" s="91"/>
    </row>
    <row r="179" spans="2:16" s="50" customFormat="1" ht="13.2">
      <c r="B179" s="86"/>
      <c r="C179" s="87"/>
      <c r="D179" s="87"/>
      <c r="E179" s="87"/>
      <c r="F179" s="87"/>
      <c r="G179" s="87"/>
      <c r="H179" s="87"/>
      <c r="I179" s="87"/>
      <c r="J179" s="87"/>
      <c r="K179" s="88"/>
      <c r="L179" s="89"/>
      <c r="M179" s="90"/>
      <c r="N179" s="57"/>
      <c r="O179" s="57"/>
      <c r="P179" s="91"/>
    </row>
    <row r="180" spans="2:16" s="50" customFormat="1" ht="13.2">
      <c r="B180" s="86"/>
      <c r="C180" s="87"/>
      <c r="D180" s="87"/>
      <c r="E180" s="87"/>
      <c r="F180" s="87"/>
      <c r="G180" s="87"/>
      <c r="H180" s="87"/>
      <c r="I180" s="87"/>
      <c r="J180" s="87"/>
      <c r="K180" s="88"/>
      <c r="L180" s="89"/>
      <c r="M180" s="90"/>
      <c r="N180" s="57"/>
      <c r="O180" s="57"/>
      <c r="P180" s="91"/>
    </row>
    <row r="181" spans="2:16" s="50" customFormat="1" ht="13.2">
      <c r="B181" s="86"/>
      <c r="C181" s="87"/>
      <c r="D181" s="87"/>
      <c r="E181" s="87"/>
      <c r="F181" s="87"/>
      <c r="G181" s="87"/>
      <c r="H181" s="87"/>
      <c r="I181" s="87"/>
      <c r="J181" s="87"/>
      <c r="K181" s="88"/>
      <c r="L181" s="89"/>
      <c r="M181" s="90"/>
      <c r="N181" s="57"/>
      <c r="O181" s="57"/>
      <c r="P181" s="91"/>
    </row>
    <row r="182" spans="2:16" s="50" customFormat="1" ht="13.2">
      <c r="B182" s="86"/>
      <c r="C182" s="87"/>
      <c r="D182" s="87"/>
      <c r="E182" s="87"/>
      <c r="F182" s="87"/>
      <c r="G182" s="87"/>
      <c r="H182" s="87"/>
      <c r="I182" s="87"/>
      <c r="J182" s="87"/>
      <c r="K182" s="88"/>
      <c r="L182" s="89"/>
      <c r="M182" s="90"/>
      <c r="N182" s="57"/>
      <c r="O182" s="57"/>
      <c r="P182" s="91"/>
    </row>
    <row r="183" spans="2:16" s="50" customFormat="1" ht="13.2">
      <c r="B183" s="86"/>
      <c r="C183" s="87"/>
      <c r="D183" s="87"/>
      <c r="E183" s="87"/>
      <c r="F183" s="87"/>
      <c r="G183" s="87"/>
      <c r="H183" s="87"/>
      <c r="I183" s="87"/>
      <c r="J183" s="87"/>
      <c r="K183" s="88"/>
      <c r="L183" s="89"/>
      <c r="M183" s="90"/>
      <c r="N183" s="57"/>
      <c r="O183" s="57"/>
      <c r="P183" s="91"/>
    </row>
    <row r="184" spans="2:16" s="50" customFormat="1" ht="13.2">
      <c r="B184" s="86"/>
      <c r="C184" s="87"/>
      <c r="D184" s="87"/>
      <c r="E184" s="87"/>
      <c r="F184" s="87"/>
      <c r="G184" s="87"/>
      <c r="H184" s="87"/>
      <c r="I184" s="87"/>
      <c r="J184" s="87"/>
      <c r="K184" s="88"/>
      <c r="L184" s="89"/>
      <c r="M184" s="90"/>
      <c r="N184" s="57"/>
      <c r="O184" s="57"/>
      <c r="P184" s="91"/>
    </row>
    <row r="185" spans="2:16" s="50" customFormat="1" ht="13.2">
      <c r="B185" s="86"/>
      <c r="C185" s="87"/>
      <c r="D185" s="87"/>
      <c r="E185" s="87"/>
      <c r="F185" s="87"/>
      <c r="G185" s="87"/>
      <c r="H185" s="87"/>
      <c r="I185" s="87"/>
      <c r="J185" s="87"/>
      <c r="K185" s="88"/>
      <c r="L185" s="89"/>
      <c r="M185" s="90"/>
      <c r="N185" s="57"/>
      <c r="O185" s="57"/>
      <c r="P185" s="91"/>
    </row>
    <row r="186" spans="2:16" s="50" customFormat="1" ht="13.2">
      <c r="B186" s="86"/>
      <c r="C186" s="87"/>
      <c r="D186" s="87"/>
      <c r="E186" s="87"/>
      <c r="F186" s="87"/>
      <c r="G186" s="87"/>
      <c r="H186" s="87"/>
      <c r="I186" s="87"/>
      <c r="J186" s="87"/>
      <c r="K186" s="88"/>
      <c r="L186" s="89"/>
      <c r="M186" s="90"/>
      <c r="N186" s="57"/>
      <c r="O186" s="57"/>
      <c r="P186" s="91"/>
    </row>
    <row r="187" spans="2:16" s="50" customFormat="1" ht="13.2">
      <c r="B187" s="86"/>
      <c r="C187" s="87"/>
      <c r="D187" s="87"/>
      <c r="E187" s="87"/>
      <c r="F187" s="87"/>
      <c r="G187" s="87"/>
      <c r="H187" s="87"/>
      <c r="I187" s="87"/>
      <c r="J187" s="87"/>
      <c r="K187" s="88"/>
      <c r="L187" s="89"/>
      <c r="M187" s="90"/>
      <c r="N187" s="57"/>
      <c r="O187" s="57"/>
      <c r="P187" s="91"/>
    </row>
    <row r="188" spans="2:16" s="50" customFormat="1" ht="13.2">
      <c r="B188" s="86"/>
      <c r="C188" s="87"/>
      <c r="D188" s="87"/>
      <c r="E188" s="87"/>
      <c r="F188" s="87"/>
      <c r="G188" s="87"/>
      <c r="H188" s="87"/>
      <c r="I188" s="87"/>
      <c r="J188" s="87"/>
      <c r="K188" s="88"/>
      <c r="L188" s="89"/>
      <c r="M188" s="90"/>
      <c r="N188" s="57"/>
      <c r="O188" s="57"/>
      <c r="P188" s="91"/>
    </row>
    <row r="189" spans="2:16" s="50" customFormat="1" ht="13.2">
      <c r="B189" s="86"/>
      <c r="C189" s="87"/>
      <c r="D189" s="87"/>
      <c r="E189" s="87"/>
      <c r="F189" s="87"/>
      <c r="G189" s="87"/>
      <c r="H189" s="87"/>
      <c r="I189" s="87"/>
      <c r="J189" s="87"/>
      <c r="K189" s="88"/>
      <c r="L189" s="89"/>
      <c r="M189" s="90"/>
      <c r="N189" s="57"/>
      <c r="O189" s="57"/>
      <c r="P189" s="91"/>
    </row>
    <row r="190" spans="2:16" s="50" customFormat="1" ht="13.2">
      <c r="B190" s="86"/>
      <c r="C190" s="87"/>
      <c r="D190" s="87"/>
      <c r="E190" s="87"/>
      <c r="F190" s="87"/>
      <c r="G190" s="87"/>
      <c r="H190" s="87"/>
      <c r="I190" s="87"/>
      <c r="J190" s="87"/>
      <c r="K190" s="88"/>
      <c r="L190" s="89"/>
      <c r="M190" s="90"/>
      <c r="N190" s="57"/>
      <c r="O190" s="57"/>
      <c r="P190" s="91"/>
    </row>
    <row r="191" spans="2:16" s="50" customFormat="1" ht="13.2">
      <c r="B191" s="86"/>
      <c r="C191" s="87"/>
      <c r="D191" s="87"/>
      <c r="E191" s="87"/>
      <c r="F191" s="87"/>
      <c r="G191" s="87"/>
      <c r="H191" s="87"/>
      <c r="I191" s="87"/>
      <c r="J191" s="87"/>
      <c r="K191" s="88"/>
      <c r="L191" s="89"/>
      <c r="M191" s="90"/>
      <c r="N191" s="57"/>
      <c r="O191" s="57"/>
      <c r="P191" s="91"/>
    </row>
    <row r="192" spans="2:16" s="50" customFormat="1" ht="13.2">
      <c r="B192" s="86"/>
      <c r="C192" s="87"/>
      <c r="D192" s="87"/>
      <c r="E192" s="87"/>
      <c r="F192" s="87"/>
      <c r="G192" s="87"/>
      <c r="H192" s="87"/>
      <c r="I192" s="87"/>
      <c r="J192" s="87"/>
      <c r="K192" s="88"/>
      <c r="L192" s="89"/>
      <c r="M192" s="90"/>
      <c r="N192" s="57"/>
      <c r="O192" s="57"/>
      <c r="P192" s="91"/>
    </row>
    <row r="193" spans="2:16" s="50" customFormat="1" ht="13.2">
      <c r="B193" s="86"/>
      <c r="C193" s="87"/>
      <c r="D193" s="87"/>
      <c r="E193" s="87"/>
      <c r="F193" s="87"/>
      <c r="G193" s="87"/>
      <c r="H193" s="87"/>
      <c r="I193" s="87"/>
      <c r="J193" s="87"/>
      <c r="K193" s="88"/>
      <c r="L193" s="89"/>
      <c r="M193" s="90"/>
      <c r="N193" s="57"/>
      <c r="O193" s="57"/>
      <c r="P193" s="91"/>
    </row>
    <row r="194" spans="2:16" s="50" customFormat="1" ht="13.2">
      <c r="B194" s="86"/>
      <c r="C194" s="87"/>
      <c r="D194" s="87"/>
      <c r="E194" s="87"/>
      <c r="F194" s="87"/>
      <c r="G194" s="87"/>
      <c r="H194" s="87"/>
      <c r="I194" s="87"/>
      <c r="J194" s="87"/>
      <c r="K194" s="88"/>
      <c r="L194" s="89"/>
      <c r="M194" s="90"/>
      <c r="N194" s="57"/>
      <c r="O194" s="57"/>
      <c r="P194" s="91"/>
    </row>
    <row r="195" spans="2:16" s="50" customFormat="1" ht="13.2">
      <c r="B195" s="86"/>
      <c r="C195" s="87"/>
      <c r="D195" s="87"/>
      <c r="E195" s="87"/>
      <c r="F195" s="87"/>
      <c r="G195" s="87"/>
      <c r="H195" s="87"/>
      <c r="I195" s="87"/>
      <c r="J195" s="87"/>
      <c r="K195" s="88"/>
      <c r="L195" s="89"/>
      <c r="M195" s="90"/>
      <c r="N195" s="57"/>
      <c r="O195" s="57"/>
      <c r="P195" s="91"/>
    </row>
    <row r="196" spans="2:16" s="50" customFormat="1" ht="13.2">
      <c r="B196" s="86"/>
      <c r="C196" s="87"/>
      <c r="D196" s="87"/>
      <c r="E196" s="87"/>
      <c r="F196" s="87"/>
      <c r="G196" s="87"/>
      <c r="H196" s="87"/>
      <c r="I196" s="87"/>
      <c r="J196" s="87"/>
      <c r="K196" s="88"/>
      <c r="L196" s="89"/>
      <c r="M196" s="90"/>
      <c r="N196" s="57"/>
      <c r="O196" s="57"/>
      <c r="P196" s="91"/>
    </row>
    <row r="197" spans="2:16" s="50" customFormat="1" ht="13.2">
      <c r="B197" s="86"/>
      <c r="C197" s="87"/>
      <c r="D197" s="87"/>
      <c r="E197" s="87"/>
      <c r="F197" s="87"/>
      <c r="G197" s="87"/>
      <c r="H197" s="87"/>
      <c r="I197" s="87"/>
      <c r="J197" s="87"/>
      <c r="K197" s="88"/>
      <c r="L197" s="89"/>
      <c r="M197" s="90"/>
      <c r="N197" s="57"/>
      <c r="O197" s="57"/>
      <c r="P197" s="91"/>
    </row>
    <row r="198" spans="2:16" s="50" customFormat="1" ht="13.2">
      <c r="B198" s="86"/>
      <c r="C198" s="87"/>
      <c r="D198" s="87"/>
      <c r="E198" s="87"/>
      <c r="F198" s="87"/>
      <c r="G198" s="87"/>
      <c r="H198" s="87"/>
      <c r="I198" s="87"/>
      <c r="J198" s="87"/>
      <c r="K198" s="88"/>
      <c r="L198" s="89"/>
      <c r="M198" s="90"/>
      <c r="N198" s="57"/>
      <c r="O198" s="57"/>
      <c r="P198" s="91"/>
    </row>
    <row r="199" spans="2:16" s="50" customFormat="1" ht="13.2">
      <c r="B199" s="86"/>
      <c r="C199" s="87"/>
      <c r="D199" s="87"/>
      <c r="E199" s="87"/>
      <c r="F199" s="87"/>
      <c r="G199" s="87"/>
      <c r="H199" s="87"/>
      <c r="I199" s="87"/>
      <c r="J199" s="87"/>
      <c r="K199" s="88"/>
      <c r="L199" s="89"/>
      <c r="M199" s="90"/>
      <c r="N199" s="57"/>
      <c r="O199" s="57"/>
      <c r="P199" s="91"/>
    </row>
    <row r="200" spans="2:16" s="50" customFormat="1" ht="13.2">
      <c r="B200" s="86"/>
      <c r="C200" s="87"/>
      <c r="D200" s="87"/>
      <c r="E200" s="87"/>
      <c r="F200" s="87"/>
      <c r="G200" s="87"/>
      <c r="H200" s="87"/>
      <c r="I200" s="87"/>
      <c r="J200" s="87"/>
      <c r="K200" s="88"/>
      <c r="L200" s="89"/>
      <c r="M200" s="90"/>
      <c r="N200" s="57"/>
      <c r="O200" s="57"/>
      <c r="P200" s="91"/>
    </row>
    <row r="201" spans="2:16" s="50" customFormat="1" ht="13.2">
      <c r="B201" s="86"/>
      <c r="C201" s="87"/>
      <c r="D201" s="87"/>
      <c r="E201" s="87"/>
      <c r="F201" s="87"/>
      <c r="G201" s="87"/>
      <c r="H201" s="87"/>
      <c r="I201" s="87"/>
      <c r="J201" s="87"/>
      <c r="K201" s="88"/>
      <c r="L201" s="89"/>
      <c r="M201" s="90"/>
      <c r="N201" s="57"/>
      <c r="O201" s="57"/>
      <c r="P201" s="91"/>
    </row>
    <row r="202" spans="2:16" s="50" customFormat="1" ht="13.2">
      <c r="B202" s="86"/>
      <c r="C202" s="87"/>
      <c r="D202" s="87"/>
      <c r="E202" s="87"/>
      <c r="F202" s="87"/>
      <c r="G202" s="87"/>
      <c r="H202" s="87"/>
      <c r="I202" s="87"/>
      <c r="J202" s="87"/>
      <c r="K202" s="88"/>
      <c r="L202" s="89"/>
      <c r="M202" s="90"/>
      <c r="N202" s="57"/>
      <c r="O202" s="57"/>
      <c r="P202" s="91"/>
    </row>
    <row r="203" spans="2:16" s="50" customFormat="1" ht="13.2">
      <c r="B203" s="86"/>
      <c r="C203" s="87"/>
      <c r="D203" s="87"/>
      <c r="E203" s="87"/>
      <c r="F203" s="87"/>
      <c r="G203" s="87"/>
      <c r="H203" s="87"/>
      <c r="I203" s="87"/>
      <c r="J203" s="87"/>
      <c r="K203" s="88"/>
      <c r="L203" s="89"/>
      <c r="M203" s="90"/>
      <c r="N203" s="57"/>
      <c r="O203" s="57"/>
      <c r="P203" s="91"/>
    </row>
    <row r="204" spans="2:16" s="50" customFormat="1" ht="13.2">
      <c r="B204" s="86"/>
      <c r="C204" s="87"/>
      <c r="D204" s="87"/>
      <c r="E204" s="87"/>
      <c r="F204" s="87"/>
      <c r="G204" s="87"/>
      <c r="H204" s="87"/>
      <c r="I204" s="87"/>
      <c r="J204" s="87"/>
      <c r="K204" s="88"/>
      <c r="L204" s="89"/>
      <c r="M204" s="90"/>
      <c r="N204" s="57"/>
      <c r="O204" s="57"/>
      <c r="P204" s="91"/>
    </row>
    <row r="205" spans="2:16" s="50" customFormat="1" ht="13.2">
      <c r="B205" s="86"/>
      <c r="C205" s="87"/>
      <c r="D205" s="87"/>
      <c r="E205" s="87"/>
      <c r="F205" s="87"/>
      <c r="G205" s="87"/>
      <c r="H205" s="87"/>
      <c r="I205" s="87"/>
      <c r="J205" s="87"/>
      <c r="K205" s="88"/>
      <c r="L205" s="89"/>
      <c r="M205" s="90"/>
      <c r="N205" s="57"/>
      <c r="O205" s="57"/>
      <c r="P205" s="91"/>
    </row>
    <row r="206" spans="2:16" s="50" customFormat="1" ht="13.2">
      <c r="B206" s="86"/>
      <c r="C206" s="87"/>
      <c r="D206" s="87"/>
      <c r="E206" s="87"/>
      <c r="F206" s="87"/>
      <c r="G206" s="87"/>
      <c r="H206" s="87"/>
      <c r="I206" s="87"/>
      <c r="J206" s="87"/>
      <c r="K206" s="88"/>
      <c r="L206" s="89"/>
      <c r="M206" s="90"/>
      <c r="N206" s="57"/>
      <c r="O206" s="57"/>
      <c r="P206" s="91"/>
    </row>
    <row r="207" spans="2:16" s="50" customFormat="1" ht="13.2">
      <c r="B207" s="86"/>
      <c r="C207" s="87"/>
      <c r="D207" s="87"/>
      <c r="E207" s="87"/>
      <c r="F207" s="87"/>
      <c r="G207" s="87"/>
      <c r="H207" s="87"/>
      <c r="I207" s="87"/>
      <c r="J207" s="87"/>
      <c r="K207" s="88"/>
      <c r="L207" s="89"/>
      <c r="M207" s="90"/>
      <c r="N207" s="57"/>
      <c r="O207" s="57"/>
      <c r="P207" s="91"/>
    </row>
    <row r="208" spans="2:16" s="50" customFormat="1" ht="13.2">
      <c r="B208" s="86"/>
      <c r="C208" s="87"/>
      <c r="D208" s="87"/>
      <c r="E208" s="87"/>
      <c r="F208" s="87"/>
      <c r="G208" s="87"/>
      <c r="H208" s="87"/>
      <c r="I208" s="87"/>
      <c r="J208" s="87"/>
      <c r="K208" s="88"/>
      <c r="L208" s="89"/>
      <c r="M208" s="90"/>
      <c r="N208" s="57"/>
      <c r="O208" s="57"/>
      <c r="P208" s="91"/>
    </row>
    <row r="209" spans="2:16" s="50" customFormat="1" ht="13.2">
      <c r="B209" s="86"/>
      <c r="C209" s="87"/>
      <c r="D209" s="87"/>
      <c r="E209" s="87"/>
      <c r="F209" s="87"/>
      <c r="G209" s="87"/>
      <c r="H209" s="87"/>
      <c r="I209" s="87"/>
      <c r="J209" s="87"/>
      <c r="K209" s="88"/>
      <c r="L209" s="89"/>
      <c r="M209" s="90"/>
      <c r="N209" s="57"/>
      <c r="O209" s="57"/>
      <c r="P209" s="91"/>
    </row>
    <row r="210" spans="2:16" s="50" customFormat="1" ht="13.2">
      <c r="B210" s="86"/>
      <c r="C210" s="87"/>
      <c r="D210" s="87"/>
      <c r="E210" s="87"/>
      <c r="F210" s="87"/>
      <c r="G210" s="87"/>
      <c r="H210" s="87"/>
      <c r="I210" s="87"/>
      <c r="J210" s="87"/>
      <c r="K210" s="88"/>
      <c r="L210" s="89"/>
      <c r="M210" s="90"/>
      <c r="N210" s="57"/>
      <c r="O210" s="57"/>
      <c r="P210" s="91"/>
    </row>
    <row r="211" spans="2:16" s="50" customFormat="1" ht="13.2">
      <c r="B211" s="86"/>
      <c r="C211" s="87"/>
      <c r="D211" s="87"/>
      <c r="E211" s="87"/>
      <c r="F211" s="87"/>
      <c r="G211" s="87"/>
      <c r="H211" s="87"/>
      <c r="I211" s="87"/>
      <c r="J211" s="87"/>
      <c r="K211" s="88"/>
      <c r="L211" s="89"/>
      <c r="M211" s="90"/>
      <c r="N211" s="57"/>
      <c r="O211" s="57"/>
      <c r="P211" s="91"/>
    </row>
    <row r="212" spans="2:16" s="50" customFormat="1" ht="13.2">
      <c r="B212" s="86"/>
      <c r="C212" s="87"/>
      <c r="D212" s="87"/>
      <c r="E212" s="87"/>
      <c r="F212" s="87"/>
      <c r="G212" s="87"/>
      <c r="H212" s="87"/>
      <c r="I212" s="87"/>
      <c r="J212" s="87"/>
      <c r="K212" s="88"/>
      <c r="L212" s="89"/>
      <c r="M212" s="90"/>
      <c r="N212" s="57"/>
      <c r="O212" s="57"/>
      <c r="P212" s="91"/>
    </row>
    <row r="213" spans="2:16" s="50" customFormat="1" ht="13.2">
      <c r="B213" s="86"/>
      <c r="C213" s="87"/>
      <c r="D213" s="87"/>
      <c r="E213" s="87"/>
      <c r="F213" s="87"/>
      <c r="G213" s="87"/>
      <c r="H213" s="87"/>
      <c r="I213" s="87"/>
      <c r="J213" s="87"/>
      <c r="K213" s="88"/>
      <c r="L213" s="89"/>
      <c r="M213" s="90"/>
      <c r="N213" s="57"/>
      <c r="O213" s="57"/>
      <c r="P213" s="91"/>
    </row>
    <row r="214" spans="2:16" s="50" customFormat="1" ht="13.2">
      <c r="B214" s="86"/>
      <c r="C214" s="87"/>
      <c r="D214" s="87"/>
      <c r="E214" s="87"/>
      <c r="F214" s="87"/>
      <c r="G214" s="87"/>
      <c r="H214" s="87"/>
      <c r="I214" s="87"/>
      <c r="J214" s="87"/>
      <c r="K214" s="88"/>
      <c r="L214" s="89"/>
      <c r="M214" s="90"/>
      <c r="N214" s="57"/>
      <c r="O214" s="57"/>
      <c r="P214" s="91"/>
    </row>
    <row r="215" spans="2:16" s="50" customFormat="1" ht="13.2">
      <c r="B215" s="86"/>
      <c r="C215" s="87"/>
      <c r="D215" s="87"/>
      <c r="E215" s="87"/>
      <c r="F215" s="87"/>
      <c r="G215" s="87"/>
      <c r="H215" s="87"/>
      <c r="I215" s="87"/>
      <c r="J215" s="87"/>
      <c r="K215" s="88"/>
      <c r="L215" s="89"/>
      <c r="M215" s="90"/>
      <c r="N215" s="57"/>
      <c r="O215" s="57"/>
      <c r="P215" s="91"/>
    </row>
    <row r="216" spans="2:16" s="50" customFormat="1" ht="13.2">
      <c r="B216" s="86"/>
      <c r="C216" s="87"/>
      <c r="D216" s="87"/>
      <c r="E216" s="87"/>
      <c r="F216" s="87"/>
      <c r="G216" s="87"/>
      <c r="H216" s="87"/>
      <c r="I216" s="87"/>
      <c r="J216" s="87"/>
      <c r="K216" s="88"/>
      <c r="L216" s="89"/>
      <c r="M216" s="90"/>
      <c r="N216" s="57"/>
      <c r="O216" s="57"/>
      <c r="P216" s="91"/>
    </row>
    <row r="217" spans="2:16" s="50" customFormat="1" ht="13.2">
      <c r="B217" s="86"/>
      <c r="C217" s="87"/>
      <c r="D217" s="87"/>
      <c r="E217" s="87"/>
      <c r="F217" s="87"/>
      <c r="G217" s="87"/>
      <c r="H217" s="87"/>
      <c r="I217" s="87"/>
      <c r="J217" s="87"/>
      <c r="K217" s="88"/>
      <c r="L217" s="89"/>
      <c r="M217" s="90"/>
      <c r="N217" s="57"/>
      <c r="O217" s="57"/>
      <c r="P217" s="91"/>
    </row>
    <row r="218" spans="2:16" s="50" customFormat="1" ht="13.2">
      <c r="B218" s="86"/>
      <c r="C218" s="87"/>
      <c r="D218" s="87"/>
      <c r="E218" s="87"/>
      <c r="F218" s="87"/>
      <c r="G218" s="87"/>
      <c r="H218" s="87"/>
      <c r="I218" s="87"/>
      <c r="J218" s="87"/>
      <c r="K218" s="88"/>
      <c r="L218" s="89"/>
      <c r="M218" s="90"/>
      <c r="N218" s="57"/>
      <c r="O218" s="57"/>
      <c r="P218" s="91"/>
    </row>
    <row r="219" spans="2:16" s="50" customFormat="1" ht="13.2">
      <c r="B219" s="86"/>
      <c r="C219" s="87"/>
      <c r="D219" s="87"/>
      <c r="E219" s="87"/>
      <c r="F219" s="87"/>
      <c r="G219" s="87"/>
      <c r="H219" s="87"/>
      <c r="I219" s="87"/>
      <c r="J219" s="87"/>
      <c r="K219" s="88"/>
      <c r="L219" s="89"/>
      <c r="M219" s="90"/>
      <c r="N219" s="57"/>
      <c r="O219" s="57"/>
      <c r="P219" s="91"/>
    </row>
    <row r="220" spans="2:16" s="50" customFormat="1" ht="13.2">
      <c r="B220" s="86"/>
      <c r="C220" s="87"/>
      <c r="D220" s="87"/>
      <c r="E220" s="87"/>
      <c r="F220" s="87"/>
      <c r="G220" s="87"/>
      <c r="H220" s="87"/>
      <c r="I220" s="87"/>
      <c r="J220" s="87"/>
      <c r="K220" s="88"/>
      <c r="L220" s="89"/>
      <c r="M220" s="90"/>
      <c r="N220" s="57"/>
      <c r="O220" s="57"/>
      <c r="P220" s="91"/>
    </row>
    <row r="221" spans="2:16" s="50" customFormat="1" ht="13.2">
      <c r="B221" s="86"/>
      <c r="C221" s="87"/>
      <c r="D221" s="87"/>
      <c r="E221" s="87"/>
      <c r="F221" s="87"/>
      <c r="G221" s="87"/>
      <c r="H221" s="87"/>
      <c r="I221" s="87"/>
      <c r="J221" s="87"/>
      <c r="K221" s="88"/>
      <c r="L221" s="89"/>
      <c r="M221" s="90"/>
      <c r="N221" s="57"/>
      <c r="O221" s="57"/>
      <c r="P221" s="91"/>
    </row>
    <row r="222" spans="2:16" s="50" customFormat="1" ht="13.2">
      <c r="B222" s="86"/>
      <c r="C222" s="87"/>
      <c r="D222" s="87"/>
      <c r="E222" s="87"/>
      <c r="F222" s="87"/>
      <c r="G222" s="87"/>
      <c r="H222" s="87"/>
      <c r="I222" s="87"/>
      <c r="J222" s="87"/>
      <c r="K222" s="88"/>
      <c r="L222" s="89"/>
      <c r="M222" s="90"/>
      <c r="N222" s="57"/>
      <c r="O222" s="57"/>
      <c r="P222" s="91"/>
    </row>
    <row r="223" spans="2:16" s="50" customFormat="1" ht="13.2">
      <c r="B223" s="86"/>
      <c r="C223" s="87"/>
      <c r="D223" s="87"/>
      <c r="E223" s="87"/>
      <c r="F223" s="87"/>
      <c r="G223" s="87"/>
      <c r="H223" s="87"/>
      <c r="I223" s="87"/>
      <c r="J223" s="87"/>
      <c r="K223" s="88"/>
      <c r="L223" s="89"/>
      <c r="M223" s="90"/>
      <c r="N223" s="57"/>
      <c r="O223" s="57"/>
      <c r="P223" s="91"/>
    </row>
    <row r="224" spans="2:16" s="50" customFormat="1" ht="13.2">
      <c r="B224" s="86"/>
      <c r="C224" s="87"/>
      <c r="D224" s="87"/>
      <c r="E224" s="87"/>
      <c r="F224" s="87"/>
      <c r="G224" s="87"/>
      <c r="H224" s="87"/>
      <c r="I224" s="87"/>
      <c r="J224" s="87"/>
      <c r="K224" s="88"/>
      <c r="L224" s="89"/>
      <c r="M224" s="90"/>
      <c r="N224" s="57"/>
      <c r="O224" s="57"/>
      <c r="P224" s="91"/>
    </row>
    <row r="225" spans="2:16" s="50" customFormat="1" ht="13.2">
      <c r="B225" s="86"/>
      <c r="C225" s="87"/>
      <c r="D225" s="87"/>
      <c r="E225" s="87"/>
      <c r="F225" s="87"/>
      <c r="G225" s="87"/>
      <c r="H225" s="87"/>
      <c r="I225" s="87"/>
      <c r="J225" s="87"/>
      <c r="K225" s="88"/>
      <c r="L225" s="89"/>
      <c r="M225" s="90"/>
      <c r="N225" s="57"/>
      <c r="O225" s="57"/>
      <c r="P225" s="91"/>
    </row>
    <row r="226" spans="2:16" s="50" customFormat="1" ht="13.2">
      <c r="B226" s="86"/>
      <c r="C226" s="87"/>
      <c r="D226" s="87"/>
      <c r="E226" s="87"/>
      <c r="F226" s="87"/>
      <c r="G226" s="87"/>
      <c r="H226" s="87"/>
      <c r="I226" s="87"/>
      <c r="J226" s="87"/>
      <c r="K226" s="88"/>
      <c r="L226" s="89"/>
      <c r="M226" s="90"/>
      <c r="N226" s="57"/>
      <c r="O226" s="57"/>
      <c r="P226" s="91"/>
    </row>
    <row r="227" spans="2:16" s="50" customFormat="1" ht="13.2">
      <c r="B227" s="86"/>
      <c r="C227" s="87"/>
      <c r="D227" s="87"/>
      <c r="E227" s="87"/>
      <c r="F227" s="87"/>
      <c r="G227" s="87"/>
      <c r="H227" s="87"/>
      <c r="I227" s="87"/>
      <c r="J227" s="87"/>
      <c r="K227" s="88"/>
      <c r="L227" s="89"/>
      <c r="M227" s="90"/>
      <c r="N227" s="57"/>
      <c r="O227" s="57"/>
      <c r="P227" s="91"/>
    </row>
    <row r="228" spans="2:16" s="50" customFormat="1" ht="13.2">
      <c r="B228" s="86"/>
      <c r="C228" s="87"/>
      <c r="D228" s="87"/>
      <c r="E228" s="87"/>
      <c r="F228" s="87"/>
      <c r="G228" s="87"/>
      <c r="H228" s="87"/>
      <c r="I228" s="87"/>
      <c r="J228" s="87"/>
      <c r="K228" s="88"/>
      <c r="L228" s="89"/>
      <c r="M228" s="90"/>
      <c r="N228" s="57"/>
      <c r="O228" s="57"/>
      <c r="P228" s="91"/>
    </row>
    <row r="229" spans="2:16" s="50" customFormat="1" ht="13.2">
      <c r="B229" s="86"/>
      <c r="C229" s="87"/>
      <c r="D229" s="87"/>
      <c r="E229" s="87"/>
      <c r="F229" s="87"/>
      <c r="G229" s="87"/>
      <c r="H229" s="87"/>
      <c r="I229" s="87"/>
      <c r="J229" s="87"/>
      <c r="K229" s="88"/>
      <c r="L229" s="89"/>
      <c r="M229" s="90"/>
      <c r="N229" s="57"/>
      <c r="O229" s="57"/>
      <c r="P229" s="91"/>
    </row>
    <row r="230" spans="2:16" s="50" customFormat="1" ht="13.2">
      <c r="B230" s="86"/>
      <c r="C230" s="87"/>
      <c r="D230" s="87"/>
      <c r="E230" s="87"/>
      <c r="F230" s="87"/>
      <c r="G230" s="87"/>
      <c r="H230" s="87"/>
      <c r="I230" s="87"/>
      <c r="J230" s="87"/>
      <c r="K230" s="88"/>
      <c r="L230" s="89"/>
      <c r="M230" s="90"/>
      <c r="N230" s="57"/>
      <c r="O230" s="57"/>
      <c r="P230" s="91"/>
    </row>
    <row r="231" spans="2:16" s="50" customFormat="1" ht="13.2">
      <c r="B231" s="86"/>
      <c r="C231" s="87"/>
      <c r="D231" s="87"/>
      <c r="E231" s="87"/>
      <c r="F231" s="87"/>
      <c r="G231" s="87"/>
      <c r="H231" s="87"/>
      <c r="I231" s="87"/>
      <c r="J231" s="87"/>
      <c r="K231" s="88"/>
      <c r="L231" s="89"/>
      <c r="M231" s="90"/>
      <c r="N231" s="57"/>
      <c r="O231" s="57"/>
      <c r="P231" s="91"/>
    </row>
    <row r="232" spans="2:16" s="50" customFormat="1" ht="13.2">
      <c r="B232" s="86"/>
      <c r="C232" s="87"/>
      <c r="D232" s="87"/>
      <c r="E232" s="87"/>
      <c r="F232" s="87"/>
      <c r="G232" s="87"/>
      <c r="H232" s="87"/>
      <c r="I232" s="87"/>
      <c r="J232" s="87"/>
      <c r="K232" s="88"/>
      <c r="L232" s="89"/>
      <c r="M232" s="90"/>
      <c r="N232" s="57"/>
      <c r="O232" s="57"/>
      <c r="P232" s="91"/>
    </row>
    <row r="233" spans="2:16" s="50" customFormat="1" ht="13.2">
      <c r="B233" s="86"/>
      <c r="C233" s="87"/>
      <c r="D233" s="87"/>
      <c r="E233" s="87"/>
      <c r="F233" s="87"/>
      <c r="G233" s="87"/>
      <c r="H233" s="87"/>
      <c r="I233" s="87"/>
      <c r="J233" s="87"/>
      <c r="K233" s="88"/>
      <c r="L233" s="89"/>
      <c r="M233" s="90"/>
      <c r="N233" s="57"/>
      <c r="O233" s="57"/>
      <c r="P233" s="91"/>
    </row>
    <row r="234" spans="2:16" s="50" customFormat="1" ht="13.2">
      <c r="B234" s="86"/>
      <c r="C234" s="87"/>
      <c r="D234" s="87"/>
      <c r="E234" s="87"/>
      <c r="F234" s="87"/>
      <c r="G234" s="87"/>
      <c r="H234" s="87"/>
      <c r="I234" s="87"/>
      <c r="J234" s="87"/>
      <c r="K234" s="88"/>
      <c r="L234" s="89"/>
      <c r="M234" s="90"/>
      <c r="N234" s="57"/>
      <c r="O234" s="57"/>
      <c r="P234" s="91"/>
    </row>
    <row r="235" spans="2:16" s="50" customFormat="1" ht="13.2">
      <c r="B235" s="86"/>
      <c r="C235" s="87"/>
      <c r="D235" s="87"/>
      <c r="E235" s="87"/>
      <c r="F235" s="87"/>
      <c r="G235" s="87"/>
      <c r="H235" s="87"/>
      <c r="I235" s="87"/>
      <c r="J235" s="87"/>
      <c r="K235" s="88"/>
      <c r="L235" s="89"/>
      <c r="M235" s="90"/>
      <c r="N235" s="57"/>
      <c r="O235" s="57"/>
      <c r="P235" s="91"/>
    </row>
    <row r="236" spans="2:16" s="50" customFormat="1" ht="13.2">
      <c r="B236" s="86"/>
      <c r="C236" s="87"/>
      <c r="D236" s="87"/>
      <c r="E236" s="87"/>
      <c r="F236" s="87"/>
      <c r="G236" s="87"/>
      <c r="H236" s="87"/>
      <c r="I236" s="87"/>
      <c r="J236" s="87"/>
      <c r="K236" s="88"/>
      <c r="L236" s="89"/>
      <c r="M236" s="90"/>
      <c r="N236" s="57"/>
      <c r="O236" s="57"/>
      <c r="P236" s="91"/>
    </row>
    <row r="237" spans="2:16" s="50" customFormat="1" ht="13.2">
      <c r="B237" s="86"/>
      <c r="C237" s="87"/>
      <c r="D237" s="87"/>
      <c r="E237" s="87"/>
      <c r="F237" s="87"/>
      <c r="G237" s="87"/>
      <c r="H237" s="87"/>
      <c r="I237" s="87"/>
      <c r="J237" s="87"/>
      <c r="K237" s="88"/>
      <c r="L237" s="89"/>
      <c r="M237" s="90"/>
      <c r="N237" s="57"/>
      <c r="O237" s="57"/>
      <c r="P237" s="91"/>
    </row>
    <row r="238" spans="2:16" s="50" customFormat="1" ht="13.2">
      <c r="B238" s="86"/>
      <c r="C238" s="87"/>
      <c r="D238" s="87"/>
      <c r="E238" s="87"/>
      <c r="F238" s="87"/>
      <c r="G238" s="87"/>
      <c r="H238" s="87"/>
      <c r="I238" s="87"/>
      <c r="J238" s="87"/>
      <c r="K238" s="88"/>
      <c r="L238" s="89"/>
      <c r="M238" s="90"/>
      <c r="N238" s="57"/>
      <c r="O238" s="57"/>
      <c r="P238" s="91"/>
    </row>
    <row r="239" spans="2:16" s="50" customFormat="1" ht="13.2">
      <c r="B239" s="86"/>
      <c r="C239" s="87"/>
      <c r="D239" s="87"/>
      <c r="E239" s="87"/>
      <c r="F239" s="87"/>
      <c r="G239" s="87"/>
      <c r="H239" s="87"/>
      <c r="I239" s="87"/>
      <c r="J239" s="87"/>
      <c r="K239" s="88"/>
      <c r="L239" s="89"/>
      <c r="M239" s="90"/>
      <c r="N239" s="57"/>
      <c r="O239" s="57"/>
      <c r="P239" s="91"/>
    </row>
    <row r="240" spans="2:16" s="50" customFormat="1" ht="13.2">
      <c r="B240" s="86"/>
      <c r="C240" s="87"/>
      <c r="D240" s="87"/>
      <c r="E240" s="87"/>
      <c r="F240" s="87"/>
      <c r="G240" s="87"/>
      <c r="H240" s="87"/>
      <c r="I240" s="87"/>
      <c r="J240" s="87"/>
      <c r="K240" s="88"/>
      <c r="L240" s="89"/>
      <c r="M240" s="90"/>
      <c r="N240" s="57"/>
      <c r="O240" s="57"/>
      <c r="P240" s="91"/>
    </row>
    <row r="241" spans="2:16" s="50" customFormat="1" ht="13.2">
      <c r="B241" s="86"/>
      <c r="C241" s="87"/>
      <c r="D241" s="87"/>
      <c r="E241" s="87"/>
      <c r="F241" s="87"/>
      <c r="G241" s="87"/>
      <c r="H241" s="87"/>
      <c r="I241" s="87"/>
      <c r="J241" s="87"/>
      <c r="K241" s="88"/>
      <c r="L241" s="89"/>
      <c r="M241" s="90"/>
      <c r="N241" s="57"/>
      <c r="O241" s="57"/>
      <c r="P241" s="91"/>
    </row>
    <row r="242" spans="2:16" s="50" customFormat="1" ht="13.2">
      <c r="B242" s="86"/>
      <c r="C242" s="87"/>
      <c r="D242" s="87"/>
      <c r="E242" s="87"/>
      <c r="F242" s="87"/>
      <c r="G242" s="87"/>
      <c r="H242" s="87"/>
      <c r="I242" s="87"/>
      <c r="J242" s="87"/>
      <c r="K242" s="88"/>
      <c r="L242" s="89"/>
      <c r="M242" s="90"/>
      <c r="N242" s="57"/>
      <c r="O242" s="57"/>
      <c r="P242" s="91"/>
    </row>
    <row r="243" spans="2:16" s="50" customFormat="1" ht="13.2">
      <c r="B243" s="86"/>
      <c r="C243" s="87"/>
      <c r="D243" s="87"/>
      <c r="E243" s="87"/>
      <c r="F243" s="87"/>
      <c r="G243" s="87"/>
      <c r="H243" s="87"/>
      <c r="I243" s="87"/>
      <c r="J243" s="87"/>
      <c r="K243" s="88"/>
      <c r="L243" s="89"/>
      <c r="M243" s="90"/>
      <c r="N243" s="57"/>
      <c r="O243" s="57"/>
      <c r="P243" s="91"/>
    </row>
    <row r="244" spans="2:16" s="50" customFormat="1" ht="13.2">
      <c r="B244" s="86"/>
      <c r="C244" s="87"/>
      <c r="D244" s="87"/>
      <c r="E244" s="87"/>
      <c r="F244" s="87"/>
      <c r="G244" s="87"/>
      <c r="H244" s="87"/>
      <c r="I244" s="87"/>
      <c r="J244" s="87"/>
      <c r="K244" s="88"/>
      <c r="L244" s="89"/>
      <c r="M244" s="90"/>
      <c r="N244" s="57"/>
      <c r="O244" s="57"/>
      <c r="P244" s="91"/>
    </row>
    <row r="245" spans="2:16" s="50" customFormat="1" ht="13.2">
      <c r="B245" s="86"/>
      <c r="C245" s="87"/>
      <c r="D245" s="87"/>
      <c r="E245" s="87"/>
      <c r="F245" s="87"/>
      <c r="G245" s="87"/>
      <c r="H245" s="87"/>
      <c r="I245" s="87"/>
      <c r="J245" s="87"/>
      <c r="K245" s="88"/>
      <c r="L245" s="89"/>
      <c r="M245" s="90"/>
      <c r="N245" s="57"/>
      <c r="O245" s="57"/>
      <c r="P245" s="91"/>
    </row>
    <row r="246" spans="2:16" s="50" customFormat="1" ht="13.2">
      <c r="B246" s="86"/>
      <c r="C246" s="87"/>
      <c r="D246" s="87"/>
      <c r="E246" s="87"/>
      <c r="F246" s="87"/>
      <c r="G246" s="87"/>
      <c r="H246" s="87"/>
      <c r="I246" s="87"/>
      <c r="J246" s="87"/>
      <c r="K246" s="88"/>
      <c r="L246" s="89"/>
      <c r="M246" s="90"/>
      <c r="N246" s="57"/>
      <c r="O246" s="57"/>
      <c r="P246" s="91"/>
    </row>
    <row r="247" spans="2:16" s="50" customFormat="1" ht="13.2">
      <c r="B247" s="86"/>
      <c r="C247" s="87"/>
      <c r="D247" s="87"/>
      <c r="E247" s="87"/>
      <c r="F247" s="87"/>
      <c r="G247" s="87"/>
      <c r="H247" s="87"/>
      <c r="I247" s="87"/>
      <c r="J247" s="87"/>
      <c r="K247" s="88"/>
      <c r="L247" s="89"/>
      <c r="M247" s="90"/>
      <c r="N247" s="57"/>
      <c r="O247" s="57"/>
      <c r="P247" s="91"/>
    </row>
    <row r="248" spans="2:16" s="50" customFormat="1" ht="13.2">
      <c r="B248" s="86"/>
      <c r="C248" s="87"/>
      <c r="D248" s="87"/>
      <c r="E248" s="87"/>
      <c r="F248" s="87"/>
      <c r="G248" s="87"/>
      <c r="H248" s="87"/>
      <c r="I248" s="87"/>
      <c r="J248" s="87"/>
      <c r="K248" s="88"/>
      <c r="L248" s="89"/>
      <c r="M248" s="90"/>
      <c r="N248" s="57"/>
      <c r="O248" s="57"/>
      <c r="P248" s="91"/>
    </row>
    <row r="249" spans="2:16" s="50" customFormat="1" ht="13.2">
      <c r="B249" s="86"/>
      <c r="C249" s="87"/>
      <c r="D249" s="87"/>
      <c r="E249" s="87"/>
      <c r="F249" s="87"/>
      <c r="G249" s="87"/>
      <c r="H249" s="87"/>
      <c r="I249" s="87"/>
      <c r="J249" s="87"/>
      <c r="K249" s="88"/>
      <c r="L249" s="89"/>
      <c r="M249" s="90"/>
      <c r="N249" s="57"/>
      <c r="O249" s="57"/>
      <c r="P249" s="91"/>
    </row>
    <row r="250" spans="2:16" s="50" customFormat="1" ht="13.2">
      <c r="B250" s="86"/>
      <c r="C250" s="87"/>
      <c r="D250" s="87"/>
      <c r="E250" s="87"/>
      <c r="F250" s="87"/>
      <c r="G250" s="87"/>
      <c r="H250" s="87"/>
      <c r="I250" s="87"/>
      <c r="J250" s="87"/>
      <c r="K250" s="88"/>
      <c r="L250" s="89"/>
      <c r="M250" s="90"/>
      <c r="N250" s="57"/>
      <c r="O250" s="57"/>
      <c r="P250" s="91"/>
    </row>
    <row r="251" spans="2:16" s="50" customFormat="1" ht="13.2">
      <c r="B251" s="86"/>
      <c r="C251" s="87"/>
      <c r="D251" s="87"/>
      <c r="E251" s="87"/>
      <c r="F251" s="87"/>
      <c r="G251" s="87"/>
      <c r="H251" s="87"/>
      <c r="I251" s="87"/>
      <c r="J251" s="87"/>
      <c r="K251" s="88"/>
      <c r="L251" s="89"/>
      <c r="M251" s="90"/>
      <c r="N251" s="57"/>
      <c r="O251" s="57"/>
      <c r="P251" s="91"/>
    </row>
    <row r="252" spans="2:16" s="50" customFormat="1" ht="13.2">
      <c r="B252" s="86"/>
      <c r="C252" s="87"/>
      <c r="D252" s="87"/>
      <c r="E252" s="87"/>
      <c r="F252" s="87"/>
      <c r="G252" s="87"/>
      <c r="H252" s="87"/>
      <c r="I252" s="87"/>
      <c r="J252" s="87"/>
      <c r="K252" s="88"/>
      <c r="L252" s="89"/>
      <c r="M252" s="90"/>
      <c r="N252" s="57"/>
      <c r="O252" s="57"/>
      <c r="P252" s="91"/>
    </row>
    <row r="253" spans="2:16" s="50" customFormat="1" ht="13.2">
      <c r="B253" s="86"/>
      <c r="C253" s="87"/>
      <c r="D253" s="87"/>
      <c r="E253" s="87"/>
      <c r="F253" s="87"/>
      <c r="G253" s="87"/>
      <c r="H253" s="87"/>
      <c r="I253" s="87"/>
      <c r="J253" s="87"/>
      <c r="K253" s="88"/>
      <c r="L253" s="89"/>
      <c r="M253" s="90"/>
      <c r="N253" s="57"/>
      <c r="O253" s="57"/>
      <c r="P253" s="91"/>
    </row>
    <row r="254" spans="2:16" s="50" customFormat="1" ht="13.2">
      <c r="B254" s="86"/>
      <c r="C254" s="87"/>
      <c r="D254" s="87"/>
      <c r="E254" s="87"/>
      <c r="F254" s="87"/>
      <c r="G254" s="87"/>
      <c r="H254" s="87"/>
      <c r="I254" s="87"/>
      <c r="J254" s="87"/>
      <c r="K254" s="88"/>
      <c r="L254" s="89"/>
      <c r="M254" s="90"/>
      <c r="N254" s="57"/>
      <c r="O254" s="57"/>
      <c r="P254" s="91"/>
    </row>
    <row r="255" spans="2:16" s="50" customFormat="1" ht="13.2">
      <c r="B255" s="86"/>
      <c r="C255" s="87"/>
      <c r="D255" s="87"/>
      <c r="E255" s="87"/>
      <c r="F255" s="87"/>
      <c r="G255" s="87"/>
      <c r="H255" s="87"/>
      <c r="I255" s="87"/>
      <c r="J255" s="87"/>
      <c r="K255" s="88"/>
      <c r="L255" s="89"/>
      <c r="M255" s="90"/>
      <c r="N255" s="57"/>
      <c r="O255" s="57"/>
      <c r="P255" s="91"/>
    </row>
    <row r="256" spans="2:16" s="50" customFormat="1" ht="13.2">
      <c r="B256" s="86"/>
      <c r="C256" s="87"/>
      <c r="D256" s="87"/>
      <c r="E256" s="87"/>
      <c r="F256" s="87"/>
      <c r="G256" s="87"/>
      <c r="H256" s="87"/>
      <c r="I256" s="87"/>
      <c r="J256" s="87"/>
      <c r="K256" s="88"/>
      <c r="L256" s="89"/>
      <c r="M256" s="90"/>
      <c r="N256" s="57"/>
      <c r="O256" s="57"/>
      <c r="P256" s="91"/>
    </row>
    <row r="257" spans="2:16" s="50" customFormat="1" ht="13.2">
      <c r="B257" s="86"/>
      <c r="C257" s="87"/>
      <c r="D257" s="87"/>
      <c r="E257" s="87"/>
      <c r="F257" s="87"/>
      <c r="G257" s="87"/>
      <c r="H257" s="87"/>
      <c r="I257" s="87"/>
      <c r="J257" s="87"/>
      <c r="K257" s="88"/>
      <c r="L257" s="89"/>
      <c r="M257" s="90"/>
      <c r="N257" s="57"/>
      <c r="O257" s="57"/>
      <c r="P257" s="91"/>
    </row>
    <row r="258" spans="2:16" s="50" customFormat="1" ht="13.2">
      <c r="B258" s="86"/>
      <c r="C258" s="87"/>
      <c r="D258" s="87"/>
      <c r="E258" s="87"/>
      <c r="F258" s="87"/>
      <c r="G258" s="87"/>
      <c r="H258" s="87"/>
      <c r="I258" s="87"/>
      <c r="J258" s="87"/>
      <c r="K258" s="88"/>
      <c r="L258" s="89"/>
      <c r="M258" s="90"/>
      <c r="N258" s="57"/>
      <c r="O258" s="57"/>
      <c r="P258" s="91"/>
    </row>
    <row r="259" spans="2:16" s="50" customFormat="1" ht="13.2">
      <c r="B259" s="86"/>
      <c r="C259" s="87"/>
      <c r="D259" s="87"/>
      <c r="E259" s="87"/>
      <c r="F259" s="87"/>
      <c r="G259" s="87"/>
      <c r="H259" s="87"/>
      <c r="I259" s="87"/>
      <c r="J259" s="87"/>
      <c r="K259" s="88"/>
      <c r="L259" s="89"/>
      <c r="M259" s="90"/>
      <c r="N259" s="57"/>
      <c r="O259" s="57"/>
      <c r="P259" s="91"/>
    </row>
    <row r="260" spans="2:16" s="50" customFormat="1" ht="13.2">
      <c r="B260" s="86"/>
      <c r="C260" s="87"/>
      <c r="D260" s="87"/>
      <c r="E260" s="87"/>
      <c r="F260" s="87"/>
      <c r="G260" s="87"/>
      <c r="H260" s="87"/>
      <c r="I260" s="87"/>
      <c r="J260" s="87"/>
      <c r="K260" s="88"/>
      <c r="L260" s="89"/>
      <c r="M260" s="90"/>
      <c r="N260" s="57"/>
      <c r="O260" s="57"/>
      <c r="P260" s="91"/>
    </row>
    <row r="261" spans="2:16" s="50" customFormat="1" ht="13.2">
      <c r="B261" s="86"/>
      <c r="C261" s="87"/>
      <c r="D261" s="87"/>
      <c r="E261" s="87"/>
      <c r="F261" s="87"/>
      <c r="G261" s="87"/>
      <c r="H261" s="87"/>
      <c r="I261" s="87"/>
      <c r="J261" s="87"/>
      <c r="K261" s="88"/>
      <c r="L261" s="89"/>
      <c r="M261" s="90"/>
      <c r="N261" s="57"/>
      <c r="O261" s="57"/>
      <c r="P261" s="91"/>
    </row>
    <row r="262" spans="2:16" s="50" customFormat="1" ht="13.2">
      <c r="B262" s="86"/>
      <c r="C262" s="87"/>
      <c r="D262" s="87"/>
      <c r="E262" s="87"/>
      <c r="F262" s="87"/>
      <c r="G262" s="87"/>
      <c r="H262" s="87"/>
      <c r="I262" s="87"/>
      <c r="J262" s="87"/>
      <c r="K262" s="88"/>
      <c r="L262" s="89"/>
      <c r="M262" s="90"/>
      <c r="N262" s="57"/>
      <c r="O262" s="57"/>
      <c r="P262" s="91"/>
    </row>
    <row r="263" spans="2:16" s="50" customFormat="1" ht="13.2">
      <c r="B263" s="86"/>
      <c r="C263" s="87"/>
      <c r="D263" s="87"/>
      <c r="E263" s="87"/>
      <c r="F263" s="87"/>
      <c r="G263" s="87"/>
      <c r="H263" s="87"/>
      <c r="I263" s="87"/>
      <c r="J263" s="87"/>
      <c r="K263" s="88"/>
      <c r="L263" s="89"/>
      <c r="M263" s="90"/>
      <c r="N263" s="57"/>
      <c r="O263" s="57"/>
      <c r="P263" s="91"/>
    </row>
    <row r="264" spans="2:16" s="50" customFormat="1" ht="13.2">
      <c r="B264" s="86"/>
      <c r="C264" s="87"/>
      <c r="D264" s="87"/>
      <c r="E264" s="87"/>
      <c r="F264" s="87"/>
      <c r="G264" s="87"/>
      <c r="H264" s="87"/>
      <c r="I264" s="87"/>
      <c r="J264" s="87"/>
      <c r="K264" s="88"/>
      <c r="L264" s="89"/>
      <c r="M264" s="90"/>
      <c r="N264" s="57"/>
      <c r="O264" s="57"/>
      <c r="P264" s="91"/>
    </row>
    <row r="265" spans="2:16" s="50" customFormat="1" ht="13.2">
      <c r="B265" s="86"/>
      <c r="C265" s="87"/>
      <c r="D265" s="87"/>
      <c r="E265" s="87"/>
      <c r="F265" s="87"/>
      <c r="G265" s="87"/>
      <c r="H265" s="87"/>
      <c r="I265" s="87"/>
      <c r="J265" s="87"/>
      <c r="K265" s="88"/>
      <c r="L265" s="89"/>
      <c r="M265" s="90"/>
      <c r="N265" s="57"/>
      <c r="O265" s="57"/>
      <c r="P265" s="91"/>
    </row>
    <row r="266" spans="2:16" s="50" customFormat="1" ht="13.2">
      <c r="B266" s="86"/>
      <c r="C266" s="87"/>
      <c r="D266" s="87"/>
      <c r="E266" s="87"/>
      <c r="F266" s="87"/>
      <c r="G266" s="87"/>
      <c r="H266" s="87"/>
      <c r="I266" s="87"/>
      <c r="J266" s="87"/>
      <c r="K266" s="88"/>
      <c r="L266" s="89"/>
      <c r="M266" s="90"/>
      <c r="N266" s="57"/>
      <c r="O266" s="57"/>
      <c r="P266" s="91"/>
    </row>
    <row r="267" spans="2:16" s="50" customFormat="1" ht="13.2">
      <c r="B267" s="86"/>
      <c r="C267" s="87"/>
      <c r="D267" s="87"/>
      <c r="E267" s="87"/>
      <c r="F267" s="87"/>
      <c r="G267" s="87"/>
      <c r="H267" s="87"/>
      <c r="I267" s="87"/>
      <c r="J267" s="87"/>
      <c r="K267" s="88"/>
      <c r="L267" s="89"/>
      <c r="M267" s="90"/>
      <c r="N267" s="57"/>
      <c r="O267" s="57"/>
      <c r="P267" s="91"/>
    </row>
    <row r="268" spans="2:16" s="50" customFormat="1" ht="13.2">
      <c r="B268" s="86"/>
      <c r="C268" s="87"/>
      <c r="D268" s="87"/>
      <c r="E268" s="87"/>
      <c r="F268" s="87"/>
      <c r="G268" s="87"/>
      <c r="H268" s="87"/>
      <c r="I268" s="87"/>
      <c r="J268" s="87"/>
      <c r="K268" s="88"/>
      <c r="L268" s="89"/>
      <c r="M268" s="90"/>
      <c r="N268" s="57"/>
      <c r="O268" s="57"/>
      <c r="P268" s="91"/>
    </row>
    <row r="269" spans="2:16" s="50" customFormat="1" ht="13.2">
      <c r="B269" s="86"/>
      <c r="C269" s="87"/>
      <c r="D269" s="87"/>
      <c r="E269" s="87"/>
      <c r="F269" s="87"/>
      <c r="G269" s="87"/>
      <c r="H269" s="87"/>
      <c r="I269" s="87"/>
      <c r="J269" s="87"/>
      <c r="K269" s="88"/>
      <c r="L269" s="89"/>
      <c r="M269" s="90"/>
      <c r="N269" s="57"/>
      <c r="O269" s="57"/>
      <c r="P269" s="91"/>
    </row>
    <row r="270" spans="2:16" s="50" customFormat="1" ht="13.2">
      <c r="B270" s="86"/>
      <c r="C270" s="87"/>
      <c r="D270" s="87"/>
      <c r="E270" s="87"/>
      <c r="F270" s="87"/>
      <c r="G270" s="87"/>
      <c r="H270" s="87"/>
      <c r="I270" s="87"/>
      <c r="J270" s="87"/>
      <c r="K270" s="88"/>
      <c r="L270" s="89"/>
      <c r="M270" s="90"/>
      <c r="N270" s="57"/>
      <c r="O270" s="57"/>
      <c r="P270" s="91"/>
    </row>
    <row r="271" spans="2:16" s="50" customFormat="1" ht="13.2">
      <c r="B271" s="86"/>
      <c r="C271" s="87"/>
      <c r="D271" s="87"/>
      <c r="E271" s="87"/>
      <c r="F271" s="87"/>
      <c r="G271" s="87"/>
      <c r="H271" s="87"/>
      <c r="I271" s="87"/>
      <c r="J271" s="87"/>
      <c r="K271" s="88"/>
      <c r="L271" s="89"/>
      <c r="M271" s="90"/>
      <c r="N271" s="57"/>
      <c r="O271" s="57"/>
      <c r="P271" s="91"/>
    </row>
    <row r="272" spans="2:16" s="50" customFormat="1" ht="13.2">
      <c r="B272" s="86"/>
      <c r="C272" s="87"/>
      <c r="D272" s="87"/>
      <c r="E272" s="87"/>
      <c r="F272" s="87"/>
      <c r="G272" s="87"/>
      <c r="H272" s="87"/>
      <c r="I272" s="87"/>
      <c r="J272" s="87"/>
      <c r="K272" s="88"/>
      <c r="L272" s="89"/>
      <c r="M272" s="90"/>
      <c r="N272" s="57"/>
      <c r="O272" s="57"/>
      <c r="P272" s="91"/>
    </row>
    <row r="273" spans="2:16" s="50" customFormat="1" ht="13.2">
      <c r="B273" s="86"/>
      <c r="C273" s="87"/>
      <c r="D273" s="87"/>
      <c r="E273" s="87"/>
      <c r="F273" s="87"/>
      <c r="G273" s="87"/>
      <c r="H273" s="87"/>
      <c r="I273" s="87"/>
      <c r="J273" s="87"/>
      <c r="K273" s="88"/>
      <c r="L273" s="89"/>
      <c r="M273" s="90"/>
      <c r="N273" s="57"/>
      <c r="O273" s="57"/>
      <c r="P273" s="91"/>
    </row>
    <row r="274" spans="2:16" s="50" customFormat="1" ht="13.2">
      <c r="B274" s="86"/>
      <c r="C274" s="87"/>
      <c r="D274" s="87"/>
      <c r="E274" s="87"/>
      <c r="F274" s="87"/>
      <c r="G274" s="87"/>
      <c r="H274" s="87"/>
      <c r="I274" s="87"/>
      <c r="J274" s="87"/>
      <c r="K274" s="88"/>
      <c r="L274" s="89"/>
      <c r="M274" s="90"/>
      <c r="N274" s="57"/>
      <c r="O274" s="57"/>
      <c r="P274" s="91"/>
    </row>
    <row r="275" spans="2:16" s="50" customFormat="1" ht="13.2">
      <c r="B275" s="86"/>
      <c r="C275" s="87"/>
      <c r="D275" s="87"/>
      <c r="E275" s="87"/>
      <c r="F275" s="87"/>
      <c r="G275" s="87"/>
      <c r="H275" s="87"/>
      <c r="I275" s="87"/>
      <c r="J275" s="87"/>
      <c r="K275" s="88"/>
      <c r="L275" s="89"/>
      <c r="M275" s="90"/>
      <c r="N275" s="57"/>
      <c r="O275" s="57"/>
      <c r="P275" s="91"/>
    </row>
    <row r="276" spans="2:16" s="50" customFormat="1" ht="13.2">
      <c r="B276" s="86"/>
      <c r="C276" s="87"/>
      <c r="D276" s="87"/>
      <c r="E276" s="87"/>
      <c r="F276" s="87"/>
      <c r="G276" s="87"/>
      <c r="H276" s="87"/>
      <c r="I276" s="87"/>
      <c r="J276" s="87"/>
      <c r="K276" s="88"/>
      <c r="L276" s="89"/>
      <c r="M276" s="90"/>
      <c r="N276" s="57"/>
      <c r="O276" s="57"/>
      <c r="P276" s="91"/>
    </row>
    <row r="277" spans="2:16" s="50" customFormat="1" ht="13.2">
      <c r="B277" s="86"/>
      <c r="C277" s="87"/>
      <c r="D277" s="87"/>
      <c r="E277" s="87"/>
      <c r="F277" s="87"/>
      <c r="G277" s="87"/>
      <c r="H277" s="87"/>
      <c r="I277" s="87"/>
      <c r="J277" s="87"/>
      <c r="K277" s="88"/>
      <c r="L277" s="89"/>
      <c r="M277" s="90"/>
      <c r="N277" s="57"/>
      <c r="O277" s="57"/>
      <c r="P277" s="91"/>
    </row>
    <row r="278" spans="2:16" s="50" customFormat="1" ht="13.2">
      <c r="B278" s="86"/>
      <c r="C278" s="87"/>
      <c r="D278" s="87"/>
      <c r="E278" s="87"/>
      <c r="F278" s="87"/>
      <c r="G278" s="87"/>
      <c r="H278" s="87"/>
      <c r="I278" s="87"/>
      <c r="J278" s="87"/>
      <c r="K278" s="88"/>
      <c r="L278" s="89"/>
      <c r="M278" s="90"/>
      <c r="N278" s="57"/>
      <c r="O278" s="57"/>
      <c r="P278" s="91"/>
    </row>
    <row r="279" spans="2:16" s="50" customFormat="1" ht="13.2">
      <c r="B279" s="86"/>
      <c r="C279" s="87"/>
      <c r="D279" s="87"/>
      <c r="E279" s="87"/>
      <c r="F279" s="87"/>
      <c r="G279" s="87"/>
      <c r="H279" s="87"/>
      <c r="I279" s="87"/>
      <c r="J279" s="87"/>
      <c r="K279" s="88"/>
      <c r="L279" s="89"/>
      <c r="M279" s="90"/>
      <c r="N279" s="57"/>
      <c r="O279" s="57"/>
      <c r="P279" s="91"/>
    </row>
    <row r="280" spans="2:16" s="50" customFormat="1" ht="13.2">
      <c r="B280" s="86"/>
      <c r="C280" s="87"/>
      <c r="D280" s="87"/>
      <c r="E280" s="87"/>
      <c r="F280" s="87"/>
      <c r="G280" s="87"/>
      <c r="H280" s="87"/>
      <c r="I280" s="87"/>
      <c r="J280" s="87"/>
      <c r="K280" s="88"/>
      <c r="L280" s="89"/>
      <c r="M280" s="90"/>
      <c r="N280" s="57"/>
      <c r="O280" s="57"/>
      <c r="P280" s="91"/>
    </row>
    <row r="281" spans="2:16" s="50" customFormat="1" ht="13.2">
      <c r="B281" s="86"/>
      <c r="C281" s="87"/>
      <c r="D281" s="87"/>
      <c r="E281" s="87"/>
      <c r="F281" s="87"/>
      <c r="G281" s="87"/>
      <c r="H281" s="87"/>
      <c r="I281" s="87"/>
      <c r="J281" s="87"/>
      <c r="K281" s="88"/>
      <c r="L281" s="89"/>
      <c r="M281" s="90"/>
      <c r="N281" s="57"/>
      <c r="O281" s="57"/>
      <c r="P281" s="91"/>
    </row>
    <row r="282" spans="2:16" s="50" customFormat="1" ht="13.2">
      <c r="B282" s="86"/>
      <c r="C282" s="87"/>
      <c r="D282" s="87"/>
      <c r="E282" s="87"/>
      <c r="F282" s="87"/>
      <c r="G282" s="87"/>
      <c r="H282" s="87"/>
      <c r="I282" s="87"/>
      <c r="J282" s="87"/>
      <c r="K282" s="88"/>
      <c r="L282" s="89"/>
      <c r="M282" s="90"/>
      <c r="N282" s="57"/>
      <c r="O282" s="57"/>
      <c r="P282" s="91"/>
    </row>
    <row r="283" spans="2:16" s="50" customFormat="1" ht="13.2">
      <c r="B283" s="86"/>
      <c r="C283" s="87"/>
      <c r="D283" s="87"/>
      <c r="E283" s="87"/>
      <c r="F283" s="87"/>
      <c r="G283" s="87"/>
      <c r="H283" s="87"/>
      <c r="I283" s="87"/>
      <c r="J283" s="87"/>
      <c r="K283" s="88"/>
      <c r="L283" s="89"/>
      <c r="M283" s="90"/>
      <c r="N283" s="57"/>
      <c r="O283" s="57"/>
      <c r="P283" s="91"/>
    </row>
    <row r="284" spans="2:16" s="50" customFormat="1" ht="13.2">
      <c r="B284" s="86"/>
      <c r="C284" s="87"/>
      <c r="D284" s="87"/>
      <c r="E284" s="87"/>
      <c r="F284" s="87"/>
      <c r="G284" s="87"/>
      <c r="H284" s="87"/>
      <c r="I284" s="87"/>
      <c r="J284" s="87"/>
      <c r="K284" s="88"/>
      <c r="L284" s="89"/>
      <c r="M284" s="90"/>
      <c r="N284" s="57"/>
      <c r="O284" s="57"/>
      <c r="P284" s="91"/>
    </row>
    <row r="285" spans="2:16" s="50" customFormat="1" ht="13.2">
      <c r="B285" s="86"/>
      <c r="C285" s="87"/>
      <c r="D285" s="87"/>
      <c r="E285" s="87"/>
      <c r="F285" s="87"/>
      <c r="G285" s="87"/>
      <c r="H285" s="87"/>
      <c r="I285" s="87"/>
      <c r="J285" s="87"/>
      <c r="K285" s="88"/>
      <c r="L285" s="89"/>
      <c r="M285" s="90"/>
      <c r="N285" s="57"/>
      <c r="O285" s="57"/>
      <c r="P285" s="91"/>
    </row>
    <row r="286" spans="2:16" s="50" customFormat="1" ht="13.2">
      <c r="B286" s="86"/>
      <c r="C286" s="87"/>
      <c r="D286" s="87"/>
      <c r="E286" s="87"/>
      <c r="F286" s="87"/>
      <c r="G286" s="87"/>
      <c r="H286" s="87"/>
      <c r="I286" s="87"/>
      <c r="J286" s="87"/>
      <c r="K286" s="88"/>
      <c r="L286" s="89"/>
      <c r="M286" s="90"/>
      <c r="N286" s="57"/>
      <c r="O286" s="57"/>
      <c r="P286" s="91"/>
    </row>
    <row r="287" spans="2:16" s="50" customFormat="1" ht="13.2">
      <c r="B287" s="86"/>
      <c r="C287" s="87"/>
      <c r="D287" s="87"/>
      <c r="E287" s="87"/>
      <c r="F287" s="87"/>
      <c r="G287" s="87"/>
      <c r="H287" s="87"/>
      <c r="I287" s="87"/>
      <c r="J287" s="87"/>
      <c r="K287" s="88"/>
      <c r="L287" s="89"/>
      <c r="M287" s="90"/>
      <c r="N287" s="57"/>
      <c r="O287" s="57"/>
      <c r="P287" s="91"/>
    </row>
    <row r="288" spans="2:16" s="50" customFormat="1" ht="13.2">
      <c r="B288" s="86"/>
      <c r="C288" s="87"/>
      <c r="D288" s="87"/>
      <c r="E288" s="87"/>
      <c r="F288" s="87"/>
      <c r="G288" s="87"/>
      <c r="H288" s="87"/>
      <c r="I288" s="87"/>
      <c r="J288" s="87"/>
      <c r="K288" s="88"/>
      <c r="L288" s="89"/>
      <c r="M288" s="90"/>
      <c r="N288" s="57"/>
      <c r="O288" s="57"/>
      <c r="P288" s="91"/>
    </row>
    <row r="289" spans="2:16" s="50" customFormat="1" ht="13.2">
      <c r="B289" s="86"/>
      <c r="C289" s="87"/>
      <c r="D289" s="87"/>
      <c r="E289" s="87"/>
      <c r="F289" s="87"/>
      <c r="G289" s="87"/>
      <c r="H289" s="87"/>
      <c r="I289" s="87"/>
      <c r="J289" s="87"/>
      <c r="K289" s="88"/>
      <c r="L289" s="89"/>
      <c r="M289" s="90"/>
      <c r="N289" s="57"/>
      <c r="O289" s="57"/>
      <c r="P289" s="91"/>
    </row>
    <row r="290" spans="2:16" s="50" customFormat="1" ht="13.2">
      <c r="B290" s="86"/>
      <c r="C290" s="87"/>
      <c r="D290" s="87"/>
      <c r="E290" s="87"/>
      <c r="F290" s="87"/>
      <c r="G290" s="87"/>
      <c r="H290" s="87"/>
      <c r="I290" s="87"/>
      <c r="J290" s="87"/>
      <c r="K290" s="88"/>
      <c r="L290" s="89"/>
      <c r="M290" s="90"/>
      <c r="N290" s="57"/>
      <c r="O290" s="57"/>
      <c r="P290" s="91"/>
    </row>
    <row r="291" spans="2:16" s="50" customFormat="1" ht="13.2">
      <c r="B291" s="86"/>
      <c r="C291" s="87"/>
      <c r="D291" s="87"/>
      <c r="E291" s="87"/>
      <c r="F291" s="87"/>
      <c r="G291" s="87"/>
      <c r="H291" s="87"/>
      <c r="I291" s="87"/>
      <c r="J291" s="87"/>
      <c r="K291" s="88"/>
      <c r="L291" s="89"/>
      <c r="M291" s="90"/>
      <c r="N291" s="57"/>
      <c r="O291" s="57"/>
      <c r="P291" s="91"/>
    </row>
    <row r="292" spans="2:16" s="50" customFormat="1" ht="13.2">
      <c r="B292" s="86"/>
      <c r="C292" s="87"/>
      <c r="D292" s="87"/>
      <c r="E292" s="87"/>
      <c r="F292" s="87"/>
      <c r="G292" s="87"/>
      <c r="H292" s="87"/>
      <c r="I292" s="87"/>
      <c r="J292" s="87"/>
      <c r="K292" s="88"/>
      <c r="L292" s="89"/>
      <c r="M292" s="90"/>
      <c r="N292" s="57"/>
      <c r="O292" s="57"/>
      <c r="P292" s="91"/>
    </row>
    <row r="293" spans="2:16" s="50" customFormat="1" ht="13.2">
      <c r="B293" s="86"/>
      <c r="C293" s="87"/>
      <c r="D293" s="87"/>
      <c r="E293" s="87"/>
      <c r="F293" s="87"/>
      <c r="G293" s="87"/>
      <c r="H293" s="87"/>
      <c r="I293" s="87"/>
      <c r="J293" s="87"/>
      <c r="K293" s="88"/>
      <c r="L293" s="89"/>
      <c r="M293" s="90"/>
      <c r="N293" s="57"/>
      <c r="O293" s="57"/>
      <c r="P293" s="91"/>
    </row>
    <row r="294" spans="2:16" s="50" customFormat="1" ht="13.2">
      <c r="B294" s="86"/>
      <c r="C294" s="87"/>
      <c r="D294" s="87"/>
      <c r="E294" s="87"/>
      <c r="F294" s="87"/>
      <c r="G294" s="87"/>
      <c r="H294" s="87"/>
      <c r="I294" s="87"/>
      <c r="J294" s="87"/>
      <c r="K294" s="88"/>
      <c r="L294" s="89"/>
      <c r="M294" s="90"/>
      <c r="N294" s="57"/>
      <c r="O294" s="57"/>
      <c r="P294" s="91"/>
    </row>
    <row r="295" spans="2:16" s="50" customFormat="1" ht="13.2">
      <c r="B295" s="86"/>
      <c r="C295" s="87"/>
      <c r="D295" s="87"/>
      <c r="E295" s="87"/>
      <c r="F295" s="87"/>
      <c r="G295" s="87"/>
      <c r="H295" s="87"/>
      <c r="I295" s="87"/>
      <c r="J295" s="87"/>
      <c r="K295" s="88"/>
      <c r="L295" s="89"/>
      <c r="M295" s="90"/>
      <c r="N295" s="57"/>
      <c r="O295" s="57"/>
      <c r="P295" s="91"/>
    </row>
    <row r="296" spans="2:16" s="50" customFormat="1" ht="13.2">
      <c r="B296" s="86"/>
      <c r="C296" s="87"/>
      <c r="D296" s="87"/>
      <c r="E296" s="87"/>
      <c r="F296" s="87"/>
      <c r="G296" s="87"/>
      <c r="H296" s="87"/>
      <c r="I296" s="87"/>
      <c r="J296" s="87"/>
      <c r="K296" s="88"/>
      <c r="L296" s="89"/>
      <c r="M296" s="90"/>
      <c r="N296" s="57"/>
      <c r="O296" s="57"/>
      <c r="P296" s="91"/>
    </row>
    <row r="297" spans="2:16" s="50" customFormat="1" ht="13.2">
      <c r="B297" s="86"/>
      <c r="C297" s="87"/>
      <c r="D297" s="87"/>
      <c r="E297" s="87"/>
      <c r="F297" s="87"/>
      <c r="G297" s="87"/>
      <c r="H297" s="87"/>
      <c r="I297" s="87"/>
      <c r="J297" s="87"/>
      <c r="K297" s="88"/>
      <c r="L297" s="89"/>
      <c r="M297" s="90"/>
      <c r="N297" s="57"/>
      <c r="O297" s="57"/>
      <c r="P297" s="91"/>
    </row>
    <row r="298" spans="2:16" s="50" customFormat="1" ht="13.2">
      <c r="B298" s="86"/>
      <c r="C298" s="87"/>
      <c r="D298" s="87"/>
      <c r="E298" s="87"/>
      <c r="F298" s="87"/>
      <c r="G298" s="87"/>
      <c r="H298" s="87"/>
      <c r="I298" s="87"/>
      <c r="J298" s="87"/>
      <c r="K298" s="88"/>
      <c r="L298" s="89"/>
      <c r="M298" s="90"/>
      <c r="N298" s="57"/>
      <c r="O298" s="57"/>
      <c r="P298" s="91"/>
    </row>
    <row r="299" spans="2:16" s="50" customFormat="1" ht="13.2">
      <c r="B299" s="86"/>
      <c r="C299" s="87"/>
      <c r="D299" s="87"/>
      <c r="E299" s="87"/>
      <c r="F299" s="87"/>
      <c r="G299" s="87"/>
      <c r="H299" s="87"/>
      <c r="I299" s="87"/>
      <c r="J299" s="87"/>
      <c r="K299" s="88"/>
      <c r="L299" s="89"/>
      <c r="M299" s="90"/>
      <c r="N299" s="57"/>
      <c r="O299" s="57"/>
      <c r="P299" s="91"/>
    </row>
    <row r="300" spans="2:16" s="50" customFormat="1" ht="13.2">
      <c r="B300" s="86"/>
      <c r="C300" s="87"/>
      <c r="D300" s="87"/>
      <c r="E300" s="87"/>
      <c r="F300" s="87"/>
      <c r="G300" s="87"/>
      <c r="H300" s="87"/>
      <c r="I300" s="87"/>
      <c r="J300" s="87"/>
      <c r="K300" s="88"/>
      <c r="L300" s="89"/>
      <c r="M300" s="90"/>
      <c r="N300" s="57"/>
      <c r="O300" s="57"/>
      <c r="P300" s="91"/>
    </row>
    <row r="301" spans="2:16" s="50" customFormat="1" ht="13.2">
      <c r="B301" s="86"/>
      <c r="C301" s="87"/>
      <c r="D301" s="87"/>
      <c r="E301" s="87"/>
      <c r="F301" s="87"/>
      <c r="G301" s="87"/>
      <c r="H301" s="87"/>
      <c r="I301" s="87"/>
      <c r="J301" s="87"/>
      <c r="K301" s="88"/>
      <c r="L301" s="89"/>
      <c r="M301" s="90"/>
      <c r="N301" s="57"/>
      <c r="O301" s="57"/>
      <c r="P301" s="91"/>
    </row>
    <row r="302" spans="2:16" s="50" customFormat="1" ht="13.2">
      <c r="B302" s="86"/>
      <c r="C302" s="87"/>
      <c r="D302" s="87"/>
      <c r="E302" s="87"/>
      <c r="F302" s="87"/>
      <c r="G302" s="87"/>
      <c r="H302" s="87"/>
      <c r="I302" s="87"/>
      <c r="J302" s="87"/>
      <c r="K302" s="88"/>
      <c r="L302" s="89"/>
      <c r="M302" s="90"/>
      <c r="N302" s="57"/>
      <c r="O302" s="57"/>
      <c r="P302" s="91"/>
    </row>
    <row r="303" spans="2:16" s="50" customFormat="1" ht="13.2">
      <c r="B303" s="86"/>
      <c r="C303" s="87"/>
      <c r="D303" s="87"/>
      <c r="E303" s="87"/>
      <c r="F303" s="87"/>
      <c r="G303" s="87"/>
      <c r="H303" s="87"/>
      <c r="I303" s="87"/>
      <c r="J303" s="87"/>
      <c r="K303" s="88"/>
      <c r="L303" s="89"/>
      <c r="M303" s="90"/>
      <c r="N303" s="57"/>
      <c r="O303" s="57"/>
      <c r="P303" s="91"/>
    </row>
    <row r="304" spans="2:16" s="50" customFormat="1" ht="13.2">
      <c r="B304" s="86"/>
      <c r="C304" s="87"/>
      <c r="D304" s="87"/>
      <c r="E304" s="87"/>
      <c r="F304" s="87"/>
      <c r="G304" s="87"/>
      <c r="H304" s="87"/>
      <c r="I304" s="87"/>
      <c r="J304" s="87"/>
      <c r="K304" s="88"/>
      <c r="L304" s="89"/>
      <c r="M304" s="90"/>
      <c r="N304" s="57"/>
      <c r="O304" s="57"/>
      <c r="P304" s="91"/>
    </row>
    <row r="305" spans="2:16" s="50" customFormat="1" ht="13.2">
      <c r="B305" s="86"/>
      <c r="C305" s="87"/>
      <c r="D305" s="87"/>
      <c r="E305" s="87"/>
      <c r="F305" s="87"/>
      <c r="G305" s="87"/>
      <c r="H305" s="87"/>
      <c r="I305" s="87"/>
      <c r="J305" s="87"/>
      <c r="K305" s="88"/>
      <c r="L305" s="89"/>
      <c r="M305" s="90"/>
      <c r="N305" s="57"/>
      <c r="O305" s="57"/>
      <c r="P305" s="91"/>
    </row>
    <row r="306" spans="2:16" s="50" customFormat="1" ht="13.2">
      <c r="B306" s="86"/>
      <c r="C306" s="87"/>
      <c r="D306" s="87"/>
      <c r="E306" s="87"/>
      <c r="F306" s="87"/>
      <c r="G306" s="87"/>
      <c r="H306" s="87"/>
      <c r="I306" s="87"/>
      <c r="J306" s="87"/>
      <c r="K306" s="88"/>
      <c r="L306" s="89"/>
      <c r="M306" s="90"/>
      <c r="N306" s="57"/>
      <c r="O306" s="57"/>
      <c r="P306" s="91"/>
    </row>
    <row r="307" spans="2:16" s="50" customFormat="1" ht="13.2">
      <c r="B307" s="86"/>
      <c r="C307" s="87"/>
      <c r="D307" s="87"/>
      <c r="E307" s="87"/>
      <c r="F307" s="87"/>
      <c r="G307" s="87"/>
      <c r="H307" s="87"/>
      <c r="I307" s="87"/>
      <c r="J307" s="87"/>
      <c r="K307" s="88"/>
      <c r="L307" s="89"/>
      <c r="M307" s="90"/>
      <c r="N307" s="57"/>
      <c r="O307" s="57"/>
      <c r="P307" s="91"/>
    </row>
    <row r="308" spans="2:16" s="50" customFormat="1" ht="13.2">
      <c r="B308" s="86"/>
      <c r="C308" s="87"/>
      <c r="D308" s="87"/>
      <c r="E308" s="87"/>
      <c r="F308" s="87"/>
      <c r="G308" s="87"/>
      <c r="H308" s="87"/>
      <c r="I308" s="87"/>
      <c r="J308" s="87"/>
      <c r="K308" s="88"/>
      <c r="L308" s="89"/>
      <c r="M308" s="90"/>
      <c r="N308" s="57"/>
      <c r="O308" s="57"/>
      <c r="P308" s="91"/>
    </row>
    <row r="309" spans="2:16" s="50" customFormat="1" ht="13.2">
      <c r="B309" s="86"/>
      <c r="C309" s="87"/>
      <c r="D309" s="87"/>
      <c r="E309" s="87"/>
      <c r="F309" s="87"/>
      <c r="G309" s="87"/>
      <c r="H309" s="87"/>
      <c r="I309" s="87"/>
      <c r="J309" s="87"/>
      <c r="K309" s="88"/>
      <c r="L309" s="89"/>
      <c r="M309" s="90"/>
      <c r="N309" s="57"/>
      <c r="O309" s="57"/>
      <c r="P309" s="91"/>
    </row>
    <row r="310" spans="2:16" s="50" customFormat="1" ht="13.2">
      <c r="B310" s="86"/>
      <c r="C310" s="87"/>
      <c r="D310" s="87"/>
      <c r="E310" s="87"/>
      <c r="F310" s="87"/>
      <c r="G310" s="87"/>
      <c r="H310" s="87"/>
      <c r="I310" s="87"/>
      <c r="J310" s="87"/>
      <c r="K310" s="88"/>
      <c r="L310" s="89"/>
      <c r="M310" s="90"/>
      <c r="N310" s="57"/>
      <c r="O310" s="57"/>
      <c r="P310" s="91"/>
    </row>
    <row r="311" spans="2:16" s="50" customFormat="1" ht="13.2">
      <c r="B311" s="86"/>
      <c r="C311" s="87"/>
      <c r="D311" s="87"/>
      <c r="E311" s="87"/>
      <c r="F311" s="87"/>
      <c r="G311" s="87"/>
      <c r="H311" s="87"/>
      <c r="I311" s="87"/>
      <c r="J311" s="87"/>
      <c r="K311" s="88"/>
      <c r="L311" s="89"/>
      <c r="M311" s="90"/>
      <c r="N311" s="57"/>
      <c r="O311" s="57"/>
      <c r="P311" s="91"/>
    </row>
    <row r="312" spans="2:16" s="50" customFormat="1" ht="13.2">
      <c r="B312" s="86"/>
      <c r="C312" s="87"/>
      <c r="D312" s="87"/>
      <c r="E312" s="87"/>
      <c r="F312" s="87"/>
      <c r="G312" s="87"/>
      <c r="H312" s="87"/>
      <c r="I312" s="87"/>
      <c r="J312" s="87"/>
      <c r="K312" s="88"/>
      <c r="L312" s="89"/>
      <c r="M312" s="90"/>
      <c r="N312" s="57"/>
      <c r="O312" s="57"/>
      <c r="P312" s="91"/>
    </row>
    <row r="313" spans="2:16" s="50" customFormat="1" ht="13.2">
      <c r="B313" s="86"/>
      <c r="C313" s="87"/>
      <c r="D313" s="87"/>
      <c r="E313" s="87"/>
      <c r="F313" s="87"/>
      <c r="G313" s="87"/>
      <c r="H313" s="87"/>
      <c r="I313" s="87"/>
      <c r="J313" s="87"/>
      <c r="K313" s="88"/>
      <c r="L313" s="89"/>
      <c r="M313" s="90"/>
      <c r="N313" s="57"/>
      <c r="O313" s="57"/>
      <c r="P313" s="91"/>
    </row>
    <row r="314" spans="2:16" s="50" customFormat="1" ht="13.2">
      <c r="B314" s="86"/>
      <c r="C314" s="87"/>
      <c r="D314" s="87"/>
      <c r="E314" s="87"/>
      <c r="F314" s="87"/>
      <c r="G314" s="87"/>
      <c r="H314" s="87"/>
      <c r="I314" s="87"/>
      <c r="J314" s="87"/>
      <c r="K314" s="88"/>
      <c r="L314" s="89"/>
      <c r="M314" s="90"/>
      <c r="N314" s="57"/>
      <c r="O314" s="57"/>
      <c r="P314" s="91"/>
    </row>
    <row r="315" spans="2:16" s="50" customFormat="1" ht="13.2">
      <c r="B315" s="86"/>
      <c r="C315" s="87"/>
      <c r="D315" s="87"/>
      <c r="E315" s="87"/>
      <c r="F315" s="87"/>
      <c r="G315" s="87"/>
      <c r="H315" s="87"/>
      <c r="I315" s="87"/>
      <c r="J315" s="87"/>
      <c r="K315" s="88"/>
      <c r="L315" s="89"/>
      <c r="M315" s="90"/>
      <c r="N315" s="57"/>
      <c r="O315" s="57"/>
      <c r="P315" s="91"/>
    </row>
    <row r="316" spans="2:16" s="50" customFormat="1" ht="13.2">
      <c r="B316" s="86"/>
      <c r="C316" s="87"/>
      <c r="D316" s="87"/>
      <c r="E316" s="87"/>
      <c r="F316" s="87"/>
      <c r="G316" s="87"/>
      <c r="H316" s="87"/>
      <c r="I316" s="87"/>
      <c r="J316" s="87"/>
      <c r="K316" s="88"/>
      <c r="L316" s="89"/>
      <c r="M316" s="90"/>
      <c r="N316" s="57"/>
      <c r="O316" s="57"/>
      <c r="P316" s="91"/>
    </row>
    <row r="317" spans="2:16" s="50" customFormat="1" ht="13.2">
      <c r="B317" s="86"/>
      <c r="C317" s="87"/>
      <c r="D317" s="87"/>
      <c r="E317" s="87"/>
      <c r="F317" s="87"/>
      <c r="G317" s="87"/>
      <c r="H317" s="87"/>
      <c r="I317" s="87"/>
      <c r="J317" s="87"/>
      <c r="K317" s="88"/>
      <c r="L317" s="89"/>
      <c r="M317" s="90"/>
      <c r="N317" s="57"/>
      <c r="O317" s="57"/>
      <c r="P317" s="91"/>
    </row>
    <row r="318" spans="2:16" s="50" customFormat="1" ht="13.2">
      <c r="B318" s="86"/>
      <c r="C318" s="87"/>
      <c r="D318" s="87"/>
      <c r="E318" s="87"/>
      <c r="F318" s="87"/>
      <c r="G318" s="87"/>
      <c r="H318" s="87"/>
      <c r="I318" s="87"/>
      <c r="J318" s="87"/>
      <c r="K318" s="88"/>
      <c r="L318" s="89"/>
      <c r="M318" s="90"/>
      <c r="N318" s="57"/>
      <c r="O318" s="57"/>
      <c r="P318" s="91"/>
    </row>
    <row r="319" spans="2:16" s="50" customFormat="1" ht="13.2">
      <c r="B319" s="86"/>
      <c r="C319" s="87"/>
      <c r="D319" s="87"/>
      <c r="E319" s="87"/>
      <c r="F319" s="87"/>
      <c r="G319" s="87"/>
      <c r="H319" s="87"/>
      <c r="I319" s="87"/>
      <c r="J319" s="87"/>
      <c r="K319" s="88"/>
      <c r="L319" s="89"/>
      <c r="M319" s="90"/>
      <c r="N319" s="57"/>
      <c r="O319" s="57"/>
      <c r="P319" s="91"/>
    </row>
    <row r="320" spans="2:16" s="50" customFormat="1" ht="13.2">
      <c r="B320" s="86"/>
      <c r="C320" s="87"/>
      <c r="D320" s="87"/>
      <c r="E320" s="87"/>
      <c r="F320" s="87"/>
      <c r="G320" s="87"/>
      <c r="H320" s="87"/>
      <c r="I320" s="87"/>
      <c r="J320" s="87"/>
      <c r="K320" s="88"/>
      <c r="L320" s="89"/>
      <c r="M320" s="90"/>
      <c r="N320" s="57"/>
      <c r="O320" s="57"/>
      <c r="P320" s="91"/>
    </row>
    <row r="321" spans="2:16" s="50" customFormat="1" ht="13.2">
      <c r="B321" s="86"/>
      <c r="C321" s="87"/>
      <c r="D321" s="87"/>
      <c r="E321" s="87"/>
      <c r="F321" s="87"/>
      <c r="G321" s="87"/>
      <c r="H321" s="87"/>
      <c r="I321" s="87"/>
      <c r="J321" s="87"/>
      <c r="K321" s="88"/>
      <c r="L321" s="89"/>
      <c r="M321" s="90"/>
      <c r="N321" s="57"/>
      <c r="O321" s="57"/>
      <c r="P321" s="91"/>
    </row>
    <row r="322" spans="2:16" s="50" customFormat="1" ht="13.2">
      <c r="B322" s="86"/>
      <c r="C322" s="87"/>
      <c r="D322" s="87"/>
      <c r="E322" s="87"/>
      <c r="F322" s="87"/>
      <c r="G322" s="87"/>
      <c r="H322" s="87"/>
      <c r="I322" s="87"/>
      <c r="J322" s="87"/>
      <c r="K322" s="88"/>
      <c r="L322" s="89"/>
      <c r="M322" s="90"/>
      <c r="N322" s="57"/>
      <c r="O322" s="57"/>
      <c r="P322" s="91"/>
    </row>
    <row r="323" spans="2:16" s="50" customFormat="1" ht="13.2">
      <c r="B323" s="86"/>
      <c r="C323" s="87"/>
      <c r="D323" s="87"/>
      <c r="E323" s="87"/>
      <c r="F323" s="87"/>
      <c r="G323" s="87"/>
      <c r="H323" s="87"/>
      <c r="I323" s="87"/>
      <c r="J323" s="87"/>
      <c r="K323" s="88"/>
      <c r="L323" s="89"/>
      <c r="M323" s="90"/>
      <c r="N323" s="57"/>
      <c r="O323" s="57"/>
      <c r="P323" s="91"/>
    </row>
    <row r="324" spans="2:16" s="50" customFormat="1" ht="13.2">
      <c r="B324" s="86"/>
      <c r="C324" s="87"/>
      <c r="D324" s="87"/>
      <c r="E324" s="87"/>
      <c r="F324" s="87"/>
      <c r="G324" s="87"/>
      <c r="H324" s="87"/>
      <c r="I324" s="87"/>
      <c r="J324" s="87"/>
      <c r="K324" s="88"/>
      <c r="L324" s="89"/>
      <c r="M324" s="90"/>
      <c r="N324" s="57"/>
      <c r="O324" s="57"/>
      <c r="P324" s="91"/>
    </row>
    <row r="325" spans="2:16" s="50" customFormat="1" ht="13.2">
      <c r="B325" s="86"/>
      <c r="C325" s="87"/>
      <c r="D325" s="87"/>
      <c r="E325" s="87"/>
      <c r="F325" s="87"/>
      <c r="G325" s="87"/>
      <c r="H325" s="87"/>
      <c r="I325" s="87"/>
      <c r="J325" s="87"/>
      <c r="K325" s="88"/>
      <c r="L325" s="89"/>
      <c r="M325" s="90"/>
      <c r="N325" s="57"/>
      <c r="O325" s="57"/>
      <c r="P325" s="91"/>
    </row>
    <row r="326" spans="2:16" s="50" customFormat="1" ht="13.2">
      <c r="B326" s="86"/>
      <c r="C326" s="87"/>
      <c r="D326" s="87"/>
      <c r="E326" s="87"/>
      <c r="F326" s="87"/>
      <c r="G326" s="87"/>
      <c r="H326" s="87"/>
      <c r="I326" s="87"/>
      <c r="J326" s="87"/>
      <c r="K326" s="88"/>
      <c r="L326" s="89"/>
      <c r="M326" s="90"/>
      <c r="N326" s="57"/>
      <c r="O326" s="57"/>
      <c r="P326" s="91"/>
    </row>
    <row r="327" spans="2:16" s="50" customFormat="1" ht="13.2">
      <c r="B327" s="86"/>
      <c r="C327" s="87"/>
      <c r="D327" s="87"/>
      <c r="E327" s="87"/>
      <c r="F327" s="87"/>
      <c r="G327" s="87"/>
      <c r="H327" s="87"/>
      <c r="I327" s="87"/>
      <c r="J327" s="87"/>
      <c r="K327" s="88"/>
      <c r="L327" s="89"/>
      <c r="M327" s="90"/>
      <c r="N327" s="57"/>
      <c r="O327" s="57"/>
      <c r="P327" s="91"/>
    </row>
    <row r="328" spans="2:16" s="50" customFormat="1" ht="13.2">
      <c r="B328" s="86"/>
      <c r="C328" s="87"/>
      <c r="D328" s="87"/>
      <c r="E328" s="87"/>
      <c r="F328" s="87"/>
      <c r="G328" s="87"/>
      <c r="H328" s="87"/>
      <c r="I328" s="87"/>
      <c r="J328" s="87"/>
      <c r="K328" s="88"/>
      <c r="L328" s="89"/>
      <c r="M328" s="90"/>
      <c r="N328" s="57"/>
      <c r="O328" s="57"/>
      <c r="P328" s="91"/>
    </row>
    <row r="329" spans="2:16" s="50" customFormat="1" ht="13.2">
      <c r="B329" s="86"/>
      <c r="C329" s="87"/>
      <c r="D329" s="87"/>
      <c r="E329" s="87"/>
      <c r="F329" s="87"/>
      <c r="G329" s="87"/>
      <c r="H329" s="87"/>
      <c r="I329" s="87"/>
      <c r="J329" s="87"/>
      <c r="K329" s="88"/>
      <c r="L329" s="89"/>
      <c r="M329" s="90"/>
      <c r="N329" s="57"/>
      <c r="O329" s="57"/>
      <c r="P329" s="91"/>
    </row>
    <row r="330" spans="2:16" s="50" customFormat="1" ht="13.2">
      <c r="B330" s="86"/>
      <c r="C330" s="87"/>
      <c r="D330" s="87"/>
      <c r="E330" s="87"/>
      <c r="F330" s="87"/>
      <c r="G330" s="87"/>
      <c r="H330" s="87"/>
      <c r="I330" s="87"/>
      <c r="J330" s="87"/>
      <c r="K330" s="88"/>
      <c r="L330" s="89"/>
      <c r="M330" s="90"/>
      <c r="N330" s="57"/>
      <c r="O330" s="57"/>
      <c r="P330" s="91"/>
    </row>
    <row r="331" spans="2:16" s="50" customFormat="1" ht="13.2">
      <c r="B331" s="86"/>
      <c r="C331" s="87"/>
      <c r="D331" s="87"/>
      <c r="E331" s="87"/>
      <c r="F331" s="87"/>
      <c r="G331" s="87"/>
      <c r="H331" s="87"/>
      <c r="I331" s="87"/>
      <c r="J331" s="87"/>
      <c r="K331" s="88"/>
      <c r="L331" s="89"/>
      <c r="M331" s="90"/>
      <c r="N331" s="57"/>
      <c r="O331" s="57"/>
      <c r="P331" s="91"/>
    </row>
    <row r="332" spans="2:16" s="50" customFormat="1" ht="13.2">
      <c r="B332" s="86"/>
      <c r="C332" s="87"/>
      <c r="D332" s="87"/>
      <c r="E332" s="87"/>
      <c r="F332" s="87"/>
      <c r="G332" s="87"/>
      <c r="H332" s="87"/>
      <c r="I332" s="87"/>
      <c r="J332" s="87"/>
      <c r="K332" s="88"/>
      <c r="L332" s="89"/>
      <c r="M332" s="90"/>
      <c r="N332" s="57"/>
      <c r="O332" s="57"/>
      <c r="P332" s="91"/>
    </row>
    <row r="333" spans="2:16" s="50" customFormat="1" ht="13.2">
      <c r="B333" s="86"/>
      <c r="C333" s="87"/>
      <c r="D333" s="87"/>
      <c r="E333" s="87"/>
      <c r="F333" s="87"/>
      <c r="G333" s="87"/>
      <c r="H333" s="87"/>
      <c r="I333" s="87"/>
      <c r="J333" s="87"/>
      <c r="K333" s="88"/>
      <c r="L333" s="89"/>
      <c r="M333" s="90"/>
      <c r="N333" s="57"/>
      <c r="O333" s="57"/>
      <c r="P333" s="91"/>
    </row>
    <row r="334" spans="2:16" s="50" customFormat="1" ht="13.2">
      <c r="B334" s="86"/>
      <c r="C334" s="87"/>
      <c r="D334" s="87"/>
      <c r="E334" s="87"/>
      <c r="F334" s="87"/>
      <c r="G334" s="87"/>
      <c r="H334" s="87"/>
      <c r="I334" s="87"/>
      <c r="J334" s="87"/>
      <c r="K334" s="88"/>
      <c r="L334" s="89"/>
      <c r="M334" s="90"/>
      <c r="N334" s="57"/>
      <c r="O334" s="57"/>
      <c r="P334" s="91"/>
    </row>
    <row r="335" spans="2:16" s="50" customFormat="1" ht="13.2">
      <c r="B335" s="86"/>
      <c r="C335" s="87"/>
      <c r="D335" s="87"/>
      <c r="E335" s="87"/>
      <c r="F335" s="87"/>
      <c r="G335" s="87"/>
      <c r="H335" s="87"/>
      <c r="I335" s="87"/>
      <c r="J335" s="87"/>
      <c r="K335" s="88"/>
      <c r="L335" s="89"/>
      <c r="M335" s="90"/>
      <c r="N335" s="57"/>
      <c r="O335" s="57"/>
      <c r="P335" s="91"/>
    </row>
    <row r="336" spans="2:16" s="50" customFormat="1" ht="13.2">
      <c r="B336" s="86"/>
      <c r="C336" s="87"/>
      <c r="D336" s="87"/>
      <c r="E336" s="87"/>
      <c r="F336" s="87"/>
      <c r="G336" s="87"/>
      <c r="H336" s="87"/>
      <c r="I336" s="87"/>
      <c r="J336" s="87"/>
      <c r="K336" s="88"/>
      <c r="L336" s="89"/>
      <c r="M336" s="90"/>
      <c r="N336" s="57"/>
      <c r="O336" s="57"/>
      <c r="P336" s="91"/>
    </row>
    <row r="337" spans="2:16" s="50" customFormat="1" ht="13.2">
      <c r="B337" s="86"/>
      <c r="C337" s="87"/>
      <c r="D337" s="87"/>
      <c r="E337" s="87"/>
      <c r="F337" s="87"/>
      <c r="G337" s="87"/>
      <c r="H337" s="87"/>
      <c r="I337" s="87"/>
      <c r="J337" s="87"/>
      <c r="K337" s="88"/>
      <c r="L337" s="89"/>
      <c r="M337" s="90"/>
      <c r="N337" s="57"/>
      <c r="O337" s="57"/>
      <c r="P337" s="91"/>
    </row>
    <row r="338" spans="2:16" s="50" customFormat="1" ht="13.2">
      <c r="B338" s="86"/>
      <c r="C338" s="87"/>
      <c r="D338" s="87"/>
      <c r="E338" s="87"/>
      <c r="F338" s="87"/>
      <c r="G338" s="87"/>
      <c r="H338" s="87"/>
      <c r="I338" s="87"/>
      <c r="J338" s="87"/>
      <c r="K338" s="88"/>
      <c r="L338" s="89"/>
      <c r="M338" s="90"/>
      <c r="N338" s="57"/>
      <c r="O338" s="57"/>
      <c r="P338" s="91"/>
    </row>
    <row r="339" spans="2:16" s="50" customFormat="1" ht="13.2">
      <c r="B339" s="86"/>
      <c r="C339" s="87"/>
      <c r="D339" s="87"/>
      <c r="E339" s="87"/>
      <c r="F339" s="87"/>
      <c r="G339" s="87"/>
      <c r="H339" s="87"/>
      <c r="I339" s="87"/>
      <c r="J339" s="87"/>
      <c r="K339" s="88"/>
      <c r="L339" s="89"/>
      <c r="M339" s="90"/>
      <c r="N339" s="57"/>
      <c r="O339" s="57"/>
      <c r="P339" s="91"/>
    </row>
    <row r="340" spans="2:16" s="50" customFormat="1" ht="13.2">
      <c r="B340" s="86"/>
      <c r="C340" s="87"/>
      <c r="D340" s="87"/>
      <c r="E340" s="87"/>
      <c r="F340" s="87"/>
      <c r="G340" s="87"/>
      <c r="H340" s="87"/>
      <c r="I340" s="87"/>
      <c r="J340" s="87"/>
      <c r="K340" s="88"/>
      <c r="L340" s="89"/>
      <c r="M340" s="90"/>
      <c r="N340" s="57"/>
      <c r="O340" s="57"/>
      <c r="P340" s="91"/>
    </row>
    <row r="341" spans="2:16" s="50" customFormat="1" ht="13.2">
      <c r="B341" s="86"/>
      <c r="C341" s="87"/>
      <c r="D341" s="87"/>
      <c r="E341" s="87"/>
      <c r="F341" s="87"/>
      <c r="G341" s="87"/>
      <c r="H341" s="87"/>
      <c r="I341" s="87"/>
      <c r="J341" s="87"/>
      <c r="K341" s="88"/>
      <c r="L341" s="89"/>
      <c r="M341" s="90"/>
      <c r="N341" s="57"/>
      <c r="O341" s="57"/>
      <c r="P341" s="91"/>
    </row>
    <row r="342" spans="2:16" s="50" customFormat="1" ht="13.2">
      <c r="B342" s="86"/>
      <c r="C342" s="87"/>
      <c r="D342" s="87"/>
      <c r="E342" s="87"/>
      <c r="F342" s="87"/>
      <c r="G342" s="87"/>
      <c r="H342" s="87"/>
      <c r="I342" s="87"/>
      <c r="J342" s="87"/>
      <c r="K342" s="88"/>
      <c r="L342" s="89"/>
      <c r="M342" s="90"/>
      <c r="N342" s="57"/>
      <c r="O342" s="57"/>
      <c r="P342" s="91"/>
    </row>
    <row r="343" spans="2:16" s="50" customFormat="1" ht="13.2">
      <c r="B343" s="86"/>
      <c r="C343" s="87"/>
      <c r="D343" s="87"/>
      <c r="E343" s="87"/>
      <c r="F343" s="87"/>
      <c r="G343" s="87"/>
      <c r="H343" s="87"/>
      <c r="I343" s="87"/>
      <c r="J343" s="87"/>
      <c r="K343" s="88"/>
      <c r="L343" s="89"/>
      <c r="M343" s="90"/>
      <c r="N343" s="57"/>
      <c r="O343" s="57"/>
      <c r="P343" s="91"/>
    </row>
    <row r="344" spans="2:16" s="50" customFormat="1" ht="13.2">
      <c r="B344" s="86"/>
      <c r="C344" s="87"/>
      <c r="D344" s="87"/>
      <c r="E344" s="87"/>
      <c r="F344" s="87"/>
      <c r="G344" s="87"/>
      <c r="H344" s="87"/>
      <c r="I344" s="87"/>
      <c r="J344" s="87"/>
      <c r="K344" s="88"/>
      <c r="L344" s="89"/>
      <c r="M344" s="90"/>
      <c r="N344" s="57"/>
      <c r="O344" s="57"/>
      <c r="P344" s="91"/>
    </row>
    <row r="345" spans="2:16" s="50" customFormat="1" ht="13.2">
      <c r="B345" s="86"/>
      <c r="C345" s="87"/>
      <c r="D345" s="87"/>
      <c r="E345" s="87"/>
      <c r="F345" s="87"/>
      <c r="G345" s="87"/>
      <c r="H345" s="87"/>
      <c r="I345" s="87"/>
      <c r="J345" s="87"/>
      <c r="K345" s="88"/>
      <c r="L345" s="89"/>
      <c r="M345" s="90"/>
      <c r="N345" s="57"/>
      <c r="O345" s="57"/>
      <c r="P345" s="91"/>
    </row>
    <row r="346" spans="2:16" s="50" customFormat="1" ht="13.2">
      <c r="B346" s="86"/>
      <c r="C346" s="87"/>
      <c r="D346" s="87"/>
      <c r="E346" s="87"/>
      <c r="F346" s="87"/>
      <c r="G346" s="87"/>
      <c r="H346" s="87"/>
      <c r="I346" s="87"/>
      <c r="J346" s="87"/>
      <c r="K346" s="88"/>
      <c r="L346" s="89"/>
      <c r="M346" s="90"/>
      <c r="N346" s="57"/>
      <c r="O346" s="57"/>
      <c r="P346" s="91"/>
    </row>
    <row r="347" spans="2:16" s="50" customFormat="1" ht="13.2">
      <c r="B347" s="86"/>
      <c r="C347" s="87"/>
      <c r="D347" s="87"/>
      <c r="E347" s="87"/>
      <c r="F347" s="87"/>
      <c r="G347" s="87"/>
      <c r="H347" s="87"/>
      <c r="I347" s="87"/>
      <c r="J347" s="87"/>
      <c r="K347" s="88"/>
      <c r="L347" s="89"/>
      <c r="M347" s="90"/>
      <c r="N347" s="57"/>
      <c r="O347" s="57"/>
      <c r="P347" s="91"/>
    </row>
    <row r="348" spans="2:16" s="50" customFormat="1" ht="13.2">
      <c r="B348" s="86"/>
      <c r="C348" s="87"/>
      <c r="D348" s="87"/>
      <c r="E348" s="87"/>
      <c r="F348" s="87"/>
      <c r="G348" s="87"/>
      <c r="H348" s="87"/>
      <c r="I348" s="87"/>
      <c r="J348" s="87"/>
      <c r="K348" s="88"/>
      <c r="L348" s="89"/>
      <c r="M348" s="90"/>
      <c r="N348" s="57"/>
      <c r="O348" s="57"/>
      <c r="P348" s="91"/>
    </row>
    <row r="349" spans="2:16" s="50" customFormat="1" ht="13.2">
      <c r="B349" s="86"/>
      <c r="C349" s="87"/>
      <c r="D349" s="87"/>
      <c r="E349" s="87"/>
      <c r="F349" s="87"/>
      <c r="G349" s="87"/>
      <c r="H349" s="87"/>
      <c r="I349" s="87"/>
      <c r="J349" s="87"/>
      <c r="K349" s="88"/>
      <c r="L349" s="89"/>
      <c r="M349" s="90"/>
      <c r="N349" s="57"/>
      <c r="O349" s="57"/>
      <c r="P349" s="91"/>
    </row>
    <row r="350" spans="2:16" s="50" customFormat="1" ht="13.2">
      <c r="B350" s="86"/>
      <c r="C350" s="87"/>
      <c r="D350" s="87"/>
      <c r="E350" s="87"/>
      <c r="F350" s="87"/>
      <c r="G350" s="87"/>
      <c r="H350" s="87"/>
      <c r="I350" s="87"/>
      <c r="J350" s="87"/>
      <c r="K350" s="88"/>
      <c r="L350" s="89"/>
      <c r="M350" s="90"/>
      <c r="N350" s="57"/>
      <c r="O350" s="57"/>
      <c r="P350" s="91"/>
    </row>
    <row r="351" spans="2:16" s="50" customFormat="1" ht="13.2">
      <c r="B351" s="86"/>
      <c r="C351" s="87"/>
      <c r="D351" s="87"/>
      <c r="E351" s="87"/>
      <c r="F351" s="87"/>
      <c r="G351" s="87"/>
      <c r="H351" s="87"/>
      <c r="I351" s="87"/>
      <c r="J351" s="87"/>
      <c r="K351" s="88"/>
      <c r="L351" s="89"/>
      <c r="M351" s="90"/>
      <c r="N351" s="57"/>
      <c r="O351" s="57"/>
      <c r="P351" s="91"/>
    </row>
    <row r="352" spans="2:16" s="50" customFormat="1" ht="13.2">
      <c r="B352" s="86"/>
      <c r="C352" s="87"/>
      <c r="D352" s="87"/>
      <c r="E352" s="87"/>
      <c r="F352" s="87"/>
      <c r="G352" s="87"/>
      <c r="H352" s="87"/>
      <c r="I352" s="87"/>
      <c r="J352" s="87"/>
      <c r="K352" s="88"/>
      <c r="L352" s="89"/>
      <c r="M352" s="90"/>
      <c r="N352" s="57"/>
      <c r="O352" s="57"/>
      <c r="P352" s="91"/>
    </row>
    <row r="353" spans="2:16" s="50" customFormat="1" ht="13.2">
      <c r="B353" s="86"/>
      <c r="C353" s="87"/>
      <c r="D353" s="87"/>
      <c r="E353" s="87"/>
      <c r="F353" s="87"/>
      <c r="G353" s="87"/>
      <c r="H353" s="87"/>
      <c r="I353" s="87"/>
      <c r="J353" s="87"/>
      <c r="K353" s="88"/>
      <c r="L353" s="89"/>
      <c r="M353" s="90"/>
      <c r="N353" s="57"/>
      <c r="O353" s="57"/>
      <c r="P353" s="91"/>
    </row>
    <row r="354" spans="2:16" s="50" customFormat="1" ht="13.2">
      <c r="B354" s="86"/>
      <c r="C354" s="87"/>
      <c r="D354" s="87"/>
      <c r="E354" s="87"/>
      <c r="F354" s="87"/>
      <c r="G354" s="87"/>
      <c r="H354" s="87"/>
      <c r="I354" s="87"/>
      <c r="J354" s="87"/>
      <c r="K354" s="88"/>
      <c r="L354" s="89"/>
      <c r="M354" s="90"/>
      <c r="N354" s="57"/>
      <c r="O354" s="57"/>
      <c r="P354" s="91"/>
    </row>
    <row r="355" spans="2:16" s="50" customFormat="1" ht="13.2">
      <c r="B355" s="86"/>
      <c r="C355" s="87"/>
      <c r="D355" s="87"/>
      <c r="E355" s="87"/>
      <c r="F355" s="87"/>
      <c r="G355" s="87"/>
      <c r="H355" s="87"/>
      <c r="I355" s="87"/>
      <c r="J355" s="87"/>
      <c r="K355" s="88"/>
      <c r="L355" s="89"/>
      <c r="M355" s="90"/>
      <c r="N355" s="57"/>
      <c r="O355" s="57"/>
      <c r="P355" s="91"/>
    </row>
    <row r="356" spans="2:16" s="50" customFormat="1" ht="13.2">
      <c r="B356" s="86"/>
      <c r="C356" s="87"/>
      <c r="D356" s="87"/>
      <c r="E356" s="87"/>
      <c r="F356" s="87"/>
      <c r="G356" s="87"/>
      <c r="H356" s="87"/>
      <c r="I356" s="87"/>
      <c r="J356" s="87"/>
      <c r="K356" s="88"/>
      <c r="L356" s="89"/>
      <c r="M356" s="90"/>
      <c r="N356" s="57"/>
      <c r="O356" s="57"/>
      <c r="P356" s="91"/>
    </row>
    <row r="357" spans="2:16" s="50" customFormat="1" ht="13.2">
      <c r="B357" s="86"/>
      <c r="C357" s="87"/>
      <c r="D357" s="87"/>
      <c r="E357" s="87"/>
      <c r="F357" s="87"/>
      <c r="G357" s="87"/>
      <c r="H357" s="87"/>
      <c r="I357" s="87"/>
      <c r="J357" s="87"/>
      <c r="K357" s="88"/>
      <c r="L357" s="89"/>
      <c r="M357" s="90"/>
      <c r="N357" s="57"/>
      <c r="O357" s="57"/>
      <c r="P357" s="91"/>
    </row>
    <row r="358" spans="2:16" s="50" customFormat="1" ht="13.2">
      <c r="B358" s="86"/>
      <c r="C358" s="87"/>
      <c r="D358" s="87"/>
      <c r="E358" s="87"/>
      <c r="F358" s="87"/>
      <c r="G358" s="87"/>
      <c r="H358" s="87"/>
      <c r="I358" s="87"/>
      <c r="J358" s="87"/>
      <c r="K358" s="88"/>
      <c r="L358" s="89"/>
      <c r="M358" s="90"/>
      <c r="N358" s="57"/>
      <c r="O358" s="57"/>
      <c r="P358" s="91"/>
    </row>
    <row r="359" spans="2:16" s="50" customFormat="1" ht="13.2">
      <c r="B359" s="86"/>
      <c r="C359" s="87"/>
      <c r="D359" s="87"/>
      <c r="E359" s="87"/>
      <c r="F359" s="87"/>
      <c r="G359" s="87"/>
      <c r="H359" s="87"/>
      <c r="I359" s="87"/>
      <c r="J359" s="87"/>
      <c r="K359" s="88"/>
      <c r="L359" s="89"/>
      <c r="M359" s="90"/>
      <c r="N359" s="57"/>
      <c r="O359" s="57"/>
      <c r="P359" s="91"/>
    </row>
    <row r="360" spans="2:16" s="50" customFormat="1" ht="13.2">
      <c r="B360" s="86"/>
      <c r="C360" s="87"/>
      <c r="D360" s="87"/>
      <c r="E360" s="87"/>
      <c r="F360" s="87"/>
      <c r="G360" s="87"/>
      <c r="H360" s="87"/>
      <c r="I360" s="87"/>
      <c r="J360" s="87"/>
      <c r="K360" s="88"/>
      <c r="L360" s="89"/>
      <c r="M360" s="90"/>
      <c r="N360" s="57"/>
      <c r="O360" s="57"/>
      <c r="P360" s="91"/>
    </row>
    <row r="361" spans="2:16" s="50" customFormat="1" ht="13.2">
      <c r="B361" s="86"/>
      <c r="C361" s="87"/>
      <c r="D361" s="87"/>
      <c r="E361" s="87"/>
      <c r="F361" s="87"/>
      <c r="G361" s="87"/>
      <c r="H361" s="87"/>
      <c r="I361" s="87"/>
      <c r="J361" s="87"/>
      <c r="K361" s="88"/>
      <c r="L361" s="89"/>
      <c r="M361" s="90"/>
      <c r="N361" s="57"/>
      <c r="O361" s="57"/>
      <c r="P361" s="91"/>
    </row>
    <row r="362" spans="2:16" s="50" customFormat="1" ht="13.2">
      <c r="B362" s="86"/>
      <c r="C362" s="87"/>
      <c r="D362" s="87"/>
      <c r="E362" s="87"/>
      <c r="F362" s="87"/>
      <c r="G362" s="87"/>
      <c r="H362" s="87"/>
      <c r="I362" s="87"/>
      <c r="J362" s="87"/>
      <c r="K362" s="88"/>
      <c r="L362" s="89"/>
      <c r="M362" s="90"/>
      <c r="N362" s="57"/>
      <c r="O362" s="57"/>
      <c r="P362" s="91"/>
    </row>
    <row r="363" spans="2:16" s="50" customFormat="1" ht="13.2">
      <c r="B363" s="86"/>
      <c r="C363" s="87"/>
      <c r="D363" s="87"/>
      <c r="E363" s="87"/>
      <c r="F363" s="87"/>
      <c r="G363" s="87"/>
      <c r="H363" s="87"/>
      <c r="I363" s="87"/>
      <c r="J363" s="87"/>
      <c r="K363" s="88"/>
      <c r="L363" s="89"/>
      <c r="M363" s="90"/>
      <c r="N363" s="57"/>
      <c r="O363" s="57"/>
      <c r="P363" s="91"/>
    </row>
    <row r="364" spans="2:16" s="50" customFormat="1" ht="13.2">
      <c r="B364" s="86"/>
      <c r="C364" s="87"/>
      <c r="D364" s="87"/>
      <c r="E364" s="87"/>
      <c r="F364" s="87"/>
      <c r="G364" s="87"/>
      <c r="H364" s="87"/>
      <c r="I364" s="87"/>
      <c r="J364" s="87"/>
      <c r="K364" s="88"/>
      <c r="L364" s="89"/>
      <c r="M364" s="90"/>
      <c r="N364" s="57"/>
      <c r="O364" s="57"/>
      <c r="P364" s="91"/>
    </row>
    <row r="365" spans="2:16" s="50" customFormat="1" ht="13.2">
      <c r="B365" s="86"/>
      <c r="C365" s="87"/>
      <c r="D365" s="87"/>
      <c r="E365" s="87"/>
      <c r="F365" s="87"/>
      <c r="G365" s="87"/>
      <c r="H365" s="87"/>
      <c r="I365" s="87"/>
      <c r="J365" s="87"/>
      <c r="K365" s="88"/>
      <c r="L365" s="89"/>
      <c r="M365" s="90"/>
      <c r="N365" s="57"/>
      <c r="O365" s="57"/>
      <c r="P365" s="91"/>
    </row>
    <row r="366" spans="2:16" s="50" customFormat="1" ht="13.2">
      <c r="B366" s="86"/>
      <c r="C366" s="87"/>
      <c r="D366" s="87"/>
      <c r="E366" s="87"/>
      <c r="F366" s="87"/>
      <c r="G366" s="87"/>
      <c r="H366" s="87"/>
      <c r="I366" s="87"/>
      <c r="J366" s="87"/>
      <c r="K366" s="88"/>
      <c r="L366" s="89"/>
      <c r="M366" s="90"/>
      <c r="N366" s="57"/>
      <c r="O366" s="57"/>
      <c r="P366" s="91"/>
    </row>
    <row r="367" spans="2:16" s="50" customFormat="1" ht="13.2">
      <c r="B367" s="86"/>
      <c r="C367" s="87"/>
      <c r="D367" s="87"/>
      <c r="E367" s="87"/>
      <c r="F367" s="87"/>
      <c r="G367" s="87"/>
      <c r="H367" s="87"/>
      <c r="I367" s="87"/>
      <c r="J367" s="87"/>
      <c r="K367" s="88"/>
      <c r="L367" s="89"/>
      <c r="M367" s="90"/>
      <c r="N367" s="57"/>
      <c r="O367" s="57"/>
      <c r="P367" s="91"/>
    </row>
    <row r="368" spans="2:16" s="50" customFormat="1" ht="13.2">
      <c r="B368" s="86"/>
      <c r="C368" s="87"/>
      <c r="D368" s="87"/>
      <c r="E368" s="87"/>
      <c r="F368" s="87"/>
      <c r="G368" s="87"/>
      <c r="H368" s="87"/>
      <c r="I368" s="87"/>
      <c r="J368" s="87"/>
      <c r="K368" s="88"/>
      <c r="L368" s="89"/>
      <c r="M368" s="90"/>
      <c r="N368" s="57"/>
      <c r="O368" s="57"/>
      <c r="P368" s="91"/>
    </row>
    <row r="369" spans="2:16" s="50" customFormat="1" ht="13.2">
      <c r="B369" s="86"/>
      <c r="C369" s="87"/>
      <c r="D369" s="87"/>
      <c r="E369" s="87"/>
      <c r="F369" s="87"/>
      <c r="G369" s="87"/>
      <c r="H369" s="87"/>
      <c r="I369" s="87"/>
      <c r="J369" s="87"/>
      <c r="K369" s="88"/>
      <c r="L369" s="89"/>
      <c r="M369" s="90"/>
      <c r="N369" s="57"/>
      <c r="O369" s="57"/>
      <c r="P369" s="91"/>
    </row>
    <row r="370" spans="2:16" s="50" customFormat="1" ht="13.2">
      <c r="B370" s="86"/>
      <c r="C370" s="87"/>
      <c r="D370" s="87"/>
      <c r="E370" s="87"/>
      <c r="F370" s="87"/>
      <c r="G370" s="87"/>
      <c r="H370" s="87"/>
      <c r="I370" s="87"/>
      <c r="J370" s="87"/>
      <c r="K370" s="88"/>
      <c r="L370" s="89"/>
      <c r="M370" s="90"/>
      <c r="N370" s="57"/>
      <c r="O370" s="57"/>
      <c r="P370" s="91"/>
    </row>
    <row r="371" spans="2:16" s="50" customFormat="1" ht="13.2">
      <c r="B371" s="86"/>
      <c r="C371" s="87"/>
      <c r="D371" s="87"/>
      <c r="E371" s="87"/>
      <c r="F371" s="87"/>
      <c r="G371" s="87"/>
      <c r="H371" s="87"/>
      <c r="I371" s="87"/>
      <c r="J371" s="87"/>
      <c r="K371" s="88"/>
      <c r="L371" s="89"/>
      <c r="M371" s="90"/>
      <c r="N371" s="57"/>
      <c r="O371" s="57"/>
      <c r="P371" s="91"/>
    </row>
    <row r="372" spans="2:16" s="50" customFormat="1" ht="13.2">
      <c r="B372" s="86"/>
      <c r="C372" s="87"/>
      <c r="D372" s="87"/>
      <c r="E372" s="87"/>
      <c r="F372" s="87"/>
      <c r="G372" s="87"/>
      <c r="H372" s="87"/>
      <c r="I372" s="87"/>
      <c r="J372" s="87"/>
      <c r="K372" s="88"/>
      <c r="L372" s="89"/>
      <c r="M372" s="90"/>
      <c r="N372" s="57"/>
      <c r="O372" s="57"/>
      <c r="P372" s="91"/>
    </row>
    <row r="373" spans="2:16" s="50" customFormat="1" ht="13.2">
      <c r="B373" s="86"/>
      <c r="C373" s="87"/>
      <c r="D373" s="87"/>
      <c r="E373" s="87"/>
      <c r="F373" s="87"/>
      <c r="G373" s="87"/>
      <c r="H373" s="87"/>
      <c r="I373" s="87"/>
      <c r="J373" s="87"/>
      <c r="K373" s="88"/>
      <c r="L373" s="89"/>
      <c r="M373" s="90"/>
      <c r="N373" s="57"/>
      <c r="O373" s="57"/>
      <c r="P373" s="91"/>
    </row>
    <row r="374" spans="2:16" s="50" customFormat="1" ht="13.2">
      <c r="B374" s="86"/>
      <c r="C374" s="87"/>
      <c r="D374" s="87"/>
      <c r="E374" s="87"/>
      <c r="F374" s="87"/>
      <c r="G374" s="87"/>
      <c r="H374" s="87"/>
      <c r="I374" s="87"/>
      <c r="J374" s="87"/>
      <c r="K374" s="88"/>
      <c r="L374" s="89"/>
      <c r="M374" s="90"/>
      <c r="N374" s="57"/>
      <c r="O374" s="57"/>
      <c r="P374" s="91"/>
    </row>
    <row r="375" spans="2:16" s="50" customFormat="1" ht="13.2">
      <c r="B375" s="86"/>
      <c r="C375" s="87"/>
      <c r="D375" s="87"/>
      <c r="E375" s="87"/>
      <c r="F375" s="87"/>
      <c r="G375" s="87"/>
      <c r="H375" s="87"/>
      <c r="I375" s="87"/>
      <c r="J375" s="87"/>
      <c r="K375" s="88"/>
      <c r="L375" s="89"/>
      <c r="M375" s="90"/>
      <c r="N375" s="57"/>
      <c r="O375" s="57"/>
      <c r="P375" s="91"/>
    </row>
    <row r="376" spans="2:16" s="50" customFormat="1" ht="13.2">
      <c r="B376" s="86"/>
      <c r="C376" s="87"/>
      <c r="D376" s="87"/>
      <c r="E376" s="87"/>
      <c r="F376" s="87"/>
      <c r="G376" s="87"/>
      <c r="H376" s="87"/>
      <c r="I376" s="87"/>
      <c r="J376" s="87"/>
      <c r="K376" s="88"/>
      <c r="L376" s="89"/>
      <c r="M376" s="90"/>
      <c r="N376" s="57"/>
      <c r="O376" s="57"/>
      <c r="P376" s="91"/>
    </row>
    <row r="377" spans="2:16" s="50" customFormat="1" ht="13.2">
      <c r="B377" s="86"/>
      <c r="C377" s="87"/>
      <c r="D377" s="87"/>
      <c r="E377" s="87"/>
      <c r="F377" s="87"/>
      <c r="G377" s="87"/>
      <c r="H377" s="87"/>
      <c r="I377" s="87"/>
      <c r="J377" s="87"/>
      <c r="K377" s="88"/>
      <c r="L377" s="89"/>
      <c r="M377" s="90"/>
      <c r="N377" s="57"/>
      <c r="O377" s="57"/>
      <c r="P377" s="91"/>
    </row>
    <row r="378" spans="2:16" s="50" customFormat="1" ht="13.2">
      <c r="B378" s="86"/>
      <c r="C378" s="87"/>
      <c r="D378" s="87"/>
      <c r="E378" s="87"/>
      <c r="F378" s="87"/>
      <c r="G378" s="87"/>
      <c r="H378" s="87"/>
      <c r="I378" s="87"/>
      <c r="J378" s="87"/>
      <c r="K378" s="88"/>
      <c r="L378" s="89"/>
      <c r="M378" s="90"/>
      <c r="N378" s="57"/>
      <c r="O378" s="57"/>
      <c r="P378" s="91"/>
    </row>
    <row r="379" spans="2:16" s="50" customFormat="1" ht="13.2">
      <c r="B379" s="86"/>
      <c r="C379" s="87"/>
      <c r="D379" s="87"/>
      <c r="E379" s="87"/>
      <c r="F379" s="87"/>
      <c r="G379" s="87"/>
      <c r="H379" s="87"/>
      <c r="I379" s="87"/>
      <c r="J379" s="87"/>
      <c r="K379" s="88"/>
      <c r="L379" s="89"/>
      <c r="M379" s="90"/>
      <c r="N379" s="57"/>
      <c r="O379" s="57"/>
      <c r="P379" s="91"/>
    </row>
    <row r="380" spans="2:16" s="50" customFormat="1" ht="13.2">
      <c r="B380" s="86"/>
      <c r="C380" s="87"/>
      <c r="D380" s="87"/>
      <c r="E380" s="87"/>
      <c r="F380" s="87"/>
      <c r="G380" s="87"/>
      <c r="H380" s="87"/>
      <c r="I380" s="87"/>
      <c r="J380" s="87"/>
      <c r="K380" s="88"/>
      <c r="L380" s="89"/>
      <c r="M380" s="90"/>
      <c r="N380" s="57"/>
      <c r="O380" s="57"/>
      <c r="P380" s="91"/>
    </row>
    <row r="381" spans="2:16" s="50" customFormat="1" ht="13.2">
      <c r="B381" s="86"/>
      <c r="C381" s="87"/>
      <c r="D381" s="87"/>
      <c r="E381" s="87"/>
      <c r="F381" s="87"/>
      <c r="G381" s="87"/>
      <c r="H381" s="87"/>
      <c r="I381" s="87"/>
      <c r="J381" s="87"/>
      <c r="K381" s="88"/>
      <c r="L381" s="89"/>
      <c r="M381" s="90"/>
      <c r="N381" s="57"/>
      <c r="O381" s="57"/>
      <c r="P381" s="91"/>
    </row>
    <row r="382" spans="2:16" s="50" customFormat="1" ht="13.2">
      <c r="B382" s="86"/>
      <c r="C382" s="87"/>
      <c r="D382" s="87"/>
      <c r="E382" s="87"/>
      <c r="F382" s="87"/>
      <c r="G382" s="87"/>
      <c r="H382" s="87"/>
      <c r="I382" s="87"/>
      <c r="J382" s="87"/>
      <c r="K382" s="88"/>
      <c r="L382" s="89"/>
      <c r="M382" s="90"/>
      <c r="N382" s="57"/>
      <c r="O382" s="57"/>
      <c r="P382" s="91"/>
    </row>
    <row r="383" spans="2:16" s="50" customFormat="1" ht="13.2">
      <c r="B383" s="86"/>
      <c r="C383" s="87"/>
      <c r="D383" s="87"/>
      <c r="E383" s="87"/>
      <c r="F383" s="87"/>
      <c r="G383" s="87"/>
      <c r="H383" s="87"/>
      <c r="I383" s="87"/>
      <c r="J383" s="87"/>
      <c r="K383" s="88"/>
      <c r="L383" s="89"/>
      <c r="M383" s="90"/>
      <c r="N383" s="57"/>
      <c r="O383" s="57"/>
      <c r="P383" s="91"/>
    </row>
    <row r="384" spans="2:16" s="50" customFormat="1" ht="13.2">
      <c r="B384" s="86"/>
      <c r="C384" s="87"/>
      <c r="D384" s="87"/>
      <c r="E384" s="87"/>
      <c r="F384" s="87"/>
      <c r="G384" s="87"/>
      <c r="H384" s="87"/>
      <c r="I384" s="87"/>
      <c r="J384" s="87"/>
      <c r="K384" s="88"/>
      <c r="L384" s="89"/>
      <c r="M384" s="90"/>
      <c r="N384" s="57"/>
      <c r="O384" s="57"/>
      <c r="P384" s="91"/>
    </row>
    <row r="385" spans="2:16" s="50" customFormat="1" ht="13.2">
      <c r="B385" s="86"/>
      <c r="C385" s="87"/>
      <c r="D385" s="87"/>
      <c r="E385" s="87"/>
      <c r="F385" s="87"/>
      <c r="G385" s="87"/>
      <c r="H385" s="87"/>
      <c r="I385" s="87"/>
      <c r="J385" s="87"/>
      <c r="K385" s="88"/>
      <c r="L385" s="89"/>
      <c r="M385" s="90"/>
      <c r="N385" s="57"/>
      <c r="O385" s="57"/>
      <c r="P385" s="91"/>
    </row>
    <row r="386" spans="2:16" s="50" customFormat="1" ht="13.2">
      <c r="B386" s="86"/>
      <c r="C386" s="87"/>
      <c r="D386" s="87"/>
      <c r="E386" s="87"/>
      <c r="F386" s="87"/>
      <c r="G386" s="87"/>
      <c r="H386" s="87"/>
      <c r="I386" s="87"/>
      <c r="J386" s="87"/>
      <c r="K386" s="88"/>
      <c r="L386" s="89"/>
      <c r="M386" s="90"/>
      <c r="N386" s="57"/>
      <c r="O386" s="57"/>
      <c r="P386" s="91"/>
    </row>
    <row r="387" spans="2:16" s="50" customFormat="1" ht="13.2">
      <c r="B387" s="86"/>
      <c r="C387" s="87"/>
      <c r="D387" s="87"/>
      <c r="E387" s="87"/>
      <c r="F387" s="87"/>
      <c r="G387" s="87"/>
      <c r="H387" s="87"/>
      <c r="I387" s="87"/>
      <c r="J387" s="87"/>
      <c r="K387" s="88"/>
      <c r="L387" s="89"/>
      <c r="M387" s="90"/>
      <c r="N387" s="57"/>
      <c r="O387" s="57"/>
      <c r="P387" s="91"/>
    </row>
    <row r="388" spans="2:16" s="50" customFormat="1" ht="13.2">
      <c r="B388" s="86"/>
      <c r="C388" s="87"/>
      <c r="D388" s="87"/>
      <c r="E388" s="87"/>
      <c r="F388" s="87"/>
      <c r="G388" s="87"/>
      <c r="H388" s="87"/>
      <c r="I388" s="87"/>
      <c r="J388" s="87"/>
      <c r="K388" s="88"/>
      <c r="L388" s="89"/>
      <c r="M388" s="90"/>
      <c r="N388" s="57"/>
      <c r="O388" s="57"/>
      <c r="P388" s="91"/>
    </row>
    <row r="389" spans="2:16" s="50" customFormat="1" ht="13.2">
      <c r="B389" s="86"/>
      <c r="C389" s="87"/>
      <c r="D389" s="87"/>
      <c r="E389" s="87"/>
      <c r="F389" s="87"/>
      <c r="G389" s="87"/>
      <c r="H389" s="87"/>
      <c r="I389" s="87"/>
      <c r="J389" s="87"/>
      <c r="K389" s="88"/>
      <c r="L389" s="89"/>
      <c r="M389" s="90"/>
      <c r="N389" s="57"/>
      <c r="O389" s="57"/>
      <c r="P389" s="91"/>
    </row>
    <row r="390" spans="2:16" s="50" customFormat="1" ht="13.2">
      <c r="B390" s="86"/>
      <c r="C390" s="87"/>
      <c r="D390" s="87"/>
      <c r="E390" s="87"/>
      <c r="F390" s="87"/>
      <c r="G390" s="87"/>
      <c r="H390" s="87"/>
      <c r="I390" s="87"/>
      <c r="J390" s="87"/>
      <c r="K390" s="88"/>
      <c r="L390" s="89"/>
      <c r="M390" s="90"/>
      <c r="N390" s="57"/>
      <c r="O390" s="57"/>
      <c r="P390" s="91"/>
    </row>
    <row r="391" spans="2:16" s="50" customFormat="1" ht="13.2">
      <c r="B391" s="86"/>
      <c r="C391" s="87"/>
      <c r="D391" s="87"/>
      <c r="E391" s="87"/>
      <c r="F391" s="87"/>
      <c r="G391" s="87"/>
      <c r="H391" s="87"/>
      <c r="I391" s="87"/>
      <c r="J391" s="87"/>
      <c r="K391" s="88"/>
      <c r="L391" s="89"/>
      <c r="M391" s="90"/>
      <c r="N391" s="57"/>
      <c r="O391" s="57"/>
      <c r="P391" s="91"/>
    </row>
    <row r="392" spans="2:16" s="50" customFormat="1" ht="13.2">
      <c r="B392" s="86"/>
      <c r="C392" s="87"/>
      <c r="D392" s="87"/>
      <c r="E392" s="87"/>
      <c r="F392" s="87"/>
      <c r="G392" s="87"/>
      <c r="H392" s="87"/>
      <c r="I392" s="87"/>
      <c r="J392" s="87"/>
      <c r="K392" s="88"/>
      <c r="L392" s="89"/>
      <c r="M392" s="90"/>
      <c r="N392" s="57"/>
      <c r="O392" s="57"/>
      <c r="P392" s="91"/>
    </row>
    <row r="393" spans="2:16" s="50" customFormat="1" ht="13.2">
      <c r="B393" s="86"/>
      <c r="C393" s="87"/>
      <c r="D393" s="87"/>
      <c r="E393" s="87"/>
      <c r="F393" s="87"/>
      <c r="G393" s="87"/>
      <c r="H393" s="87"/>
      <c r="I393" s="87"/>
      <c r="J393" s="87"/>
      <c r="K393" s="88"/>
      <c r="L393" s="89"/>
      <c r="M393" s="90"/>
      <c r="N393" s="57"/>
      <c r="O393" s="57"/>
      <c r="P393" s="91"/>
    </row>
    <row r="394" spans="2:16" s="50" customFormat="1" ht="13.2">
      <c r="B394" s="86"/>
      <c r="C394" s="87"/>
      <c r="D394" s="87"/>
      <c r="E394" s="87"/>
      <c r="F394" s="87"/>
      <c r="G394" s="87"/>
      <c r="H394" s="87"/>
      <c r="I394" s="87"/>
      <c r="J394" s="87"/>
      <c r="K394" s="88"/>
      <c r="L394" s="89"/>
      <c r="M394" s="90"/>
      <c r="N394" s="57"/>
      <c r="O394" s="57"/>
      <c r="P394" s="91"/>
    </row>
    <row r="395" spans="2:16" s="50" customFormat="1" ht="13.2">
      <c r="B395" s="86"/>
      <c r="C395" s="87"/>
      <c r="D395" s="87"/>
      <c r="E395" s="87"/>
      <c r="F395" s="87"/>
      <c r="G395" s="87"/>
      <c r="H395" s="87"/>
      <c r="I395" s="87"/>
      <c r="J395" s="87"/>
      <c r="K395" s="88"/>
      <c r="L395" s="89"/>
      <c r="M395" s="90"/>
      <c r="N395" s="57"/>
      <c r="O395" s="57"/>
      <c r="P395" s="91"/>
    </row>
    <row r="396" spans="2:16" s="50" customFormat="1" ht="13.2">
      <c r="B396" s="86"/>
      <c r="C396" s="87"/>
      <c r="D396" s="87"/>
      <c r="E396" s="87"/>
      <c r="F396" s="87"/>
      <c r="G396" s="87"/>
      <c r="H396" s="87"/>
      <c r="I396" s="87"/>
      <c r="J396" s="87"/>
      <c r="K396" s="88"/>
      <c r="L396" s="89"/>
      <c r="M396" s="90"/>
      <c r="N396" s="57"/>
      <c r="O396" s="57"/>
      <c r="P396" s="91"/>
    </row>
    <row r="397" spans="2:16" s="50" customFormat="1" ht="13.2">
      <c r="B397" s="86"/>
      <c r="C397" s="87"/>
      <c r="D397" s="87"/>
      <c r="E397" s="87"/>
      <c r="F397" s="87"/>
      <c r="G397" s="87"/>
      <c r="H397" s="87"/>
      <c r="I397" s="87"/>
      <c r="J397" s="87"/>
      <c r="K397" s="88"/>
      <c r="L397" s="89"/>
      <c r="M397" s="90"/>
      <c r="N397" s="57"/>
      <c r="O397" s="57"/>
      <c r="P397" s="91"/>
    </row>
    <row r="398" spans="2:16" s="50" customFormat="1" ht="13.2">
      <c r="B398" s="86"/>
      <c r="C398" s="87"/>
      <c r="D398" s="87"/>
      <c r="E398" s="87"/>
      <c r="F398" s="87"/>
      <c r="G398" s="87"/>
      <c r="H398" s="87"/>
      <c r="I398" s="87"/>
      <c r="J398" s="87"/>
      <c r="K398" s="88"/>
      <c r="L398" s="89"/>
      <c r="M398" s="90"/>
      <c r="N398" s="57"/>
      <c r="O398" s="57"/>
      <c r="P398" s="91"/>
    </row>
    <row r="399" spans="2:16" s="50" customFormat="1" ht="13.2">
      <c r="B399" s="86"/>
      <c r="C399" s="87"/>
      <c r="D399" s="87"/>
      <c r="E399" s="87"/>
      <c r="F399" s="87"/>
      <c r="G399" s="87"/>
      <c r="H399" s="87"/>
      <c r="I399" s="87"/>
      <c r="J399" s="87"/>
      <c r="K399" s="88"/>
      <c r="L399" s="89"/>
      <c r="M399" s="90"/>
      <c r="N399" s="57"/>
      <c r="O399" s="57"/>
      <c r="P399" s="91"/>
    </row>
    <row r="400" spans="2:16" s="50" customFormat="1" ht="13.2">
      <c r="B400" s="86"/>
      <c r="C400" s="87"/>
      <c r="D400" s="87"/>
      <c r="E400" s="87"/>
      <c r="F400" s="87"/>
      <c r="G400" s="87"/>
      <c r="H400" s="87"/>
      <c r="I400" s="87"/>
      <c r="J400" s="87"/>
      <c r="K400" s="88"/>
      <c r="L400" s="89"/>
      <c r="M400" s="90"/>
      <c r="N400" s="57"/>
      <c r="O400" s="57"/>
      <c r="P400" s="91"/>
    </row>
    <row r="401" spans="2:16" s="50" customFormat="1" ht="13.2">
      <c r="B401" s="86"/>
      <c r="C401" s="87"/>
      <c r="D401" s="87"/>
      <c r="E401" s="87"/>
      <c r="F401" s="87"/>
      <c r="G401" s="87"/>
      <c r="H401" s="87"/>
      <c r="I401" s="87"/>
      <c r="J401" s="87"/>
      <c r="K401" s="88"/>
      <c r="L401" s="89"/>
      <c r="M401" s="90"/>
      <c r="N401" s="57"/>
      <c r="O401" s="57"/>
      <c r="P401" s="91"/>
    </row>
    <row r="402" spans="2:16" s="50" customFormat="1" ht="13.2">
      <c r="B402" s="86"/>
      <c r="C402" s="87"/>
      <c r="D402" s="87"/>
      <c r="E402" s="87"/>
      <c r="F402" s="87"/>
      <c r="G402" s="87"/>
      <c r="H402" s="87"/>
      <c r="I402" s="87"/>
      <c r="J402" s="87"/>
      <c r="K402" s="88"/>
      <c r="L402" s="89"/>
      <c r="M402" s="90"/>
      <c r="N402" s="57"/>
      <c r="O402" s="57"/>
      <c r="P402" s="91"/>
    </row>
    <row r="403" spans="2:16" s="50" customFormat="1" ht="13.2">
      <c r="B403" s="86"/>
      <c r="C403" s="87"/>
      <c r="D403" s="87"/>
      <c r="E403" s="87"/>
      <c r="F403" s="87"/>
      <c r="G403" s="87"/>
      <c r="H403" s="87"/>
      <c r="I403" s="87"/>
      <c r="J403" s="87"/>
      <c r="K403" s="88"/>
      <c r="L403" s="89"/>
      <c r="M403" s="90"/>
      <c r="N403" s="57"/>
      <c r="O403" s="57"/>
      <c r="P403" s="91"/>
    </row>
    <row r="404" spans="2:16" s="50" customFormat="1" ht="13.2">
      <c r="B404" s="86"/>
      <c r="C404" s="87"/>
      <c r="D404" s="87"/>
      <c r="E404" s="87"/>
      <c r="F404" s="87"/>
      <c r="G404" s="87"/>
      <c r="H404" s="87"/>
      <c r="I404" s="87"/>
      <c r="J404" s="87"/>
      <c r="K404" s="88"/>
      <c r="L404" s="89"/>
      <c r="M404" s="90"/>
      <c r="N404" s="57"/>
      <c r="O404" s="57"/>
      <c r="P404" s="91"/>
    </row>
    <row r="405" spans="2:16" s="50" customFormat="1" ht="13.2">
      <c r="B405" s="86"/>
      <c r="C405" s="87"/>
      <c r="D405" s="87"/>
      <c r="E405" s="87"/>
      <c r="F405" s="87"/>
      <c r="G405" s="87"/>
      <c r="H405" s="87"/>
      <c r="I405" s="87"/>
      <c r="J405" s="87"/>
      <c r="K405" s="88"/>
      <c r="L405" s="89"/>
      <c r="M405" s="90"/>
      <c r="N405" s="57"/>
      <c r="O405" s="57"/>
      <c r="P405" s="91"/>
    </row>
    <row r="406" spans="2:16" s="50" customFormat="1" ht="13.2">
      <c r="B406" s="86"/>
      <c r="C406" s="87"/>
      <c r="D406" s="87"/>
      <c r="E406" s="87"/>
      <c r="F406" s="87"/>
      <c r="G406" s="87"/>
      <c r="H406" s="87"/>
      <c r="I406" s="87"/>
      <c r="J406" s="87"/>
      <c r="K406" s="88"/>
      <c r="L406" s="89"/>
      <c r="M406" s="90"/>
      <c r="N406" s="57"/>
      <c r="O406" s="57"/>
      <c r="P406" s="91"/>
    </row>
    <row r="407" spans="2:16" s="50" customFormat="1" ht="13.2">
      <c r="B407" s="86"/>
      <c r="C407" s="87"/>
      <c r="D407" s="87"/>
      <c r="E407" s="87"/>
      <c r="F407" s="87"/>
      <c r="G407" s="87"/>
      <c r="H407" s="87"/>
      <c r="I407" s="87"/>
      <c r="J407" s="87"/>
      <c r="K407" s="88"/>
      <c r="L407" s="89"/>
      <c r="M407" s="90"/>
      <c r="N407" s="57"/>
      <c r="O407" s="57"/>
      <c r="P407" s="91"/>
    </row>
    <row r="408" spans="2:16" s="50" customFormat="1" ht="13.2">
      <c r="B408" s="86"/>
      <c r="C408" s="87"/>
      <c r="D408" s="87"/>
      <c r="E408" s="87"/>
      <c r="F408" s="87"/>
      <c r="G408" s="87"/>
      <c r="H408" s="87"/>
      <c r="I408" s="87"/>
      <c r="J408" s="87"/>
      <c r="K408" s="88"/>
      <c r="L408" s="89"/>
      <c r="M408" s="90"/>
      <c r="N408" s="57"/>
      <c r="O408" s="57"/>
      <c r="P408" s="91"/>
    </row>
    <row r="409" spans="2:16" s="50" customFormat="1" ht="13.2">
      <c r="B409" s="86"/>
      <c r="C409" s="87"/>
      <c r="D409" s="87"/>
      <c r="E409" s="87"/>
      <c r="F409" s="87"/>
      <c r="G409" s="87"/>
      <c r="H409" s="87"/>
      <c r="I409" s="87"/>
      <c r="J409" s="87"/>
      <c r="K409" s="88"/>
      <c r="L409" s="89"/>
      <c r="M409" s="90"/>
      <c r="N409" s="57"/>
      <c r="O409" s="57"/>
      <c r="P409" s="91"/>
    </row>
    <row r="410" spans="2:16" s="50" customFormat="1" ht="13.2">
      <c r="B410" s="86"/>
      <c r="C410" s="87"/>
      <c r="D410" s="87"/>
      <c r="E410" s="87"/>
      <c r="F410" s="87"/>
      <c r="G410" s="87"/>
      <c r="H410" s="87"/>
      <c r="I410" s="87"/>
      <c r="J410" s="87"/>
      <c r="K410" s="88"/>
      <c r="L410" s="89"/>
      <c r="M410" s="90"/>
      <c r="N410" s="57"/>
      <c r="O410" s="57"/>
      <c r="P410" s="91"/>
    </row>
    <row r="411" spans="2:16" s="50" customFormat="1" ht="13.2">
      <c r="B411" s="86"/>
      <c r="C411" s="87"/>
      <c r="D411" s="87"/>
      <c r="E411" s="87"/>
      <c r="F411" s="87"/>
      <c r="G411" s="87"/>
      <c r="H411" s="87"/>
      <c r="I411" s="87"/>
      <c r="J411" s="87"/>
      <c r="K411" s="88"/>
      <c r="L411" s="89"/>
      <c r="M411" s="90"/>
      <c r="N411" s="57"/>
      <c r="O411" s="57"/>
      <c r="P411" s="91"/>
    </row>
    <row r="412" spans="2:16" s="50" customFormat="1" ht="13.2">
      <c r="B412" s="86"/>
      <c r="C412" s="87"/>
      <c r="D412" s="87"/>
      <c r="E412" s="87"/>
      <c r="F412" s="87"/>
      <c r="G412" s="87"/>
      <c r="H412" s="87"/>
      <c r="I412" s="87"/>
      <c r="J412" s="87"/>
      <c r="K412" s="88"/>
      <c r="L412" s="89"/>
      <c r="M412" s="90"/>
      <c r="N412" s="57"/>
      <c r="O412" s="57"/>
      <c r="P412" s="91"/>
    </row>
    <row r="413" spans="2:16" s="50" customFormat="1" ht="13.2">
      <c r="B413" s="86"/>
      <c r="C413" s="87"/>
      <c r="D413" s="87"/>
      <c r="E413" s="87"/>
      <c r="F413" s="87"/>
      <c r="G413" s="87"/>
      <c r="H413" s="87"/>
      <c r="I413" s="87"/>
      <c r="J413" s="87"/>
      <c r="K413" s="88"/>
      <c r="L413" s="89"/>
      <c r="M413" s="90"/>
      <c r="N413" s="57"/>
      <c r="O413" s="57"/>
      <c r="P413" s="91"/>
    </row>
    <row r="414" spans="2:16" s="50" customFormat="1" ht="13.2">
      <c r="B414" s="86"/>
      <c r="C414" s="87"/>
      <c r="D414" s="87"/>
      <c r="E414" s="87"/>
      <c r="F414" s="87"/>
      <c r="G414" s="87"/>
      <c r="H414" s="87"/>
      <c r="I414" s="87"/>
      <c r="J414" s="87"/>
      <c r="K414" s="88"/>
      <c r="L414" s="89"/>
      <c r="M414" s="90"/>
      <c r="N414" s="57"/>
      <c r="O414" s="57"/>
      <c r="P414" s="91"/>
    </row>
    <row r="415" spans="2:16" s="50" customFormat="1" ht="13.2">
      <c r="B415" s="86"/>
      <c r="C415" s="87"/>
      <c r="D415" s="87"/>
      <c r="E415" s="87"/>
      <c r="F415" s="87"/>
      <c r="G415" s="87"/>
      <c r="H415" s="87"/>
      <c r="I415" s="87"/>
      <c r="J415" s="87"/>
      <c r="K415" s="88"/>
      <c r="L415" s="89"/>
      <c r="M415" s="90"/>
      <c r="N415" s="57"/>
      <c r="O415" s="57"/>
      <c r="P415" s="91"/>
    </row>
    <row r="416" spans="2:16" s="50" customFormat="1" ht="13.2">
      <c r="B416" s="86"/>
      <c r="C416" s="87"/>
      <c r="D416" s="87"/>
      <c r="E416" s="87"/>
      <c r="F416" s="87"/>
      <c r="G416" s="87"/>
      <c r="H416" s="87"/>
      <c r="I416" s="87"/>
      <c r="J416" s="87"/>
      <c r="K416" s="88"/>
      <c r="L416" s="89"/>
      <c r="M416" s="90"/>
      <c r="N416" s="57"/>
      <c r="O416" s="57"/>
      <c r="P416" s="91"/>
    </row>
    <row r="417" spans="2:16" s="50" customFormat="1" ht="13.2">
      <c r="B417" s="86"/>
      <c r="C417" s="87"/>
      <c r="D417" s="87"/>
      <c r="E417" s="87"/>
      <c r="F417" s="87"/>
      <c r="G417" s="87"/>
      <c r="H417" s="87"/>
      <c r="I417" s="87"/>
      <c r="J417" s="87"/>
      <c r="K417" s="88"/>
      <c r="L417" s="89"/>
      <c r="M417" s="90"/>
      <c r="N417" s="57"/>
      <c r="O417" s="57"/>
      <c r="P417" s="91"/>
    </row>
    <row r="418" spans="2:16" s="50" customFormat="1" ht="13.2">
      <c r="B418" s="86"/>
      <c r="C418" s="87"/>
      <c r="D418" s="87"/>
      <c r="E418" s="87"/>
      <c r="F418" s="87"/>
      <c r="G418" s="87"/>
      <c r="H418" s="87"/>
      <c r="I418" s="87"/>
      <c r="J418" s="87"/>
      <c r="K418" s="88"/>
      <c r="L418" s="89"/>
      <c r="M418" s="90"/>
      <c r="N418" s="57"/>
      <c r="O418" s="57"/>
      <c r="P418" s="91"/>
    </row>
    <row r="419" spans="2:16" s="50" customFormat="1" ht="13.2">
      <c r="B419" s="86"/>
      <c r="C419" s="87"/>
      <c r="D419" s="87"/>
      <c r="E419" s="87"/>
      <c r="F419" s="87"/>
      <c r="G419" s="87"/>
      <c r="H419" s="87"/>
      <c r="I419" s="87"/>
      <c r="J419" s="87"/>
      <c r="K419" s="88"/>
      <c r="L419" s="89"/>
      <c r="M419" s="90"/>
      <c r="N419" s="57"/>
      <c r="O419" s="57"/>
      <c r="P419" s="91"/>
    </row>
    <row r="420" spans="2:16" s="50" customFormat="1" ht="13.2">
      <c r="B420" s="86"/>
      <c r="C420" s="87"/>
      <c r="D420" s="87"/>
      <c r="E420" s="87"/>
      <c r="F420" s="87"/>
      <c r="G420" s="87"/>
      <c r="H420" s="87"/>
      <c r="I420" s="87"/>
      <c r="J420" s="87"/>
      <c r="K420" s="88"/>
      <c r="L420" s="89"/>
      <c r="M420" s="90"/>
      <c r="N420" s="57"/>
      <c r="O420" s="57"/>
      <c r="P420" s="91"/>
    </row>
    <row r="421" spans="2:16" s="50" customFormat="1" ht="13.2">
      <c r="B421" s="86"/>
      <c r="C421" s="87"/>
      <c r="D421" s="87"/>
      <c r="E421" s="87"/>
      <c r="F421" s="87"/>
      <c r="G421" s="87"/>
      <c r="H421" s="87"/>
      <c r="I421" s="87"/>
      <c r="J421" s="87"/>
      <c r="K421" s="88"/>
      <c r="L421" s="89"/>
      <c r="M421" s="90"/>
      <c r="N421" s="57"/>
      <c r="O421" s="57"/>
      <c r="P421" s="91"/>
    </row>
    <row r="422" spans="2:16" s="50" customFormat="1" ht="13.2">
      <c r="B422" s="86"/>
      <c r="C422" s="87"/>
      <c r="D422" s="87"/>
      <c r="E422" s="87"/>
      <c r="F422" s="87"/>
      <c r="G422" s="87"/>
      <c r="H422" s="87"/>
      <c r="I422" s="87"/>
      <c r="J422" s="87"/>
      <c r="K422" s="88"/>
      <c r="L422" s="89"/>
      <c r="M422" s="90"/>
      <c r="N422" s="57"/>
      <c r="O422" s="57"/>
      <c r="P422" s="91"/>
    </row>
    <row r="423" spans="2:16" s="50" customFormat="1" ht="13.2">
      <c r="B423" s="86"/>
      <c r="C423" s="87"/>
      <c r="D423" s="87"/>
      <c r="E423" s="87"/>
      <c r="F423" s="87"/>
      <c r="G423" s="87"/>
      <c r="H423" s="87"/>
      <c r="I423" s="87"/>
      <c r="J423" s="87"/>
      <c r="K423" s="88"/>
      <c r="L423" s="89"/>
      <c r="M423" s="90"/>
      <c r="N423" s="57"/>
      <c r="O423" s="57"/>
      <c r="P423" s="91"/>
    </row>
    <row r="424" spans="2:16" s="50" customFormat="1" ht="13.2">
      <c r="B424" s="86"/>
      <c r="C424" s="87"/>
      <c r="D424" s="87"/>
      <c r="E424" s="87"/>
      <c r="F424" s="87"/>
      <c r="G424" s="87"/>
      <c r="H424" s="87"/>
      <c r="I424" s="87"/>
      <c r="J424" s="87"/>
      <c r="K424" s="88"/>
      <c r="L424" s="89"/>
      <c r="M424" s="90"/>
      <c r="N424" s="57"/>
      <c r="O424" s="57"/>
      <c r="P424" s="91"/>
    </row>
    <row r="425" spans="2:16" s="50" customFormat="1" ht="13.2">
      <c r="B425" s="86"/>
      <c r="C425" s="87"/>
      <c r="D425" s="87"/>
      <c r="E425" s="87"/>
      <c r="F425" s="87"/>
      <c r="G425" s="87"/>
      <c r="H425" s="87"/>
      <c r="I425" s="87"/>
      <c r="J425" s="87"/>
      <c r="K425" s="88"/>
      <c r="L425" s="89"/>
      <c r="M425" s="90"/>
      <c r="N425" s="57"/>
      <c r="O425" s="57"/>
      <c r="P425" s="91"/>
    </row>
    <row r="426" spans="2:16" s="50" customFormat="1" ht="13.2">
      <c r="B426" s="86"/>
      <c r="C426" s="87"/>
      <c r="D426" s="87"/>
      <c r="E426" s="87"/>
      <c r="F426" s="87"/>
      <c r="G426" s="87"/>
      <c r="H426" s="87"/>
      <c r="I426" s="87"/>
      <c r="J426" s="87"/>
      <c r="K426" s="88"/>
      <c r="L426" s="89"/>
      <c r="M426" s="90"/>
      <c r="N426" s="57"/>
      <c r="O426" s="57"/>
      <c r="P426" s="91"/>
    </row>
    <row r="427" spans="2:16" s="50" customFormat="1" ht="13.2">
      <c r="B427" s="86"/>
      <c r="C427" s="87"/>
      <c r="D427" s="87"/>
      <c r="E427" s="87"/>
      <c r="F427" s="87"/>
      <c r="G427" s="87"/>
      <c r="H427" s="87"/>
      <c r="I427" s="87"/>
      <c r="J427" s="87"/>
      <c r="K427" s="88"/>
      <c r="L427" s="89"/>
      <c r="M427" s="90"/>
      <c r="N427" s="57"/>
      <c r="O427" s="57"/>
      <c r="P427" s="91"/>
    </row>
    <row r="428" spans="2:16" s="50" customFormat="1" ht="13.2">
      <c r="B428" s="86"/>
      <c r="C428" s="87"/>
      <c r="D428" s="87"/>
      <c r="E428" s="87"/>
      <c r="F428" s="87"/>
      <c r="G428" s="87"/>
      <c r="H428" s="87"/>
      <c r="I428" s="87"/>
      <c r="J428" s="87"/>
      <c r="K428" s="88"/>
      <c r="L428" s="89"/>
      <c r="M428" s="90"/>
      <c r="N428" s="57"/>
      <c r="O428" s="57"/>
      <c r="P428" s="91"/>
    </row>
    <row r="429" spans="2:16" s="50" customFormat="1" ht="13.2">
      <c r="B429" s="86"/>
      <c r="C429" s="87"/>
      <c r="D429" s="87"/>
      <c r="E429" s="87"/>
      <c r="F429" s="87"/>
      <c r="G429" s="87"/>
      <c r="H429" s="87"/>
      <c r="I429" s="87"/>
      <c r="J429" s="87"/>
      <c r="K429" s="88"/>
      <c r="L429" s="89"/>
      <c r="M429" s="90"/>
      <c r="N429" s="57"/>
      <c r="O429" s="57"/>
      <c r="P429" s="91"/>
    </row>
    <row r="430" spans="2:16" s="50" customFormat="1" ht="13.2">
      <c r="B430" s="86"/>
      <c r="C430" s="87"/>
      <c r="D430" s="87"/>
      <c r="E430" s="87"/>
      <c r="F430" s="87"/>
      <c r="G430" s="87"/>
      <c r="H430" s="87"/>
      <c r="I430" s="87"/>
      <c r="J430" s="87"/>
      <c r="K430" s="88"/>
      <c r="L430" s="89"/>
      <c r="M430" s="90"/>
      <c r="N430" s="57"/>
      <c r="O430" s="57"/>
      <c r="P430" s="91"/>
    </row>
    <row r="431" spans="2:16" s="50" customFormat="1" ht="13.2">
      <c r="B431" s="86"/>
      <c r="C431" s="87"/>
      <c r="D431" s="87"/>
      <c r="E431" s="87"/>
      <c r="F431" s="87"/>
      <c r="G431" s="87"/>
      <c r="H431" s="87"/>
      <c r="I431" s="87"/>
      <c r="J431" s="87"/>
      <c r="K431" s="88"/>
      <c r="L431" s="89"/>
      <c r="M431" s="90"/>
      <c r="N431" s="57"/>
      <c r="O431" s="57"/>
      <c r="P431" s="91"/>
    </row>
    <row r="432" spans="2:16" s="50" customFormat="1" ht="13.2">
      <c r="B432" s="86"/>
      <c r="C432" s="87"/>
      <c r="D432" s="87"/>
      <c r="E432" s="87"/>
      <c r="F432" s="87"/>
      <c r="G432" s="87"/>
      <c r="H432" s="87"/>
      <c r="I432" s="87"/>
      <c r="J432" s="87"/>
      <c r="K432" s="88"/>
      <c r="L432" s="89"/>
      <c r="M432" s="90"/>
      <c r="N432" s="57"/>
      <c r="O432" s="57"/>
      <c r="P432" s="91"/>
    </row>
    <row r="433" spans="2:16" s="50" customFormat="1" ht="13.2">
      <c r="B433" s="86"/>
      <c r="C433" s="87"/>
      <c r="D433" s="87"/>
      <c r="E433" s="87"/>
      <c r="F433" s="87"/>
      <c r="G433" s="87"/>
      <c r="H433" s="87"/>
      <c r="I433" s="87"/>
      <c r="J433" s="87"/>
      <c r="K433" s="88"/>
      <c r="L433" s="89"/>
      <c r="M433" s="90"/>
      <c r="N433" s="57"/>
      <c r="O433" s="57"/>
      <c r="P433" s="91"/>
    </row>
    <row r="434" spans="2:16" s="50" customFormat="1" ht="13.2">
      <c r="B434" s="86"/>
      <c r="C434" s="87"/>
      <c r="D434" s="87"/>
      <c r="E434" s="87"/>
      <c r="F434" s="87"/>
      <c r="G434" s="87"/>
      <c r="H434" s="87"/>
      <c r="I434" s="87"/>
      <c r="J434" s="87"/>
      <c r="K434" s="88"/>
      <c r="L434" s="89"/>
      <c r="M434" s="90"/>
      <c r="N434" s="57"/>
      <c r="O434" s="57"/>
      <c r="P434" s="91"/>
    </row>
    <row r="435" spans="2:16" s="50" customFormat="1" ht="13.2">
      <c r="B435" s="86"/>
      <c r="C435" s="87"/>
      <c r="D435" s="87"/>
      <c r="E435" s="87"/>
      <c r="F435" s="87"/>
      <c r="G435" s="87"/>
      <c r="H435" s="87"/>
      <c r="I435" s="87"/>
      <c r="J435" s="87"/>
      <c r="K435" s="88"/>
      <c r="L435" s="89"/>
      <c r="M435" s="90"/>
      <c r="N435" s="57"/>
      <c r="O435" s="57"/>
      <c r="P435" s="91"/>
    </row>
    <row r="436" spans="2:16" s="50" customFormat="1" ht="13.2">
      <c r="B436" s="86"/>
      <c r="C436" s="87"/>
      <c r="D436" s="87"/>
      <c r="E436" s="87"/>
      <c r="F436" s="87"/>
      <c r="G436" s="87"/>
      <c r="H436" s="87"/>
      <c r="I436" s="87"/>
      <c r="J436" s="87"/>
      <c r="K436" s="88"/>
      <c r="L436" s="89"/>
      <c r="M436" s="90"/>
      <c r="N436" s="57"/>
      <c r="O436" s="57"/>
      <c r="P436" s="91"/>
    </row>
    <row r="437" spans="2:16" s="50" customFormat="1" ht="13.2">
      <c r="B437" s="86"/>
      <c r="C437" s="87"/>
      <c r="D437" s="87"/>
      <c r="E437" s="87"/>
      <c r="F437" s="87"/>
      <c r="G437" s="87"/>
      <c r="H437" s="87"/>
      <c r="I437" s="87"/>
      <c r="J437" s="87"/>
      <c r="K437" s="88"/>
      <c r="L437" s="89"/>
      <c r="M437" s="90"/>
      <c r="N437" s="57"/>
      <c r="O437" s="57"/>
      <c r="P437" s="91"/>
    </row>
    <row r="438" spans="2:16" s="50" customFormat="1" ht="13.2">
      <c r="B438" s="86"/>
      <c r="C438" s="87"/>
      <c r="D438" s="87"/>
      <c r="E438" s="87"/>
      <c r="F438" s="87"/>
      <c r="G438" s="87"/>
      <c r="H438" s="87"/>
      <c r="I438" s="87"/>
      <c r="J438" s="87"/>
      <c r="K438" s="88"/>
      <c r="L438" s="89"/>
      <c r="M438" s="90"/>
      <c r="N438" s="57"/>
      <c r="O438" s="57"/>
      <c r="P438" s="91"/>
    </row>
    <row r="439" spans="2:16" s="50" customFormat="1" ht="13.2">
      <c r="B439" s="86"/>
      <c r="C439" s="87"/>
      <c r="D439" s="87"/>
      <c r="E439" s="87"/>
      <c r="F439" s="87"/>
      <c r="G439" s="87"/>
      <c r="H439" s="87"/>
      <c r="I439" s="87"/>
      <c r="J439" s="87"/>
      <c r="K439" s="88"/>
      <c r="L439" s="89"/>
      <c r="M439" s="90"/>
      <c r="N439" s="57"/>
      <c r="O439" s="57"/>
      <c r="P439" s="91"/>
    </row>
    <row r="440" spans="2:16" s="50" customFormat="1" ht="13.2">
      <c r="B440" s="86"/>
      <c r="C440" s="87"/>
      <c r="D440" s="87"/>
      <c r="E440" s="87"/>
      <c r="F440" s="87"/>
      <c r="G440" s="87"/>
      <c r="H440" s="87"/>
      <c r="I440" s="87"/>
      <c r="J440" s="87"/>
      <c r="K440" s="88"/>
      <c r="L440" s="89"/>
      <c r="M440" s="90"/>
      <c r="N440" s="57"/>
      <c r="O440" s="57"/>
      <c r="P440" s="91"/>
    </row>
    <row r="441" spans="2:16" s="50" customFormat="1" ht="13.2">
      <c r="B441" s="86"/>
      <c r="C441" s="87"/>
      <c r="D441" s="87"/>
      <c r="E441" s="87"/>
      <c r="F441" s="87"/>
      <c r="G441" s="87"/>
      <c r="H441" s="87"/>
      <c r="I441" s="87"/>
      <c r="J441" s="87"/>
      <c r="K441" s="88"/>
      <c r="L441" s="89"/>
      <c r="M441" s="90"/>
      <c r="N441" s="57"/>
      <c r="O441" s="57"/>
      <c r="P441" s="91"/>
    </row>
    <row r="442" spans="2:16" s="50" customFormat="1" ht="13.2">
      <c r="B442" s="86"/>
      <c r="C442" s="87"/>
      <c r="D442" s="87"/>
      <c r="E442" s="87"/>
      <c r="F442" s="87"/>
      <c r="G442" s="87"/>
      <c r="H442" s="87"/>
      <c r="I442" s="87"/>
      <c r="J442" s="87"/>
      <c r="K442" s="88"/>
      <c r="L442" s="89"/>
      <c r="M442" s="90"/>
      <c r="N442" s="57"/>
      <c r="O442" s="57"/>
      <c r="P442" s="91"/>
    </row>
    <row r="443" spans="2:16" s="50" customFormat="1" ht="13.2">
      <c r="B443" s="86"/>
      <c r="C443" s="87"/>
      <c r="D443" s="87"/>
      <c r="E443" s="87"/>
      <c r="F443" s="87"/>
      <c r="G443" s="87"/>
      <c r="H443" s="87"/>
      <c r="I443" s="87"/>
      <c r="J443" s="87"/>
      <c r="K443" s="88"/>
      <c r="L443" s="89"/>
      <c r="M443" s="90"/>
      <c r="N443" s="57"/>
      <c r="O443" s="57"/>
      <c r="P443" s="91"/>
    </row>
    <row r="444" spans="2:16" s="50" customFormat="1" ht="13.2">
      <c r="B444" s="86"/>
      <c r="C444" s="87"/>
      <c r="D444" s="87"/>
      <c r="E444" s="87"/>
      <c r="F444" s="87"/>
      <c r="G444" s="87"/>
      <c r="H444" s="87"/>
      <c r="I444" s="87"/>
      <c r="J444" s="87"/>
      <c r="K444" s="88"/>
      <c r="L444" s="89"/>
      <c r="M444" s="90"/>
      <c r="N444" s="57"/>
      <c r="O444" s="57"/>
      <c r="P444" s="91"/>
    </row>
    <row r="445" spans="2:16" s="50" customFormat="1" ht="13.2">
      <c r="B445" s="86"/>
      <c r="C445" s="87"/>
      <c r="D445" s="87"/>
      <c r="E445" s="87"/>
      <c r="F445" s="87"/>
      <c r="G445" s="87"/>
      <c r="H445" s="87"/>
      <c r="I445" s="87"/>
      <c r="J445" s="87"/>
      <c r="K445" s="88"/>
      <c r="L445" s="89"/>
      <c r="M445" s="90"/>
      <c r="N445" s="57"/>
      <c r="O445" s="57"/>
      <c r="P445" s="91"/>
    </row>
    <row r="446" spans="2:16" s="50" customFormat="1" ht="13.2">
      <c r="B446" s="86"/>
      <c r="C446" s="87"/>
      <c r="D446" s="87"/>
      <c r="E446" s="87"/>
      <c r="F446" s="87"/>
      <c r="G446" s="87"/>
      <c r="H446" s="87"/>
      <c r="I446" s="87"/>
      <c r="J446" s="87"/>
      <c r="K446" s="88"/>
      <c r="L446" s="89"/>
      <c r="M446" s="90"/>
      <c r="N446" s="57"/>
      <c r="O446" s="57"/>
      <c r="P446" s="91"/>
    </row>
    <row r="447" spans="2:16" s="50" customFormat="1" ht="13.2">
      <c r="B447" s="86"/>
      <c r="C447" s="87"/>
      <c r="D447" s="87"/>
      <c r="E447" s="87"/>
      <c r="F447" s="87"/>
      <c r="G447" s="87"/>
      <c r="H447" s="87"/>
      <c r="I447" s="87"/>
      <c r="J447" s="87"/>
      <c r="K447" s="88"/>
      <c r="L447" s="89"/>
      <c r="M447" s="90"/>
      <c r="N447" s="57"/>
      <c r="O447" s="57"/>
      <c r="P447" s="91"/>
    </row>
    <row r="448" spans="2:16" s="50" customFormat="1" ht="13.2">
      <c r="B448" s="86"/>
      <c r="C448" s="87"/>
      <c r="D448" s="87"/>
      <c r="E448" s="87"/>
      <c r="F448" s="87"/>
      <c r="G448" s="87"/>
      <c r="H448" s="87"/>
      <c r="I448" s="87"/>
      <c r="J448" s="87"/>
      <c r="K448" s="88"/>
      <c r="L448" s="89"/>
      <c r="M448" s="90"/>
      <c r="N448" s="57"/>
      <c r="O448" s="57"/>
      <c r="P448" s="91"/>
    </row>
    <row r="449" spans="2:16" s="50" customFormat="1" ht="13.2">
      <c r="B449" s="86"/>
      <c r="C449" s="87"/>
      <c r="D449" s="87"/>
      <c r="E449" s="87"/>
      <c r="F449" s="87"/>
      <c r="G449" s="87"/>
      <c r="H449" s="87"/>
      <c r="I449" s="87"/>
      <c r="J449" s="87"/>
      <c r="K449" s="88"/>
      <c r="L449" s="89"/>
      <c r="M449" s="90"/>
      <c r="N449" s="57"/>
      <c r="O449" s="57"/>
      <c r="P449" s="91"/>
    </row>
    <row r="450" spans="2:16" s="50" customFormat="1" ht="13.2">
      <c r="B450" s="86"/>
      <c r="C450" s="87"/>
      <c r="D450" s="87"/>
      <c r="E450" s="87"/>
      <c r="F450" s="87"/>
      <c r="G450" s="87"/>
      <c r="H450" s="87"/>
      <c r="I450" s="87"/>
      <c r="J450" s="87"/>
      <c r="K450" s="88"/>
      <c r="L450" s="89"/>
      <c r="M450" s="90"/>
      <c r="N450" s="57"/>
      <c r="O450" s="57"/>
      <c r="P450" s="91"/>
    </row>
    <row r="451" spans="2:16" s="50" customFormat="1" ht="13.2">
      <c r="B451" s="86"/>
      <c r="C451" s="87"/>
      <c r="D451" s="87"/>
      <c r="E451" s="87"/>
      <c r="F451" s="87"/>
      <c r="G451" s="87"/>
      <c r="H451" s="87"/>
      <c r="I451" s="87"/>
      <c r="J451" s="87"/>
      <c r="K451" s="88"/>
      <c r="L451" s="89"/>
      <c r="M451" s="90"/>
      <c r="N451" s="57"/>
      <c r="O451" s="57"/>
      <c r="P451" s="91"/>
    </row>
    <row r="452" spans="2:16" s="50" customFormat="1" ht="13.2">
      <c r="B452" s="86"/>
      <c r="C452" s="87"/>
      <c r="D452" s="87"/>
      <c r="E452" s="87"/>
      <c r="F452" s="87"/>
      <c r="G452" s="87"/>
      <c r="H452" s="87"/>
      <c r="I452" s="87"/>
      <c r="J452" s="87"/>
      <c r="K452" s="88"/>
      <c r="L452" s="89"/>
      <c r="M452" s="90"/>
      <c r="N452" s="57"/>
      <c r="O452" s="57"/>
      <c r="P452" s="91"/>
    </row>
    <row r="453" spans="2:16" s="50" customFormat="1" ht="13.2">
      <c r="B453" s="86"/>
      <c r="C453" s="87"/>
      <c r="D453" s="87"/>
      <c r="E453" s="87"/>
      <c r="F453" s="87"/>
      <c r="G453" s="87"/>
      <c r="H453" s="87"/>
      <c r="I453" s="87"/>
      <c r="J453" s="87"/>
      <c r="K453" s="88"/>
      <c r="L453" s="89"/>
      <c r="M453" s="90"/>
      <c r="N453" s="57"/>
      <c r="O453" s="57"/>
      <c r="P453" s="91"/>
    </row>
    <row r="454" spans="2:16" s="50" customFormat="1" ht="13.2">
      <c r="B454" s="86"/>
      <c r="C454" s="87"/>
      <c r="D454" s="87"/>
      <c r="E454" s="87"/>
      <c r="F454" s="87"/>
      <c r="G454" s="87"/>
      <c r="H454" s="87"/>
      <c r="I454" s="87"/>
      <c r="J454" s="87"/>
      <c r="K454" s="88"/>
      <c r="L454" s="89"/>
      <c r="M454" s="90"/>
      <c r="N454" s="57"/>
      <c r="O454" s="57"/>
      <c r="P454" s="91"/>
    </row>
    <row r="455" spans="2:16" s="50" customFormat="1" ht="13.2">
      <c r="B455" s="86"/>
      <c r="C455" s="87"/>
      <c r="D455" s="87"/>
      <c r="E455" s="87"/>
      <c r="F455" s="87"/>
      <c r="G455" s="87"/>
      <c r="H455" s="87"/>
      <c r="I455" s="87"/>
      <c r="J455" s="87"/>
      <c r="K455" s="88"/>
      <c r="L455" s="89"/>
      <c r="M455" s="90"/>
      <c r="N455" s="57"/>
      <c r="O455" s="57"/>
      <c r="P455" s="91"/>
    </row>
    <row r="456" spans="2:16" s="50" customFormat="1" ht="13.2">
      <c r="B456" s="86"/>
      <c r="C456" s="87"/>
      <c r="D456" s="87"/>
      <c r="E456" s="87"/>
      <c r="F456" s="87"/>
      <c r="G456" s="87"/>
      <c r="H456" s="87"/>
      <c r="I456" s="87"/>
      <c r="J456" s="87"/>
      <c r="K456" s="88"/>
      <c r="L456" s="89"/>
      <c r="M456" s="90"/>
      <c r="N456" s="57"/>
      <c r="O456" s="57"/>
      <c r="P456" s="91"/>
    </row>
    <row r="457" spans="2:16" s="50" customFormat="1" ht="13.2">
      <c r="B457" s="86"/>
      <c r="C457" s="87"/>
      <c r="D457" s="87"/>
      <c r="E457" s="87"/>
      <c r="F457" s="87"/>
      <c r="G457" s="87"/>
      <c r="H457" s="87"/>
      <c r="I457" s="87"/>
      <c r="J457" s="87"/>
      <c r="K457" s="88"/>
      <c r="L457" s="89"/>
      <c r="M457" s="90"/>
      <c r="N457" s="57"/>
      <c r="O457" s="57"/>
      <c r="P457" s="91"/>
    </row>
    <row r="458" spans="2:16" s="50" customFormat="1" ht="13.2">
      <c r="B458" s="86"/>
      <c r="C458" s="87"/>
      <c r="D458" s="87"/>
      <c r="E458" s="87"/>
      <c r="F458" s="87"/>
      <c r="G458" s="87"/>
      <c r="H458" s="87"/>
      <c r="I458" s="87"/>
      <c r="J458" s="87"/>
      <c r="K458" s="88"/>
      <c r="L458" s="89"/>
      <c r="M458" s="90"/>
      <c r="N458" s="57"/>
      <c r="O458" s="57"/>
      <c r="P458" s="91"/>
    </row>
    <row r="459" spans="2:16" s="50" customFormat="1" ht="13.2">
      <c r="B459" s="86"/>
      <c r="C459" s="87"/>
      <c r="D459" s="87"/>
      <c r="E459" s="87"/>
      <c r="F459" s="87"/>
      <c r="G459" s="87"/>
      <c r="H459" s="87"/>
      <c r="I459" s="87"/>
      <c r="J459" s="87"/>
      <c r="K459" s="88"/>
      <c r="L459" s="89"/>
      <c r="M459" s="90"/>
      <c r="N459" s="57"/>
      <c r="O459" s="57"/>
      <c r="P459" s="91"/>
    </row>
    <row r="460" spans="2:16" s="50" customFormat="1" ht="13.2">
      <c r="B460" s="86"/>
      <c r="C460" s="87"/>
      <c r="D460" s="87"/>
      <c r="E460" s="87"/>
      <c r="F460" s="87"/>
      <c r="G460" s="87"/>
      <c r="H460" s="87"/>
      <c r="I460" s="87"/>
      <c r="J460" s="87"/>
      <c r="K460" s="88"/>
      <c r="L460" s="89"/>
      <c r="M460" s="90"/>
      <c r="N460" s="57"/>
      <c r="O460" s="57"/>
      <c r="P460" s="91"/>
    </row>
    <row r="461" spans="2:16" s="50" customFormat="1" ht="13.2">
      <c r="B461" s="86"/>
      <c r="C461" s="87"/>
      <c r="D461" s="87"/>
      <c r="E461" s="87"/>
      <c r="F461" s="87"/>
      <c r="G461" s="87"/>
      <c r="H461" s="87"/>
      <c r="I461" s="87"/>
      <c r="J461" s="87"/>
      <c r="K461" s="88"/>
      <c r="L461" s="89"/>
      <c r="M461" s="90"/>
      <c r="N461" s="57"/>
      <c r="O461" s="57"/>
      <c r="P461" s="91"/>
    </row>
    <row r="462" spans="2:16" s="50" customFormat="1" ht="13.2">
      <c r="B462" s="86"/>
      <c r="C462" s="87"/>
      <c r="D462" s="87"/>
      <c r="E462" s="87"/>
      <c r="F462" s="87"/>
      <c r="G462" s="87"/>
      <c r="H462" s="87"/>
      <c r="I462" s="87"/>
      <c r="J462" s="87"/>
      <c r="K462" s="88"/>
      <c r="L462" s="89"/>
      <c r="M462" s="90"/>
      <c r="N462" s="57"/>
      <c r="O462" s="57"/>
      <c r="P462" s="91"/>
    </row>
    <row r="463" spans="2:16" s="50" customFormat="1" ht="13.2">
      <c r="B463" s="86"/>
      <c r="C463" s="87"/>
      <c r="D463" s="87"/>
      <c r="E463" s="87"/>
      <c r="F463" s="87"/>
      <c r="G463" s="87"/>
      <c r="H463" s="87"/>
      <c r="I463" s="87"/>
      <c r="J463" s="87"/>
      <c r="K463" s="88"/>
      <c r="L463" s="89"/>
      <c r="M463" s="90"/>
      <c r="N463" s="57"/>
      <c r="O463" s="57"/>
      <c r="P463" s="91"/>
    </row>
    <row r="464" spans="2:16" s="50" customFormat="1" ht="13.2">
      <c r="B464" s="86"/>
      <c r="C464" s="87"/>
      <c r="D464" s="87"/>
      <c r="E464" s="87"/>
      <c r="F464" s="87"/>
      <c r="G464" s="87"/>
      <c r="H464" s="87"/>
      <c r="I464" s="87"/>
      <c r="J464" s="87"/>
      <c r="K464" s="88"/>
      <c r="L464" s="89"/>
      <c r="M464" s="90"/>
      <c r="N464" s="57"/>
      <c r="O464" s="57"/>
      <c r="P464" s="91"/>
    </row>
    <row r="465" spans="2:16" s="50" customFormat="1" ht="13.2">
      <c r="B465" s="86"/>
      <c r="C465" s="87"/>
      <c r="D465" s="87"/>
      <c r="E465" s="87"/>
      <c r="F465" s="87"/>
      <c r="G465" s="87"/>
      <c r="H465" s="87"/>
      <c r="I465" s="87"/>
      <c r="J465" s="87"/>
      <c r="K465" s="88"/>
      <c r="L465" s="89"/>
      <c r="M465" s="90"/>
      <c r="N465" s="57"/>
      <c r="O465" s="57"/>
      <c r="P465" s="91"/>
    </row>
    <row r="466" spans="2:16" s="50" customFormat="1" ht="13.2">
      <c r="B466" s="86"/>
      <c r="C466" s="87"/>
      <c r="D466" s="87"/>
      <c r="E466" s="87"/>
      <c r="F466" s="87"/>
      <c r="G466" s="87"/>
      <c r="H466" s="87"/>
      <c r="I466" s="87"/>
      <c r="J466" s="87"/>
      <c r="K466" s="88"/>
      <c r="L466" s="89"/>
      <c r="M466" s="90"/>
      <c r="N466" s="57"/>
      <c r="O466" s="57"/>
      <c r="P466" s="91"/>
    </row>
    <row r="467" spans="2:16" s="50" customFormat="1" ht="13.2">
      <c r="B467" s="86"/>
      <c r="C467" s="87"/>
      <c r="D467" s="87"/>
      <c r="E467" s="87"/>
      <c r="F467" s="87"/>
      <c r="G467" s="87"/>
      <c r="H467" s="87"/>
      <c r="I467" s="87"/>
      <c r="J467" s="87"/>
      <c r="K467" s="88"/>
      <c r="L467" s="89"/>
      <c r="M467" s="90"/>
      <c r="N467" s="57"/>
      <c r="O467" s="57"/>
      <c r="P467" s="91"/>
    </row>
    <row r="468" spans="2:16" s="50" customFormat="1" ht="13.2">
      <c r="B468" s="86"/>
      <c r="C468" s="87"/>
      <c r="D468" s="87"/>
      <c r="E468" s="87"/>
      <c r="F468" s="87"/>
      <c r="G468" s="87"/>
      <c r="H468" s="87"/>
      <c r="I468" s="87"/>
      <c r="J468" s="87"/>
      <c r="K468" s="88"/>
      <c r="L468" s="89"/>
      <c r="M468" s="90"/>
      <c r="N468" s="57"/>
      <c r="O468" s="57"/>
      <c r="P468" s="91"/>
    </row>
    <row r="469" spans="2:16" s="50" customFormat="1" ht="13.2">
      <c r="B469" s="86"/>
      <c r="C469" s="87"/>
      <c r="D469" s="87"/>
      <c r="E469" s="87"/>
      <c r="F469" s="87"/>
      <c r="G469" s="87"/>
      <c r="H469" s="87"/>
      <c r="I469" s="87"/>
      <c r="J469" s="87"/>
      <c r="K469" s="88"/>
      <c r="L469" s="89"/>
      <c r="M469" s="90"/>
      <c r="N469" s="57"/>
      <c r="O469" s="57"/>
      <c r="P469" s="91"/>
    </row>
    <row r="470" spans="2:16" s="50" customFormat="1" ht="13.2">
      <c r="B470" s="86"/>
      <c r="C470" s="87"/>
      <c r="D470" s="87"/>
      <c r="E470" s="87"/>
      <c r="F470" s="87"/>
      <c r="G470" s="87"/>
      <c r="H470" s="87"/>
      <c r="I470" s="87"/>
      <c r="J470" s="87"/>
      <c r="K470" s="88"/>
      <c r="L470" s="89"/>
      <c r="M470" s="90"/>
      <c r="N470" s="57"/>
      <c r="O470" s="57"/>
      <c r="P470" s="91"/>
    </row>
    <row r="471" spans="2:16" s="50" customFormat="1" ht="13.2">
      <c r="B471" s="86"/>
      <c r="C471" s="87"/>
      <c r="D471" s="87"/>
      <c r="E471" s="87"/>
      <c r="F471" s="87"/>
      <c r="G471" s="87"/>
      <c r="H471" s="87"/>
      <c r="I471" s="87"/>
      <c r="J471" s="87"/>
      <c r="K471" s="88"/>
      <c r="L471" s="89"/>
      <c r="M471" s="90"/>
      <c r="N471" s="57"/>
      <c r="O471" s="57"/>
      <c r="P471" s="91"/>
    </row>
    <row r="472" spans="2:16" s="50" customFormat="1" ht="13.2">
      <c r="B472" s="86"/>
      <c r="C472" s="87"/>
      <c r="D472" s="87"/>
      <c r="E472" s="87"/>
      <c r="F472" s="87"/>
      <c r="G472" s="87"/>
      <c r="H472" s="87"/>
      <c r="I472" s="87"/>
      <c r="J472" s="87"/>
      <c r="K472" s="88"/>
      <c r="L472" s="89"/>
      <c r="M472" s="90"/>
      <c r="N472" s="57"/>
      <c r="O472" s="57"/>
      <c r="P472" s="91"/>
    </row>
    <row r="473" spans="2:16" s="50" customFormat="1" ht="13.2">
      <c r="B473" s="86"/>
      <c r="C473" s="87"/>
      <c r="D473" s="87"/>
      <c r="E473" s="87"/>
      <c r="F473" s="87"/>
      <c r="G473" s="87"/>
      <c r="H473" s="87"/>
      <c r="I473" s="87"/>
      <c r="J473" s="87"/>
      <c r="K473" s="88"/>
      <c r="L473" s="89"/>
      <c r="M473" s="90"/>
      <c r="N473" s="57"/>
      <c r="O473" s="57"/>
      <c r="P473" s="91"/>
    </row>
    <row r="474" spans="2:16" s="50" customFormat="1" ht="13.2">
      <c r="B474" s="86"/>
      <c r="C474" s="87"/>
      <c r="D474" s="87"/>
      <c r="E474" s="87"/>
      <c r="F474" s="87"/>
      <c r="G474" s="87"/>
      <c r="H474" s="87"/>
      <c r="I474" s="87"/>
      <c r="J474" s="87"/>
      <c r="K474" s="88"/>
      <c r="L474" s="89"/>
      <c r="M474" s="90"/>
      <c r="N474" s="57"/>
      <c r="O474" s="57"/>
      <c r="P474" s="91"/>
    </row>
    <row r="475" spans="2:16" s="50" customFormat="1" ht="13.2">
      <c r="B475" s="86"/>
      <c r="C475" s="87"/>
      <c r="D475" s="87"/>
      <c r="E475" s="87"/>
      <c r="F475" s="87"/>
      <c r="G475" s="87"/>
      <c r="H475" s="87"/>
      <c r="I475" s="87"/>
      <c r="J475" s="87"/>
      <c r="K475" s="88"/>
      <c r="L475" s="89"/>
      <c r="M475" s="90"/>
      <c r="N475" s="57"/>
      <c r="O475" s="57"/>
      <c r="P475" s="91"/>
    </row>
    <row r="476" spans="2:16" s="50" customFormat="1" ht="13.2">
      <c r="B476" s="86"/>
      <c r="C476" s="87"/>
      <c r="D476" s="87"/>
      <c r="E476" s="87"/>
      <c r="F476" s="87"/>
      <c r="G476" s="87"/>
      <c r="H476" s="87"/>
      <c r="I476" s="87"/>
      <c r="J476" s="87"/>
      <c r="K476" s="88"/>
      <c r="L476" s="89"/>
      <c r="M476" s="90"/>
      <c r="N476" s="57"/>
      <c r="O476" s="57"/>
      <c r="P476" s="91"/>
    </row>
    <row r="477" spans="2:16" s="50" customFormat="1" ht="13.2">
      <c r="B477" s="86"/>
      <c r="C477" s="87"/>
      <c r="D477" s="87"/>
      <c r="E477" s="87"/>
      <c r="F477" s="87"/>
      <c r="G477" s="87"/>
      <c r="H477" s="87"/>
      <c r="I477" s="87"/>
      <c r="J477" s="87"/>
      <c r="K477" s="88"/>
      <c r="L477" s="89"/>
      <c r="M477" s="90"/>
      <c r="N477" s="57"/>
      <c r="O477" s="57"/>
      <c r="P477" s="91"/>
    </row>
    <row r="478" spans="2:16" s="50" customFormat="1" ht="13.2">
      <c r="B478" s="86"/>
      <c r="C478" s="87"/>
      <c r="D478" s="87"/>
      <c r="E478" s="87"/>
      <c r="F478" s="87"/>
      <c r="G478" s="87"/>
      <c r="H478" s="87"/>
      <c r="I478" s="87"/>
      <c r="J478" s="87"/>
      <c r="K478" s="88"/>
      <c r="L478" s="89"/>
      <c r="M478" s="90"/>
      <c r="N478" s="57"/>
      <c r="O478" s="57"/>
      <c r="P478" s="91"/>
    </row>
    <row r="479" spans="2:16" s="50" customFormat="1" ht="13.2">
      <c r="B479" s="86"/>
      <c r="C479" s="87"/>
      <c r="D479" s="87"/>
      <c r="E479" s="87"/>
      <c r="F479" s="87"/>
      <c r="G479" s="87"/>
      <c r="H479" s="87"/>
      <c r="I479" s="87"/>
      <c r="J479" s="87"/>
      <c r="K479" s="88"/>
      <c r="L479" s="89"/>
      <c r="M479" s="90"/>
      <c r="N479" s="57"/>
      <c r="O479" s="57"/>
      <c r="P479" s="91"/>
    </row>
    <row r="480" spans="2:16" s="50" customFormat="1" ht="13.2">
      <c r="B480" s="86"/>
      <c r="C480" s="87"/>
      <c r="D480" s="87"/>
      <c r="E480" s="87"/>
      <c r="F480" s="87"/>
      <c r="G480" s="87"/>
      <c r="H480" s="87"/>
      <c r="I480" s="87"/>
      <c r="J480" s="87"/>
      <c r="K480" s="88"/>
      <c r="L480" s="89"/>
      <c r="M480" s="90"/>
      <c r="N480" s="57"/>
      <c r="O480" s="57"/>
      <c r="P480" s="91"/>
    </row>
    <row r="481" spans="2:16" s="50" customFormat="1" ht="13.2">
      <c r="B481" s="86"/>
      <c r="C481" s="87"/>
      <c r="D481" s="87"/>
      <c r="E481" s="87"/>
      <c r="F481" s="87"/>
      <c r="G481" s="87"/>
      <c r="H481" s="87"/>
      <c r="I481" s="87"/>
      <c r="J481" s="87"/>
      <c r="K481" s="88"/>
      <c r="L481" s="89"/>
      <c r="M481" s="90"/>
      <c r="N481" s="57"/>
      <c r="O481" s="57"/>
      <c r="P481" s="91"/>
    </row>
    <row r="482" spans="2:16" s="50" customFormat="1" ht="13.2">
      <c r="B482" s="86"/>
      <c r="C482" s="87"/>
      <c r="D482" s="87"/>
      <c r="E482" s="87"/>
      <c r="F482" s="87"/>
      <c r="G482" s="87"/>
      <c r="H482" s="87"/>
      <c r="I482" s="87"/>
      <c r="J482" s="87"/>
      <c r="K482" s="88"/>
      <c r="L482" s="89"/>
      <c r="M482" s="90"/>
      <c r="N482" s="57"/>
      <c r="O482" s="57"/>
      <c r="P482" s="91"/>
    </row>
    <row r="483" spans="2:16" s="50" customFormat="1" ht="13.2">
      <c r="B483" s="86"/>
      <c r="C483" s="87"/>
      <c r="D483" s="87"/>
      <c r="E483" s="87"/>
      <c r="F483" s="87"/>
      <c r="G483" s="87"/>
      <c r="H483" s="87"/>
      <c r="I483" s="87"/>
      <c r="J483" s="87"/>
      <c r="K483" s="88"/>
      <c r="L483" s="89"/>
      <c r="M483" s="90"/>
      <c r="N483" s="57"/>
      <c r="O483" s="57"/>
      <c r="P483" s="91"/>
    </row>
    <row r="484" spans="2:16" s="50" customFormat="1" ht="13.2">
      <c r="B484" s="86"/>
      <c r="C484" s="87"/>
      <c r="D484" s="87"/>
      <c r="E484" s="87"/>
      <c r="F484" s="87"/>
      <c r="G484" s="87"/>
      <c r="H484" s="87"/>
      <c r="I484" s="87"/>
      <c r="J484" s="87"/>
      <c r="K484" s="88"/>
      <c r="L484" s="89"/>
      <c r="M484" s="90"/>
      <c r="N484" s="57"/>
      <c r="O484" s="57"/>
      <c r="P484" s="91"/>
    </row>
    <row r="485" spans="2:16" s="50" customFormat="1" ht="13.2">
      <c r="B485" s="86"/>
      <c r="C485" s="87"/>
      <c r="D485" s="87"/>
      <c r="E485" s="87"/>
      <c r="F485" s="87"/>
      <c r="G485" s="87"/>
      <c r="H485" s="87"/>
      <c r="I485" s="87"/>
      <c r="J485" s="87"/>
      <c r="K485" s="88"/>
      <c r="L485" s="89"/>
      <c r="M485" s="90"/>
      <c r="N485" s="57"/>
      <c r="O485" s="57"/>
      <c r="P485" s="91"/>
    </row>
    <row r="486" spans="2:16" s="50" customFormat="1" ht="13.2">
      <c r="B486" s="86"/>
      <c r="C486" s="87"/>
      <c r="D486" s="87"/>
      <c r="E486" s="87"/>
      <c r="F486" s="87"/>
      <c r="G486" s="87"/>
      <c r="H486" s="87"/>
      <c r="I486" s="87"/>
      <c r="J486" s="87"/>
      <c r="K486" s="88"/>
      <c r="L486" s="89"/>
      <c r="M486" s="90"/>
      <c r="N486" s="57"/>
      <c r="O486" s="57"/>
      <c r="P486" s="91"/>
    </row>
    <row r="487" spans="2:16" s="50" customFormat="1" ht="13.2">
      <c r="B487" s="86"/>
      <c r="C487" s="87"/>
      <c r="D487" s="87"/>
      <c r="E487" s="87"/>
      <c r="F487" s="87"/>
      <c r="G487" s="87"/>
      <c r="H487" s="87"/>
      <c r="I487" s="87"/>
      <c r="J487" s="87"/>
      <c r="K487" s="88"/>
      <c r="L487" s="89"/>
      <c r="M487" s="90"/>
      <c r="N487" s="57"/>
      <c r="O487" s="57"/>
      <c r="P487" s="91"/>
    </row>
    <row r="488" spans="2:16" s="50" customFormat="1" ht="13.2">
      <c r="B488" s="86"/>
      <c r="C488" s="87"/>
      <c r="D488" s="87"/>
      <c r="E488" s="87"/>
      <c r="F488" s="87"/>
      <c r="G488" s="87"/>
      <c r="H488" s="87"/>
      <c r="I488" s="87"/>
      <c r="J488" s="87"/>
      <c r="K488" s="88"/>
      <c r="L488" s="89"/>
      <c r="M488" s="90"/>
      <c r="N488" s="57"/>
      <c r="O488" s="57"/>
      <c r="P488" s="91"/>
    </row>
    <row r="489" spans="2:16" s="50" customFormat="1" ht="13.2">
      <c r="B489" s="86"/>
      <c r="C489" s="87"/>
      <c r="D489" s="87"/>
      <c r="E489" s="87"/>
      <c r="F489" s="87"/>
      <c r="G489" s="87"/>
      <c r="H489" s="87"/>
      <c r="I489" s="87"/>
      <c r="J489" s="87"/>
      <c r="K489" s="88"/>
      <c r="L489" s="89"/>
      <c r="M489" s="90"/>
      <c r="N489" s="57"/>
      <c r="O489" s="57"/>
      <c r="P489" s="91"/>
    </row>
    <row r="490" spans="2:16" s="50" customFormat="1" ht="13.2">
      <c r="B490" s="86"/>
      <c r="C490" s="87"/>
      <c r="D490" s="87"/>
      <c r="E490" s="87"/>
      <c r="F490" s="87"/>
      <c r="G490" s="87"/>
      <c r="H490" s="87"/>
      <c r="I490" s="87"/>
      <c r="J490" s="87"/>
      <c r="K490" s="88"/>
      <c r="L490" s="89"/>
      <c r="M490" s="90"/>
      <c r="N490" s="57"/>
      <c r="O490" s="57"/>
      <c r="P490" s="91"/>
    </row>
    <row r="491" spans="2:16" s="50" customFormat="1" ht="13.2">
      <c r="B491" s="86"/>
      <c r="C491" s="87"/>
      <c r="D491" s="87"/>
      <c r="E491" s="87"/>
      <c r="F491" s="87"/>
      <c r="G491" s="87"/>
      <c r="H491" s="87"/>
      <c r="I491" s="87"/>
      <c r="J491" s="87"/>
      <c r="K491" s="88"/>
      <c r="L491" s="89"/>
      <c r="M491" s="90"/>
      <c r="N491" s="57"/>
      <c r="O491" s="57"/>
      <c r="P491" s="91"/>
    </row>
    <row r="492" spans="2:16" s="50" customFormat="1" ht="13.2">
      <c r="B492" s="86"/>
      <c r="C492" s="87"/>
      <c r="D492" s="87"/>
      <c r="E492" s="87"/>
      <c r="F492" s="87"/>
      <c r="G492" s="87"/>
      <c r="H492" s="87"/>
      <c r="I492" s="87"/>
      <c r="J492" s="87"/>
      <c r="K492" s="88"/>
      <c r="L492" s="89"/>
      <c r="M492" s="90"/>
      <c r="N492" s="57"/>
      <c r="O492" s="57"/>
      <c r="P492" s="91"/>
    </row>
    <row r="493" spans="2:16" s="50" customFormat="1" ht="13.2">
      <c r="B493" s="86"/>
      <c r="C493" s="87"/>
      <c r="D493" s="87"/>
      <c r="E493" s="87"/>
      <c r="F493" s="87"/>
      <c r="G493" s="87"/>
      <c r="H493" s="87"/>
      <c r="I493" s="87"/>
      <c r="J493" s="87"/>
      <c r="K493" s="88"/>
      <c r="L493" s="89"/>
      <c r="M493" s="90"/>
      <c r="N493" s="57"/>
      <c r="O493" s="57"/>
      <c r="P493" s="91"/>
    </row>
    <row r="494" spans="2:16" s="50" customFormat="1" ht="13.2">
      <c r="B494" s="86"/>
      <c r="C494" s="87"/>
      <c r="D494" s="87"/>
      <c r="E494" s="87"/>
      <c r="F494" s="87"/>
      <c r="G494" s="87"/>
      <c r="H494" s="87"/>
      <c r="I494" s="87"/>
      <c r="J494" s="87"/>
      <c r="K494" s="88"/>
      <c r="L494" s="89"/>
      <c r="M494" s="90"/>
      <c r="N494" s="57"/>
      <c r="O494" s="57"/>
      <c r="P494" s="91"/>
    </row>
    <row r="495" spans="2:16" s="50" customFormat="1" ht="13.2">
      <c r="B495" s="86"/>
      <c r="C495" s="87"/>
      <c r="D495" s="87"/>
      <c r="E495" s="87"/>
      <c r="F495" s="87"/>
      <c r="G495" s="87"/>
      <c r="H495" s="87"/>
      <c r="I495" s="87"/>
      <c r="J495" s="87"/>
      <c r="K495" s="88"/>
      <c r="L495" s="89"/>
      <c r="M495" s="90"/>
      <c r="N495" s="57"/>
      <c r="O495" s="57"/>
      <c r="P495" s="91"/>
    </row>
    <row r="496" spans="2:16" s="50" customFormat="1" ht="13.2">
      <c r="B496" s="86"/>
      <c r="C496" s="87"/>
      <c r="D496" s="87"/>
      <c r="E496" s="87"/>
      <c r="F496" s="87"/>
      <c r="G496" s="87"/>
      <c r="H496" s="87"/>
      <c r="I496" s="87"/>
      <c r="J496" s="87"/>
      <c r="K496" s="88"/>
      <c r="L496" s="89"/>
      <c r="M496" s="90"/>
      <c r="N496" s="57"/>
      <c r="O496" s="57"/>
      <c r="P496" s="91"/>
    </row>
    <row r="497" spans="2:16" s="50" customFormat="1" ht="13.2">
      <c r="B497" s="86"/>
      <c r="C497" s="87"/>
      <c r="D497" s="87"/>
      <c r="E497" s="87"/>
      <c r="F497" s="87"/>
      <c r="G497" s="87"/>
      <c r="H497" s="87"/>
      <c r="I497" s="87"/>
      <c r="J497" s="87"/>
      <c r="K497" s="88"/>
      <c r="L497" s="89"/>
      <c r="M497" s="90"/>
      <c r="N497" s="57"/>
      <c r="O497" s="57"/>
      <c r="P497" s="91"/>
    </row>
    <row r="498" spans="2:16" s="50" customFormat="1" ht="13.2">
      <c r="B498" s="86"/>
      <c r="C498" s="87"/>
      <c r="D498" s="87"/>
      <c r="E498" s="87"/>
      <c r="F498" s="87"/>
      <c r="G498" s="87"/>
      <c r="H498" s="87"/>
      <c r="I498" s="87"/>
      <c r="J498" s="87"/>
      <c r="K498" s="88"/>
      <c r="L498" s="89"/>
      <c r="M498" s="90"/>
      <c r="N498" s="57"/>
      <c r="O498" s="57"/>
      <c r="P498" s="91"/>
    </row>
    <row r="499" spans="2:16" s="50" customFormat="1" ht="13.2">
      <c r="B499" s="86"/>
      <c r="C499" s="87"/>
      <c r="D499" s="87"/>
      <c r="E499" s="87"/>
      <c r="F499" s="87"/>
      <c r="G499" s="87"/>
      <c r="H499" s="87"/>
      <c r="I499" s="87"/>
      <c r="J499" s="87"/>
      <c r="K499" s="88"/>
      <c r="L499" s="89"/>
      <c r="M499" s="90"/>
      <c r="N499" s="57"/>
      <c r="O499" s="57"/>
      <c r="P499" s="91"/>
    </row>
    <row r="500" spans="2:16" s="50" customFormat="1" ht="13.2">
      <c r="B500" s="86"/>
      <c r="C500" s="87"/>
      <c r="D500" s="87"/>
      <c r="E500" s="87"/>
      <c r="F500" s="87"/>
      <c r="G500" s="87"/>
      <c r="H500" s="87"/>
      <c r="I500" s="87"/>
      <c r="J500" s="87"/>
      <c r="K500" s="88"/>
      <c r="L500" s="89"/>
      <c r="M500" s="90"/>
      <c r="N500" s="57"/>
      <c r="O500" s="57"/>
      <c r="P500" s="91"/>
    </row>
    <row r="501" spans="2:16" s="50" customFormat="1" ht="13.2">
      <c r="B501" s="86"/>
      <c r="C501" s="87"/>
      <c r="D501" s="87"/>
      <c r="E501" s="87"/>
      <c r="F501" s="87"/>
      <c r="G501" s="87"/>
      <c r="H501" s="87"/>
      <c r="I501" s="87"/>
      <c r="J501" s="87"/>
      <c r="K501" s="88"/>
      <c r="L501" s="89"/>
      <c r="M501" s="90"/>
      <c r="N501" s="57"/>
      <c r="O501" s="57"/>
      <c r="P501" s="91"/>
    </row>
    <row r="502" spans="2:16" s="50" customFormat="1" ht="13.2">
      <c r="B502" s="86"/>
      <c r="C502" s="87"/>
      <c r="D502" s="87"/>
      <c r="E502" s="87"/>
      <c r="F502" s="87"/>
      <c r="G502" s="87"/>
      <c r="H502" s="87"/>
      <c r="I502" s="87"/>
      <c r="J502" s="87"/>
      <c r="K502" s="88"/>
      <c r="L502" s="89"/>
      <c r="M502" s="90"/>
      <c r="N502" s="57"/>
      <c r="O502" s="57"/>
      <c r="P502" s="91"/>
    </row>
    <row r="503" spans="2:16" s="50" customFormat="1" ht="13.2">
      <c r="B503" s="86"/>
      <c r="C503" s="87"/>
      <c r="D503" s="87"/>
      <c r="E503" s="87"/>
      <c r="F503" s="87"/>
      <c r="G503" s="87"/>
      <c r="H503" s="87"/>
      <c r="I503" s="87"/>
      <c r="J503" s="87"/>
      <c r="K503" s="88"/>
      <c r="L503" s="89"/>
      <c r="M503" s="90"/>
      <c r="N503" s="57"/>
      <c r="O503" s="57"/>
      <c r="P503" s="91"/>
    </row>
    <row r="504" spans="2:16" s="50" customFormat="1" ht="13.2">
      <c r="B504" s="86"/>
      <c r="C504" s="87"/>
      <c r="D504" s="87"/>
      <c r="E504" s="87"/>
      <c r="F504" s="87"/>
      <c r="G504" s="87"/>
      <c r="H504" s="87"/>
      <c r="I504" s="87"/>
      <c r="J504" s="87"/>
      <c r="K504" s="88"/>
      <c r="L504" s="89"/>
      <c r="M504" s="90"/>
      <c r="N504" s="57"/>
      <c r="O504" s="57"/>
      <c r="P504" s="91"/>
    </row>
    <row r="505" spans="2:16" s="50" customFormat="1" ht="13.2">
      <c r="B505" s="86"/>
      <c r="C505" s="87"/>
      <c r="D505" s="87"/>
      <c r="E505" s="87"/>
      <c r="F505" s="87"/>
      <c r="G505" s="87"/>
      <c r="H505" s="87"/>
      <c r="I505" s="87"/>
      <c r="J505" s="87"/>
      <c r="K505" s="88"/>
      <c r="L505" s="89"/>
      <c r="M505" s="90"/>
      <c r="N505" s="57"/>
      <c r="O505" s="57"/>
      <c r="P505" s="91"/>
    </row>
    <row r="506" spans="2:16" s="50" customFormat="1" ht="13.2">
      <c r="B506" s="86"/>
      <c r="C506" s="87"/>
      <c r="D506" s="87"/>
      <c r="E506" s="87"/>
      <c r="F506" s="87"/>
      <c r="G506" s="87"/>
      <c r="H506" s="87"/>
      <c r="I506" s="87"/>
      <c r="J506" s="87"/>
      <c r="K506" s="88"/>
      <c r="L506" s="89"/>
      <c r="M506" s="90"/>
      <c r="N506" s="57"/>
      <c r="O506" s="57"/>
      <c r="P506" s="91"/>
    </row>
    <row r="507" spans="2:16" s="50" customFormat="1" ht="13.2">
      <c r="B507" s="86"/>
      <c r="C507" s="87"/>
      <c r="D507" s="87"/>
      <c r="E507" s="87"/>
      <c r="F507" s="87"/>
      <c r="G507" s="87"/>
      <c r="H507" s="87"/>
      <c r="I507" s="87"/>
      <c r="J507" s="87"/>
      <c r="K507" s="88"/>
      <c r="L507" s="89"/>
      <c r="M507" s="90"/>
      <c r="N507" s="57"/>
      <c r="O507" s="57"/>
      <c r="P507" s="91"/>
    </row>
    <row r="508" spans="2:16" s="50" customFormat="1" ht="13.2">
      <c r="B508" s="86"/>
      <c r="C508" s="87"/>
      <c r="D508" s="87"/>
      <c r="E508" s="87"/>
      <c r="F508" s="87"/>
      <c r="G508" s="87"/>
      <c r="H508" s="87"/>
      <c r="I508" s="87"/>
      <c r="J508" s="87"/>
      <c r="K508" s="88"/>
      <c r="L508" s="89"/>
      <c r="M508" s="90"/>
      <c r="N508" s="57"/>
      <c r="O508" s="57"/>
      <c r="P508" s="91"/>
    </row>
    <row r="509" spans="2:16" s="50" customFormat="1" ht="13.2">
      <c r="B509" s="86"/>
      <c r="C509" s="87"/>
      <c r="D509" s="87"/>
      <c r="E509" s="87"/>
      <c r="F509" s="87"/>
      <c r="G509" s="87"/>
      <c r="H509" s="87"/>
      <c r="I509" s="87"/>
      <c r="J509" s="87"/>
      <c r="K509" s="88"/>
      <c r="L509" s="89"/>
      <c r="M509" s="90"/>
      <c r="N509" s="57"/>
      <c r="O509" s="57"/>
      <c r="P509" s="91"/>
    </row>
    <row r="510" spans="2:16" s="50" customFormat="1" ht="13.2">
      <c r="B510" s="86"/>
      <c r="C510" s="87"/>
      <c r="D510" s="87"/>
      <c r="E510" s="87"/>
      <c r="F510" s="87"/>
      <c r="G510" s="87"/>
      <c r="H510" s="87"/>
      <c r="I510" s="87"/>
      <c r="J510" s="87"/>
      <c r="K510" s="88"/>
      <c r="L510" s="89"/>
      <c r="M510" s="90"/>
      <c r="N510" s="57"/>
      <c r="O510" s="57"/>
      <c r="P510" s="91"/>
    </row>
    <row r="511" spans="2:16" s="50" customFormat="1" ht="13.2">
      <c r="B511" s="86"/>
      <c r="C511" s="87"/>
      <c r="D511" s="87"/>
      <c r="E511" s="87"/>
      <c r="F511" s="87"/>
      <c r="G511" s="87"/>
      <c r="H511" s="87"/>
      <c r="I511" s="87"/>
      <c r="J511" s="87"/>
      <c r="K511" s="88"/>
      <c r="L511" s="89"/>
      <c r="M511" s="90"/>
      <c r="N511" s="57"/>
      <c r="O511" s="57"/>
      <c r="P511" s="91"/>
    </row>
    <row r="512" spans="2:16" s="50" customFormat="1" ht="13.2">
      <c r="B512" s="86"/>
      <c r="C512" s="87"/>
      <c r="D512" s="87"/>
      <c r="E512" s="87"/>
      <c r="F512" s="87"/>
      <c r="G512" s="87"/>
      <c r="H512" s="87"/>
      <c r="I512" s="87"/>
      <c r="J512" s="87"/>
      <c r="K512" s="88"/>
      <c r="L512" s="89"/>
      <c r="M512" s="90"/>
      <c r="N512" s="57"/>
      <c r="O512" s="57"/>
      <c r="P512" s="91"/>
    </row>
    <row r="513" spans="2:16" s="50" customFormat="1" ht="13.2">
      <c r="B513" s="86"/>
      <c r="C513" s="87"/>
      <c r="D513" s="87"/>
      <c r="E513" s="87"/>
      <c r="F513" s="87"/>
      <c r="G513" s="87"/>
      <c r="H513" s="87"/>
      <c r="I513" s="87"/>
      <c r="J513" s="87"/>
      <c r="K513" s="88"/>
      <c r="L513" s="89"/>
      <c r="M513" s="90"/>
      <c r="N513" s="57"/>
      <c r="O513" s="57"/>
      <c r="P513" s="91"/>
    </row>
    <row r="514" spans="2:16" s="50" customFormat="1" ht="13.2">
      <c r="B514" s="86"/>
      <c r="C514" s="87"/>
      <c r="D514" s="87"/>
      <c r="E514" s="87"/>
      <c r="F514" s="87"/>
      <c r="G514" s="87"/>
      <c r="H514" s="87"/>
      <c r="I514" s="87"/>
      <c r="J514" s="87"/>
      <c r="K514" s="88"/>
      <c r="L514" s="89"/>
      <c r="M514" s="90"/>
      <c r="N514" s="57"/>
      <c r="O514" s="57"/>
      <c r="P514" s="91"/>
    </row>
    <row r="515" spans="2:16" s="50" customFormat="1" ht="13.2">
      <c r="B515" s="86"/>
      <c r="C515" s="87"/>
      <c r="D515" s="87"/>
      <c r="E515" s="87"/>
      <c r="F515" s="87"/>
      <c r="G515" s="87"/>
      <c r="H515" s="87"/>
      <c r="I515" s="87"/>
      <c r="J515" s="87"/>
      <c r="K515" s="88"/>
      <c r="L515" s="89"/>
      <c r="M515" s="90"/>
      <c r="N515" s="57"/>
      <c r="O515" s="57"/>
      <c r="P515" s="91"/>
    </row>
    <row r="516" spans="2:16" s="50" customFormat="1" ht="13.2">
      <c r="B516" s="86"/>
      <c r="C516" s="87"/>
      <c r="D516" s="87"/>
      <c r="E516" s="87"/>
      <c r="F516" s="87"/>
      <c r="G516" s="87"/>
      <c r="H516" s="87"/>
      <c r="I516" s="87"/>
      <c r="J516" s="87"/>
      <c r="K516" s="88"/>
      <c r="L516" s="89"/>
      <c r="M516" s="90"/>
      <c r="N516" s="57"/>
      <c r="O516" s="57"/>
      <c r="P516" s="91"/>
    </row>
    <row r="517" spans="2:16" s="50" customFormat="1" ht="13.2">
      <c r="B517" s="86"/>
      <c r="C517" s="87"/>
      <c r="D517" s="87"/>
      <c r="E517" s="87"/>
      <c r="F517" s="87"/>
      <c r="G517" s="87"/>
      <c r="H517" s="87"/>
      <c r="I517" s="87"/>
      <c r="J517" s="87"/>
      <c r="K517" s="88"/>
      <c r="L517" s="89"/>
      <c r="M517" s="90"/>
      <c r="N517" s="57"/>
      <c r="O517" s="57"/>
      <c r="P517" s="91"/>
    </row>
    <row r="518" spans="2:16" s="50" customFormat="1" ht="13.2">
      <c r="B518" s="86"/>
      <c r="C518" s="87"/>
      <c r="D518" s="87"/>
      <c r="E518" s="87"/>
      <c r="F518" s="87"/>
      <c r="G518" s="87"/>
      <c r="H518" s="87"/>
      <c r="I518" s="87"/>
      <c r="J518" s="87"/>
      <c r="K518" s="88"/>
      <c r="L518" s="89"/>
      <c r="M518" s="90"/>
      <c r="N518" s="57"/>
      <c r="O518" s="57"/>
      <c r="P518" s="91"/>
    </row>
    <row r="519" spans="2:16" s="50" customFormat="1" ht="13.2">
      <c r="B519" s="86"/>
      <c r="C519" s="87"/>
      <c r="D519" s="87"/>
      <c r="E519" s="87"/>
      <c r="F519" s="87"/>
      <c r="G519" s="87"/>
      <c r="H519" s="87"/>
      <c r="I519" s="87"/>
      <c r="J519" s="87"/>
      <c r="K519" s="88"/>
      <c r="L519" s="89"/>
      <c r="M519" s="90"/>
      <c r="N519" s="57"/>
      <c r="O519" s="57"/>
      <c r="P519" s="91"/>
    </row>
    <row r="520" spans="2:16" s="50" customFormat="1" ht="13.2">
      <c r="B520" s="86"/>
      <c r="C520" s="87"/>
      <c r="D520" s="87"/>
      <c r="E520" s="87"/>
      <c r="F520" s="87"/>
      <c r="G520" s="87"/>
      <c r="H520" s="87"/>
      <c r="I520" s="87"/>
      <c r="J520" s="87"/>
      <c r="K520" s="88"/>
      <c r="L520" s="89"/>
      <c r="M520" s="90"/>
      <c r="N520" s="57"/>
      <c r="O520" s="57"/>
      <c r="P520" s="91"/>
    </row>
    <row r="521" spans="2:16" s="50" customFormat="1" ht="13.2">
      <c r="B521" s="86"/>
      <c r="C521" s="87"/>
      <c r="D521" s="87"/>
      <c r="E521" s="87"/>
      <c r="F521" s="87"/>
      <c r="G521" s="87"/>
      <c r="H521" s="87"/>
      <c r="I521" s="87"/>
      <c r="J521" s="87"/>
      <c r="K521" s="88"/>
      <c r="L521" s="89"/>
      <c r="M521" s="90"/>
      <c r="N521" s="57"/>
      <c r="O521" s="57"/>
      <c r="P521" s="91"/>
    </row>
    <row r="522" spans="2:16" s="50" customFormat="1" ht="13.2">
      <c r="B522" s="86"/>
      <c r="C522" s="87"/>
      <c r="D522" s="87"/>
      <c r="E522" s="87"/>
      <c r="F522" s="87"/>
      <c r="G522" s="87"/>
      <c r="H522" s="87"/>
      <c r="I522" s="87"/>
      <c r="J522" s="87"/>
      <c r="K522" s="88"/>
      <c r="L522" s="89"/>
      <c r="M522" s="90"/>
      <c r="N522" s="57"/>
      <c r="O522" s="57"/>
      <c r="P522" s="91"/>
    </row>
    <row r="523" spans="2:16" s="50" customFormat="1" ht="13.2">
      <c r="B523" s="86"/>
      <c r="C523" s="87"/>
      <c r="D523" s="87"/>
      <c r="E523" s="87"/>
      <c r="F523" s="87"/>
      <c r="G523" s="87"/>
      <c r="H523" s="87"/>
      <c r="I523" s="87"/>
      <c r="J523" s="87"/>
      <c r="K523" s="88"/>
      <c r="L523" s="89"/>
      <c r="M523" s="90"/>
      <c r="N523" s="57"/>
      <c r="O523" s="57"/>
      <c r="P523" s="91"/>
    </row>
    <row r="524" spans="2:16" s="50" customFormat="1" ht="13.2">
      <c r="B524" s="86"/>
      <c r="C524" s="87"/>
      <c r="D524" s="87"/>
      <c r="E524" s="87"/>
      <c r="F524" s="87"/>
      <c r="G524" s="87"/>
      <c r="H524" s="87"/>
      <c r="I524" s="87"/>
      <c r="J524" s="87"/>
      <c r="K524" s="88"/>
      <c r="L524" s="89"/>
      <c r="M524" s="90"/>
      <c r="N524" s="57"/>
      <c r="O524" s="57"/>
      <c r="P524" s="91"/>
    </row>
    <row r="525" spans="2:16" s="50" customFormat="1" ht="13.2">
      <c r="B525" s="86"/>
      <c r="C525" s="87"/>
      <c r="D525" s="87"/>
      <c r="E525" s="87"/>
      <c r="F525" s="87"/>
      <c r="G525" s="87"/>
      <c r="H525" s="87"/>
      <c r="I525" s="87"/>
      <c r="J525" s="87"/>
      <c r="K525" s="88"/>
      <c r="L525" s="89"/>
      <c r="M525" s="90"/>
      <c r="N525" s="57"/>
      <c r="O525" s="57"/>
      <c r="P525" s="91"/>
    </row>
    <row r="526" spans="2:16" s="50" customFormat="1" ht="13.2">
      <c r="B526" s="86"/>
      <c r="C526" s="87"/>
      <c r="D526" s="87"/>
      <c r="E526" s="87"/>
      <c r="F526" s="87"/>
      <c r="G526" s="87"/>
      <c r="H526" s="87"/>
      <c r="I526" s="87"/>
      <c r="J526" s="87"/>
      <c r="K526" s="88"/>
      <c r="L526" s="89"/>
      <c r="M526" s="90"/>
      <c r="N526" s="57"/>
      <c r="O526" s="57"/>
      <c r="P526" s="91"/>
    </row>
    <row r="527" spans="2:16" s="50" customFormat="1" ht="13.2">
      <c r="B527" s="86"/>
      <c r="C527" s="87"/>
      <c r="D527" s="87"/>
      <c r="E527" s="87"/>
      <c r="F527" s="87"/>
      <c r="G527" s="87"/>
      <c r="H527" s="87"/>
      <c r="I527" s="87"/>
      <c r="J527" s="87"/>
      <c r="K527" s="88"/>
      <c r="L527" s="89"/>
      <c r="M527" s="90"/>
      <c r="N527" s="57"/>
      <c r="O527" s="57"/>
      <c r="P527" s="91"/>
    </row>
    <row r="528" spans="2:16" s="50" customFormat="1" ht="13.2">
      <c r="B528" s="86"/>
      <c r="C528" s="87"/>
      <c r="D528" s="87"/>
      <c r="E528" s="87"/>
      <c r="F528" s="87"/>
      <c r="G528" s="87"/>
      <c r="H528" s="87"/>
      <c r="I528" s="87"/>
      <c r="J528" s="87"/>
      <c r="K528" s="88"/>
      <c r="L528" s="89"/>
      <c r="M528" s="90"/>
      <c r="N528" s="57"/>
      <c r="O528" s="57"/>
      <c r="P528" s="91"/>
    </row>
    <row r="529" spans="2:16" s="50" customFormat="1" ht="13.2">
      <c r="B529" s="86"/>
      <c r="C529" s="87"/>
      <c r="D529" s="87"/>
      <c r="E529" s="87"/>
      <c r="F529" s="87"/>
      <c r="G529" s="87"/>
      <c r="H529" s="87"/>
      <c r="I529" s="87"/>
      <c r="J529" s="87"/>
      <c r="K529" s="88"/>
      <c r="L529" s="89"/>
      <c r="M529" s="90"/>
      <c r="N529" s="57"/>
      <c r="O529" s="57"/>
      <c r="P529" s="91"/>
    </row>
    <row r="530" spans="2:16" s="50" customFormat="1" ht="13.2">
      <c r="B530" s="86"/>
      <c r="C530" s="87"/>
      <c r="D530" s="87"/>
      <c r="E530" s="87"/>
      <c r="F530" s="87"/>
      <c r="G530" s="87"/>
      <c r="H530" s="87"/>
      <c r="I530" s="87"/>
      <c r="J530" s="87"/>
      <c r="K530" s="88"/>
      <c r="L530" s="89"/>
      <c r="M530" s="90"/>
      <c r="N530" s="57"/>
      <c r="O530" s="57"/>
      <c r="P530" s="91"/>
    </row>
    <row r="531" spans="2:16" s="50" customFormat="1" ht="13.2">
      <c r="B531" s="86"/>
      <c r="C531" s="87"/>
      <c r="D531" s="87"/>
      <c r="E531" s="87"/>
      <c r="F531" s="87"/>
      <c r="G531" s="87"/>
      <c r="H531" s="87"/>
      <c r="I531" s="87"/>
      <c r="J531" s="87"/>
      <c r="K531" s="88"/>
      <c r="L531" s="89"/>
      <c r="M531" s="90"/>
      <c r="N531" s="57"/>
      <c r="O531" s="57"/>
      <c r="P531" s="91"/>
    </row>
    <row r="532" spans="2:16" s="50" customFormat="1" ht="13.2">
      <c r="B532" s="86"/>
      <c r="C532" s="87"/>
      <c r="D532" s="87"/>
      <c r="E532" s="87"/>
      <c r="F532" s="87"/>
      <c r="G532" s="87"/>
      <c r="H532" s="87"/>
      <c r="I532" s="87"/>
      <c r="J532" s="87"/>
      <c r="K532" s="88"/>
      <c r="L532" s="89"/>
      <c r="M532" s="90"/>
      <c r="N532" s="57"/>
      <c r="O532" s="57"/>
      <c r="P532" s="91"/>
    </row>
    <row r="533" spans="2:16" s="50" customFormat="1" ht="13.2">
      <c r="B533" s="86"/>
      <c r="C533" s="87"/>
      <c r="D533" s="87"/>
      <c r="E533" s="87"/>
      <c r="F533" s="87"/>
      <c r="G533" s="87"/>
      <c r="H533" s="87"/>
      <c r="I533" s="87"/>
      <c r="J533" s="87"/>
      <c r="K533" s="88"/>
      <c r="L533" s="89"/>
      <c r="M533" s="90"/>
      <c r="N533" s="57"/>
      <c r="O533" s="57"/>
      <c r="P533" s="91"/>
    </row>
    <row r="534" spans="2:16" s="50" customFormat="1" ht="13.2">
      <c r="B534" s="86"/>
      <c r="C534" s="87"/>
      <c r="D534" s="87"/>
      <c r="E534" s="87"/>
      <c r="F534" s="87"/>
      <c r="G534" s="87"/>
      <c r="H534" s="87"/>
      <c r="I534" s="87"/>
      <c r="J534" s="87"/>
      <c r="K534" s="88"/>
      <c r="L534" s="89"/>
      <c r="M534" s="90"/>
      <c r="N534" s="57"/>
      <c r="O534" s="57"/>
      <c r="P534" s="91"/>
    </row>
    <row r="535" spans="2:16" s="50" customFormat="1" ht="13.2">
      <c r="B535" s="86"/>
      <c r="C535" s="87"/>
      <c r="D535" s="87"/>
      <c r="E535" s="87"/>
      <c r="F535" s="87"/>
      <c r="G535" s="87"/>
      <c r="H535" s="87"/>
      <c r="I535" s="87"/>
      <c r="J535" s="87"/>
      <c r="K535" s="88"/>
      <c r="L535" s="89"/>
      <c r="M535" s="90"/>
      <c r="N535" s="57"/>
      <c r="O535" s="57"/>
      <c r="P535" s="91"/>
    </row>
    <row r="536" spans="2:16" s="50" customFormat="1" ht="13.2">
      <c r="B536" s="86"/>
      <c r="C536" s="87"/>
      <c r="D536" s="87"/>
      <c r="E536" s="87"/>
      <c r="F536" s="87"/>
      <c r="G536" s="87"/>
      <c r="H536" s="87"/>
      <c r="I536" s="87"/>
      <c r="J536" s="87"/>
      <c r="K536" s="88"/>
      <c r="L536" s="89"/>
      <c r="M536" s="90"/>
      <c r="N536" s="57"/>
      <c r="O536" s="57"/>
      <c r="P536" s="91"/>
    </row>
    <row r="537" spans="2:16" s="50" customFormat="1" ht="13.2">
      <c r="B537" s="86"/>
      <c r="C537" s="87"/>
      <c r="D537" s="87"/>
      <c r="E537" s="87"/>
      <c r="F537" s="87"/>
      <c r="G537" s="87"/>
      <c r="H537" s="87"/>
      <c r="I537" s="87"/>
      <c r="J537" s="87"/>
      <c r="K537" s="88"/>
      <c r="L537" s="89"/>
      <c r="M537" s="90"/>
      <c r="N537" s="57"/>
      <c r="O537" s="57"/>
      <c r="P537" s="91"/>
    </row>
    <row r="538" spans="2:16" s="50" customFormat="1" ht="13.2">
      <c r="B538" s="86"/>
      <c r="C538" s="87"/>
      <c r="D538" s="87"/>
      <c r="E538" s="87"/>
      <c r="F538" s="87"/>
      <c r="G538" s="87"/>
      <c r="H538" s="87"/>
      <c r="I538" s="87"/>
      <c r="J538" s="87"/>
      <c r="K538" s="88"/>
      <c r="L538" s="89"/>
      <c r="M538" s="90"/>
      <c r="N538" s="57"/>
      <c r="O538" s="57"/>
      <c r="P538" s="91"/>
    </row>
    <row r="539" spans="2:16" s="50" customFormat="1" ht="13.2">
      <c r="B539" s="86"/>
      <c r="C539" s="87"/>
      <c r="D539" s="87"/>
      <c r="E539" s="87"/>
      <c r="F539" s="87"/>
      <c r="G539" s="87"/>
      <c r="H539" s="87"/>
      <c r="I539" s="87"/>
      <c r="J539" s="87"/>
      <c r="K539" s="88"/>
      <c r="L539" s="89"/>
      <c r="M539" s="90"/>
      <c r="N539" s="57"/>
      <c r="O539" s="57"/>
      <c r="P539" s="91"/>
    </row>
    <row r="540" spans="2:16" s="50" customFormat="1" ht="13.2">
      <c r="B540" s="86"/>
      <c r="C540" s="87"/>
      <c r="D540" s="87"/>
      <c r="E540" s="87"/>
      <c r="F540" s="87"/>
      <c r="G540" s="87"/>
      <c r="H540" s="87"/>
      <c r="I540" s="87"/>
      <c r="J540" s="87"/>
      <c r="K540" s="88"/>
      <c r="L540" s="89"/>
      <c r="M540" s="90"/>
      <c r="N540" s="57"/>
      <c r="O540" s="57"/>
      <c r="P540" s="91"/>
    </row>
    <row r="541" spans="2:16" s="50" customFormat="1" ht="13.2">
      <c r="B541" s="86"/>
      <c r="C541" s="87"/>
      <c r="D541" s="87"/>
      <c r="E541" s="87"/>
      <c r="F541" s="87"/>
      <c r="G541" s="87"/>
      <c r="H541" s="87"/>
      <c r="I541" s="87"/>
      <c r="J541" s="87"/>
      <c r="K541" s="88"/>
      <c r="L541" s="89"/>
      <c r="M541" s="90"/>
      <c r="N541" s="57"/>
      <c r="O541" s="57"/>
      <c r="P541" s="91"/>
    </row>
    <row r="542" spans="2:16" s="50" customFormat="1" ht="13.2">
      <c r="B542" s="86"/>
      <c r="C542" s="87"/>
      <c r="D542" s="87"/>
      <c r="E542" s="87"/>
      <c r="F542" s="87"/>
      <c r="G542" s="87"/>
      <c r="H542" s="87"/>
      <c r="I542" s="87"/>
      <c r="J542" s="87"/>
      <c r="K542" s="88"/>
      <c r="L542" s="89"/>
      <c r="M542" s="90"/>
      <c r="N542" s="57"/>
      <c r="O542" s="57"/>
      <c r="P542" s="91"/>
    </row>
    <row r="543" spans="2:16" s="50" customFormat="1" ht="13.2">
      <c r="B543" s="86"/>
      <c r="C543" s="87"/>
      <c r="D543" s="87"/>
      <c r="E543" s="87"/>
      <c r="F543" s="87"/>
      <c r="G543" s="87"/>
      <c r="H543" s="87"/>
      <c r="I543" s="87"/>
      <c r="J543" s="87"/>
      <c r="K543" s="88"/>
      <c r="L543" s="89"/>
      <c r="M543" s="90"/>
      <c r="N543" s="57"/>
      <c r="O543" s="57"/>
      <c r="P543" s="91"/>
    </row>
    <row r="544" spans="2:16" s="50" customFormat="1" ht="13.2">
      <c r="B544" s="86"/>
      <c r="C544" s="87"/>
      <c r="D544" s="87"/>
      <c r="E544" s="87"/>
      <c r="F544" s="87"/>
      <c r="G544" s="87"/>
      <c r="H544" s="87"/>
      <c r="I544" s="87"/>
      <c r="J544" s="87"/>
      <c r="K544" s="88"/>
      <c r="L544" s="89"/>
      <c r="M544" s="90"/>
      <c r="N544" s="57"/>
      <c r="O544" s="57"/>
      <c r="P544" s="91"/>
    </row>
    <row r="545" spans="2:16" s="50" customFormat="1" ht="13.2">
      <c r="B545" s="86"/>
      <c r="C545" s="87"/>
      <c r="D545" s="87"/>
      <c r="E545" s="87"/>
      <c r="F545" s="87"/>
      <c r="G545" s="87"/>
      <c r="H545" s="87"/>
      <c r="I545" s="87"/>
      <c r="J545" s="87"/>
      <c r="K545" s="88"/>
      <c r="L545" s="89"/>
      <c r="M545" s="90"/>
      <c r="N545" s="57"/>
      <c r="O545" s="57"/>
      <c r="P545" s="91"/>
    </row>
    <row r="546" spans="2:16" s="50" customFormat="1" ht="13.2">
      <c r="B546" s="86"/>
      <c r="C546" s="87"/>
      <c r="D546" s="87"/>
      <c r="E546" s="87"/>
      <c r="F546" s="87"/>
      <c r="G546" s="87"/>
      <c r="H546" s="87"/>
      <c r="I546" s="87"/>
      <c r="J546" s="87"/>
      <c r="K546" s="88"/>
      <c r="L546" s="89"/>
      <c r="M546" s="90"/>
      <c r="N546" s="57"/>
      <c r="O546" s="57"/>
      <c r="P546" s="91"/>
    </row>
    <row r="547" spans="2:16" s="50" customFormat="1" ht="13.2">
      <c r="B547" s="86"/>
      <c r="C547" s="87"/>
      <c r="D547" s="87"/>
      <c r="E547" s="87"/>
      <c r="F547" s="87"/>
      <c r="G547" s="87"/>
      <c r="H547" s="87"/>
      <c r="I547" s="87"/>
      <c r="J547" s="87"/>
      <c r="K547" s="88"/>
      <c r="L547" s="89"/>
      <c r="M547" s="90"/>
      <c r="N547" s="57"/>
      <c r="O547" s="57"/>
      <c r="P547" s="91"/>
    </row>
    <row r="548" spans="2:16" s="50" customFormat="1" ht="13.2">
      <c r="B548" s="86"/>
      <c r="C548" s="87"/>
      <c r="D548" s="87"/>
      <c r="E548" s="87"/>
      <c r="F548" s="87"/>
      <c r="G548" s="87"/>
      <c r="H548" s="87"/>
      <c r="I548" s="87"/>
      <c r="J548" s="87"/>
      <c r="K548" s="88"/>
      <c r="L548" s="89"/>
      <c r="M548" s="90"/>
      <c r="N548" s="57"/>
      <c r="O548" s="57"/>
      <c r="P548" s="91"/>
    </row>
    <row r="549" spans="2:16" s="50" customFormat="1" ht="13.2">
      <c r="B549" s="86"/>
      <c r="C549" s="87"/>
      <c r="D549" s="87"/>
      <c r="E549" s="87"/>
      <c r="F549" s="87"/>
      <c r="G549" s="87"/>
      <c r="H549" s="87"/>
      <c r="I549" s="87"/>
      <c r="J549" s="87"/>
      <c r="K549" s="88"/>
      <c r="L549" s="89"/>
      <c r="M549" s="90"/>
      <c r="N549" s="57"/>
      <c r="O549" s="57"/>
      <c r="P549" s="91"/>
    </row>
    <row r="550" spans="2:16" s="50" customFormat="1" ht="13.2">
      <c r="B550" s="86"/>
      <c r="C550" s="87"/>
      <c r="D550" s="87"/>
      <c r="E550" s="87"/>
      <c r="F550" s="87"/>
      <c r="G550" s="87"/>
      <c r="H550" s="87"/>
      <c r="I550" s="87"/>
      <c r="J550" s="87"/>
      <c r="K550" s="88"/>
      <c r="L550" s="89"/>
      <c r="M550" s="90"/>
      <c r="N550" s="57"/>
      <c r="O550" s="57"/>
      <c r="P550" s="91"/>
    </row>
    <row r="551" spans="2:16" s="50" customFormat="1" ht="13.2">
      <c r="B551" s="86"/>
      <c r="C551" s="87"/>
      <c r="D551" s="87"/>
      <c r="E551" s="87"/>
      <c r="F551" s="87"/>
      <c r="G551" s="87"/>
      <c r="H551" s="87"/>
      <c r="I551" s="87"/>
      <c r="J551" s="87"/>
      <c r="K551" s="88"/>
      <c r="L551" s="89"/>
      <c r="M551" s="90"/>
      <c r="N551" s="57"/>
      <c r="O551" s="57"/>
      <c r="P551" s="91"/>
    </row>
    <row r="552" spans="2:16" s="50" customFormat="1" ht="13.2">
      <c r="B552" s="86"/>
      <c r="C552" s="87"/>
      <c r="D552" s="87"/>
      <c r="E552" s="87"/>
      <c r="F552" s="87"/>
      <c r="G552" s="87"/>
      <c r="H552" s="87"/>
      <c r="I552" s="87"/>
      <c r="J552" s="87"/>
      <c r="K552" s="88"/>
      <c r="L552" s="89"/>
      <c r="M552" s="90"/>
      <c r="N552" s="57"/>
      <c r="O552" s="57"/>
      <c r="P552" s="91"/>
    </row>
    <row r="553" spans="2:16" s="50" customFormat="1" ht="13.2">
      <c r="B553" s="86"/>
      <c r="C553" s="87"/>
      <c r="D553" s="87"/>
      <c r="E553" s="87"/>
      <c r="F553" s="87"/>
      <c r="G553" s="87"/>
      <c r="H553" s="87"/>
      <c r="I553" s="87"/>
      <c r="J553" s="87"/>
      <c r="K553" s="88"/>
      <c r="L553" s="89"/>
      <c r="M553" s="90"/>
      <c r="N553" s="57"/>
      <c r="O553" s="57"/>
      <c r="P553" s="91"/>
    </row>
    <row r="554" spans="2:16" s="50" customFormat="1" ht="13.2">
      <c r="B554" s="86"/>
      <c r="C554" s="87"/>
      <c r="D554" s="87"/>
      <c r="E554" s="87"/>
      <c r="F554" s="87"/>
      <c r="G554" s="87"/>
      <c r="H554" s="87"/>
      <c r="I554" s="87"/>
      <c r="J554" s="87"/>
      <c r="K554" s="88"/>
      <c r="L554" s="89"/>
      <c r="M554" s="90"/>
      <c r="N554" s="57"/>
      <c r="O554" s="57"/>
      <c r="P554" s="91"/>
    </row>
    <row r="555" spans="2:16" s="50" customFormat="1" ht="13.2">
      <c r="B555" s="86"/>
      <c r="C555" s="87"/>
      <c r="D555" s="87"/>
      <c r="E555" s="87"/>
      <c r="F555" s="87"/>
      <c r="G555" s="87"/>
      <c r="H555" s="87"/>
      <c r="I555" s="87"/>
      <c r="J555" s="87"/>
      <c r="K555" s="88"/>
      <c r="L555" s="89"/>
      <c r="M555" s="90"/>
      <c r="N555" s="57"/>
      <c r="O555" s="57"/>
      <c r="P555" s="91"/>
    </row>
    <row r="556" spans="2:16" s="50" customFormat="1" ht="13.2">
      <c r="B556" s="86"/>
      <c r="C556" s="87"/>
      <c r="D556" s="87"/>
      <c r="E556" s="87"/>
      <c r="F556" s="87"/>
      <c r="G556" s="87"/>
      <c r="H556" s="87"/>
      <c r="I556" s="87"/>
      <c r="J556" s="87"/>
      <c r="K556" s="88"/>
      <c r="L556" s="89"/>
      <c r="M556" s="90"/>
      <c r="N556" s="57"/>
      <c r="O556" s="57"/>
      <c r="P556" s="91"/>
    </row>
    <row r="557" spans="2:16" s="50" customFormat="1" ht="13.2">
      <c r="B557" s="86"/>
      <c r="C557" s="87"/>
      <c r="D557" s="87"/>
      <c r="E557" s="87"/>
      <c r="F557" s="87"/>
      <c r="G557" s="87"/>
      <c r="H557" s="87"/>
      <c r="I557" s="87"/>
      <c r="J557" s="87"/>
      <c r="K557" s="88"/>
      <c r="L557" s="89"/>
      <c r="M557" s="90"/>
      <c r="N557" s="57"/>
      <c r="O557" s="57"/>
      <c r="P557" s="91"/>
    </row>
    <row r="558" spans="2:16" s="50" customFormat="1" ht="13.2">
      <c r="B558" s="86"/>
      <c r="C558" s="87"/>
      <c r="D558" s="87"/>
      <c r="E558" s="87"/>
      <c r="F558" s="87"/>
      <c r="G558" s="87"/>
      <c r="H558" s="87"/>
      <c r="I558" s="87"/>
      <c r="J558" s="87"/>
      <c r="K558" s="88"/>
      <c r="L558" s="89"/>
      <c r="M558" s="90"/>
      <c r="N558" s="57"/>
      <c r="O558" s="57"/>
      <c r="P558" s="91"/>
    </row>
    <row r="559" spans="2:16" s="50" customFormat="1" ht="13.2">
      <c r="B559" s="86"/>
      <c r="C559" s="87"/>
      <c r="D559" s="87"/>
      <c r="E559" s="87"/>
      <c r="F559" s="87"/>
      <c r="G559" s="87"/>
      <c r="H559" s="87"/>
      <c r="I559" s="87"/>
      <c r="J559" s="87"/>
      <c r="K559" s="88"/>
      <c r="L559" s="89"/>
      <c r="M559" s="90"/>
      <c r="N559" s="57"/>
      <c r="O559" s="57"/>
      <c r="P559" s="91"/>
    </row>
    <row r="560" spans="2:16" s="50" customFormat="1" ht="13.2">
      <c r="B560" s="86"/>
      <c r="C560" s="87"/>
      <c r="D560" s="87"/>
      <c r="E560" s="87"/>
      <c r="F560" s="87"/>
      <c r="G560" s="87"/>
      <c r="H560" s="87"/>
      <c r="I560" s="87"/>
      <c r="J560" s="87"/>
      <c r="K560" s="88"/>
      <c r="L560" s="89"/>
      <c r="M560" s="90"/>
      <c r="N560" s="57"/>
      <c r="O560" s="57"/>
      <c r="P560" s="91"/>
    </row>
    <row r="561" spans="2:16" s="50" customFormat="1" ht="13.2">
      <c r="B561" s="86"/>
      <c r="C561" s="87"/>
      <c r="D561" s="87"/>
      <c r="E561" s="87"/>
      <c r="F561" s="87"/>
      <c r="G561" s="87"/>
      <c r="H561" s="87"/>
      <c r="I561" s="87"/>
      <c r="J561" s="87"/>
      <c r="K561" s="88"/>
      <c r="L561" s="89"/>
      <c r="M561" s="90"/>
      <c r="N561" s="57"/>
      <c r="O561" s="57"/>
      <c r="P561" s="91"/>
    </row>
    <row r="562" spans="2:16" s="50" customFormat="1" ht="13.2">
      <c r="B562" s="86"/>
      <c r="C562" s="87"/>
      <c r="D562" s="87"/>
      <c r="E562" s="87"/>
      <c r="F562" s="87"/>
      <c r="G562" s="87"/>
      <c r="H562" s="87"/>
      <c r="I562" s="87"/>
      <c r="J562" s="87"/>
      <c r="K562" s="88"/>
      <c r="L562" s="89"/>
      <c r="M562" s="90"/>
      <c r="N562" s="57"/>
      <c r="O562" s="57"/>
      <c r="P562" s="91"/>
    </row>
    <row r="563" spans="2:16" s="50" customFormat="1" ht="13.2">
      <c r="B563" s="86"/>
      <c r="C563" s="87"/>
      <c r="D563" s="87"/>
      <c r="E563" s="87"/>
      <c r="F563" s="87"/>
      <c r="G563" s="87"/>
      <c r="H563" s="87"/>
      <c r="I563" s="87"/>
      <c r="J563" s="87"/>
      <c r="K563" s="88"/>
      <c r="L563" s="89"/>
      <c r="M563" s="90"/>
      <c r="N563" s="57"/>
      <c r="O563" s="57"/>
      <c r="P563" s="91"/>
    </row>
    <row r="564" spans="2:16" s="50" customFormat="1" ht="13.2">
      <c r="B564" s="86"/>
      <c r="C564" s="87"/>
      <c r="D564" s="87"/>
      <c r="E564" s="87"/>
      <c r="F564" s="87"/>
      <c r="G564" s="87"/>
      <c r="H564" s="87"/>
      <c r="I564" s="87"/>
      <c r="J564" s="87"/>
      <c r="K564" s="88"/>
      <c r="L564" s="89"/>
      <c r="M564" s="90"/>
      <c r="N564" s="57"/>
      <c r="O564" s="57"/>
      <c r="P564" s="91"/>
    </row>
    <row r="565" spans="2:16" s="50" customFormat="1" ht="13.2">
      <c r="B565" s="86"/>
      <c r="C565" s="87"/>
      <c r="D565" s="87"/>
      <c r="E565" s="87"/>
      <c r="F565" s="87"/>
      <c r="G565" s="87"/>
      <c r="H565" s="87"/>
      <c r="I565" s="87"/>
      <c r="J565" s="87"/>
      <c r="K565" s="88"/>
      <c r="L565" s="89"/>
      <c r="M565" s="90"/>
      <c r="N565" s="57"/>
      <c r="O565" s="57"/>
      <c r="P565" s="91"/>
    </row>
    <row r="566" spans="2:16" s="50" customFormat="1" ht="13.2">
      <c r="B566" s="86"/>
      <c r="C566" s="87"/>
      <c r="D566" s="87"/>
      <c r="E566" s="87"/>
      <c r="F566" s="87"/>
      <c r="G566" s="87"/>
      <c r="H566" s="87"/>
      <c r="I566" s="87"/>
      <c r="J566" s="87"/>
      <c r="K566" s="88"/>
      <c r="L566" s="89"/>
      <c r="M566" s="90"/>
      <c r="N566" s="57"/>
      <c r="O566" s="57"/>
      <c r="P566" s="91"/>
    </row>
    <row r="567" spans="2:16" s="50" customFormat="1" ht="13.2">
      <c r="B567" s="86"/>
      <c r="C567" s="87"/>
      <c r="D567" s="87"/>
      <c r="E567" s="87"/>
      <c r="F567" s="87"/>
      <c r="G567" s="87"/>
      <c r="H567" s="87"/>
      <c r="I567" s="87"/>
      <c r="J567" s="87"/>
      <c r="K567" s="88"/>
      <c r="L567" s="89"/>
      <c r="M567" s="90"/>
      <c r="N567" s="57"/>
      <c r="O567" s="57"/>
      <c r="P567" s="91"/>
    </row>
    <row r="568" spans="2:16" s="50" customFormat="1" ht="13.2">
      <c r="B568" s="86"/>
      <c r="C568" s="87"/>
      <c r="D568" s="87"/>
      <c r="E568" s="87"/>
      <c r="F568" s="87"/>
      <c r="G568" s="87"/>
      <c r="H568" s="87"/>
      <c r="I568" s="87"/>
      <c r="J568" s="87"/>
      <c r="K568" s="88"/>
      <c r="L568" s="89"/>
      <c r="M568" s="90"/>
      <c r="N568" s="57"/>
      <c r="O568" s="57"/>
      <c r="P568" s="91"/>
    </row>
    <row r="569" spans="2:16" s="50" customFormat="1" ht="13.2">
      <c r="B569" s="86"/>
      <c r="C569" s="87"/>
      <c r="D569" s="87"/>
      <c r="E569" s="87"/>
      <c r="F569" s="87"/>
      <c r="G569" s="87"/>
      <c r="H569" s="87"/>
      <c r="I569" s="87"/>
      <c r="J569" s="87"/>
      <c r="K569" s="88"/>
      <c r="L569" s="89"/>
      <c r="M569" s="90"/>
      <c r="N569" s="57"/>
      <c r="O569" s="57"/>
      <c r="P569" s="91"/>
    </row>
    <row r="570" spans="2:16" s="50" customFormat="1" ht="13.2">
      <c r="B570" s="86"/>
      <c r="C570" s="87"/>
      <c r="D570" s="87"/>
      <c r="E570" s="87"/>
      <c r="F570" s="87"/>
      <c r="G570" s="87"/>
      <c r="H570" s="87"/>
      <c r="I570" s="87"/>
      <c r="J570" s="87"/>
      <c r="K570" s="88"/>
      <c r="L570" s="89"/>
      <c r="M570" s="90"/>
      <c r="N570" s="57"/>
      <c r="O570" s="57"/>
      <c r="P570" s="91"/>
    </row>
    <row r="571" spans="2:16" s="50" customFormat="1" ht="13.2">
      <c r="B571" s="86"/>
      <c r="C571" s="87"/>
      <c r="D571" s="87"/>
      <c r="E571" s="87"/>
      <c r="F571" s="87"/>
      <c r="G571" s="87"/>
      <c r="H571" s="87"/>
      <c r="I571" s="87"/>
      <c r="J571" s="87"/>
      <c r="K571" s="88"/>
      <c r="L571" s="89"/>
      <c r="M571" s="90"/>
      <c r="N571" s="57"/>
      <c r="O571" s="57"/>
      <c r="P571" s="91"/>
    </row>
    <row r="572" spans="2:16" s="50" customFormat="1" ht="13.2">
      <c r="B572" s="86"/>
      <c r="C572" s="87"/>
      <c r="D572" s="87"/>
      <c r="E572" s="87"/>
      <c r="F572" s="87"/>
      <c r="G572" s="87"/>
      <c r="H572" s="87"/>
      <c r="I572" s="87"/>
      <c r="J572" s="87"/>
      <c r="K572" s="88"/>
      <c r="L572" s="89"/>
      <c r="M572" s="90"/>
      <c r="N572" s="57"/>
      <c r="O572" s="57"/>
      <c r="P572" s="91"/>
    </row>
    <row r="573" spans="2:16" s="50" customFormat="1" ht="13.2">
      <c r="B573" s="86"/>
      <c r="C573" s="87"/>
      <c r="D573" s="87"/>
      <c r="E573" s="87"/>
      <c r="F573" s="87"/>
      <c r="G573" s="87"/>
      <c r="H573" s="87"/>
      <c r="I573" s="87"/>
      <c r="J573" s="87"/>
      <c r="K573" s="88"/>
      <c r="L573" s="89"/>
      <c r="M573" s="90"/>
      <c r="N573" s="57"/>
      <c r="O573" s="57"/>
      <c r="P573" s="91"/>
    </row>
    <row r="574" spans="2:16" s="50" customFormat="1" ht="13.2">
      <c r="B574" s="86"/>
      <c r="C574" s="87"/>
      <c r="D574" s="87"/>
      <c r="E574" s="87"/>
      <c r="F574" s="87"/>
      <c r="G574" s="87"/>
      <c r="H574" s="87"/>
      <c r="I574" s="87"/>
      <c r="J574" s="87"/>
      <c r="K574" s="88"/>
      <c r="L574" s="89"/>
      <c r="M574" s="90"/>
      <c r="N574" s="57"/>
      <c r="O574" s="57"/>
      <c r="P574" s="91"/>
    </row>
    <row r="575" spans="2:16" s="50" customFormat="1" ht="13.2">
      <c r="B575" s="86"/>
      <c r="C575" s="87"/>
      <c r="D575" s="87"/>
      <c r="E575" s="87"/>
      <c r="F575" s="87"/>
      <c r="G575" s="87"/>
      <c r="H575" s="87"/>
      <c r="I575" s="87"/>
      <c r="J575" s="87"/>
      <c r="K575" s="88"/>
      <c r="L575" s="89"/>
      <c r="M575" s="90"/>
      <c r="N575" s="57"/>
      <c r="O575" s="57"/>
      <c r="P575" s="91"/>
    </row>
    <row r="576" spans="2:16" s="50" customFormat="1" ht="13.2">
      <c r="B576" s="86"/>
      <c r="C576" s="87"/>
      <c r="D576" s="87"/>
      <c r="E576" s="87"/>
      <c r="F576" s="87"/>
      <c r="G576" s="87"/>
      <c r="H576" s="87"/>
      <c r="I576" s="87"/>
      <c r="J576" s="87"/>
      <c r="K576" s="88"/>
      <c r="L576" s="89"/>
      <c r="M576" s="90"/>
      <c r="N576" s="57"/>
      <c r="O576" s="57"/>
      <c r="P576" s="91"/>
    </row>
    <row r="577" spans="2:16" s="50" customFormat="1" ht="13.2">
      <c r="B577" s="86"/>
      <c r="C577" s="87"/>
      <c r="D577" s="87"/>
      <c r="E577" s="87"/>
      <c r="F577" s="87"/>
      <c r="G577" s="87"/>
      <c r="H577" s="87"/>
      <c r="I577" s="87"/>
      <c r="J577" s="87"/>
      <c r="K577" s="88"/>
      <c r="L577" s="89"/>
      <c r="M577" s="90"/>
      <c r="N577" s="57"/>
      <c r="O577" s="57"/>
      <c r="P577" s="91"/>
    </row>
    <row r="578" spans="2:16" s="50" customFormat="1" ht="13.2">
      <c r="B578" s="86"/>
      <c r="C578" s="87"/>
      <c r="D578" s="87"/>
      <c r="E578" s="87"/>
      <c r="F578" s="87"/>
      <c r="G578" s="87"/>
      <c r="H578" s="87"/>
      <c r="I578" s="87"/>
      <c r="J578" s="87"/>
      <c r="K578" s="88"/>
      <c r="L578" s="89"/>
      <c r="M578" s="90"/>
      <c r="N578" s="57"/>
      <c r="O578" s="57"/>
      <c r="P578" s="91"/>
    </row>
    <row r="579" spans="2:16" s="50" customFormat="1" ht="13.2">
      <c r="B579" s="86"/>
      <c r="C579" s="87"/>
      <c r="D579" s="87"/>
      <c r="E579" s="87"/>
      <c r="F579" s="87"/>
      <c r="G579" s="87"/>
      <c r="H579" s="87"/>
      <c r="I579" s="87"/>
      <c r="J579" s="87"/>
      <c r="K579" s="88"/>
      <c r="L579" s="89"/>
      <c r="M579" s="90"/>
      <c r="N579" s="57"/>
      <c r="O579" s="57"/>
      <c r="P579" s="91"/>
    </row>
    <row r="580" spans="2:16" s="50" customFormat="1" ht="13.2">
      <c r="B580" s="86"/>
      <c r="C580" s="87"/>
      <c r="D580" s="87"/>
      <c r="E580" s="87"/>
      <c r="F580" s="87"/>
      <c r="G580" s="87"/>
      <c r="H580" s="87"/>
      <c r="I580" s="87"/>
      <c r="J580" s="87"/>
      <c r="K580" s="88"/>
      <c r="L580" s="89"/>
      <c r="M580" s="90"/>
      <c r="N580" s="57"/>
      <c r="O580" s="57"/>
      <c r="P580" s="91"/>
    </row>
    <row r="581" spans="2:16" s="50" customFormat="1" ht="13.2">
      <c r="B581" s="86"/>
      <c r="C581" s="87"/>
      <c r="D581" s="87"/>
      <c r="E581" s="87"/>
      <c r="F581" s="87"/>
      <c r="G581" s="87"/>
      <c r="H581" s="87"/>
      <c r="I581" s="87"/>
      <c r="J581" s="87"/>
      <c r="K581" s="88"/>
      <c r="L581" s="89"/>
      <c r="M581" s="90"/>
      <c r="N581" s="57"/>
      <c r="O581" s="57"/>
      <c r="P581" s="91"/>
    </row>
    <row r="582" spans="2:16" s="50" customFormat="1" ht="13.2">
      <c r="B582" s="86"/>
      <c r="C582" s="87"/>
      <c r="D582" s="87"/>
      <c r="E582" s="87"/>
      <c r="F582" s="87"/>
      <c r="G582" s="87"/>
      <c r="H582" s="87"/>
      <c r="I582" s="87"/>
      <c r="J582" s="87"/>
      <c r="K582" s="88"/>
      <c r="L582" s="89"/>
      <c r="M582" s="90"/>
      <c r="N582" s="57"/>
      <c r="O582" s="57"/>
      <c r="P582" s="91"/>
    </row>
    <row r="583" spans="2:16" s="50" customFormat="1" ht="13.2">
      <c r="B583" s="86"/>
      <c r="C583" s="87"/>
      <c r="D583" s="87"/>
      <c r="E583" s="87"/>
      <c r="F583" s="87"/>
      <c r="G583" s="87"/>
      <c r="H583" s="87"/>
      <c r="I583" s="87"/>
      <c r="J583" s="87"/>
      <c r="K583" s="88"/>
      <c r="L583" s="89"/>
      <c r="M583" s="90"/>
      <c r="N583" s="57"/>
      <c r="O583" s="57"/>
      <c r="P583" s="91"/>
    </row>
    <row r="584" spans="2:16" s="50" customFormat="1" ht="13.2">
      <c r="B584" s="86"/>
      <c r="C584" s="87"/>
      <c r="D584" s="87"/>
      <c r="E584" s="87"/>
      <c r="F584" s="87"/>
      <c r="G584" s="87"/>
      <c r="H584" s="87"/>
      <c r="I584" s="87"/>
      <c r="J584" s="87"/>
      <c r="K584" s="88"/>
      <c r="L584" s="89"/>
      <c r="M584" s="90"/>
      <c r="N584" s="57"/>
      <c r="O584" s="57"/>
      <c r="P584" s="91"/>
    </row>
    <row r="585" spans="2:16" s="50" customFormat="1" ht="13.2">
      <c r="B585" s="86"/>
      <c r="C585" s="87"/>
      <c r="D585" s="87"/>
      <c r="E585" s="87"/>
      <c r="F585" s="87"/>
      <c r="G585" s="87"/>
      <c r="H585" s="87"/>
      <c r="I585" s="87"/>
      <c r="J585" s="87"/>
      <c r="K585" s="88"/>
      <c r="L585" s="89"/>
      <c r="M585" s="90"/>
      <c r="N585" s="57"/>
      <c r="O585" s="57"/>
      <c r="P585" s="91"/>
    </row>
    <row r="586" spans="2:16" s="50" customFormat="1" ht="13.2">
      <c r="B586" s="86"/>
      <c r="C586" s="87"/>
      <c r="D586" s="87"/>
      <c r="E586" s="87"/>
      <c r="F586" s="87"/>
      <c r="G586" s="87"/>
      <c r="H586" s="87"/>
      <c r="I586" s="87"/>
      <c r="J586" s="87"/>
      <c r="K586" s="88"/>
      <c r="L586" s="89"/>
      <c r="M586" s="90"/>
      <c r="N586" s="57"/>
      <c r="O586" s="57"/>
      <c r="P586" s="91"/>
    </row>
    <row r="587" spans="2:16" s="50" customFormat="1" ht="13.2">
      <c r="B587" s="86"/>
      <c r="C587" s="87"/>
      <c r="D587" s="87"/>
      <c r="E587" s="87"/>
      <c r="F587" s="87"/>
      <c r="G587" s="87"/>
      <c r="H587" s="87"/>
      <c r="I587" s="87"/>
      <c r="J587" s="87"/>
      <c r="K587" s="88"/>
      <c r="L587" s="89"/>
      <c r="M587" s="90"/>
      <c r="N587" s="57"/>
      <c r="O587" s="57"/>
      <c r="P587" s="91"/>
    </row>
    <row r="588" spans="2:16" s="50" customFormat="1" ht="13.2">
      <c r="B588" s="86"/>
      <c r="C588" s="87"/>
      <c r="D588" s="87"/>
      <c r="E588" s="87"/>
      <c r="F588" s="87"/>
      <c r="G588" s="87"/>
      <c r="H588" s="87"/>
      <c r="I588" s="87"/>
      <c r="J588" s="87"/>
      <c r="K588" s="88"/>
      <c r="L588" s="89"/>
      <c r="M588" s="90"/>
      <c r="N588" s="57"/>
      <c r="O588" s="57"/>
      <c r="P588" s="91"/>
    </row>
    <row r="589" spans="2:16" s="50" customFormat="1" ht="13.2">
      <c r="B589" s="86"/>
      <c r="C589" s="87"/>
      <c r="D589" s="87"/>
      <c r="E589" s="87"/>
      <c r="F589" s="87"/>
      <c r="G589" s="87"/>
      <c r="H589" s="87"/>
      <c r="I589" s="87"/>
      <c r="J589" s="87"/>
      <c r="K589" s="88"/>
      <c r="L589" s="89"/>
      <c r="M589" s="90"/>
      <c r="N589" s="57"/>
      <c r="O589" s="57"/>
      <c r="P589" s="91"/>
    </row>
    <row r="590" spans="2:16" s="50" customFormat="1" ht="13.2">
      <c r="B590" s="86"/>
      <c r="C590" s="87"/>
      <c r="D590" s="87"/>
      <c r="E590" s="87"/>
      <c r="F590" s="87"/>
      <c r="G590" s="87"/>
      <c r="H590" s="87"/>
      <c r="I590" s="87"/>
      <c r="J590" s="87"/>
      <c r="K590" s="88"/>
      <c r="L590" s="89"/>
      <c r="M590" s="90"/>
      <c r="N590" s="57"/>
      <c r="O590" s="57"/>
      <c r="P590" s="91"/>
    </row>
    <row r="591" spans="2:16" s="50" customFormat="1" ht="13.2">
      <c r="B591" s="86"/>
      <c r="C591" s="87"/>
      <c r="D591" s="87"/>
      <c r="E591" s="87"/>
      <c r="F591" s="87"/>
      <c r="G591" s="87"/>
      <c r="H591" s="87"/>
      <c r="I591" s="87"/>
      <c r="J591" s="87"/>
      <c r="K591" s="88"/>
      <c r="L591" s="89"/>
      <c r="M591" s="90"/>
      <c r="N591" s="57"/>
      <c r="O591" s="57"/>
      <c r="P591" s="91"/>
    </row>
    <row r="592" spans="2:16" s="50" customFormat="1" ht="13.2">
      <c r="B592" s="86"/>
      <c r="C592" s="87"/>
      <c r="D592" s="87"/>
      <c r="E592" s="87"/>
      <c r="F592" s="87"/>
      <c r="G592" s="87"/>
      <c r="H592" s="87"/>
      <c r="I592" s="87"/>
      <c r="J592" s="87"/>
      <c r="K592" s="88"/>
      <c r="L592" s="89"/>
      <c r="M592" s="90"/>
      <c r="N592" s="57"/>
      <c r="O592" s="57"/>
      <c r="P592" s="91"/>
    </row>
    <row r="593" spans="2:16" s="50" customFormat="1" ht="13.2">
      <c r="B593" s="86"/>
      <c r="C593" s="87"/>
      <c r="D593" s="87"/>
      <c r="E593" s="87"/>
      <c r="F593" s="87"/>
      <c r="G593" s="87"/>
      <c r="H593" s="87"/>
      <c r="I593" s="87"/>
      <c r="J593" s="87"/>
      <c r="K593" s="88"/>
      <c r="L593" s="89"/>
      <c r="M593" s="90"/>
      <c r="N593" s="57"/>
      <c r="O593" s="57"/>
      <c r="P593" s="91"/>
    </row>
    <row r="594" spans="2:16" s="50" customFormat="1" ht="13.2">
      <c r="B594" s="86"/>
      <c r="C594" s="87"/>
      <c r="D594" s="87"/>
      <c r="E594" s="87"/>
      <c r="F594" s="87"/>
      <c r="G594" s="87"/>
      <c r="H594" s="87"/>
      <c r="I594" s="87"/>
      <c r="J594" s="87"/>
      <c r="K594" s="88"/>
      <c r="L594" s="89"/>
      <c r="M594" s="90"/>
      <c r="N594" s="57"/>
      <c r="O594" s="57"/>
      <c r="P594" s="91"/>
    </row>
    <row r="595" spans="2:16" s="50" customFormat="1" ht="13.2">
      <c r="B595" s="86"/>
      <c r="C595" s="87"/>
      <c r="D595" s="87"/>
      <c r="E595" s="87"/>
      <c r="F595" s="87"/>
      <c r="G595" s="87"/>
      <c r="H595" s="87"/>
      <c r="I595" s="87"/>
      <c r="J595" s="87"/>
      <c r="K595" s="88"/>
      <c r="L595" s="89"/>
      <c r="M595" s="90"/>
      <c r="N595" s="57"/>
      <c r="O595" s="57"/>
      <c r="P595" s="91"/>
    </row>
    <row r="596" spans="2:16" s="50" customFormat="1" ht="13.2">
      <c r="B596" s="86"/>
      <c r="C596" s="87"/>
      <c r="D596" s="87"/>
      <c r="E596" s="87"/>
      <c r="F596" s="87"/>
      <c r="G596" s="87"/>
      <c r="H596" s="87"/>
      <c r="I596" s="87"/>
      <c r="J596" s="87"/>
      <c r="K596" s="88"/>
      <c r="L596" s="89"/>
      <c r="M596" s="90"/>
      <c r="N596" s="57"/>
      <c r="O596" s="57"/>
      <c r="P596" s="91"/>
    </row>
    <row r="597" spans="2:16" s="50" customFormat="1" ht="13.2">
      <c r="B597" s="86"/>
      <c r="C597" s="87"/>
      <c r="D597" s="87"/>
      <c r="E597" s="87"/>
      <c r="F597" s="87"/>
      <c r="G597" s="87"/>
      <c r="H597" s="87"/>
      <c r="I597" s="87"/>
      <c r="J597" s="87"/>
      <c r="K597" s="88"/>
      <c r="L597" s="89"/>
      <c r="M597" s="90"/>
      <c r="N597" s="57"/>
      <c r="O597" s="57"/>
      <c r="P597" s="91"/>
    </row>
    <row r="598" spans="2:16" s="50" customFormat="1" ht="13.2">
      <c r="B598" s="86"/>
      <c r="C598" s="87"/>
      <c r="D598" s="87"/>
      <c r="E598" s="87"/>
      <c r="F598" s="87"/>
      <c r="G598" s="87"/>
      <c r="H598" s="87"/>
      <c r="I598" s="87"/>
      <c r="J598" s="87"/>
      <c r="K598" s="88"/>
      <c r="L598" s="89"/>
      <c r="M598" s="90"/>
      <c r="N598" s="57"/>
      <c r="O598" s="57"/>
      <c r="P598" s="91"/>
    </row>
    <row r="599" spans="2:16" s="50" customFormat="1" ht="13.2">
      <c r="B599" s="86"/>
      <c r="C599" s="87"/>
      <c r="D599" s="87"/>
      <c r="E599" s="87"/>
      <c r="F599" s="87"/>
      <c r="G599" s="87"/>
      <c r="H599" s="87"/>
      <c r="I599" s="87"/>
      <c r="J599" s="87"/>
      <c r="K599" s="88"/>
      <c r="L599" s="89"/>
      <c r="M599" s="90"/>
      <c r="N599" s="57"/>
      <c r="O599" s="57"/>
      <c r="P599" s="91"/>
    </row>
    <row r="600" spans="2:16" s="50" customFormat="1" ht="13.2">
      <c r="B600" s="86"/>
      <c r="C600" s="87"/>
      <c r="D600" s="87"/>
      <c r="E600" s="87"/>
      <c r="F600" s="87"/>
      <c r="G600" s="87"/>
      <c r="H600" s="87"/>
      <c r="I600" s="87"/>
      <c r="J600" s="87"/>
      <c r="K600" s="88"/>
      <c r="L600" s="89"/>
      <c r="M600" s="90"/>
      <c r="N600" s="57"/>
      <c r="O600" s="57"/>
      <c r="P600" s="91"/>
    </row>
    <row r="601" spans="2:16" s="50" customFormat="1" ht="13.2">
      <c r="B601" s="86"/>
      <c r="C601" s="87"/>
      <c r="D601" s="87"/>
      <c r="E601" s="87"/>
      <c r="F601" s="87"/>
      <c r="G601" s="87"/>
      <c r="H601" s="87"/>
      <c r="I601" s="87"/>
      <c r="J601" s="87"/>
      <c r="K601" s="88"/>
      <c r="L601" s="89"/>
      <c r="M601" s="90"/>
      <c r="N601" s="57"/>
      <c r="O601" s="57"/>
      <c r="P601" s="91"/>
    </row>
    <row r="602" spans="2:16" s="50" customFormat="1" ht="13.2">
      <c r="B602" s="86"/>
      <c r="C602" s="87"/>
      <c r="D602" s="87"/>
      <c r="E602" s="87"/>
      <c r="F602" s="87"/>
      <c r="G602" s="87"/>
      <c r="H602" s="87"/>
      <c r="I602" s="87"/>
      <c r="J602" s="87"/>
      <c r="K602" s="88"/>
      <c r="L602" s="89"/>
      <c r="M602" s="90"/>
      <c r="N602" s="57"/>
      <c r="O602" s="57"/>
      <c r="P602" s="91"/>
    </row>
    <row r="603" spans="2:16" s="50" customFormat="1" ht="13.2">
      <c r="B603" s="86"/>
      <c r="C603" s="87"/>
      <c r="D603" s="87"/>
      <c r="E603" s="87"/>
      <c r="F603" s="87"/>
      <c r="G603" s="87"/>
      <c r="H603" s="87"/>
      <c r="I603" s="87"/>
      <c r="J603" s="87"/>
      <c r="K603" s="88"/>
      <c r="L603" s="89"/>
      <c r="M603" s="90"/>
      <c r="N603" s="57"/>
      <c r="O603" s="57"/>
      <c r="P603" s="91"/>
    </row>
    <row r="604" spans="2:16" s="50" customFormat="1" ht="13.2">
      <c r="B604" s="86"/>
      <c r="C604" s="87"/>
      <c r="D604" s="87"/>
      <c r="E604" s="87"/>
      <c r="F604" s="87"/>
      <c r="G604" s="87"/>
      <c r="H604" s="87"/>
      <c r="I604" s="87"/>
      <c r="J604" s="87"/>
      <c r="K604" s="88"/>
      <c r="L604" s="89"/>
      <c r="M604" s="90"/>
      <c r="N604" s="57"/>
      <c r="O604" s="57"/>
      <c r="P604" s="91"/>
    </row>
    <row r="605" spans="2:16" s="50" customFormat="1" ht="13.2">
      <c r="B605" s="86"/>
      <c r="C605" s="87"/>
      <c r="D605" s="87"/>
      <c r="E605" s="87"/>
      <c r="F605" s="87"/>
      <c r="G605" s="87"/>
      <c r="H605" s="87"/>
      <c r="I605" s="87"/>
      <c r="J605" s="87"/>
      <c r="K605" s="88"/>
      <c r="L605" s="89"/>
      <c r="M605" s="90"/>
      <c r="N605" s="57"/>
      <c r="O605" s="57"/>
      <c r="P605" s="91"/>
    </row>
    <row r="606" spans="2:16" s="50" customFormat="1" ht="13.2">
      <c r="B606" s="86"/>
      <c r="C606" s="87"/>
      <c r="D606" s="87"/>
      <c r="E606" s="87"/>
      <c r="F606" s="87"/>
      <c r="G606" s="87"/>
      <c r="H606" s="87"/>
      <c r="I606" s="87"/>
      <c r="J606" s="87"/>
      <c r="K606" s="88"/>
      <c r="L606" s="89"/>
      <c r="M606" s="90"/>
      <c r="N606" s="57"/>
      <c r="O606" s="57"/>
      <c r="P606" s="91"/>
    </row>
    <row r="607" spans="2:16" s="50" customFormat="1" ht="13.2">
      <c r="B607" s="86"/>
      <c r="C607" s="87"/>
      <c r="D607" s="87"/>
      <c r="E607" s="87"/>
      <c r="F607" s="87"/>
      <c r="G607" s="87"/>
      <c r="H607" s="87"/>
      <c r="I607" s="87"/>
      <c r="J607" s="87"/>
      <c r="K607" s="88"/>
      <c r="L607" s="89"/>
      <c r="M607" s="90"/>
      <c r="N607" s="57"/>
      <c r="O607" s="57"/>
      <c r="P607" s="91"/>
    </row>
    <row r="608" spans="2:16" s="50" customFormat="1" ht="13.2">
      <c r="B608" s="86"/>
      <c r="C608" s="87"/>
      <c r="D608" s="87"/>
      <c r="E608" s="87"/>
      <c r="F608" s="87"/>
      <c r="G608" s="87"/>
      <c r="H608" s="87"/>
      <c r="I608" s="87"/>
      <c r="J608" s="87"/>
      <c r="K608" s="88"/>
      <c r="L608" s="89"/>
      <c r="M608" s="90"/>
      <c r="N608" s="57"/>
      <c r="O608" s="57"/>
      <c r="P608" s="91"/>
    </row>
    <row r="609" spans="2:16" s="50" customFormat="1" ht="13.2">
      <c r="B609" s="86"/>
      <c r="C609" s="87"/>
      <c r="D609" s="87"/>
      <c r="E609" s="87"/>
      <c r="F609" s="87"/>
      <c r="G609" s="87"/>
      <c r="H609" s="87"/>
      <c r="I609" s="87"/>
      <c r="J609" s="87"/>
      <c r="K609" s="88"/>
      <c r="L609" s="89"/>
      <c r="M609" s="90"/>
      <c r="N609" s="57"/>
      <c r="O609" s="57"/>
      <c r="P609" s="91"/>
    </row>
    <row r="610" spans="2:16" s="50" customFormat="1" ht="13.2">
      <c r="B610" s="86"/>
      <c r="C610" s="87"/>
      <c r="D610" s="87"/>
      <c r="E610" s="87"/>
      <c r="F610" s="87"/>
      <c r="G610" s="87"/>
      <c r="H610" s="87"/>
      <c r="I610" s="87"/>
      <c r="J610" s="87"/>
      <c r="K610" s="88"/>
      <c r="L610" s="89"/>
      <c r="M610" s="90"/>
      <c r="N610" s="57"/>
      <c r="O610" s="57"/>
      <c r="P610" s="91"/>
    </row>
    <row r="611" spans="2:16" s="50" customFormat="1" ht="13.2">
      <c r="B611" s="86"/>
      <c r="C611" s="87"/>
      <c r="D611" s="87"/>
      <c r="E611" s="87"/>
      <c r="F611" s="87"/>
      <c r="G611" s="87"/>
      <c r="H611" s="87"/>
      <c r="I611" s="87"/>
      <c r="J611" s="87"/>
      <c r="K611" s="88"/>
      <c r="L611" s="89"/>
      <c r="M611" s="90"/>
      <c r="N611" s="57"/>
      <c r="O611" s="57"/>
      <c r="P611" s="91"/>
    </row>
    <row r="612" spans="2:16" s="50" customFormat="1" ht="13.2">
      <c r="B612" s="86"/>
      <c r="C612" s="87"/>
      <c r="D612" s="87"/>
      <c r="E612" s="87"/>
      <c r="F612" s="87"/>
      <c r="G612" s="87"/>
      <c r="H612" s="87"/>
      <c r="I612" s="87"/>
      <c r="J612" s="87"/>
      <c r="K612" s="88"/>
      <c r="L612" s="89"/>
      <c r="M612" s="90"/>
      <c r="N612" s="57"/>
      <c r="O612" s="57"/>
      <c r="P612" s="91"/>
    </row>
    <row r="613" spans="2:16" s="50" customFormat="1" ht="13.2">
      <c r="B613" s="86"/>
      <c r="C613" s="87"/>
      <c r="D613" s="87"/>
      <c r="E613" s="87"/>
      <c r="F613" s="87"/>
      <c r="G613" s="87"/>
      <c r="H613" s="87"/>
      <c r="I613" s="87"/>
      <c r="J613" s="87"/>
      <c r="K613" s="88"/>
      <c r="L613" s="89"/>
      <c r="M613" s="90"/>
      <c r="N613" s="57"/>
      <c r="O613" s="57"/>
      <c r="P613" s="91"/>
    </row>
    <row r="614" spans="2:16" s="50" customFormat="1" ht="13.2">
      <c r="B614" s="86"/>
      <c r="C614" s="87"/>
      <c r="D614" s="87"/>
      <c r="E614" s="87"/>
      <c r="F614" s="87"/>
      <c r="G614" s="87"/>
      <c r="H614" s="87"/>
      <c r="I614" s="87"/>
      <c r="J614" s="87"/>
      <c r="K614" s="88"/>
      <c r="L614" s="89"/>
      <c r="M614" s="90"/>
      <c r="N614" s="57"/>
      <c r="O614" s="57"/>
      <c r="P614" s="91"/>
    </row>
    <row r="615" spans="2:16" s="50" customFormat="1" ht="13.2">
      <c r="B615" s="86"/>
      <c r="C615" s="87"/>
      <c r="D615" s="87"/>
      <c r="E615" s="87"/>
      <c r="F615" s="87"/>
      <c r="G615" s="87"/>
      <c r="H615" s="87"/>
      <c r="I615" s="87"/>
      <c r="J615" s="87"/>
      <c r="K615" s="88"/>
      <c r="L615" s="89"/>
      <c r="M615" s="90"/>
      <c r="N615" s="57"/>
      <c r="O615" s="57"/>
      <c r="P615" s="91"/>
    </row>
    <row r="616" spans="2:16" s="50" customFormat="1" ht="13.2">
      <c r="B616" s="86"/>
      <c r="C616" s="87"/>
      <c r="D616" s="87"/>
      <c r="E616" s="87"/>
      <c r="F616" s="87"/>
      <c r="G616" s="87"/>
      <c r="H616" s="87"/>
      <c r="I616" s="87"/>
      <c r="J616" s="87"/>
      <c r="K616" s="88"/>
      <c r="L616" s="89"/>
      <c r="M616" s="90"/>
      <c r="N616" s="57"/>
      <c r="O616" s="57"/>
      <c r="P616" s="91"/>
    </row>
    <row r="617" spans="2:16" s="50" customFormat="1" ht="13.2">
      <c r="B617" s="86"/>
      <c r="C617" s="87"/>
      <c r="D617" s="87"/>
      <c r="E617" s="87"/>
      <c r="F617" s="87"/>
      <c r="G617" s="87"/>
      <c r="H617" s="87"/>
      <c r="I617" s="87"/>
      <c r="J617" s="87"/>
      <c r="K617" s="88"/>
      <c r="L617" s="89"/>
      <c r="M617" s="90"/>
      <c r="N617" s="57"/>
      <c r="O617" s="57"/>
      <c r="P617" s="91"/>
    </row>
    <row r="618" spans="2:16" s="50" customFormat="1" ht="13.2">
      <c r="B618" s="86"/>
      <c r="C618" s="87"/>
      <c r="D618" s="87"/>
      <c r="E618" s="87"/>
      <c r="F618" s="87"/>
      <c r="G618" s="87"/>
      <c r="H618" s="87"/>
      <c r="I618" s="87"/>
      <c r="J618" s="87"/>
      <c r="K618" s="88"/>
      <c r="L618" s="89"/>
      <c r="M618" s="90"/>
      <c r="N618" s="57"/>
      <c r="O618" s="57"/>
      <c r="P618" s="91"/>
    </row>
    <row r="619" spans="2:16" s="50" customFormat="1" ht="13.2">
      <c r="B619" s="86"/>
      <c r="C619" s="87"/>
      <c r="D619" s="87"/>
      <c r="E619" s="87"/>
      <c r="F619" s="87"/>
      <c r="G619" s="87"/>
      <c r="H619" s="87"/>
      <c r="I619" s="87"/>
      <c r="J619" s="87"/>
      <c r="K619" s="88"/>
      <c r="L619" s="89"/>
      <c r="M619" s="90"/>
      <c r="N619" s="57"/>
      <c r="O619" s="57"/>
      <c r="P619" s="91"/>
    </row>
    <row r="620" spans="2:16" s="50" customFormat="1" ht="13.2">
      <c r="B620" s="86"/>
      <c r="C620" s="87"/>
      <c r="D620" s="87"/>
      <c r="E620" s="87"/>
      <c r="F620" s="87"/>
      <c r="G620" s="87"/>
      <c r="H620" s="87"/>
      <c r="I620" s="87"/>
      <c r="J620" s="87"/>
      <c r="K620" s="88"/>
      <c r="L620" s="89"/>
      <c r="M620" s="90"/>
      <c r="N620" s="57"/>
      <c r="O620" s="57"/>
      <c r="P620" s="91"/>
    </row>
    <row r="621" spans="2:16" s="50" customFormat="1" ht="13.2">
      <c r="B621" s="86"/>
      <c r="C621" s="87"/>
      <c r="D621" s="87"/>
      <c r="E621" s="87"/>
      <c r="F621" s="87"/>
      <c r="G621" s="87"/>
      <c r="H621" s="87"/>
      <c r="I621" s="87"/>
      <c r="J621" s="87"/>
      <c r="K621" s="88"/>
      <c r="L621" s="89"/>
      <c r="M621" s="90"/>
      <c r="N621" s="57"/>
      <c r="O621" s="57"/>
      <c r="P621" s="91"/>
    </row>
    <row r="622" spans="2:16" s="50" customFormat="1" ht="13.2">
      <c r="B622" s="86"/>
      <c r="C622" s="87"/>
      <c r="D622" s="87"/>
      <c r="E622" s="87"/>
      <c r="F622" s="87"/>
      <c r="G622" s="87"/>
      <c r="H622" s="87"/>
      <c r="I622" s="87"/>
      <c r="J622" s="87"/>
      <c r="K622" s="88"/>
      <c r="L622" s="89"/>
      <c r="M622" s="90"/>
      <c r="N622" s="57"/>
      <c r="O622" s="57"/>
      <c r="P622" s="91"/>
    </row>
    <row r="623" spans="2:16" s="50" customFormat="1" ht="13.2">
      <c r="B623" s="86"/>
      <c r="C623" s="87"/>
      <c r="D623" s="87"/>
      <c r="E623" s="87"/>
      <c r="F623" s="87"/>
      <c r="G623" s="87"/>
      <c r="H623" s="87"/>
      <c r="I623" s="87"/>
      <c r="J623" s="87"/>
      <c r="K623" s="88"/>
      <c r="L623" s="89"/>
      <c r="M623" s="90"/>
      <c r="N623" s="57"/>
      <c r="O623" s="57"/>
      <c r="P623" s="91"/>
    </row>
    <row r="624" spans="2:16" s="50" customFormat="1" ht="13.2">
      <c r="B624" s="86"/>
      <c r="C624" s="87"/>
      <c r="D624" s="87"/>
      <c r="E624" s="87"/>
      <c r="F624" s="87"/>
      <c r="G624" s="87"/>
      <c r="H624" s="87"/>
      <c r="I624" s="87"/>
      <c r="J624" s="87"/>
      <c r="K624" s="88"/>
      <c r="L624" s="89"/>
      <c r="M624" s="90"/>
      <c r="N624" s="57"/>
      <c r="O624" s="57"/>
      <c r="P624" s="91"/>
    </row>
    <row r="625" spans="2:16" s="50" customFormat="1" ht="13.2">
      <c r="B625" s="86"/>
      <c r="C625" s="87"/>
      <c r="D625" s="87"/>
      <c r="E625" s="87"/>
      <c r="F625" s="87"/>
      <c r="G625" s="87"/>
      <c r="H625" s="87"/>
      <c r="I625" s="87"/>
      <c r="J625" s="87"/>
      <c r="K625" s="88"/>
      <c r="L625" s="89"/>
      <c r="M625" s="90"/>
      <c r="N625" s="57"/>
      <c r="O625" s="57"/>
      <c r="P625" s="91"/>
    </row>
    <row r="626" spans="2:16" s="50" customFormat="1" ht="13.2">
      <c r="B626" s="86"/>
      <c r="C626" s="87"/>
      <c r="D626" s="87"/>
      <c r="E626" s="87"/>
      <c r="F626" s="87"/>
      <c r="G626" s="87"/>
      <c r="H626" s="87"/>
      <c r="I626" s="87"/>
      <c r="J626" s="87"/>
      <c r="K626" s="88"/>
      <c r="L626" s="89"/>
      <c r="M626" s="90"/>
      <c r="N626" s="57"/>
      <c r="O626" s="57"/>
      <c r="P626" s="91"/>
    </row>
    <row r="627" spans="2:16" s="50" customFormat="1" ht="13.2">
      <c r="B627" s="86"/>
      <c r="C627" s="87"/>
      <c r="D627" s="87"/>
      <c r="E627" s="87"/>
      <c r="F627" s="87"/>
      <c r="G627" s="87"/>
      <c r="H627" s="87"/>
      <c r="I627" s="87"/>
      <c r="J627" s="87"/>
      <c r="K627" s="88"/>
      <c r="L627" s="89"/>
      <c r="M627" s="90"/>
      <c r="N627" s="57"/>
      <c r="O627" s="57"/>
      <c r="P627" s="91"/>
    </row>
    <row r="628" spans="2:16" s="50" customFormat="1" ht="13.2">
      <c r="B628" s="86"/>
      <c r="C628" s="87"/>
      <c r="D628" s="87"/>
      <c r="E628" s="87"/>
      <c r="F628" s="87"/>
      <c r="G628" s="87"/>
      <c r="H628" s="87"/>
      <c r="I628" s="87"/>
      <c r="J628" s="87"/>
      <c r="K628" s="88"/>
      <c r="L628" s="89"/>
      <c r="M628" s="90"/>
      <c r="N628" s="57"/>
      <c r="O628" s="57"/>
      <c r="P628" s="91"/>
    </row>
    <row r="629" spans="2:16" s="50" customFormat="1" ht="13.2">
      <c r="B629" s="86"/>
      <c r="C629" s="87"/>
      <c r="D629" s="87"/>
      <c r="E629" s="87"/>
      <c r="F629" s="87"/>
      <c r="G629" s="87"/>
      <c r="H629" s="87"/>
      <c r="I629" s="87"/>
      <c r="J629" s="87"/>
      <c r="K629" s="88"/>
      <c r="L629" s="89"/>
      <c r="M629" s="90"/>
      <c r="N629" s="57"/>
      <c r="O629" s="57"/>
      <c r="P629" s="91"/>
    </row>
    <row r="630" spans="2:16" s="50" customFormat="1" ht="13.2">
      <c r="B630" s="86"/>
      <c r="C630" s="87"/>
      <c r="D630" s="87"/>
      <c r="E630" s="87"/>
      <c r="F630" s="87"/>
      <c r="G630" s="87"/>
      <c r="H630" s="87"/>
      <c r="I630" s="87"/>
      <c r="J630" s="87"/>
      <c r="K630" s="88"/>
      <c r="L630" s="89"/>
      <c r="M630" s="90"/>
      <c r="N630" s="57"/>
      <c r="O630" s="57"/>
      <c r="P630" s="91"/>
    </row>
    <row r="631" spans="2:16" s="50" customFormat="1" ht="13.2">
      <c r="B631" s="86"/>
      <c r="C631" s="87"/>
      <c r="D631" s="87"/>
      <c r="E631" s="87"/>
      <c r="F631" s="87"/>
      <c r="G631" s="87"/>
      <c r="H631" s="87"/>
      <c r="I631" s="87"/>
      <c r="J631" s="87"/>
      <c r="K631" s="88"/>
      <c r="L631" s="89"/>
      <c r="M631" s="90"/>
      <c r="N631" s="57"/>
      <c r="O631" s="57"/>
      <c r="P631" s="91"/>
    </row>
    <row r="632" spans="2:16" s="50" customFormat="1" ht="13.2">
      <c r="B632" s="86"/>
      <c r="C632" s="87"/>
      <c r="D632" s="87"/>
      <c r="E632" s="87"/>
      <c r="F632" s="87"/>
      <c r="G632" s="87"/>
      <c r="H632" s="87"/>
      <c r="I632" s="87"/>
      <c r="J632" s="87"/>
      <c r="K632" s="88"/>
      <c r="L632" s="89"/>
      <c r="M632" s="90"/>
      <c r="N632" s="57"/>
      <c r="O632" s="57"/>
      <c r="P632" s="91"/>
    </row>
    <row r="633" spans="2:16" s="50" customFormat="1" ht="13.2">
      <c r="B633" s="86"/>
      <c r="C633" s="87"/>
      <c r="D633" s="87"/>
      <c r="E633" s="87"/>
      <c r="F633" s="87"/>
      <c r="G633" s="87"/>
      <c r="H633" s="87"/>
      <c r="I633" s="87"/>
      <c r="J633" s="87"/>
      <c r="K633" s="88"/>
      <c r="L633" s="89"/>
      <c r="M633" s="90"/>
      <c r="N633" s="57"/>
      <c r="O633" s="57"/>
      <c r="P633" s="91"/>
    </row>
    <row r="634" spans="2:16" s="50" customFormat="1" ht="13.2">
      <c r="B634" s="86"/>
      <c r="C634" s="87"/>
      <c r="D634" s="87"/>
      <c r="E634" s="87"/>
      <c r="F634" s="87"/>
      <c r="G634" s="87"/>
      <c r="H634" s="87"/>
      <c r="I634" s="87"/>
      <c r="J634" s="87"/>
      <c r="K634" s="88"/>
      <c r="L634" s="89"/>
      <c r="M634" s="90"/>
      <c r="N634" s="57"/>
      <c r="O634" s="57"/>
      <c r="P634" s="91"/>
    </row>
    <row r="635" spans="2:16" s="50" customFormat="1" ht="13.2">
      <c r="B635" s="86"/>
      <c r="C635" s="87"/>
      <c r="D635" s="87"/>
      <c r="E635" s="87"/>
      <c r="F635" s="87"/>
      <c r="G635" s="87"/>
      <c r="H635" s="87"/>
      <c r="I635" s="87"/>
      <c r="J635" s="87"/>
      <c r="K635" s="88"/>
      <c r="L635" s="89"/>
      <c r="M635" s="90"/>
      <c r="N635" s="57"/>
      <c r="O635" s="57"/>
      <c r="P635" s="91"/>
    </row>
    <row r="636" spans="2:16" s="50" customFormat="1" ht="13.2">
      <c r="B636" s="86"/>
      <c r="C636" s="87"/>
      <c r="D636" s="87"/>
      <c r="E636" s="87"/>
      <c r="F636" s="87"/>
      <c r="G636" s="87"/>
      <c r="H636" s="87"/>
      <c r="I636" s="87"/>
      <c r="J636" s="87"/>
      <c r="K636" s="88"/>
      <c r="L636" s="89"/>
      <c r="M636" s="90"/>
      <c r="N636" s="57"/>
      <c r="O636" s="57"/>
      <c r="P636" s="91"/>
    </row>
    <row r="637" spans="2:16" s="50" customFormat="1" ht="13.2">
      <c r="B637" s="86"/>
      <c r="C637" s="87"/>
      <c r="D637" s="87"/>
      <c r="E637" s="87"/>
      <c r="F637" s="87"/>
      <c r="G637" s="87"/>
      <c r="H637" s="87"/>
      <c r="I637" s="87"/>
      <c r="J637" s="87"/>
      <c r="K637" s="88"/>
      <c r="L637" s="89"/>
      <c r="M637" s="90"/>
      <c r="N637" s="57"/>
      <c r="O637" s="57"/>
      <c r="P637" s="91"/>
    </row>
    <row r="638" spans="2:16" s="50" customFormat="1" ht="13.2">
      <c r="B638" s="86"/>
      <c r="C638" s="87"/>
      <c r="D638" s="87"/>
      <c r="E638" s="87"/>
      <c r="F638" s="87"/>
      <c r="G638" s="87"/>
      <c r="H638" s="87"/>
      <c r="I638" s="87"/>
      <c r="J638" s="87"/>
      <c r="K638" s="88"/>
      <c r="L638" s="89"/>
      <c r="M638" s="90"/>
      <c r="N638" s="57"/>
      <c r="O638" s="57"/>
      <c r="P638" s="91"/>
    </row>
    <row r="639" spans="2:16" s="50" customFormat="1" ht="13.2">
      <c r="B639" s="86"/>
      <c r="C639" s="87"/>
      <c r="D639" s="87"/>
      <c r="E639" s="87"/>
      <c r="F639" s="87"/>
      <c r="G639" s="87"/>
      <c r="H639" s="87"/>
      <c r="I639" s="87"/>
      <c r="J639" s="87"/>
      <c r="K639" s="88"/>
      <c r="L639" s="89"/>
      <c r="M639" s="90"/>
      <c r="N639" s="57"/>
      <c r="O639" s="57"/>
      <c r="P639" s="91"/>
    </row>
    <row r="640" spans="2:16" s="50" customFormat="1" ht="13.2">
      <c r="B640" s="86"/>
      <c r="C640" s="87"/>
      <c r="D640" s="87"/>
      <c r="E640" s="87"/>
      <c r="F640" s="87"/>
      <c r="G640" s="87"/>
      <c r="H640" s="87"/>
      <c r="I640" s="87"/>
      <c r="J640" s="87"/>
      <c r="K640" s="88"/>
      <c r="L640" s="89"/>
      <c r="M640" s="90"/>
      <c r="N640" s="57"/>
      <c r="O640" s="57"/>
      <c r="P640" s="91"/>
    </row>
    <row r="641" spans="2:16" s="50" customFormat="1" ht="13.2">
      <c r="B641" s="86"/>
      <c r="C641" s="87"/>
      <c r="D641" s="87"/>
      <c r="E641" s="87"/>
      <c r="F641" s="87"/>
      <c r="G641" s="87"/>
      <c r="H641" s="87"/>
      <c r="I641" s="87"/>
      <c r="J641" s="87"/>
      <c r="K641" s="88"/>
      <c r="L641" s="89"/>
      <c r="M641" s="90"/>
      <c r="N641" s="57"/>
      <c r="O641" s="57"/>
      <c r="P641" s="91"/>
    </row>
    <row r="642" spans="2:16" s="50" customFormat="1" ht="13.2">
      <c r="B642" s="86"/>
      <c r="C642" s="87"/>
      <c r="D642" s="87"/>
      <c r="E642" s="87"/>
      <c r="F642" s="87"/>
      <c r="G642" s="87"/>
      <c r="H642" s="87"/>
      <c r="I642" s="87"/>
      <c r="J642" s="87"/>
      <c r="K642" s="88"/>
      <c r="L642" s="89"/>
      <c r="M642" s="90"/>
      <c r="N642" s="57"/>
      <c r="O642" s="57"/>
      <c r="P642" s="91"/>
    </row>
    <row r="643" spans="2:16" s="50" customFormat="1" ht="13.2">
      <c r="B643" s="86"/>
      <c r="C643" s="87"/>
      <c r="D643" s="87"/>
      <c r="E643" s="87"/>
      <c r="F643" s="87"/>
      <c r="G643" s="87"/>
      <c r="H643" s="87"/>
      <c r="I643" s="87"/>
      <c r="J643" s="87"/>
      <c r="K643" s="88"/>
      <c r="L643" s="89"/>
      <c r="M643" s="90"/>
      <c r="N643" s="57"/>
      <c r="O643" s="57"/>
      <c r="P643" s="91"/>
    </row>
    <row r="644" spans="2:16" s="50" customFormat="1" ht="13.2">
      <c r="B644" s="86"/>
      <c r="C644" s="87"/>
      <c r="D644" s="87"/>
      <c r="E644" s="87"/>
      <c r="F644" s="87"/>
      <c r="G644" s="87"/>
      <c r="H644" s="87"/>
      <c r="I644" s="87"/>
      <c r="J644" s="87"/>
      <c r="K644" s="88"/>
      <c r="L644" s="89"/>
      <c r="M644" s="90"/>
      <c r="N644" s="57"/>
      <c r="O644" s="57"/>
      <c r="P644" s="91"/>
    </row>
    <row r="645" spans="2:16" s="50" customFormat="1" ht="13.2">
      <c r="B645" s="86"/>
      <c r="C645" s="87"/>
      <c r="D645" s="87"/>
      <c r="E645" s="87"/>
      <c r="F645" s="87"/>
      <c r="G645" s="87"/>
      <c r="H645" s="87"/>
      <c r="I645" s="87"/>
      <c r="J645" s="87"/>
      <c r="K645" s="88"/>
      <c r="L645" s="89"/>
      <c r="M645" s="90"/>
      <c r="N645" s="57"/>
      <c r="O645" s="57"/>
      <c r="P645" s="91"/>
    </row>
    <row r="646" spans="2:16" s="50" customFormat="1" ht="13.2">
      <c r="B646" s="86"/>
      <c r="C646" s="87"/>
      <c r="D646" s="87"/>
      <c r="E646" s="87"/>
      <c r="F646" s="87"/>
      <c r="G646" s="87"/>
      <c r="H646" s="87"/>
      <c r="I646" s="87"/>
      <c r="J646" s="87"/>
      <c r="K646" s="88"/>
      <c r="L646" s="89"/>
      <c r="M646" s="90"/>
      <c r="N646" s="57"/>
      <c r="O646" s="57"/>
      <c r="P646" s="91"/>
    </row>
    <row r="647" spans="2:16" s="50" customFormat="1" ht="13.2">
      <c r="B647" s="86"/>
      <c r="C647" s="87"/>
      <c r="D647" s="87"/>
      <c r="E647" s="87"/>
      <c r="F647" s="87"/>
      <c r="G647" s="87"/>
      <c r="H647" s="87"/>
      <c r="I647" s="87"/>
      <c r="J647" s="87"/>
      <c r="K647" s="88"/>
      <c r="L647" s="89"/>
      <c r="M647" s="90"/>
      <c r="N647" s="57"/>
      <c r="O647" s="57"/>
      <c r="P647" s="91"/>
    </row>
    <row r="648" spans="2:16" s="50" customFormat="1" ht="13.2">
      <c r="B648" s="86"/>
      <c r="C648" s="87"/>
      <c r="D648" s="87"/>
      <c r="E648" s="87"/>
      <c r="F648" s="87"/>
      <c r="G648" s="87"/>
      <c r="H648" s="87"/>
      <c r="I648" s="87"/>
      <c r="J648" s="87"/>
      <c r="K648" s="88"/>
      <c r="L648" s="89"/>
      <c r="M648" s="90"/>
      <c r="N648" s="57"/>
      <c r="O648" s="57"/>
      <c r="P648" s="91"/>
    </row>
    <row r="649" spans="2:16" s="50" customFormat="1" ht="13.2">
      <c r="B649" s="86"/>
      <c r="C649" s="87"/>
      <c r="D649" s="87"/>
      <c r="E649" s="87"/>
      <c r="F649" s="87"/>
      <c r="G649" s="87"/>
      <c r="H649" s="87"/>
      <c r="I649" s="87"/>
      <c r="J649" s="87"/>
      <c r="K649" s="88"/>
      <c r="L649" s="89"/>
      <c r="M649" s="90"/>
      <c r="N649" s="57"/>
      <c r="O649" s="57"/>
      <c r="P649" s="91"/>
    </row>
    <row r="650" spans="2:16" s="50" customFormat="1" ht="13.2">
      <c r="B650" s="86"/>
      <c r="C650" s="87"/>
      <c r="D650" s="87"/>
      <c r="E650" s="87"/>
      <c r="F650" s="87"/>
      <c r="G650" s="87"/>
      <c r="H650" s="87"/>
      <c r="I650" s="87"/>
      <c r="J650" s="87"/>
      <c r="K650" s="88"/>
      <c r="L650" s="89"/>
      <c r="M650" s="90"/>
      <c r="N650" s="57"/>
      <c r="O650" s="57"/>
      <c r="P650" s="91"/>
    </row>
    <row r="651" spans="2:16" s="50" customFormat="1" ht="13.2">
      <c r="B651" s="86"/>
      <c r="C651" s="87"/>
      <c r="D651" s="87"/>
      <c r="E651" s="87"/>
      <c r="F651" s="87"/>
      <c r="G651" s="87"/>
      <c r="H651" s="87"/>
      <c r="I651" s="87"/>
      <c r="J651" s="87"/>
      <c r="K651" s="88"/>
      <c r="L651" s="89"/>
      <c r="M651" s="90"/>
      <c r="N651" s="57"/>
      <c r="O651" s="57"/>
      <c r="P651" s="91"/>
    </row>
    <row r="652" spans="2:16" s="50" customFormat="1" ht="13.2">
      <c r="B652" s="86"/>
      <c r="C652" s="87"/>
      <c r="D652" s="87"/>
      <c r="E652" s="87"/>
      <c r="F652" s="87"/>
      <c r="G652" s="87"/>
      <c r="H652" s="87"/>
      <c r="I652" s="87"/>
      <c r="J652" s="87"/>
      <c r="K652" s="88"/>
      <c r="L652" s="89"/>
      <c r="M652" s="90"/>
      <c r="N652" s="57"/>
      <c r="O652" s="57"/>
      <c r="P652" s="91"/>
    </row>
    <row r="653" spans="2:16" s="50" customFormat="1" ht="13.2">
      <c r="B653" s="86"/>
      <c r="C653" s="87"/>
      <c r="D653" s="87"/>
      <c r="E653" s="87"/>
      <c r="F653" s="87"/>
      <c r="G653" s="87"/>
      <c r="H653" s="87"/>
      <c r="I653" s="87"/>
      <c r="J653" s="87"/>
      <c r="K653" s="88"/>
      <c r="L653" s="89"/>
      <c r="M653" s="90"/>
      <c r="N653" s="57"/>
      <c r="O653" s="57"/>
      <c r="P653" s="91"/>
    </row>
    <row r="654" spans="2:16" s="50" customFormat="1" ht="13.2">
      <c r="B654" s="86"/>
      <c r="C654" s="87"/>
      <c r="D654" s="87"/>
      <c r="E654" s="87"/>
      <c r="F654" s="87"/>
      <c r="G654" s="87"/>
      <c r="H654" s="87"/>
      <c r="I654" s="87"/>
      <c r="J654" s="87"/>
      <c r="K654" s="88"/>
      <c r="L654" s="89"/>
      <c r="M654" s="90"/>
      <c r="N654" s="57"/>
      <c r="O654" s="57"/>
      <c r="P654" s="91"/>
    </row>
    <row r="655" spans="2:16" s="50" customFormat="1" ht="13.2">
      <c r="B655" s="86"/>
      <c r="C655" s="87"/>
      <c r="D655" s="87"/>
      <c r="E655" s="87"/>
      <c r="F655" s="87"/>
      <c r="G655" s="87"/>
      <c r="H655" s="87"/>
      <c r="I655" s="87"/>
      <c r="J655" s="87"/>
      <c r="K655" s="88"/>
      <c r="L655" s="89"/>
      <c r="M655" s="90"/>
      <c r="N655" s="57"/>
      <c r="O655" s="57"/>
      <c r="P655" s="91"/>
    </row>
    <row r="656" spans="2:16" s="50" customFormat="1" ht="13.2">
      <c r="B656" s="86"/>
      <c r="C656" s="87"/>
      <c r="D656" s="87"/>
      <c r="E656" s="87"/>
      <c r="F656" s="87"/>
      <c r="G656" s="87"/>
      <c r="H656" s="87"/>
      <c r="I656" s="87"/>
      <c r="J656" s="87"/>
      <c r="K656" s="88"/>
      <c r="L656" s="89"/>
      <c r="M656" s="90"/>
      <c r="N656" s="57"/>
      <c r="O656" s="57"/>
      <c r="P656" s="91"/>
    </row>
    <row r="657" spans="2:16" s="50" customFormat="1" ht="13.2">
      <c r="B657" s="86"/>
      <c r="C657" s="87"/>
      <c r="D657" s="87"/>
      <c r="E657" s="87"/>
      <c r="F657" s="87"/>
      <c r="G657" s="87"/>
      <c r="H657" s="87"/>
      <c r="I657" s="87"/>
      <c r="J657" s="87"/>
      <c r="K657" s="88"/>
      <c r="L657" s="89"/>
      <c r="M657" s="90"/>
      <c r="N657" s="57"/>
      <c r="O657" s="57"/>
      <c r="P657" s="91"/>
    </row>
    <row r="658" spans="2:16" s="50" customFormat="1" ht="13.2">
      <c r="B658" s="86"/>
      <c r="C658" s="87"/>
      <c r="D658" s="87"/>
      <c r="E658" s="87"/>
      <c r="F658" s="87"/>
      <c r="G658" s="87"/>
      <c r="H658" s="87"/>
      <c r="I658" s="87"/>
      <c r="J658" s="87"/>
      <c r="K658" s="88"/>
      <c r="L658" s="89"/>
      <c r="M658" s="90"/>
      <c r="N658" s="57"/>
      <c r="O658" s="57"/>
      <c r="P658" s="91"/>
    </row>
    <row r="659" spans="2:16" s="50" customFormat="1" ht="13.2">
      <c r="B659" s="86"/>
      <c r="C659" s="87"/>
      <c r="D659" s="87"/>
      <c r="E659" s="87"/>
      <c r="F659" s="87"/>
      <c r="G659" s="87"/>
      <c r="H659" s="87"/>
      <c r="I659" s="87"/>
      <c r="J659" s="87"/>
      <c r="K659" s="88"/>
      <c r="L659" s="89"/>
      <c r="M659" s="90"/>
      <c r="N659" s="57"/>
      <c r="O659" s="57"/>
      <c r="P659" s="91"/>
    </row>
    <row r="660" spans="2:16" s="50" customFormat="1" ht="13.2">
      <c r="B660" s="86"/>
      <c r="C660" s="87"/>
      <c r="D660" s="87"/>
      <c r="E660" s="87"/>
      <c r="F660" s="87"/>
      <c r="G660" s="87"/>
      <c r="H660" s="87"/>
      <c r="I660" s="87"/>
      <c r="J660" s="87"/>
      <c r="K660" s="88"/>
      <c r="L660" s="89"/>
      <c r="M660" s="90"/>
      <c r="N660" s="57"/>
      <c r="O660" s="57"/>
      <c r="P660" s="91"/>
    </row>
    <row r="661" spans="2:16" s="50" customFormat="1" ht="13.2">
      <c r="B661" s="86"/>
      <c r="C661" s="87"/>
      <c r="D661" s="87"/>
      <c r="E661" s="87"/>
      <c r="F661" s="87"/>
      <c r="G661" s="87"/>
      <c r="H661" s="87"/>
      <c r="I661" s="87"/>
      <c r="J661" s="87"/>
      <c r="K661" s="88"/>
      <c r="L661" s="89"/>
      <c r="M661" s="90"/>
      <c r="N661" s="57"/>
      <c r="O661" s="57"/>
      <c r="P661" s="91"/>
    </row>
    <row r="662" spans="2:16" s="50" customFormat="1" ht="13.2">
      <c r="B662" s="86"/>
      <c r="C662" s="87"/>
      <c r="D662" s="87"/>
      <c r="E662" s="87"/>
      <c r="F662" s="87"/>
      <c r="G662" s="87"/>
      <c r="H662" s="87"/>
      <c r="I662" s="87"/>
      <c r="J662" s="87"/>
      <c r="K662" s="88"/>
      <c r="L662" s="89"/>
      <c r="M662" s="90"/>
      <c r="N662" s="57"/>
      <c r="O662" s="57"/>
      <c r="P662" s="91"/>
    </row>
    <row r="663" spans="2:16" s="50" customFormat="1" ht="13.2">
      <c r="B663" s="86"/>
      <c r="C663" s="87"/>
      <c r="D663" s="87"/>
      <c r="E663" s="87"/>
      <c r="F663" s="87"/>
      <c r="G663" s="87"/>
      <c r="H663" s="87"/>
      <c r="I663" s="87"/>
      <c r="J663" s="87"/>
      <c r="K663" s="88"/>
      <c r="L663" s="89"/>
      <c r="M663" s="90"/>
      <c r="N663" s="57"/>
      <c r="O663" s="57"/>
      <c r="P663" s="91"/>
    </row>
    <row r="664" spans="2:16" s="50" customFormat="1" ht="13.2">
      <c r="B664" s="86"/>
      <c r="C664" s="87"/>
      <c r="D664" s="87"/>
      <c r="E664" s="87"/>
      <c r="F664" s="87"/>
      <c r="G664" s="87"/>
      <c r="H664" s="87"/>
      <c r="I664" s="87"/>
      <c r="J664" s="87"/>
      <c r="K664" s="88"/>
      <c r="L664" s="89"/>
      <c r="M664" s="90"/>
      <c r="N664" s="57"/>
      <c r="O664" s="57"/>
      <c r="P664" s="91"/>
    </row>
    <row r="665" spans="2:16" s="50" customFormat="1" ht="13.2">
      <c r="B665" s="86"/>
      <c r="C665" s="87"/>
      <c r="D665" s="87"/>
      <c r="E665" s="87"/>
      <c r="F665" s="87"/>
      <c r="G665" s="87"/>
      <c r="H665" s="87"/>
      <c r="I665" s="87"/>
      <c r="J665" s="87"/>
      <c r="K665" s="88"/>
      <c r="L665" s="89"/>
      <c r="M665" s="90"/>
      <c r="N665" s="57"/>
      <c r="O665" s="57"/>
      <c r="P665" s="91"/>
    </row>
    <row r="666" spans="2:16" s="50" customFormat="1" ht="13.2">
      <c r="B666" s="86"/>
      <c r="C666" s="87"/>
      <c r="D666" s="87"/>
      <c r="E666" s="87"/>
      <c r="F666" s="87"/>
      <c r="G666" s="87"/>
      <c r="H666" s="87"/>
      <c r="I666" s="87"/>
      <c r="J666" s="87"/>
      <c r="K666" s="88"/>
      <c r="L666" s="89"/>
      <c r="M666" s="90"/>
      <c r="N666" s="57"/>
      <c r="O666" s="57"/>
      <c r="P666" s="91"/>
    </row>
    <row r="667" spans="2:16" s="50" customFormat="1" ht="13.2">
      <c r="B667" s="86"/>
      <c r="C667" s="87"/>
      <c r="D667" s="87"/>
      <c r="E667" s="87"/>
      <c r="F667" s="87"/>
      <c r="G667" s="87"/>
      <c r="H667" s="87"/>
      <c r="I667" s="87"/>
      <c r="J667" s="87"/>
      <c r="K667" s="88"/>
      <c r="L667" s="89"/>
      <c r="M667" s="90"/>
      <c r="N667" s="57"/>
      <c r="O667" s="57"/>
      <c r="P667" s="91"/>
    </row>
    <row r="668" spans="2:16" s="50" customFormat="1" ht="13.2">
      <c r="B668" s="86"/>
      <c r="C668" s="87"/>
      <c r="D668" s="87"/>
      <c r="E668" s="87"/>
      <c r="F668" s="87"/>
      <c r="G668" s="87"/>
      <c r="H668" s="87"/>
      <c r="I668" s="87"/>
      <c r="J668" s="87"/>
      <c r="K668" s="88"/>
      <c r="L668" s="89"/>
      <c r="M668" s="90"/>
      <c r="N668" s="57"/>
      <c r="O668" s="57"/>
      <c r="P668" s="91"/>
    </row>
    <row r="669" spans="2:16" s="50" customFormat="1" ht="13.2">
      <c r="B669" s="86"/>
      <c r="C669" s="87"/>
      <c r="D669" s="87"/>
      <c r="E669" s="87"/>
      <c r="F669" s="87"/>
      <c r="G669" s="87"/>
      <c r="H669" s="87"/>
      <c r="I669" s="87"/>
      <c r="J669" s="87"/>
      <c r="K669" s="88"/>
      <c r="L669" s="89"/>
      <c r="M669" s="90"/>
      <c r="N669" s="57"/>
      <c r="O669" s="57"/>
      <c r="P669" s="91"/>
    </row>
    <row r="670" spans="2:16" s="50" customFormat="1" ht="13.2">
      <c r="B670" s="86"/>
      <c r="C670" s="87"/>
      <c r="D670" s="87"/>
      <c r="E670" s="87"/>
      <c r="F670" s="87"/>
      <c r="G670" s="87"/>
      <c r="H670" s="87"/>
      <c r="I670" s="87"/>
      <c r="J670" s="87"/>
      <c r="K670" s="88"/>
      <c r="L670" s="89"/>
      <c r="M670" s="90"/>
      <c r="N670" s="57"/>
      <c r="O670" s="57"/>
      <c r="P670" s="91"/>
    </row>
    <row r="671" spans="2:16" s="50" customFormat="1" ht="13.2">
      <c r="B671" s="86"/>
      <c r="C671" s="87"/>
      <c r="D671" s="87"/>
      <c r="E671" s="87"/>
      <c r="F671" s="87"/>
      <c r="G671" s="87"/>
      <c r="H671" s="87"/>
      <c r="I671" s="87"/>
      <c r="J671" s="87"/>
      <c r="K671" s="88"/>
      <c r="L671" s="89"/>
      <c r="M671" s="90"/>
      <c r="N671" s="57"/>
      <c r="O671" s="57"/>
      <c r="P671" s="91"/>
    </row>
    <row r="672" spans="2:16" s="50" customFormat="1" ht="13.2">
      <c r="B672" s="86"/>
      <c r="C672" s="87"/>
      <c r="D672" s="87"/>
      <c r="E672" s="87"/>
      <c r="F672" s="87"/>
      <c r="G672" s="87"/>
      <c r="H672" s="87"/>
      <c r="I672" s="87"/>
      <c r="J672" s="87"/>
      <c r="K672" s="88"/>
      <c r="L672" s="89"/>
      <c r="M672" s="90"/>
      <c r="N672" s="57"/>
      <c r="O672" s="57"/>
      <c r="P672" s="91"/>
    </row>
    <row r="673" spans="2:16" s="50" customFormat="1" ht="13.2">
      <c r="B673" s="86"/>
      <c r="C673" s="87"/>
      <c r="D673" s="87"/>
      <c r="E673" s="87"/>
      <c r="F673" s="87"/>
      <c r="G673" s="87"/>
      <c r="H673" s="87"/>
      <c r="I673" s="87"/>
      <c r="J673" s="87"/>
      <c r="K673" s="88"/>
      <c r="L673" s="89"/>
      <c r="M673" s="90"/>
      <c r="N673" s="57"/>
      <c r="O673" s="57"/>
      <c r="P673" s="91"/>
    </row>
    <row r="674" spans="2:16" s="50" customFormat="1" ht="13.2">
      <c r="B674" s="86"/>
      <c r="C674" s="87"/>
      <c r="D674" s="87"/>
      <c r="E674" s="87"/>
      <c r="F674" s="87"/>
      <c r="G674" s="87"/>
      <c r="H674" s="87"/>
      <c r="I674" s="87"/>
      <c r="J674" s="87"/>
      <c r="K674" s="88"/>
      <c r="L674" s="89"/>
      <c r="M674" s="90"/>
      <c r="N674" s="57"/>
      <c r="O674" s="57"/>
      <c r="P674" s="91"/>
    </row>
    <row r="675" spans="2:16" s="50" customFormat="1" ht="13.2">
      <c r="B675" s="86"/>
      <c r="C675" s="87"/>
      <c r="D675" s="87"/>
      <c r="E675" s="87"/>
      <c r="F675" s="87"/>
      <c r="G675" s="87"/>
      <c r="H675" s="87"/>
      <c r="I675" s="87"/>
      <c r="J675" s="87"/>
      <c r="K675" s="88"/>
      <c r="L675" s="89"/>
      <c r="M675" s="90"/>
      <c r="N675" s="57"/>
      <c r="O675" s="57"/>
      <c r="P675" s="91"/>
    </row>
    <row r="676" spans="2:16" s="50" customFormat="1" ht="13.2">
      <c r="B676" s="86"/>
      <c r="C676" s="87"/>
      <c r="D676" s="87"/>
      <c r="E676" s="87"/>
      <c r="F676" s="87"/>
      <c r="G676" s="87"/>
      <c r="H676" s="87"/>
      <c r="I676" s="87"/>
      <c r="J676" s="87"/>
      <c r="K676" s="88"/>
      <c r="L676" s="89"/>
      <c r="M676" s="90"/>
      <c r="N676" s="57"/>
      <c r="O676" s="57"/>
      <c r="P676" s="91"/>
    </row>
    <row r="677" spans="2:16" s="50" customFormat="1" ht="13.2">
      <c r="B677" s="86"/>
      <c r="C677" s="87"/>
      <c r="D677" s="87"/>
      <c r="E677" s="87"/>
      <c r="F677" s="87"/>
      <c r="G677" s="87"/>
      <c r="H677" s="87"/>
      <c r="I677" s="87"/>
      <c r="J677" s="87"/>
      <c r="K677" s="88"/>
      <c r="L677" s="89"/>
      <c r="M677" s="90"/>
      <c r="N677" s="57"/>
      <c r="O677" s="57"/>
      <c r="P677" s="91"/>
    </row>
    <row r="678" spans="2:16" s="50" customFormat="1" ht="13.2">
      <c r="B678" s="86"/>
      <c r="C678" s="87"/>
      <c r="D678" s="87"/>
      <c r="E678" s="87"/>
      <c r="F678" s="87"/>
      <c r="G678" s="87"/>
      <c r="H678" s="87"/>
      <c r="I678" s="87"/>
      <c r="J678" s="87"/>
      <c r="K678" s="88"/>
      <c r="L678" s="89"/>
      <c r="M678" s="90"/>
      <c r="N678" s="57"/>
      <c r="O678" s="57"/>
      <c r="P678" s="91"/>
    </row>
    <row r="679" spans="2:16" s="50" customFormat="1" ht="13.2">
      <c r="B679" s="86"/>
      <c r="C679" s="87"/>
      <c r="D679" s="87"/>
      <c r="E679" s="87"/>
      <c r="F679" s="87"/>
      <c r="G679" s="87"/>
      <c r="H679" s="87"/>
      <c r="I679" s="87"/>
      <c r="J679" s="87"/>
      <c r="K679" s="88"/>
      <c r="L679" s="89"/>
      <c r="M679" s="90"/>
      <c r="N679" s="57"/>
      <c r="O679" s="57"/>
      <c r="P679" s="91"/>
    </row>
    <row r="680" spans="2:16" s="50" customFormat="1" ht="13.2">
      <c r="B680" s="86"/>
      <c r="C680" s="87"/>
      <c r="D680" s="87"/>
      <c r="E680" s="87"/>
      <c r="F680" s="87"/>
      <c r="G680" s="87"/>
      <c r="H680" s="87"/>
      <c r="I680" s="87"/>
      <c r="J680" s="87"/>
      <c r="K680" s="88"/>
      <c r="L680" s="89"/>
      <c r="M680" s="90"/>
      <c r="N680" s="57"/>
      <c r="O680" s="57"/>
      <c r="P680" s="91"/>
    </row>
    <row r="681" spans="2:16" s="50" customFormat="1" ht="13.2">
      <c r="B681" s="86"/>
      <c r="C681" s="87"/>
      <c r="D681" s="87"/>
      <c r="E681" s="87"/>
      <c r="F681" s="87"/>
      <c r="G681" s="87"/>
      <c r="H681" s="87"/>
      <c r="I681" s="87"/>
      <c r="J681" s="87"/>
      <c r="K681" s="88"/>
      <c r="L681" s="89"/>
      <c r="M681" s="90"/>
      <c r="N681" s="57"/>
      <c r="O681" s="57"/>
      <c r="P681" s="91"/>
    </row>
    <row r="682" spans="2:16" s="50" customFormat="1" ht="13.2">
      <c r="B682" s="86"/>
      <c r="C682" s="87"/>
      <c r="D682" s="87"/>
      <c r="E682" s="87"/>
      <c r="F682" s="87"/>
      <c r="G682" s="87"/>
      <c r="H682" s="87"/>
      <c r="I682" s="87"/>
      <c r="J682" s="87"/>
      <c r="K682" s="88"/>
      <c r="L682" s="89"/>
      <c r="M682" s="90"/>
      <c r="N682" s="57"/>
      <c r="O682" s="57"/>
      <c r="P682" s="91"/>
    </row>
    <row r="683" spans="2:16" s="50" customFormat="1" ht="13.2">
      <c r="B683" s="86"/>
      <c r="C683" s="87"/>
      <c r="D683" s="87"/>
      <c r="E683" s="87"/>
      <c r="F683" s="87"/>
      <c r="G683" s="87"/>
      <c r="H683" s="87"/>
      <c r="I683" s="87"/>
      <c r="J683" s="87"/>
      <c r="K683" s="88"/>
      <c r="L683" s="89"/>
      <c r="M683" s="90"/>
      <c r="N683" s="57"/>
      <c r="O683" s="57"/>
      <c r="P683" s="91"/>
    </row>
    <row r="684" spans="2:16" s="50" customFormat="1" ht="13.2">
      <c r="B684" s="86"/>
      <c r="C684" s="87"/>
      <c r="D684" s="87"/>
      <c r="E684" s="87"/>
      <c r="F684" s="87"/>
      <c r="G684" s="87"/>
      <c r="H684" s="87"/>
      <c r="I684" s="87"/>
      <c r="J684" s="87"/>
      <c r="K684" s="88"/>
      <c r="L684" s="89"/>
      <c r="M684" s="90"/>
      <c r="N684" s="57"/>
      <c r="O684" s="57"/>
      <c r="P684" s="91"/>
    </row>
    <row r="685" spans="2:16" s="50" customFormat="1" ht="13.2">
      <c r="B685" s="86"/>
      <c r="C685" s="87"/>
      <c r="D685" s="87"/>
      <c r="E685" s="87"/>
      <c r="F685" s="87"/>
      <c r="G685" s="87"/>
      <c r="H685" s="87"/>
      <c r="I685" s="87"/>
      <c r="J685" s="87"/>
      <c r="K685" s="88"/>
      <c r="L685" s="89"/>
      <c r="M685" s="90"/>
      <c r="N685" s="57"/>
      <c r="O685" s="57"/>
      <c r="P685" s="91"/>
    </row>
    <row r="686" spans="2:16" s="50" customFormat="1" ht="13.2">
      <c r="B686" s="86"/>
      <c r="C686" s="87"/>
      <c r="D686" s="87"/>
      <c r="E686" s="87"/>
      <c r="F686" s="87"/>
      <c r="G686" s="87"/>
      <c r="H686" s="87"/>
      <c r="I686" s="87"/>
      <c r="J686" s="87"/>
      <c r="K686" s="88"/>
      <c r="L686" s="89"/>
      <c r="M686" s="90"/>
      <c r="N686" s="57"/>
      <c r="O686" s="57"/>
      <c r="P686" s="91"/>
    </row>
    <row r="687" spans="2:16" s="50" customFormat="1" ht="13.2">
      <c r="B687" s="86"/>
      <c r="C687" s="87"/>
      <c r="D687" s="87"/>
      <c r="E687" s="87"/>
      <c r="F687" s="87"/>
      <c r="G687" s="87"/>
      <c r="H687" s="87"/>
      <c r="I687" s="87"/>
      <c r="J687" s="87"/>
      <c r="K687" s="88"/>
      <c r="L687" s="89"/>
      <c r="M687" s="90"/>
      <c r="N687" s="57"/>
      <c r="O687" s="57"/>
      <c r="P687" s="91"/>
    </row>
    <row r="688" spans="2:16" s="50" customFormat="1" ht="13.2">
      <c r="B688" s="86"/>
      <c r="C688" s="87"/>
      <c r="D688" s="87"/>
      <c r="E688" s="87"/>
      <c r="F688" s="87"/>
      <c r="G688" s="87"/>
      <c r="H688" s="87"/>
      <c r="I688" s="87"/>
      <c r="J688" s="87"/>
      <c r="K688" s="88"/>
      <c r="L688" s="89"/>
      <c r="M688" s="90"/>
      <c r="N688" s="57"/>
      <c r="O688" s="57"/>
      <c r="P688" s="91"/>
    </row>
    <row r="689" spans="2:16" s="50" customFormat="1" ht="13.2">
      <c r="B689" s="86"/>
      <c r="C689" s="87"/>
      <c r="D689" s="87"/>
      <c r="E689" s="87"/>
      <c r="F689" s="87"/>
      <c r="G689" s="87"/>
      <c r="H689" s="87"/>
      <c r="I689" s="87"/>
      <c r="J689" s="87"/>
      <c r="K689" s="88"/>
      <c r="L689" s="89"/>
      <c r="M689" s="90"/>
      <c r="N689" s="57"/>
      <c r="O689" s="57"/>
      <c r="P689" s="91"/>
    </row>
    <row r="690" spans="2:16" s="50" customFormat="1" ht="13.2">
      <c r="B690" s="86"/>
      <c r="C690" s="87"/>
      <c r="D690" s="87"/>
      <c r="E690" s="87"/>
      <c r="F690" s="87"/>
      <c r="G690" s="87"/>
      <c r="H690" s="87"/>
      <c r="I690" s="87"/>
      <c r="J690" s="87"/>
      <c r="K690" s="88"/>
      <c r="L690" s="89"/>
      <c r="M690" s="90"/>
      <c r="N690" s="57"/>
      <c r="O690" s="57"/>
      <c r="P690" s="91"/>
    </row>
    <row r="691" spans="2:16" s="50" customFormat="1" ht="13.2">
      <c r="B691" s="86"/>
      <c r="C691" s="87"/>
      <c r="D691" s="87"/>
      <c r="E691" s="87"/>
      <c r="F691" s="87"/>
      <c r="G691" s="87"/>
      <c r="H691" s="87"/>
      <c r="I691" s="87"/>
      <c r="J691" s="87"/>
      <c r="K691" s="88"/>
      <c r="L691" s="89"/>
      <c r="M691" s="90"/>
      <c r="N691" s="57"/>
      <c r="O691" s="57"/>
      <c r="P691" s="91"/>
    </row>
    <row r="692" spans="2:16" s="50" customFormat="1" ht="13.2">
      <c r="B692" s="86"/>
      <c r="C692" s="87"/>
      <c r="D692" s="87"/>
      <c r="E692" s="87"/>
      <c r="F692" s="87"/>
      <c r="G692" s="87"/>
      <c r="H692" s="87"/>
      <c r="I692" s="87"/>
      <c r="J692" s="87"/>
      <c r="K692" s="88"/>
      <c r="L692" s="89"/>
      <c r="M692" s="90"/>
      <c r="N692" s="57"/>
      <c r="O692" s="57"/>
      <c r="P692" s="91"/>
    </row>
    <row r="693" spans="2:16" s="50" customFormat="1" ht="13.2">
      <c r="B693" s="86"/>
      <c r="C693" s="87"/>
      <c r="D693" s="87"/>
      <c r="E693" s="87"/>
      <c r="F693" s="87"/>
      <c r="G693" s="87"/>
      <c r="H693" s="87"/>
      <c r="I693" s="87"/>
      <c r="J693" s="87"/>
      <c r="K693" s="88"/>
      <c r="L693" s="89"/>
      <c r="M693" s="90"/>
      <c r="N693" s="57"/>
      <c r="O693" s="57"/>
      <c r="P693" s="91"/>
    </row>
    <row r="694" spans="2:16" s="50" customFormat="1" ht="13.2">
      <c r="B694" s="86"/>
      <c r="C694" s="87"/>
      <c r="D694" s="87"/>
      <c r="E694" s="87"/>
      <c r="F694" s="87"/>
      <c r="G694" s="87"/>
      <c r="H694" s="87"/>
      <c r="I694" s="87"/>
      <c r="J694" s="87"/>
      <c r="K694" s="88"/>
      <c r="L694" s="89"/>
      <c r="M694" s="90"/>
      <c r="N694" s="57"/>
      <c r="O694" s="57"/>
      <c r="P694" s="91"/>
    </row>
    <row r="695" spans="2:16" s="50" customFormat="1" ht="13.2">
      <c r="B695" s="86"/>
      <c r="C695" s="87"/>
      <c r="D695" s="87"/>
      <c r="E695" s="87"/>
      <c r="F695" s="87"/>
      <c r="G695" s="87"/>
      <c r="H695" s="87"/>
      <c r="I695" s="87"/>
      <c r="J695" s="87"/>
      <c r="K695" s="88"/>
      <c r="L695" s="89"/>
      <c r="M695" s="90"/>
      <c r="N695" s="57"/>
      <c r="O695" s="57"/>
      <c r="P695" s="91"/>
    </row>
    <row r="696" spans="2:16" s="50" customFormat="1" ht="13.2">
      <c r="B696" s="86"/>
      <c r="C696" s="87"/>
      <c r="D696" s="87"/>
      <c r="E696" s="87"/>
      <c r="F696" s="87"/>
      <c r="G696" s="87"/>
      <c r="H696" s="87"/>
      <c r="I696" s="87"/>
      <c r="J696" s="87"/>
      <c r="K696" s="88"/>
      <c r="L696" s="89"/>
      <c r="M696" s="90"/>
      <c r="N696" s="57"/>
      <c r="O696" s="57"/>
      <c r="P696" s="91"/>
    </row>
    <row r="697" spans="2:16" s="50" customFormat="1" ht="13.2">
      <c r="B697" s="86"/>
      <c r="C697" s="87"/>
      <c r="D697" s="87"/>
      <c r="E697" s="87"/>
      <c r="F697" s="87"/>
      <c r="G697" s="87"/>
      <c r="H697" s="87"/>
      <c r="I697" s="87"/>
      <c r="J697" s="87"/>
      <c r="K697" s="88"/>
      <c r="L697" s="89"/>
      <c r="M697" s="90"/>
      <c r="N697" s="57"/>
      <c r="O697" s="57"/>
      <c r="P697" s="91"/>
    </row>
    <row r="698" spans="2:16" s="50" customFormat="1" ht="13.2">
      <c r="B698" s="86"/>
      <c r="C698" s="87"/>
      <c r="D698" s="87"/>
      <c r="E698" s="87"/>
      <c r="F698" s="87"/>
      <c r="G698" s="87"/>
      <c r="H698" s="87"/>
      <c r="I698" s="87"/>
      <c r="J698" s="87"/>
      <c r="K698" s="88"/>
      <c r="L698" s="89"/>
      <c r="M698" s="90"/>
      <c r="N698" s="57"/>
      <c r="O698" s="57"/>
      <c r="P698" s="91"/>
    </row>
    <row r="699" spans="2:16" s="50" customFormat="1" ht="13.2">
      <c r="B699" s="86"/>
      <c r="C699" s="87"/>
      <c r="D699" s="87"/>
      <c r="E699" s="87"/>
      <c r="F699" s="87"/>
      <c r="G699" s="87"/>
      <c r="H699" s="87"/>
      <c r="I699" s="87"/>
      <c r="J699" s="87"/>
      <c r="K699" s="88"/>
      <c r="L699" s="89"/>
      <c r="M699" s="90"/>
      <c r="N699" s="57"/>
      <c r="O699" s="57"/>
      <c r="P699" s="91"/>
    </row>
    <row r="700" spans="2:16" s="50" customFormat="1" ht="13.2">
      <c r="B700" s="86"/>
      <c r="C700" s="87"/>
      <c r="D700" s="87"/>
      <c r="E700" s="87"/>
      <c r="F700" s="87"/>
      <c r="G700" s="87"/>
      <c r="H700" s="87"/>
      <c r="I700" s="87"/>
      <c r="J700" s="87"/>
      <c r="K700" s="88"/>
      <c r="L700" s="89"/>
      <c r="M700" s="90"/>
      <c r="N700" s="57"/>
      <c r="O700" s="57"/>
      <c r="P700" s="91"/>
    </row>
    <row r="701" spans="2:16" s="50" customFormat="1" ht="13.2">
      <c r="B701" s="86"/>
      <c r="C701" s="87"/>
      <c r="D701" s="87"/>
      <c r="E701" s="87"/>
      <c r="F701" s="87"/>
      <c r="G701" s="87"/>
      <c r="H701" s="87"/>
      <c r="I701" s="87"/>
      <c r="J701" s="87"/>
      <c r="K701" s="88"/>
      <c r="L701" s="89"/>
      <c r="M701" s="90"/>
      <c r="N701" s="57"/>
      <c r="O701" s="57"/>
      <c r="P701" s="91"/>
    </row>
    <row r="702" spans="2:16" s="50" customFormat="1" ht="13.2">
      <c r="B702" s="86"/>
      <c r="C702" s="87"/>
      <c r="D702" s="87"/>
      <c r="E702" s="87"/>
      <c r="F702" s="87"/>
      <c r="G702" s="87"/>
      <c r="H702" s="87"/>
      <c r="I702" s="87"/>
      <c r="J702" s="87"/>
      <c r="K702" s="88"/>
      <c r="L702" s="89"/>
      <c r="M702" s="90"/>
      <c r="N702" s="57"/>
      <c r="O702" s="57"/>
      <c r="P702" s="91"/>
    </row>
    <row r="703" spans="2:16" s="50" customFormat="1" ht="13.2">
      <c r="B703" s="86"/>
      <c r="C703" s="87"/>
      <c r="D703" s="87"/>
      <c r="E703" s="87"/>
      <c r="F703" s="87"/>
      <c r="G703" s="87"/>
      <c r="H703" s="87"/>
      <c r="I703" s="87"/>
      <c r="J703" s="87"/>
      <c r="K703" s="88"/>
      <c r="L703" s="89"/>
      <c r="M703" s="90"/>
      <c r="N703" s="57"/>
      <c r="O703" s="57"/>
      <c r="P703" s="91"/>
    </row>
    <row r="704" spans="2:16" s="50" customFormat="1" ht="13.2">
      <c r="B704" s="86"/>
      <c r="C704" s="87"/>
      <c r="D704" s="87"/>
      <c r="E704" s="87"/>
      <c r="F704" s="87"/>
      <c r="G704" s="87"/>
      <c r="H704" s="87"/>
      <c r="I704" s="87"/>
      <c r="J704" s="87"/>
      <c r="K704" s="88"/>
      <c r="L704" s="89"/>
      <c r="M704" s="90"/>
      <c r="N704" s="57"/>
      <c r="O704" s="57"/>
      <c r="P704" s="91"/>
    </row>
    <row r="705" spans="2:16" s="50" customFormat="1" ht="13.2">
      <c r="B705" s="86"/>
      <c r="C705" s="87"/>
      <c r="D705" s="87"/>
      <c r="E705" s="87"/>
      <c r="F705" s="87"/>
      <c r="G705" s="87"/>
      <c r="H705" s="87"/>
      <c r="I705" s="87"/>
      <c r="J705" s="87"/>
      <c r="K705" s="88"/>
      <c r="L705" s="89"/>
      <c r="M705" s="90"/>
      <c r="N705" s="57"/>
      <c r="O705" s="57"/>
      <c r="P705" s="91"/>
    </row>
    <row r="706" spans="2:16" s="50" customFormat="1" ht="13.2">
      <c r="B706" s="86"/>
      <c r="C706" s="87"/>
      <c r="D706" s="87"/>
      <c r="E706" s="87"/>
      <c r="F706" s="87"/>
      <c r="G706" s="87"/>
      <c r="H706" s="87"/>
      <c r="I706" s="87"/>
      <c r="J706" s="87"/>
      <c r="K706" s="88"/>
      <c r="L706" s="89"/>
      <c r="M706" s="90"/>
      <c r="N706" s="57"/>
      <c r="O706" s="57"/>
      <c r="P706" s="91"/>
    </row>
    <row r="707" spans="2:16" s="50" customFormat="1" ht="13.2">
      <c r="B707" s="86"/>
      <c r="C707" s="87"/>
      <c r="D707" s="87"/>
      <c r="E707" s="87"/>
      <c r="F707" s="87"/>
      <c r="G707" s="87"/>
      <c r="H707" s="87"/>
      <c r="I707" s="87"/>
      <c r="J707" s="87"/>
      <c r="K707" s="88"/>
      <c r="L707" s="89"/>
      <c r="M707" s="90"/>
      <c r="N707" s="57"/>
      <c r="O707" s="57"/>
      <c r="P707" s="91"/>
    </row>
    <row r="708" spans="2:16" s="50" customFormat="1" ht="13.2">
      <c r="B708" s="86"/>
      <c r="C708" s="87"/>
      <c r="D708" s="87"/>
      <c r="E708" s="87"/>
      <c r="F708" s="87"/>
      <c r="G708" s="87"/>
      <c r="H708" s="87"/>
      <c r="I708" s="87"/>
      <c r="J708" s="87"/>
      <c r="K708" s="88"/>
      <c r="L708" s="89"/>
      <c r="M708" s="90"/>
      <c r="N708" s="57"/>
      <c r="O708" s="57"/>
      <c r="P708" s="91"/>
    </row>
    <row r="709" spans="2:16" s="50" customFormat="1" ht="13.2">
      <c r="B709" s="86"/>
      <c r="C709" s="87"/>
      <c r="D709" s="87"/>
      <c r="E709" s="87"/>
      <c r="F709" s="87"/>
      <c r="G709" s="87"/>
      <c r="H709" s="87"/>
      <c r="I709" s="87"/>
      <c r="J709" s="87"/>
      <c r="K709" s="88"/>
      <c r="L709" s="89"/>
      <c r="M709" s="90"/>
      <c r="N709" s="57"/>
      <c r="O709" s="57"/>
      <c r="P709" s="91"/>
    </row>
    <row r="710" spans="2:16" s="50" customFormat="1" ht="13.2">
      <c r="B710" s="86"/>
      <c r="C710" s="87"/>
      <c r="D710" s="87"/>
      <c r="E710" s="87"/>
      <c r="F710" s="87"/>
      <c r="G710" s="87"/>
      <c r="H710" s="87"/>
      <c r="I710" s="87"/>
      <c r="J710" s="87"/>
      <c r="K710" s="88"/>
      <c r="L710" s="89"/>
      <c r="M710" s="90"/>
      <c r="N710" s="57"/>
      <c r="O710" s="57"/>
      <c r="P710" s="91"/>
    </row>
    <row r="711" spans="2:16" s="50" customFormat="1" ht="13.2">
      <c r="B711" s="86"/>
      <c r="C711" s="87"/>
      <c r="D711" s="87"/>
      <c r="E711" s="87"/>
      <c r="F711" s="87"/>
      <c r="G711" s="87"/>
      <c r="H711" s="87"/>
      <c r="I711" s="87"/>
      <c r="J711" s="87"/>
      <c r="K711" s="88"/>
      <c r="L711" s="89"/>
      <c r="M711" s="90"/>
      <c r="N711" s="57"/>
      <c r="O711" s="57"/>
      <c r="P711" s="91"/>
    </row>
    <row r="712" spans="2:16" s="50" customFormat="1" ht="13.2">
      <c r="B712" s="86"/>
      <c r="C712" s="87"/>
      <c r="D712" s="87"/>
      <c r="E712" s="87"/>
      <c r="F712" s="87"/>
      <c r="G712" s="87"/>
      <c r="H712" s="87"/>
      <c r="I712" s="87"/>
      <c r="J712" s="87"/>
      <c r="K712" s="88"/>
      <c r="L712" s="89"/>
      <c r="M712" s="90"/>
      <c r="N712" s="57"/>
      <c r="O712" s="57"/>
      <c r="P712" s="91"/>
    </row>
    <row r="713" spans="2:16" s="50" customFormat="1" ht="13.2">
      <c r="B713" s="86"/>
      <c r="C713" s="87"/>
      <c r="D713" s="87"/>
      <c r="E713" s="87"/>
      <c r="F713" s="87"/>
      <c r="G713" s="87"/>
      <c r="H713" s="87"/>
      <c r="I713" s="87"/>
      <c r="J713" s="87"/>
      <c r="K713" s="88"/>
      <c r="L713" s="89"/>
      <c r="M713" s="90"/>
      <c r="N713" s="57"/>
      <c r="O713" s="57"/>
      <c r="P713" s="91"/>
    </row>
    <row r="714" spans="2:16" s="50" customFormat="1" ht="13.2">
      <c r="B714" s="86"/>
      <c r="C714" s="87"/>
      <c r="D714" s="87"/>
      <c r="E714" s="87"/>
      <c r="F714" s="87"/>
      <c r="G714" s="87"/>
      <c r="H714" s="87"/>
      <c r="I714" s="87"/>
      <c r="J714" s="87"/>
      <c r="K714" s="88"/>
      <c r="L714" s="89"/>
      <c r="M714" s="90"/>
      <c r="N714" s="57"/>
      <c r="O714" s="57"/>
      <c r="P714" s="91"/>
    </row>
    <row r="715" spans="2:16" s="50" customFormat="1" ht="13.2">
      <c r="B715" s="86"/>
      <c r="C715" s="87"/>
      <c r="D715" s="87"/>
      <c r="E715" s="87"/>
      <c r="F715" s="87"/>
      <c r="G715" s="87"/>
      <c r="H715" s="87"/>
      <c r="I715" s="87"/>
      <c r="J715" s="87"/>
      <c r="K715" s="88"/>
      <c r="L715" s="89"/>
      <c r="M715" s="90"/>
      <c r="N715" s="57"/>
      <c r="O715" s="57"/>
      <c r="P715" s="91"/>
    </row>
    <row r="716" spans="2:16" s="50" customFormat="1" ht="13.2">
      <c r="B716" s="86"/>
      <c r="C716" s="87"/>
      <c r="D716" s="87"/>
      <c r="E716" s="87"/>
      <c r="F716" s="87"/>
      <c r="G716" s="87"/>
      <c r="H716" s="87"/>
      <c r="I716" s="87"/>
      <c r="J716" s="87"/>
      <c r="K716" s="88"/>
      <c r="L716" s="89"/>
      <c r="M716" s="90"/>
      <c r="N716" s="57"/>
      <c r="O716" s="57"/>
      <c r="P716" s="91"/>
    </row>
    <row r="717" spans="2:16" s="50" customFormat="1" ht="13.2">
      <c r="B717" s="86"/>
      <c r="C717" s="87"/>
      <c r="D717" s="87"/>
      <c r="E717" s="87"/>
      <c r="F717" s="87"/>
      <c r="G717" s="87"/>
      <c r="H717" s="87"/>
      <c r="I717" s="87"/>
      <c r="J717" s="87"/>
      <c r="K717" s="88"/>
      <c r="L717" s="89"/>
      <c r="M717" s="90"/>
      <c r="N717" s="57"/>
      <c r="O717" s="57"/>
      <c r="P717" s="91"/>
    </row>
    <row r="718" spans="2:16" s="50" customFormat="1" ht="13.2">
      <c r="B718" s="86"/>
      <c r="C718" s="87"/>
      <c r="D718" s="87"/>
      <c r="E718" s="87"/>
      <c r="F718" s="87"/>
      <c r="G718" s="87"/>
      <c r="H718" s="87"/>
      <c r="I718" s="87"/>
      <c r="J718" s="87"/>
      <c r="K718" s="88"/>
      <c r="L718" s="89"/>
      <c r="M718" s="90"/>
      <c r="N718" s="57"/>
      <c r="O718" s="57"/>
      <c r="P718" s="91"/>
    </row>
    <row r="719" spans="2:16" s="50" customFormat="1" ht="13.2">
      <c r="B719" s="86"/>
      <c r="C719" s="87"/>
      <c r="D719" s="87"/>
      <c r="E719" s="87"/>
      <c r="F719" s="87"/>
      <c r="G719" s="87"/>
      <c r="H719" s="87"/>
      <c r="I719" s="87"/>
      <c r="J719" s="87"/>
      <c r="K719" s="88"/>
      <c r="L719" s="89"/>
      <c r="M719" s="90"/>
      <c r="N719" s="57"/>
      <c r="O719" s="57"/>
      <c r="P719" s="91"/>
    </row>
    <row r="720" spans="2:16" s="50" customFormat="1" ht="13.2">
      <c r="B720" s="86"/>
      <c r="C720" s="87"/>
      <c r="D720" s="87"/>
      <c r="E720" s="87"/>
      <c r="F720" s="87"/>
      <c r="G720" s="87"/>
      <c r="H720" s="87"/>
      <c r="I720" s="87"/>
      <c r="J720" s="87"/>
      <c r="K720" s="88"/>
      <c r="L720" s="89"/>
      <c r="M720" s="90"/>
      <c r="N720" s="57"/>
      <c r="O720" s="57"/>
      <c r="P720" s="91"/>
    </row>
    <row r="721" spans="2:16" s="50" customFormat="1" ht="13.2">
      <c r="B721" s="86"/>
      <c r="C721" s="87"/>
      <c r="D721" s="87"/>
      <c r="E721" s="87"/>
      <c r="F721" s="87"/>
      <c r="G721" s="87"/>
      <c r="H721" s="87"/>
      <c r="I721" s="87"/>
      <c r="J721" s="87"/>
      <c r="K721" s="88"/>
      <c r="L721" s="89"/>
      <c r="M721" s="90"/>
      <c r="N721" s="57"/>
      <c r="O721" s="57"/>
      <c r="P721" s="91"/>
    </row>
    <row r="722" spans="2:16" s="50" customFormat="1" ht="13.2">
      <c r="B722" s="86"/>
      <c r="C722" s="87"/>
      <c r="D722" s="87"/>
      <c r="E722" s="87"/>
      <c r="F722" s="87"/>
      <c r="G722" s="87"/>
      <c r="H722" s="87"/>
      <c r="I722" s="87"/>
      <c r="J722" s="87"/>
      <c r="K722" s="88"/>
      <c r="L722" s="89"/>
      <c r="M722" s="90"/>
      <c r="N722" s="57"/>
      <c r="O722" s="57"/>
      <c r="P722" s="91"/>
    </row>
    <row r="723" spans="2:16" s="50" customFormat="1" ht="13.2">
      <c r="B723" s="86"/>
      <c r="C723" s="87"/>
      <c r="D723" s="87"/>
      <c r="E723" s="87"/>
      <c r="F723" s="87"/>
      <c r="G723" s="87"/>
      <c r="H723" s="87"/>
      <c r="I723" s="87"/>
      <c r="J723" s="87"/>
      <c r="K723" s="88"/>
      <c r="L723" s="89"/>
      <c r="M723" s="90"/>
      <c r="N723" s="57"/>
      <c r="O723" s="57"/>
      <c r="P723" s="91"/>
    </row>
    <row r="724" spans="2:16" s="50" customFormat="1" ht="13.2">
      <c r="B724" s="86"/>
      <c r="C724" s="87"/>
      <c r="D724" s="87"/>
      <c r="E724" s="87"/>
      <c r="F724" s="87"/>
      <c r="G724" s="87"/>
      <c r="H724" s="87"/>
      <c r="I724" s="87"/>
      <c r="J724" s="87"/>
      <c r="K724" s="88"/>
      <c r="L724" s="89"/>
      <c r="M724" s="90"/>
      <c r="N724" s="57"/>
      <c r="O724" s="57"/>
      <c r="P724" s="91"/>
    </row>
    <row r="725" spans="2:16" s="50" customFormat="1" ht="13.2">
      <c r="B725" s="86"/>
      <c r="C725" s="87"/>
      <c r="D725" s="87"/>
      <c r="E725" s="87"/>
      <c r="F725" s="87"/>
      <c r="G725" s="87"/>
      <c r="H725" s="87"/>
      <c r="I725" s="87"/>
      <c r="J725" s="87"/>
      <c r="K725" s="88"/>
      <c r="L725" s="89"/>
      <c r="M725" s="90"/>
      <c r="N725" s="57"/>
      <c r="O725" s="57"/>
      <c r="P725" s="91"/>
    </row>
    <row r="726" spans="2:16" s="50" customFormat="1" ht="13.2">
      <c r="B726" s="86"/>
      <c r="C726" s="87"/>
      <c r="D726" s="87"/>
      <c r="E726" s="87"/>
      <c r="F726" s="87"/>
      <c r="G726" s="87"/>
      <c r="H726" s="87"/>
      <c r="I726" s="87"/>
      <c r="J726" s="87"/>
      <c r="K726" s="88"/>
      <c r="L726" s="89"/>
      <c r="M726" s="90"/>
      <c r="N726" s="57"/>
      <c r="O726" s="57"/>
      <c r="P726" s="91"/>
    </row>
    <row r="727" spans="2:16" s="50" customFormat="1" ht="13.2">
      <c r="B727" s="86"/>
      <c r="C727" s="87"/>
      <c r="D727" s="87"/>
      <c r="E727" s="87"/>
      <c r="F727" s="87"/>
      <c r="G727" s="87"/>
      <c r="H727" s="87"/>
      <c r="I727" s="87"/>
      <c r="J727" s="87"/>
      <c r="K727" s="88"/>
      <c r="L727" s="89"/>
      <c r="M727" s="90"/>
      <c r="N727" s="57"/>
      <c r="O727" s="57"/>
      <c r="P727" s="91"/>
    </row>
    <row r="728" spans="2:16" s="50" customFormat="1" ht="13.2">
      <c r="B728" s="86"/>
      <c r="C728" s="87"/>
      <c r="D728" s="87"/>
      <c r="E728" s="87"/>
      <c r="F728" s="87"/>
      <c r="G728" s="87"/>
      <c r="H728" s="87"/>
      <c r="I728" s="87"/>
      <c r="J728" s="87"/>
      <c r="K728" s="88"/>
      <c r="L728" s="89"/>
      <c r="M728" s="90"/>
      <c r="N728" s="57"/>
      <c r="O728" s="57"/>
      <c r="P728" s="91"/>
    </row>
    <row r="729" spans="2:16" s="50" customFormat="1" ht="13.2">
      <c r="B729" s="86"/>
      <c r="C729" s="87"/>
      <c r="D729" s="87"/>
      <c r="E729" s="87"/>
      <c r="F729" s="87"/>
      <c r="G729" s="87"/>
      <c r="H729" s="87"/>
      <c r="I729" s="87"/>
      <c r="J729" s="87"/>
      <c r="K729" s="88"/>
      <c r="L729" s="89"/>
      <c r="M729" s="90"/>
      <c r="N729" s="57"/>
      <c r="O729" s="57"/>
      <c r="P729" s="91"/>
    </row>
    <row r="730" spans="2:16" s="50" customFormat="1" ht="13.2">
      <c r="B730" s="86"/>
      <c r="C730" s="87"/>
      <c r="D730" s="87"/>
      <c r="E730" s="87"/>
      <c r="F730" s="87"/>
      <c r="G730" s="87"/>
      <c r="H730" s="87"/>
      <c r="I730" s="87"/>
      <c r="J730" s="87"/>
      <c r="K730" s="88"/>
      <c r="L730" s="89"/>
      <c r="M730" s="90"/>
      <c r="N730" s="57"/>
      <c r="O730" s="57"/>
      <c r="P730" s="91"/>
    </row>
    <row r="731" spans="2:16" s="50" customFormat="1" ht="13.2">
      <c r="B731" s="86"/>
      <c r="C731" s="87"/>
      <c r="D731" s="87"/>
      <c r="E731" s="87"/>
      <c r="F731" s="87"/>
      <c r="G731" s="87"/>
      <c r="H731" s="87"/>
      <c r="I731" s="87"/>
      <c r="J731" s="87"/>
      <c r="K731" s="88"/>
      <c r="L731" s="89"/>
      <c r="M731" s="90"/>
      <c r="N731" s="57"/>
      <c r="O731" s="57"/>
      <c r="P731" s="91"/>
    </row>
    <row r="732" spans="2:16" s="50" customFormat="1" ht="13.2">
      <c r="B732" s="86"/>
      <c r="C732" s="87"/>
      <c r="D732" s="87"/>
      <c r="E732" s="87"/>
      <c r="F732" s="87"/>
      <c r="G732" s="87"/>
      <c r="H732" s="87"/>
      <c r="I732" s="87"/>
      <c r="J732" s="87"/>
      <c r="K732" s="88"/>
      <c r="L732" s="89"/>
      <c r="M732" s="90"/>
      <c r="N732" s="57"/>
      <c r="O732" s="57"/>
      <c r="P732" s="91"/>
    </row>
    <row r="733" spans="2:16" s="50" customFormat="1" ht="13.2">
      <c r="B733" s="86"/>
      <c r="C733" s="87"/>
      <c r="D733" s="87"/>
      <c r="E733" s="87"/>
      <c r="F733" s="87"/>
      <c r="G733" s="87"/>
      <c r="H733" s="87"/>
      <c r="I733" s="87"/>
      <c r="J733" s="87"/>
      <c r="K733" s="88"/>
      <c r="L733" s="89"/>
      <c r="M733" s="90"/>
      <c r="N733" s="57"/>
      <c r="O733" s="57"/>
      <c r="P733" s="91"/>
    </row>
    <row r="734" spans="2:16" s="50" customFormat="1" ht="13.2">
      <c r="B734" s="86"/>
      <c r="C734" s="87"/>
      <c r="D734" s="87"/>
      <c r="E734" s="87"/>
      <c r="F734" s="87"/>
      <c r="G734" s="87"/>
      <c r="H734" s="87"/>
      <c r="I734" s="87"/>
      <c r="J734" s="87"/>
      <c r="K734" s="88"/>
      <c r="L734" s="89"/>
      <c r="M734" s="90"/>
      <c r="N734" s="57"/>
      <c r="O734" s="57"/>
      <c r="P734" s="91"/>
    </row>
    <row r="735" spans="2:16" s="50" customFormat="1" ht="13.2">
      <c r="B735" s="86"/>
      <c r="C735" s="87"/>
      <c r="D735" s="87"/>
      <c r="E735" s="87"/>
      <c r="F735" s="87"/>
      <c r="G735" s="87"/>
      <c r="H735" s="87"/>
      <c r="I735" s="87"/>
      <c r="J735" s="87"/>
      <c r="K735" s="88"/>
      <c r="L735" s="89"/>
      <c r="M735" s="90"/>
      <c r="N735" s="57"/>
      <c r="O735" s="57"/>
      <c r="P735" s="91"/>
    </row>
    <row r="736" spans="2:16" s="50" customFormat="1" ht="13.2">
      <c r="B736" s="86"/>
      <c r="C736" s="87"/>
      <c r="D736" s="87"/>
      <c r="E736" s="87"/>
      <c r="F736" s="87"/>
      <c r="G736" s="87"/>
      <c r="H736" s="87"/>
      <c r="I736" s="87"/>
      <c r="J736" s="87"/>
      <c r="K736" s="88"/>
      <c r="L736" s="89"/>
      <c r="M736" s="90"/>
      <c r="N736" s="57"/>
      <c r="O736" s="57"/>
      <c r="P736" s="91"/>
    </row>
    <row r="737" spans="2:16" s="50" customFormat="1" ht="13.2">
      <c r="B737" s="86"/>
      <c r="C737" s="87"/>
      <c r="D737" s="87"/>
      <c r="E737" s="87"/>
      <c r="F737" s="87"/>
      <c r="G737" s="87"/>
      <c r="H737" s="87"/>
      <c r="I737" s="87"/>
      <c r="J737" s="87"/>
      <c r="K737" s="88"/>
      <c r="L737" s="89"/>
      <c r="M737" s="90"/>
      <c r="N737" s="57"/>
      <c r="O737" s="57"/>
      <c r="P737" s="91"/>
    </row>
    <row r="738" spans="2:16" s="50" customFormat="1" ht="13.2">
      <c r="B738" s="86"/>
      <c r="C738" s="87"/>
      <c r="D738" s="87"/>
      <c r="E738" s="87"/>
      <c r="F738" s="87"/>
      <c r="G738" s="87"/>
      <c r="H738" s="87"/>
      <c r="I738" s="87"/>
      <c r="J738" s="87"/>
      <c r="K738" s="88"/>
      <c r="L738" s="89"/>
      <c r="M738" s="90"/>
      <c r="N738" s="57"/>
      <c r="O738" s="57"/>
      <c r="P738" s="91"/>
    </row>
    <row r="739" spans="2:16" s="50" customFormat="1" ht="13.2">
      <c r="B739" s="86"/>
      <c r="C739" s="87"/>
      <c r="D739" s="87"/>
      <c r="E739" s="87"/>
      <c r="F739" s="87"/>
      <c r="G739" s="87"/>
      <c r="H739" s="87"/>
      <c r="I739" s="87"/>
      <c r="J739" s="87"/>
      <c r="K739" s="88"/>
      <c r="L739" s="89"/>
      <c r="M739" s="90"/>
      <c r="N739" s="57"/>
      <c r="O739" s="57"/>
      <c r="P739" s="91"/>
    </row>
    <row r="740" spans="2:16" s="50" customFormat="1" ht="13.2">
      <c r="B740" s="86"/>
      <c r="C740" s="87"/>
      <c r="D740" s="87"/>
      <c r="E740" s="87"/>
      <c r="F740" s="87"/>
      <c r="G740" s="87"/>
      <c r="H740" s="87"/>
      <c r="I740" s="87"/>
      <c r="J740" s="87"/>
      <c r="K740" s="88"/>
      <c r="L740" s="89"/>
      <c r="M740" s="90"/>
      <c r="N740" s="57"/>
      <c r="O740" s="57"/>
      <c r="P740" s="91"/>
    </row>
    <row r="741" spans="2:16" s="50" customFormat="1" ht="13.2">
      <c r="B741" s="86"/>
      <c r="C741" s="87"/>
      <c r="D741" s="87"/>
      <c r="E741" s="87"/>
      <c r="F741" s="87"/>
      <c r="G741" s="87"/>
      <c r="H741" s="87"/>
      <c r="I741" s="87"/>
      <c r="J741" s="87"/>
      <c r="K741" s="88"/>
      <c r="L741" s="89"/>
      <c r="M741" s="90"/>
      <c r="N741" s="57"/>
      <c r="O741" s="57"/>
      <c r="P741" s="91"/>
    </row>
    <row r="742" spans="2:16" s="50" customFormat="1" ht="13.2">
      <c r="B742" s="86"/>
      <c r="C742" s="87"/>
      <c r="D742" s="87"/>
      <c r="E742" s="87"/>
      <c r="F742" s="87"/>
      <c r="G742" s="87"/>
      <c r="H742" s="87"/>
      <c r="I742" s="87"/>
      <c r="J742" s="87"/>
      <c r="K742" s="88"/>
      <c r="L742" s="89"/>
      <c r="M742" s="90"/>
      <c r="N742" s="57"/>
      <c r="O742" s="57"/>
      <c r="P742" s="91"/>
    </row>
    <row r="743" spans="2:16" s="50" customFormat="1" ht="13.2">
      <c r="B743" s="86"/>
      <c r="C743" s="87"/>
      <c r="D743" s="87"/>
      <c r="E743" s="87"/>
      <c r="F743" s="87"/>
      <c r="G743" s="87"/>
      <c r="H743" s="87"/>
      <c r="I743" s="87"/>
      <c r="J743" s="87"/>
      <c r="K743" s="88"/>
      <c r="L743" s="89"/>
      <c r="M743" s="90"/>
      <c r="N743" s="57"/>
      <c r="O743" s="57"/>
      <c r="P743" s="91"/>
    </row>
    <row r="744" spans="2:16" s="50" customFormat="1" ht="13.2">
      <c r="B744" s="86"/>
      <c r="C744" s="87"/>
      <c r="D744" s="87"/>
      <c r="E744" s="87"/>
      <c r="F744" s="87"/>
      <c r="G744" s="87"/>
      <c r="H744" s="87"/>
      <c r="I744" s="87"/>
      <c r="J744" s="87"/>
      <c r="K744" s="88"/>
      <c r="L744" s="89"/>
      <c r="M744" s="90"/>
      <c r="N744" s="57"/>
      <c r="O744" s="57"/>
      <c r="P744" s="91"/>
    </row>
    <row r="745" spans="2:16" s="50" customFormat="1" ht="13.2">
      <c r="B745" s="86"/>
      <c r="C745" s="87"/>
      <c r="D745" s="87"/>
      <c r="E745" s="87"/>
      <c r="F745" s="87"/>
      <c r="G745" s="87"/>
      <c r="H745" s="87"/>
      <c r="I745" s="87"/>
      <c r="J745" s="87"/>
      <c r="K745" s="88"/>
      <c r="L745" s="89"/>
      <c r="M745" s="90"/>
      <c r="N745" s="57"/>
      <c r="O745" s="57"/>
      <c r="P745" s="91"/>
    </row>
    <row r="746" spans="2:16" s="50" customFormat="1" ht="13.2">
      <c r="B746" s="86"/>
      <c r="C746" s="87"/>
      <c r="D746" s="87"/>
      <c r="E746" s="87"/>
      <c r="F746" s="87"/>
      <c r="G746" s="87"/>
      <c r="H746" s="87"/>
      <c r="I746" s="87"/>
      <c r="J746" s="87"/>
      <c r="K746" s="88"/>
      <c r="L746" s="89"/>
      <c r="M746" s="90"/>
      <c r="N746" s="57"/>
      <c r="O746" s="57"/>
      <c r="P746" s="91"/>
    </row>
    <row r="747" spans="2:16" s="50" customFormat="1" ht="13.2">
      <c r="B747" s="86"/>
      <c r="C747" s="87"/>
      <c r="D747" s="87"/>
      <c r="E747" s="87"/>
      <c r="F747" s="87"/>
      <c r="G747" s="87"/>
      <c r="H747" s="87"/>
      <c r="I747" s="87"/>
      <c r="J747" s="87"/>
      <c r="K747" s="88"/>
      <c r="L747" s="89"/>
      <c r="M747" s="90"/>
      <c r="N747" s="57"/>
      <c r="O747" s="57"/>
      <c r="P747" s="91"/>
    </row>
    <row r="748" spans="2:16" s="50" customFormat="1" ht="13.2">
      <c r="B748" s="86"/>
      <c r="C748" s="87"/>
      <c r="D748" s="87"/>
      <c r="E748" s="87"/>
      <c r="F748" s="87"/>
      <c r="G748" s="87"/>
      <c r="H748" s="87"/>
      <c r="I748" s="87"/>
      <c r="J748" s="87"/>
      <c r="K748" s="88"/>
      <c r="L748" s="89"/>
      <c r="M748" s="90"/>
      <c r="N748" s="57"/>
      <c r="O748" s="57"/>
      <c r="P748" s="91"/>
    </row>
    <row r="749" spans="2:16" s="50" customFormat="1" ht="13.2">
      <c r="B749" s="86"/>
      <c r="C749" s="87"/>
      <c r="D749" s="87"/>
      <c r="E749" s="87"/>
      <c r="F749" s="87"/>
      <c r="G749" s="87"/>
      <c r="H749" s="87"/>
      <c r="I749" s="87"/>
      <c r="J749" s="87"/>
      <c r="K749" s="88"/>
      <c r="L749" s="89"/>
      <c r="M749" s="90"/>
      <c r="N749" s="57"/>
      <c r="O749" s="57"/>
      <c r="P749" s="91"/>
    </row>
    <row r="750" spans="2:16" s="50" customFormat="1" ht="13.2">
      <c r="B750" s="86"/>
      <c r="C750" s="87"/>
      <c r="D750" s="87"/>
      <c r="E750" s="87"/>
      <c r="F750" s="87"/>
      <c r="G750" s="87"/>
      <c r="H750" s="87"/>
      <c r="I750" s="87"/>
      <c r="J750" s="87"/>
      <c r="K750" s="88"/>
      <c r="L750" s="89"/>
      <c r="M750" s="90"/>
      <c r="N750" s="57"/>
      <c r="O750" s="57"/>
      <c r="P750" s="91"/>
    </row>
    <row r="751" spans="2:16" s="50" customFormat="1" ht="13.2">
      <c r="B751" s="86"/>
      <c r="C751" s="87"/>
      <c r="D751" s="87"/>
      <c r="E751" s="87"/>
      <c r="F751" s="87"/>
      <c r="G751" s="87"/>
      <c r="H751" s="87"/>
      <c r="I751" s="87"/>
      <c r="J751" s="87"/>
      <c r="K751" s="88"/>
      <c r="L751" s="89"/>
      <c r="M751" s="90"/>
      <c r="N751" s="57"/>
      <c r="O751" s="57"/>
      <c r="P751" s="91"/>
    </row>
    <row r="752" spans="2:16" s="50" customFormat="1" ht="13.2">
      <c r="B752" s="86"/>
      <c r="C752" s="87"/>
      <c r="D752" s="87"/>
      <c r="E752" s="87"/>
      <c r="F752" s="87"/>
      <c r="G752" s="87"/>
      <c r="H752" s="87"/>
      <c r="I752" s="87"/>
      <c r="J752" s="87"/>
      <c r="K752" s="88"/>
      <c r="L752" s="89"/>
      <c r="M752" s="90"/>
      <c r="N752" s="57"/>
      <c r="O752" s="57"/>
      <c r="P752" s="91"/>
    </row>
    <row r="753" spans="2:16" s="50" customFormat="1" ht="13.2">
      <c r="B753" s="86"/>
      <c r="C753" s="87"/>
      <c r="D753" s="87"/>
      <c r="E753" s="87"/>
      <c r="F753" s="87"/>
      <c r="G753" s="87"/>
      <c r="H753" s="87"/>
      <c r="I753" s="87"/>
      <c r="J753" s="87"/>
      <c r="K753" s="88"/>
      <c r="L753" s="89"/>
      <c r="M753" s="90"/>
      <c r="N753" s="57"/>
      <c r="O753" s="57"/>
      <c r="P753" s="91"/>
    </row>
    <row r="754" spans="2:16" s="50" customFormat="1" ht="13.2">
      <c r="B754" s="86"/>
      <c r="C754" s="87"/>
      <c r="D754" s="87"/>
      <c r="E754" s="87"/>
      <c r="F754" s="87"/>
      <c r="G754" s="87"/>
      <c r="H754" s="87"/>
      <c r="I754" s="87"/>
      <c r="J754" s="87"/>
      <c r="K754" s="88"/>
      <c r="L754" s="89"/>
      <c r="M754" s="90"/>
      <c r="N754" s="57"/>
      <c r="O754" s="57"/>
      <c r="P754" s="91"/>
    </row>
    <row r="755" spans="2:16" s="50" customFormat="1" ht="13.2">
      <c r="B755" s="86"/>
      <c r="C755" s="87"/>
      <c r="D755" s="87"/>
      <c r="E755" s="87"/>
      <c r="F755" s="87"/>
      <c r="G755" s="87"/>
      <c r="H755" s="87"/>
      <c r="I755" s="87"/>
      <c r="J755" s="87"/>
      <c r="K755" s="88"/>
      <c r="L755" s="89"/>
      <c r="M755" s="90"/>
      <c r="N755" s="57"/>
      <c r="O755" s="57"/>
      <c r="P755" s="91"/>
    </row>
    <row r="756" spans="2:16" s="50" customFormat="1" ht="13.2">
      <c r="B756" s="86"/>
      <c r="C756" s="87"/>
      <c r="D756" s="87"/>
      <c r="E756" s="87"/>
      <c r="F756" s="87"/>
      <c r="G756" s="87"/>
      <c r="H756" s="87"/>
      <c r="I756" s="87"/>
      <c r="J756" s="87"/>
      <c r="K756" s="88"/>
      <c r="L756" s="89"/>
      <c r="M756" s="90"/>
      <c r="N756" s="57"/>
      <c r="O756" s="57"/>
      <c r="P756" s="91"/>
    </row>
    <row r="757" spans="2:16" s="50" customFormat="1" ht="13.2">
      <c r="B757" s="86"/>
      <c r="C757" s="87"/>
      <c r="D757" s="87"/>
      <c r="E757" s="87"/>
      <c r="F757" s="87"/>
      <c r="G757" s="87"/>
      <c r="H757" s="87"/>
      <c r="I757" s="87"/>
      <c r="J757" s="87"/>
      <c r="K757" s="88"/>
      <c r="L757" s="89"/>
      <c r="M757" s="90"/>
      <c r="N757" s="57"/>
      <c r="O757" s="57"/>
      <c r="P757" s="91"/>
    </row>
    <row r="758" spans="2:16" s="50" customFormat="1" ht="13.2">
      <c r="B758" s="86"/>
      <c r="C758" s="87"/>
      <c r="D758" s="87"/>
      <c r="E758" s="87"/>
      <c r="F758" s="87"/>
      <c r="G758" s="87"/>
      <c r="H758" s="87"/>
      <c r="I758" s="87"/>
      <c r="J758" s="87"/>
      <c r="K758" s="88"/>
      <c r="L758" s="89"/>
      <c r="M758" s="90"/>
      <c r="N758" s="57"/>
      <c r="O758" s="57"/>
      <c r="P758" s="91"/>
    </row>
    <row r="759" spans="2:16" s="50" customFormat="1" ht="13.2">
      <c r="B759" s="86"/>
      <c r="C759" s="87"/>
      <c r="D759" s="87"/>
      <c r="E759" s="87"/>
      <c r="F759" s="87"/>
      <c r="G759" s="87"/>
      <c r="H759" s="87"/>
      <c r="I759" s="87"/>
      <c r="J759" s="87"/>
      <c r="K759" s="88"/>
      <c r="L759" s="89"/>
      <c r="M759" s="90"/>
      <c r="N759" s="57"/>
      <c r="O759" s="57"/>
      <c r="P759" s="91"/>
    </row>
    <row r="760" spans="2:16" s="50" customFormat="1" ht="13.2">
      <c r="B760" s="86"/>
      <c r="C760" s="87"/>
      <c r="D760" s="87"/>
      <c r="E760" s="87"/>
      <c r="F760" s="87"/>
      <c r="G760" s="87"/>
      <c r="H760" s="87"/>
      <c r="I760" s="87"/>
      <c r="J760" s="87"/>
      <c r="K760" s="88"/>
      <c r="L760" s="89"/>
      <c r="M760" s="90"/>
      <c r="N760" s="57"/>
      <c r="O760" s="57"/>
      <c r="P760" s="91"/>
    </row>
    <row r="761" spans="2:16" s="50" customFormat="1" ht="13.2">
      <c r="B761" s="86"/>
      <c r="C761" s="87"/>
      <c r="D761" s="87"/>
      <c r="E761" s="87"/>
      <c r="F761" s="87"/>
      <c r="G761" s="87"/>
      <c r="H761" s="87"/>
      <c r="I761" s="87"/>
      <c r="J761" s="87"/>
      <c r="K761" s="88"/>
      <c r="L761" s="89"/>
      <c r="M761" s="90"/>
      <c r="N761" s="57"/>
      <c r="O761" s="57"/>
      <c r="P761" s="91"/>
    </row>
    <row r="762" spans="2:16" s="50" customFormat="1" ht="13.2">
      <c r="B762" s="86"/>
      <c r="C762" s="87"/>
      <c r="D762" s="87"/>
      <c r="E762" s="87"/>
      <c r="F762" s="87"/>
      <c r="G762" s="87"/>
      <c r="H762" s="87"/>
      <c r="I762" s="87"/>
      <c r="J762" s="87"/>
      <c r="K762" s="88"/>
      <c r="L762" s="89"/>
      <c r="M762" s="90"/>
      <c r="N762" s="57"/>
      <c r="O762" s="57"/>
      <c r="P762" s="91"/>
    </row>
    <row r="763" spans="2:16" s="50" customFormat="1" ht="13.2">
      <c r="B763" s="86"/>
      <c r="C763" s="87"/>
      <c r="D763" s="87"/>
      <c r="E763" s="87"/>
      <c r="F763" s="87"/>
      <c r="G763" s="87"/>
      <c r="H763" s="87"/>
      <c r="I763" s="87"/>
      <c r="J763" s="87"/>
      <c r="K763" s="88"/>
      <c r="L763" s="89"/>
      <c r="M763" s="90"/>
      <c r="N763" s="57"/>
      <c r="O763" s="57"/>
      <c r="P763" s="91"/>
    </row>
    <row r="764" spans="2:16" s="50" customFormat="1" ht="13.2">
      <c r="B764" s="86"/>
      <c r="C764" s="87"/>
      <c r="D764" s="87"/>
      <c r="E764" s="87"/>
      <c r="F764" s="87"/>
      <c r="G764" s="87"/>
      <c r="H764" s="87"/>
      <c r="I764" s="87"/>
      <c r="J764" s="87"/>
      <c r="K764" s="88"/>
      <c r="L764" s="89"/>
      <c r="M764" s="90"/>
      <c r="N764" s="57"/>
      <c r="O764" s="57"/>
      <c r="P764" s="91"/>
    </row>
    <row r="765" spans="2:16" s="50" customFormat="1" ht="13.2">
      <c r="B765" s="86"/>
      <c r="C765" s="87"/>
      <c r="D765" s="87"/>
      <c r="E765" s="87"/>
      <c r="F765" s="87"/>
      <c r="G765" s="87"/>
      <c r="H765" s="87"/>
      <c r="I765" s="87"/>
      <c r="J765" s="87"/>
      <c r="K765" s="88"/>
      <c r="L765" s="89"/>
      <c r="M765" s="90"/>
      <c r="N765" s="57"/>
      <c r="O765" s="57"/>
      <c r="P765" s="91"/>
    </row>
    <row r="766" spans="2:16" s="50" customFormat="1" ht="13.2">
      <c r="B766" s="86"/>
      <c r="C766" s="87"/>
      <c r="D766" s="87"/>
      <c r="E766" s="87"/>
      <c r="F766" s="87"/>
      <c r="G766" s="87"/>
      <c r="H766" s="87"/>
      <c r="I766" s="87"/>
      <c r="J766" s="87"/>
      <c r="K766" s="88"/>
      <c r="L766" s="89"/>
      <c r="M766" s="90"/>
      <c r="N766" s="57"/>
      <c r="O766" s="57"/>
      <c r="P766" s="91"/>
    </row>
    <row r="767" spans="2:16" s="50" customFormat="1" ht="13.2">
      <c r="B767" s="86"/>
      <c r="C767" s="87"/>
      <c r="D767" s="87"/>
      <c r="E767" s="87"/>
      <c r="F767" s="87"/>
      <c r="G767" s="87"/>
      <c r="H767" s="87"/>
      <c r="I767" s="87"/>
      <c r="J767" s="87"/>
      <c r="K767" s="88"/>
      <c r="L767" s="89"/>
      <c r="M767" s="90"/>
      <c r="N767" s="57"/>
      <c r="O767" s="57"/>
      <c r="P767" s="91"/>
    </row>
    <row r="768" spans="2:16" s="50" customFormat="1" ht="13.2">
      <c r="B768" s="86"/>
      <c r="C768" s="87"/>
      <c r="D768" s="87"/>
      <c r="E768" s="87"/>
      <c r="F768" s="87"/>
      <c r="G768" s="87"/>
      <c r="H768" s="87"/>
      <c r="I768" s="87"/>
      <c r="J768" s="87"/>
      <c r="K768" s="88"/>
      <c r="L768" s="89"/>
      <c r="M768" s="90"/>
      <c r="N768" s="57"/>
      <c r="O768" s="57"/>
      <c r="P768" s="91"/>
    </row>
    <row r="769" spans="2:16" s="50" customFormat="1" ht="13.2">
      <c r="B769" s="86"/>
      <c r="C769" s="87"/>
      <c r="D769" s="87"/>
      <c r="E769" s="87"/>
      <c r="F769" s="87"/>
      <c r="G769" s="87"/>
      <c r="H769" s="87"/>
      <c r="I769" s="87"/>
      <c r="J769" s="87"/>
      <c r="K769" s="88"/>
      <c r="L769" s="89"/>
      <c r="M769" s="90"/>
      <c r="N769" s="57"/>
      <c r="O769" s="57"/>
      <c r="P769" s="91"/>
    </row>
    <row r="770" spans="2:16" s="50" customFormat="1" ht="13.2">
      <c r="B770" s="86"/>
      <c r="C770" s="87"/>
      <c r="D770" s="87"/>
      <c r="E770" s="87"/>
      <c r="F770" s="87"/>
      <c r="G770" s="87"/>
      <c r="H770" s="87"/>
      <c r="I770" s="87"/>
      <c r="J770" s="87"/>
      <c r="K770" s="88"/>
      <c r="L770" s="89"/>
      <c r="M770" s="90"/>
      <c r="N770" s="57"/>
      <c r="O770" s="57"/>
      <c r="P770" s="91"/>
    </row>
    <row r="771" spans="2:16" s="50" customFormat="1" ht="13.2">
      <c r="B771" s="86"/>
      <c r="C771" s="87"/>
      <c r="D771" s="87"/>
      <c r="E771" s="87"/>
      <c r="F771" s="87"/>
      <c r="G771" s="87"/>
      <c r="H771" s="87"/>
      <c r="I771" s="87"/>
      <c r="J771" s="87"/>
      <c r="K771" s="88"/>
      <c r="L771" s="89"/>
      <c r="M771" s="90"/>
      <c r="N771" s="57"/>
      <c r="O771" s="57"/>
      <c r="P771" s="91"/>
    </row>
    <row r="772" spans="2:16" s="50" customFormat="1" ht="13.2">
      <c r="B772" s="86"/>
      <c r="C772" s="87"/>
      <c r="D772" s="87"/>
      <c r="E772" s="87"/>
      <c r="F772" s="87"/>
      <c r="G772" s="87"/>
      <c r="H772" s="87"/>
      <c r="I772" s="87"/>
      <c r="J772" s="87"/>
      <c r="K772" s="88"/>
      <c r="L772" s="89"/>
      <c r="M772" s="90"/>
      <c r="N772" s="57"/>
      <c r="O772" s="57"/>
      <c r="P772" s="91"/>
    </row>
    <row r="773" spans="2:16" s="50" customFormat="1" ht="13.2">
      <c r="B773" s="86"/>
      <c r="C773" s="87"/>
      <c r="D773" s="87"/>
      <c r="E773" s="87"/>
      <c r="F773" s="87"/>
      <c r="G773" s="87"/>
      <c r="H773" s="87"/>
      <c r="I773" s="87"/>
      <c r="J773" s="87"/>
      <c r="K773" s="88"/>
      <c r="L773" s="89"/>
      <c r="M773" s="90"/>
      <c r="N773" s="57"/>
      <c r="O773" s="57"/>
      <c r="P773" s="91"/>
    </row>
    <row r="774" spans="2:16" s="50" customFormat="1" ht="13.2">
      <c r="B774" s="86"/>
      <c r="C774" s="87"/>
      <c r="D774" s="87"/>
      <c r="E774" s="87"/>
      <c r="F774" s="87"/>
      <c r="G774" s="87"/>
      <c r="H774" s="87"/>
      <c r="I774" s="87"/>
      <c r="J774" s="87"/>
      <c r="K774" s="88"/>
      <c r="L774" s="89"/>
      <c r="M774" s="90"/>
      <c r="N774" s="57"/>
      <c r="O774" s="57"/>
      <c r="P774" s="91"/>
    </row>
    <row r="775" spans="2:16" s="50" customFormat="1" ht="13.2">
      <c r="B775" s="86"/>
      <c r="C775" s="87"/>
      <c r="D775" s="87"/>
      <c r="E775" s="87"/>
      <c r="F775" s="87"/>
      <c r="G775" s="87"/>
      <c r="H775" s="87"/>
      <c r="I775" s="87"/>
      <c r="J775" s="87"/>
      <c r="K775" s="88"/>
      <c r="L775" s="89"/>
      <c r="M775" s="90"/>
      <c r="N775" s="57"/>
      <c r="O775" s="57"/>
      <c r="P775" s="91"/>
    </row>
    <row r="776" spans="2:16" s="50" customFormat="1" ht="13.2">
      <c r="B776" s="86"/>
      <c r="C776" s="87"/>
      <c r="D776" s="87"/>
      <c r="E776" s="87"/>
      <c r="F776" s="87"/>
      <c r="G776" s="87"/>
      <c r="H776" s="87"/>
      <c r="I776" s="87"/>
      <c r="J776" s="87"/>
      <c r="K776" s="88"/>
      <c r="L776" s="89"/>
      <c r="M776" s="90"/>
      <c r="N776" s="57"/>
      <c r="O776" s="57"/>
      <c r="P776" s="91"/>
    </row>
    <row r="777" spans="2:16" s="50" customFormat="1" ht="13.2">
      <c r="B777" s="86"/>
      <c r="C777" s="87"/>
      <c r="D777" s="87"/>
      <c r="E777" s="87"/>
      <c r="F777" s="87"/>
      <c r="G777" s="87"/>
      <c r="H777" s="87"/>
      <c r="I777" s="87"/>
      <c r="J777" s="87"/>
      <c r="K777" s="88"/>
      <c r="L777" s="89"/>
      <c r="M777" s="90"/>
      <c r="N777" s="57"/>
      <c r="O777" s="57"/>
      <c r="P777" s="91"/>
    </row>
    <row r="778" spans="2:16" s="50" customFormat="1" ht="13.2">
      <c r="B778" s="86"/>
      <c r="C778" s="87"/>
      <c r="D778" s="87"/>
      <c r="E778" s="87"/>
      <c r="F778" s="87"/>
      <c r="G778" s="87"/>
      <c r="H778" s="87"/>
      <c r="I778" s="87"/>
      <c r="J778" s="87"/>
      <c r="K778" s="88"/>
      <c r="L778" s="89"/>
      <c r="M778" s="90"/>
      <c r="N778" s="57"/>
      <c r="O778" s="57"/>
      <c r="P778" s="91"/>
    </row>
    <row r="779" spans="2:16" s="50" customFormat="1" ht="13.2">
      <c r="B779" s="86"/>
      <c r="C779" s="87"/>
      <c r="D779" s="87"/>
      <c r="E779" s="87"/>
      <c r="F779" s="87"/>
      <c r="G779" s="87"/>
      <c r="H779" s="87"/>
      <c r="I779" s="87"/>
      <c r="J779" s="87"/>
      <c r="K779" s="88"/>
      <c r="L779" s="89"/>
      <c r="M779" s="90"/>
      <c r="N779" s="57"/>
      <c r="O779" s="57"/>
      <c r="P779" s="91"/>
    </row>
    <row r="780" spans="2:16" s="50" customFormat="1" ht="13.2">
      <c r="B780" s="86"/>
      <c r="C780" s="87"/>
      <c r="D780" s="87"/>
      <c r="E780" s="87"/>
      <c r="F780" s="87"/>
      <c r="G780" s="87"/>
      <c r="H780" s="87"/>
      <c r="I780" s="87"/>
      <c r="J780" s="87"/>
      <c r="K780" s="88"/>
      <c r="L780" s="89"/>
      <c r="M780" s="90"/>
      <c r="N780" s="57"/>
      <c r="O780" s="57"/>
      <c r="P780" s="91"/>
    </row>
    <row r="781" spans="2:16" s="50" customFormat="1" ht="13.2">
      <c r="B781" s="86"/>
      <c r="C781" s="87"/>
      <c r="D781" s="87"/>
      <c r="E781" s="87"/>
      <c r="F781" s="87"/>
      <c r="G781" s="87"/>
      <c r="H781" s="87"/>
      <c r="I781" s="87"/>
      <c r="J781" s="87"/>
      <c r="K781" s="88"/>
      <c r="L781" s="89"/>
      <c r="M781" s="90"/>
      <c r="N781" s="57"/>
      <c r="O781" s="57"/>
      <c r="P781" s="91"/>
    </row>
    <row r="782" spans="2:16" s="50" customFormat="1" ht="13.2">
      <c r="B782" s="86"/>
      <c r="C782" s="87"/>
      <c r="D782" s="87"/>
      <c r="E782" s="87"/>
      <c r="F782" s="87"/>
      <c r="G782" s="87"/>
      <c r="H782" s="87"/>
      <c r="I782" s="87"/>
      <c r="J782" s="87"/>
      <c r="K782" s="88"/>
      <c r="L782" s="89"/>
      <c r="M782" s="90"/>
      <c r="N782" s="57"/>
      <c r="O782" s="57"/>
      <c r="P782" s="91"/>
    </row>
    <row r="783" spans="2:16" s="50" customFormat="1" ht="13.2">
      <c r="B783" s="86"/>
      <c r="C783" s="87"/>
      <c r="D783" s="87"/>
      <c r="E783" s="87"/>
      <c r="F783" s="87"/>
      <c r="G783" s="87"/>
      <c r="H783" s="87"/>
      <c r="I783" s="87"/>
      <c r="J783" s="87"/>
      <c r="K783" s="88"/>
      <c r="L783" s="89"/>
      <c r="M783" s="90"/>
      <c r="N783" s="57"/>
      <c r="O783" s="57"/>
      <c r="P783" s="91"/>
    </row>
    <row r="784" spans="2:16" s="50" customFormat="1" ht="13.2">
      <c r="B784" s="86"/>
      <c r="C784" s="87"/>
      <c r="D784" s="87"/>
      <c r="E784" s="87"/>
      <c r="F784" s="87"/>
      <c r="G784" s="87"/>
      <c r="H784" s="87"/>
      <c r="I784" s="87"/>
      <c r="J784" s="87"/>
      <c r="K784" s="88"/>
      <c r="L784" s="89"/>
      <c r="M784" s="90"/>
      <c r="N784" s="57"/>
      <c r="O784" s="57"/>
      <c r="P784" s="91"/>
    </row>
    <row r="785" spans="2:16" s="50" customFormat="1" ht="13.2">
      <c r="B785" s="86"/>
      <c r="C785" s="87"/>
      <c r="D785" s="87"/>
      <c r="E785" s="87"/>
      <c r="F785" s="87"/>
      <c r="G785" s="87"/>
      <c r="H785" s="87"/>
      <c r="I785" s="87"/>
      <c r="J785" s="87"/>
      <c r="K785" s="88"/>
      <c r="L785" s="89"/>
      <c r="M785" s="90"/>
      <c r="N785" s="57"/>
      <c r="O785" s="57"/>
      <c r="P785" s="91"/>
    </row>
    <row r="786" spans="2:16" s="50" customFormat="1" ht="13.2">
      <c r="B786" s="86"/>
      <c r="C786" s="87"/>
      <c r="D786" s="87"/>
      <c r="E786" s="87"/>
      <c r="F786" s="87"/>
      <c r="G786" s="87"/>
      <c r="H786" s="87"/>
      <c r="I786" s="87"/>
      <c r="J786" s="87"/>
      <c r="K786" s="88"/>
      <c r="L786" s="89"/>
      <c r="M786" s="90"/>
      <c r="N786" s="57"/>
      <c r="O786" s="57"/>
      <c r="P786" s="91"/>
    </row>
    <row r="787" spans="2:16" s="50" customFormat="1" ht="13.2">
      <c r="B787" s="86"/>
      <c r="C787" s="87"/>
      <c r="D787" s="87"/>
      <c r="E787" s="87"/>
      <c r="F787" s="87"/>
      <c r="G787" s="87"/>
      <c r="H787" s="87"/>
      <c r="I787" s="87"/>
      <c r="J787" s="87"/>
      <c r="K787" s="88"/>
      <c r="L787" s="89"/>
      <c r="M787" s="90"/>
      <c r="N787" s="57"/>
      <c r="O787" s="57"/>
      <c r="P787" s="91"/>
    </row>
    <row r="788" spans="2:16" s="50" customFormat="1" ht="13.2">
      <c r="B788" s="86"/>
      <c r="C788" s="87"/>
      <c r="D788" s="87"/>
      <c r="E788" s="87"/>
      <c r="F788" s="87"/>
      <c r="G788" s="87"/>
      <c r="H788" s="87"/>
      <c r="I788" s="87"/>
      <c r="J788" s="87"/>
      <c r="K788" s="88"/>
      <c r="L788" s="89"/>
      <c r="M788" s="90"/>
      <c r="N788" s="57"/>
      <c r="O788" s="57"/>
      <c r="P788" s="91"/>
    </row>
    <row r="789" spans="2:16" s="50" customFormat="1" ht="13.2">
      <c r="B789" s="86"/>
      <c r="C789" s="87"/>
      <c r="D789" s="87"/>
      <c r="E789" s="87"/>
      <c r="F789" s="87"/>
      <c r="G789" s="87"/>
      <c r="H789" s="87"/>
      <c r="I789" s="87"/>
      <c r="J789" s="87"/>
      <c r="K789" s="88"/>
      <c r="L789" s="89"/>
      <c r="M789" s="90"/>
      <c r="N789" s="57"/>
      <c r="O789" s="57"/>
      <c r="P789" s="91"/>
    </row>
    <row r="790" spans="2:16" s="50" customFormat="1" ht="13.2">
      <c r="B790" s="86"/>
      <c r="C790" s="87"/>
      <c r="D790" s="87"/>
      <c r="E790" s="87"/>
      <c r="F790" s="87"/>
      <c r="G790" s="87"/>
      <c r="H790" s="87"/>
      <c r="I790" s="87"/>
      <c r="J790" s="87"/>
      <c r="K790" s="88"/>
      <c r="L790" s="89"/>
      <c r="M790" s="90"/>
      <c r="N790" s="57"/>
      <c r="O790" s="57"/>
      <c r="P790" s="91"/>
    </row>
    <row r="791" spans="2:16" s="50" customFormat="1" ht="13.2">
      <c r="B791" s="86"/>
      <c r="C791" s="87"/>
      <c r="D791" s="87"/>
      <c r="E791" s="87"/>
      <c r="F791" s="87"/>
      <c r="G791" s="87"/>
      <c r="H791" s="87"/>
      <c r="I791" s="87"/>
      <c r="J791" s="87"/>
      <c r="K791" s="88"/>
      <c r="L791" s="89"/>
      <c r="M791" s="90"/>
      <c r="N791" s="57"/>
      <c r="O791" s="57"/>
      <c r="P791" s="91"/>
    </row>
    <row r="792" spans="2:16" s="50" customFormat="1" ht="13.2">
      <c r="B792" s="86"/>
      <c r="C792" s="87"/>
      <c r="D792" s="87"/>
      <c r="E792" s="87"/>
      <c r="F792" s="87"/>
      <c r="G792" s="87"/>
      <c r="H792" s="87"/>
      <c r="I792" s="87"/>
      <c r="J792" s="87"/>
      <c r="K792" s="88"/>
      <c r="L792" s="89"/>
      <c r="M792" s="90"/>
      <c r="N792" s="57"/>
      <c r="O792" s="57"/>
      <c r="P792" s="91"/>
    </row>
    <row r="793" spans="2:16" s="50" customFormat="1" ht="13.2">
      <c r="B793" s="86"/>
      <c r="C793" s="87"/>
      <c r="D793" s="87"/>
      <c r="E793" s="87"/>
      <c r="F793" s="87"/>
      <c r="G793" s="87"/>
      <c r="H793" s="87"/>
      <c r="I793" s="87"/>
      <c r="J793" s="87"/>
      <c r="K793" s="88"/>
      <c r="L793" s="89"/>
      <c r="M793" s="90"/>
      <c r="N793" s="57"/>
      <c r="O793" s="57"/>
      <c r="P793" s="91"/>
    </row>
    <row r="794" spans="2:16" s="50" customFormat="1" ht="13.2">
      <c r="B794" s="86"/>
      <c r="C794" s="87"/>
      <c r="D794" s="87"/>
      <c r="E794" s="87"/>
      <c r="F794" s="87"/>
      <c r="G794" s="87"/>
      <c r="H794" s="87"/>
      <c r="I794" s="87"/>
      <c r="J794" s="87"/>
      <c r="K794" s="88"/>
      <c r="L794" s="89"/>
      <c r="M794" s="90"/>
      <c r="N794" s="57"/>
      <c r="O794" s="57"/>
      <c r="P794" s="91"/>
    </row>
    <row r="795" spans="2:16" s="50" customFormat="1" ht="13.2">
      <c r="B795" s="86"/>
      <c r="C795" s="87"/>
      <c r="D795" s="87"/>
      <c r="E795" s="87"/>
      <c r="F795" s="87"/>
      <c r="G795" s="87"/>
      <c r="H795" s="87"/>
      <c r="I795" s="87"/>
      <c r="J795" s="87"/>
      <c r="K795" s="88"/>
      <c r="L795" s="89"/>
      <c r="M795" s="90"/>
      <c r="N795" s="57"/>
      <c r="O795" s="57"/>
      <c r="P795" s="91"/>
    </row>
    <row r="796" spans="2:16" s="50" customFormat="1" ht="13.2">
      <c r="B796" s="86"/>
      <c r="C796" s="87"/>
      <c r="D796" s="87"/>
      <c r="E796" s="87"/>
      <c r="F796" s="87"/>
      <c r="G796" s="87"/>
      <c r="H796" s="87"/>
      <c r="I796" s="87"/>
      <c r="J796" s="87"/>
      <c r="K796" s="88"/>
      <c r="L796" s="89"/>
      <c r="M796" s="90"/>
      <c r="N796" s="57"/>
      <c r="O796" s="57"/>
      <c r="P796" s="91"/>
    </row>
    <row r="797" spans="2:16" s="50" customFormat="1" ht="13.2">
      <c r="B797" s="86"/>
      <c r="C797" s="87"/>
      <c r="D797" s="87"/>
      <c r="E797" s="87"/>
      <c r="F797" s="87"/>
      <c r="G797" s="87"/>
      <c r="H797" s="87"/>
      <c r="I797" s="87"/>
      <c r="J797" s="87"/>
      <c r="K797" s="88"/>
      <c r="L797" s="89"/>
      <c r="M797" s="90"/>
      <c r="N797" s="57"/>
      <c r="O797" s="57"/>
      <c r="P797" s="91"/>
    </row>
    <row r="798" spans="2:16" s="50" customFormat="1" ht="13.2">
      <c r="B798" s="86"/>
      <c r="C798" s="87"/>
      <c r="D798" s="87"/>
      <c r="E798" s="87"/>
      <c r="F798" s="87"/>
      <c r="G798" s="87"/>
      <c r="H798" s="87"/>
      <c r="I798" s="87"/>
      <c r="J798" s="87"/>
      <c r="K798" s="88"/>
      <c r="L798" s="89"/>
      <c r="M798" s="90"/>
      <c r="N798" s="57"/>
      <c r="O798" s="57"/>
      <c r="P798" s="91"/>
    </row>
    <row r="799" spans="2:16" s="50" customFormat="1" ht="13.2">
      <c r="B799" s="86"/>
      <c r="C799" s="87"/>
      <c r="D799" s="87"/>
      <c r="E799" s="87"/>
      <c r="F799" s="87"/>
      <c r="G799" s="87"/>
      <c r="H799" s="87"/>
      <c r="I799" s="87"/>
      <c r="J799" s="87"/>
      <c r="K799" s="88"/>
      <c r="L799" s="89"/>
      <c r="M799" s="90"/>
      <c r="N799" s="57"/>
      <c r="O799" s="57"/>
      <c r="P799" s="91"/>
    </row>
    <row r="800" spans="2:16" s="50" customFormat="1" ht="13.2">
      <c r="B800" s="86"/>
      <c r="C800" s="87"/>
      <c r="D800" s="87"/>
      <c r="E800" s="87"/>
      <c r="F800" s="87"/>
      <c r="G800" s="87"/>
      <c r="H800" s="87"/>
      <c r="I800" s="87"/>
      <c r="J800" s="87"/>
      <c r="K800" s="88"/>
      <c r="L800" s="89"/>
      <c r="M800" s="90"/>
      <c r="N800" s="57"/>
      <c r="O800" s="57"/>
      <c r="P800" s="91"/>
    </row>
    <row r="801" spans="2:16" s="50" customFormat="1" ht="13.2">
      <c r="B801" s="86"/>
      <c r="C801" s="87"/>
      <c r="D801" s="87"/>
      <c r="E801" s="87"/>
      <c r="F801" s="87"/>
      <c r="G801" s="87"/>
      <c r="H801" s="87"/>
      <c r="I801" s="87"/>
      <c r="J801" s="87"/>
      <c r="K801" s="88"/>
      <c r="L801" s="89"/>
      <c r="M801" s="90"/>
      <c r="N801" s="57"/>
      <c r="O801" s="57"/>
      <c r="P801" s="91"/>
    </row>
    <row r="802" spans="2:16" s="50" customFormat="1" ht="13.2">
      <c r="B802" s="86"/>
      <c r="C802" s="87"/>
      <c r="D802" s="87"/>
      <c r="E802" s="87"/>
      <c r="F802" s="87"/>
      <c r="G802" s="87"/>
      <c r="H802" s="87"/>
      <c r="I802" s="87"/>
      <c r="J802" s="87"/>
      <c r="K802" s="88"/>
      <c r="L802" s="89"/>
      <c r="M802" s="90"/>
      <c r="N802" s="57"/>
      <c r="O802" s="57"/>
      <c r="P802" s="91"/>
    </row>
    <row r="803" spans="2:16" s="50" customFormat="1" ht="13.2">
      <c r="B803" s="86"/>
      <c r="C803" s="87"/>
      <c r="D803" s="87"/>
      <c r="E803" s="87"/>
      <c r="F803" s="87"/>
      <c r="G803" s="87"/>
      <c r="H803" s="87"/>
      <c r="I803" s="87"/>
      <c r="J803" s="87"/>
      <c r="K803" s="88"/>
      <c r="L803" s="89"/>
      <c r="M803" s="90"/>
      <c r="N803" s="57"/>
      <c r="O803" s="57"/>
      <c r="P803" s="91"/>
    </row>
    <row r="804" spans="2:16" s="50" customFormat="1" ht="13.2">
      <c r="B804" s="86"/>
      <c r="C804" s="87"/>
      <c r="D804" s="87"/>
      <c r="E804" s="87"/>
      <c r="F804" s="87"/>
      <c r="G804" s="87"/>
      <c r="H804" s="87"/>
      <c r="I804" s="87"/>
      <c r="J804" s="87"/>
      <c r="K804" s="88"/>
      <c r="L804" s="89"/>
      <c r="M804" s="90"/>
      <c r="N804" s="57"/>
      <c r="O804" s="57"/>
      <c r="P804" s="91"/>
    </row>
    <row r="805" spans="2:16" s="50" customFormat="1" ht="13.2">
      <c r="B805" s="86"/>
      <c r="C805" s="87"/>
      <c r="D805" s="87"/>
      <c r="E805" s="87"/>
      <c r="F805" s="87"/>
      <c r="G805" s="87"/>
      <c r="H805" s="87"/>
      <c r="I805" s="87"/>
      <c r="J805" s="87"/>
      <c r="K805" s="88"/>
      <c r="L805" s="89"/>
      <c r="M805" s="90"/>
      <c r="N805" s="57"/>
      <c r="O805" s="57"/>
      <c r="P805" s="91"/>
    </row>
    <row r="806" spans="2:16" s="50" customFormat="1" ht="13.2">
      <c r="B806" s="86"/>
      <c r="C806" s="87"/>
      <c r="D806" s="87"/>
      <c r="E806" s="87"/>
      <c r="F806" s="87"/>
      <c r="G806" s="87"/>
      <c r="H806" s="87"/>
      <c r="I806" s="87"/>
      <c r="J806" s="87"/>
      <c r="K806" s="88"/>
      <c r="L806" s="89"/>
      <c r="M806" s="90"/>
      <c r="N806" s="57"/>
      <c r="O806" s="57"/>
      <c r="P806" s="91"/>
    </row>
    <row r="807" spans="2:16" s="50" customFormat="1" ht="13.2">
      <c r="B807" s="86"/>
      <c r="C807" s="87"/>
      <c r="D807" s="87"/>
      <c r="E807" s="87"/>
      <c r="F807" s="87"/>
      <c r="G807" s="87"/>
      <c r="H807" s="87"/>
      <c r="I807" s="87"/>
      <c r="J807" s="87"/>
      <c r="K807" s="88"/>
      <c r="L807" s="89"/>
      <c r="M807" s="90"/>
      <c r="N807" s="57"/>
      <c r="O807" s="57"/>
      <c r="P807" s="91"/>
    </row>
    <row r="808" spans="2:16" s="50" customFormat="1" ht="13.2">
      <c r="B808" s="86"/>
      <c r="C808" s="87"/>
      <c r="D808" s="87"/>
      <c r="E808" s="87"/>
      <c r="F808" s="87"/>
      <c r="G808" s="87"/>
      <c r="H808" s="87"/>
      <c r="I808" s="87"/>
      <c r="J808" s="87"/>
      <c r="K808" s="88"/>
      <c r="L808" s="89"/>
      <c r="M808" s="90"/>
      <c r="N808" s="57"/>
      <c r="O808" s="57"/>
      <c r="P808" s="91"/>
    </row>
    <row r="809" spans="2:16" s="50" customFormat="1" ht="13.2">
      <c r="B809" s="86"/>
      <c r="C809" s="87"/>
      <c r="D809" s="87"/>
      <c r="E809" s="87"/>
      <c r="F809" s="87"/>
      <c r="G809" s="87"/>
      <c r="H809" s="87"/>
      <c r="I809" s="87"/>
      <c r="J809" s="87"/>
      <c r="K809" s="88"/>
      <c r="L809" s="89"/>
      <c r="M809" s="90"/>
      <c r="N809" s="57"/>
      <c r="O809" s="57"/>
      <c r="P809" s="91"/>
    </row>
    <row r="810" spans="2:16" s="50" customFormat="1" ht="13.2">
      <c r="B810" s="86"/>
      <c r="C810" s="87"/>
      <c r="D810" s="87"/>
      <c r="E810" s="87"/>
      <c r="F810" s="87"/>
      <c r="G810" s="87"/>
      <c r="H810" s="87"/>
      <c r="I810" s="87"/>
      <c r="J810" s="87"/>
      <c r="K810" s="88"/>
      <c r="L810" s="89"/>
      <c r="M810" s="90"/>
      <c r="N810" s="57"/>
      <c r="O810" s="57"/>
      <c r="P810" s="91"/>
    </row>
    <row r="811" spans="2:16" s="50" customFormat="1" ht="13.2">
      <c r="B811" s="86"/>
      <c r="C811" s="87"/>
      <c r="D811" s="87"/>
      <c r="E811" s="87"/>
      <c r="F811" s="87"/>
      <c r="G811" s="87"/>
      <c r="H811" s="87"/>
      <c r="I811" s="87"/>
      <c r="J811" s="87"/>
      <c r="K811" s="88"/>
      <c r="L811" s="89"/>
      <c r="M811" s="90"/>
      <c r="N811" s="57"/>
      <c r="O811" s="57"/>
      <c r="P811" s="91"/>
    </row>
    <row r="812" spans="2:16" s="50" customFormat="1" ht="13.2">
      <c r="B812" s="86"/>
      <c r="C812" s="87"/>
      <c r="D812" s="87"/>
      <c r="E812" s="87"/>
      <c r="F812" s="87"/>
      <c r="G812" s="87"/>
      <c r="H812" s="87"/>
      <c r="I812" s="87"/>
      <c r="J812" s="87"/>
      <c r="K812" s="88"/>
      <c r="L812" s="89"/>
      <c r="M812" s="90"/>
      <c r="N812" s="57"/>
      <c r="O812" s="57"/>
      <c r="P812" s="91"/>
    </row>
    <row r="813" spans="2:16" s="50" customFormat="1" ht="13.2">
      <c r="B813" s="86"/>
      <c r="C813" s="87"/>
      <c r="D813" s="87"/>
      <c r="E813" s="87"/>
      <c r="F813" s="87"/>
      <c r="G813" s="87"/>
      <c r="H813" s="87"/>
      <c r="I813" s="87"/>
      <c r="J813" s="87"/>
      <c r="K813" s="88"/>
      <c r="L813" s="89"/>
      <c r="M813" s="90"/>
      <c r="N813" s="57"/>
      <c r="O813" s="57"/>
      <c r="P813" s="91"/>
    </row>
    <row r="814" spans="2:16" s="50" customFormat="1" ht="13.2">
      <c r="B814" s="86"/>
      <c r="C814" s="87"/>
      <c r="D814" s="87"/>
      <c r="E814" s="87"/>
      <c r="F814" s="87"/>
      <c r="G814" s="87"/>
      <c r="H814" s="87"/>
      <c r="I814" s="87"/>
      <c r="J814" s="87"/>
      <c r="K814" s="88"/>
      <c r="L814" s="89"/>
      <c r="M814" s="90"/>
      <c r="N814" s="57"/>
      <c r="O814" s="57"/>
      <c r="P814" s="91"/>
    </row>
    <row r="815" spans="2:16" s="50" customFormat="1" ht="13.2">
      <c r="B815" s="86"/>
      <c r="C815" s="87"/>
      <c r="D815" s="87"/>
      <c r="E815" s="87"/>
      <c r="F815" s="87"/>
      <c r="G815" s="87"/>
      <c r="H815" s="87"/>
      <c r="I815" s="87"/>
      <c r="J815" s="87"/>
      <c r="K815" s="88"/>
      <c r="L815" s="89"/>
      <c r="M815" s="90"/>
      <c r="N815" s="57"/>
      <c r="O815" s="57"/>
      <c r="P815" s="91"/>
    </row>
    <row r="816" spans="2:16" s="50" customFormat="1" ht="13.2">
      <c r="B816" s="86"/>
      <c r="C816" s="87"/>
      <c r="D816" s="87"/>
      <c r="E816" s="87"/>
      <c r="F816" s="87"/>
      <c r="G816" s="87"/>
      <c r="H816" s="87"/>
      <c r="I816" s="87"/>
      <c r="J816" s="87"/>
      <c r="K816" s="88"/>
      <c r="L816" s="89"/>
      <c r="M816" s="90"/>
      <c r="N816" s="57"/>
      <c r="O816" s="57"/>
      <c r="P816" s="91"/>
    </row>
    <row r="817" spans="2:16" s="50" customFormat="1" ht="13.2">
      <c r="B817" s="86"/>
      <c r="C817" s="87"/>
      <c r="D817" s="87"/>
      <c r="E817" s="87"/>
      <c r="F817" s="87"/>
      <c r="G817" s="87"/>
      <c r="H817" s="87"/>
      <c r="I817" s="87"/>
      <c r="J817" s="87"/>
      <c r="K817" s="88"/>
      <c r="L817" s="89"/>
      <c r="M817" s="90"/>
      <c r="N817" s="57"/>
      <c r="O817" s="57"/>
      <c r="P817" s="91"/>
    </row>
    <row r="818" spans="2:16" s="50" customFormat="1" ht="13.2">
      <c r="B818" s="86"/>
      <c r="C818" s="87"/>
      <c r="D818" s="87"/>
      <c r="E818" s="87"/>
      <c r="F818" s="87"/>
      <c r="G818" s="87"/>
      <c r="H818" s="87"/>
      <c r="I818" s="87"/>
      <c r="J818" s="87"/>
      <c r="K818" s="88"/>
      <c r="L818" s="89"/>
      <c r="M818" s="90"/>
      <c r="N818" s="57"/>
      <c r="O818" s="57"/>
      <c r="P818" s="91"/>
    </row>
    <row r="819" spans="2:16" s="50" customFormat="1" ht="13.2">
      <c r="B819" s="86"/>
      <c r="C819" s="87"/>
      <c r="D819" s="87"/>
      <c r="E819" s="87"/>
      <c r="F819" s="87"/>
      <c r="G819" s="87"/>
      <c r="H819" s="87"/>
      <c r="I819" s="87"/>
      <c r="J819" s="87"/>
      <c r="K819" s="88"/>
      <c r="L819" s="89"/>
      <c r="M819" s="90"/>
      <c r="N819" s="57"/>
      <c r="O819" s="57"/>
      <c r="P819" s="91"/>
    </row>
    <row r="820" spans="2:16" s="50" customFormat="1" ht="13.2">
      <c r="B820" s="86"/>
      <c r="C820" s="87"/>
      <c r="D820" s="87"/>
      <c r="E820" s="87"/>
      <c r="F820" s="87"/>
      <c r="G820" s="87"/>
      <c r="H820" s="87"/>
      <c r="I820" s="87"/>
      <c r="J820" s="87"/>
      <c r="K820" s="88"/>
      <c r="L820" s="89"/>
      <c r="M820" s="90"/>
      <c r="N820" s="57"/>
      <c r="O820" s="57"/>
      <c r="P820" s="91"/>
    </row>
    <row r="821" spans="2:16" s="50" customFormat="1" ht="13.2">
      <c r="B821" s="86"/>
      <c r="C821" s="87"/>
      <c r="D821" s="87"/>
      <c r="E821" s="87"/>
      <c r="F821" s="87"/>
      <c r="G821" s="87"/>
      <c r="H821" s="87"/>
      <c r="I821" s="87"/>
      <c r="J821" s="87"/>
      <c r="K821" s="88"/>
      <c r="L821" s="89"/>
      <c r="M821" s="90"/>
      <c r="N821" s="57"/>
      <c r="O821" s="57"/>
      <c r="P821" s="91"/>
    </row>
    <row r="822" spans="2:16" s="50" customFormat="1" ht="13.2">
      <c r="B822" s="86"/>
      <c r="C822" s="87"/>
      <c r="D822" s="87"/>
      <c r="E822" s="87"/>
      <c r="F822" s="87"/>
      <c r="G822" s="87"/>
      <c r="H822" s="87"/>
      <c r="I822" s="87"/>
      <c r="J822" s="87"/>
      <c r="K822" s="88"/>
      <c r="L822" s="89"/>
      <c r="M822" s="90"/>
      <c r="N822" s="57"/>
      <c r="O822" s="57"/>
      <c r="P822" s="91"/>
    </row>
    <row r="823" spans="2:16" s="50" customFormat="1" ht="13.2">
      <c r="B823" s="86"/>
      <c r="C823" s="87"/>
      <c r="D823" s="87"/>
      <c r="E823" s="87"/>
      <c r="F823" s="87"/>
      <c r="G823" s="87"/>
      <c r="H823" s="87"/>
      <c r="I823" s="87"/>
      <c r="J823" s="87"/>
      <c r="K823" s="88"/>
      <c r="L823" s="89"/>
      <c r="M823" s="90"/>
      <c r="N823" s="57"/>
      <c r="O823" s="57"/>
      <c r="P823" s="91"/>
    </row>
    <row r="824" spans="2:16" s="50" customFormat="1" ht="13.2">
      <c r="B824" s="86"/>
      <c r="C824" s="87"/>
      <c r="D824" s="87"/>
      <c r="E824" s="87"/>
      <c r="F824" s="87"/>
      <c r="G824" s="87"/>
      <c r="H824" s="87"/>
      <c r="I824" s="87"/>
      <c r="J824" s="87"/>
      <c r="K824" s="88"/>
      <c r="L824" s="89"/>
      <c r="M824" s="90"/>
      <c r="N824" s="57"/>
      <c r="O824" s="57"/>
      <c r="P824" s="91"/>
    </row>
    <row r="825" spans="2:16" s="50" customFormat="1" ht="13.2">
      <c r="B825" s="86"/>
      <c r="C825" s="87"/>
      <c r="D825" s="87"/>
      <c r="E825" s="87"/>
      <c r="F825" s="87"/>
      <c r="G825" s="87"/>
      <c r="H825" s="87"/>
      <c r="I825" s="87"/>
      <c r="J825" s="87"/>
      <c r="K825" s="88"/>
      <c r="L825" s="89"/>
      <c r="M825" s="90"/>
      <c r="N825" s="57"/>
      <c r="O825" s="57"/>
      <c r="P825" s="91"/>
    </row>
    <row r="826" spans="2:16" s="50" customFormat="1" ht="13.2">
      <c r="B826" s="86"/>
      <c r="C826" s="87"/>
      <c r="D826" s="87"/>
      <c r="E826" s="87"/>
      <c r="F826" s="87"/>
      <c r="G826" s="87"/>
      <c r="H826" s="87"/>
      <c r="I826" s="87"/>
      <c r="J826" s="87"/>
      <c r="K826" s="88"/>
      <c r="L826" s="89"/>
      <c r="M826" s="90"/>
      <c r="N826" s="57"/>
      <c r="O826" s="57"/>
      <c r="P826" s="91"/>
    </row>
    <row r="827" spans="2:16" s="50" customFormat="1" ht="13.2">
      <c r="B827" s="86"/>
      <c r="C827" s="87"/>
      <c r="D827" s="87"/>
      <c r="E827" s="87"/>
      <c r="F827" s="87"/>
      <c r="G827" s="87"/>
      <c r="H827" s="87"/>
      <c r="I827" s="87"/>
      <c r="J827" s="87"/>
      <c r="K827" s="88"/>
      <c r="L827" s="89"/>
      <c r="M827" s="90"/>
      <c r="N827" s="57"/>
      <c r="O827" s="57"/>
      <c r="P827" s="91"/>
    </row>
    <row r="828" spans="2:16" s="50" customFormat="1" ht="13.2">
      <c r="B828" s="86"/>
      <c r="C828" s="87"/>
      <c r="D828" s="87"/>
      <c r="E828" s="87"/>
      <c r="F828" s="87"/>
      <c r="G828" s="87"/>
      <c r="H828" s="87"/>
      <c r="I828" s="87"/>
      <c r="J828" s="87"/>
      <c r="K828" s="88"/>
      <c r="L828" s="89"/>
      <c r="M828" s="90"/>
      <c r="N828" s="57"/>
      <c r="O828" s="57"/>
      <c r="P828" s="91"/>
    </row>
    <row r="829" spans="2:16" s="50" customFormat="1" ht="13.2">
      <c r="B829" s="86"/>
      <c r="C829" s="87"/>
      <c r="D829" s="87"/>
      <c r="E829" s="87"/>
      <c r="F829" s="87"/>
      <c r="G829" s="87"/>
      <c r="H829" s="87"/>
      <c r="I829" s="87"/>
      <c r="J829" s="87"/>
      <c r="K829" s="88"/>
      <c r="L829" s="89"/>
      <c r="M829" s="90"/>
      <c r="N829" s="57"/>
      <c r="O829" s="57"/>
      <c r="P829" s="91"/>
    </row>
    <row r="830" spans="2:16" s="50" customFormat="1" ht="13.2">
      <c r="B830" s="86"/>
      <c r="C830" s="87"/>
      <c r="D830" s="87"/>
      <c r="E830" s="87"/>
      <c r="F830" s="87"/>
      <c r="G830" s="87"/>
      <c r="H830" s="87"/>
      <c r="I830" s="87"/>
      <c r="J830" s="87"/>
      <c r="K830" s="88"/>
      <c r="L830" s="89"/>
      <c r="M830" s="90"/>
      <c r="N830" s="57"/>
      <c r="O830" s="57"/>
      <c r="P830" s="91"/>
    </row>
    <row r="831" spans="2:16" s="50" customFormat="1" ht="13.2">
      <c r="B831" s="86"/>
      <c r="C831" s="87"/>
      <c r="D831" s="87"/>
      <c r="E831" s="87"/>
      <c r="F831" s="87"/>
      <c r="G831" s="87"/>
      <c r="H831" s="87"/>
      <c r="I831" s="87"/>
      <c r="J831" s="87"/>
      <c r="K831" s="88"/>
      <c r="L831" s="89"/>
      <c r="M831" s="90"/>
      <c r="N831" s="57"/>
      <c r="O831" s="57"/>
      <c r="P831" s="91"/>
    </row>
    <row r="832" spans="2:16" s="50" customFormat="1" ht="13.2">
      <c r="B832" s="86"/>
      <c r="C832" s="87"/>
      <c r="D832" s="87"/>
      <c r="E832" s="87"/>
      <c r="F832" s="87"/>
      <c r="G832" s="87"/>
      <c r="H832" s="87"/>
      <c r="I832" s="87"/>
      <c r="J832" s="87"/>
      <c r="K832" s="88"/>
      <c r="L832" s="89"/>
      <c r="M832" s="90"/>
      <c r="N832" s="57"/>
      <c r="O832" s="57"/>
      <c r="P832" s="91"/>
    </row>
    <row r="833" spans="2:16" s="50" customFormat="1" ht="13.2">
      <c r="B833" s="86"/>
      <c r="C833" s="87"/>
      <c r="D833" s="87"/>
      <c r="E833" s="87"/>
      <c r="F833" s="87"/>
      <c r="G833" s="87"/>
      <c r="H833" s="87"/>
      <c r="I833" s="87"/>
      <c r="J833" s="87"/>
      <c r="K833" s="88"/>
      <c r="L833" s="89"/>
      <c r="M833" s="90"/>
      <c r="N833" s="57"/>
      <c r="O833" s="57"/>
      <c r="P833" s="91"/>
    </row>
    <row r="834" spans="2:16" s="50" customFormat="1" ht="13.2">
      <c r="B834" s="86"/>
      <c r="C834" s="87"/>
      <c r="D834" s="87"/>
      <c r="E834" s="87"/>
      <c r="F834" s="87"/>
      <c r="G834" s="87"/>
      <c r="H834" s="87"/>
      <c r="I834" s="87"/>
      <c r="J834" s="87"/>
      <c r="K834" s="88"/>
      <c r="L834" s="89"/>
      <c r="M834" s="90"/>
      <c r="N834" s="57"/>
      <c r="O834" s="57"/>
      <c r="P834" s="91"/>
    </row>
    <row r="835" spans="2:16" s="50" customFormat="1" ht="13.2">
      <c r="B835" s="86"/>
      <c r="C835" s="87"/>
      <c r="D835" s="87"/>
      <c r="E835" s="87"/>
      <c r="F835" s="87"/>
      <c r="G835" s="87"/>
      <c r="H835" s="87"/>
      <c r="I835" s="87"/>
      <c r="J835" s="87"/>
      <c r="K835" s="88"/>
      <c r="L835" s="89"/>
      <c r="M835" s="90"/>
      <c r="N835" s="57"/>
      <c r="O835" s="57"/>
      <c r="P835" s="91"/>
    </row>
    <row r="836" spans="2:16" s="50" customFormat="1" ht="13.2">
      <c r="B836" s="86"/>
      <c r="C836" s="87"/>
      <c r="D836" s="87"/>
      <c r="E836" s="87"/>
      <c r="F836" s="87"/>
      <c r="G836" s="87"/>
      <c r="H836" s="87"/>
      <c r="I836" s="87"/>
      <c r="J836" s="87"/>
      <c r="K836" s="88"/>
      <c r="L836" s="89"/>
      <c r="M836" s="90"/>
      <c r="N836" s="57"/>
      <c r="O836" s="57"/>
      <c r="P836" s="91"/>
    </row>
    <row r="837" spans="2:16" s="50" customFormat="1" ht="13.2">
      <c r="B837" s="86"/>
      <c r="C837" s="87"/>
      <c r="D837" s="87"/>
      <c r="E837" s="87"/>
      <c r="F837" s="87"/>
      <c r="G837" s="87"/>
      <c r="H837" s="87"/>
      <c r="I837" s="87"/>
      <c r="J837" s="87"/>
      <c r="K837" s="88"/>
      <c r="L837" s="89"/>
      <c r="M837" s="90"/>
      <c r="N837" s="57"/>
      <c r="O837" s="57"/>
      <c r="P837" s="91"/>
    </row>
    <row r="838" spans="2:16" s="50" customFormat="1" ht="13.2">
      <c r="B838" s="86"/>
      <c r="C838" s="87"/>
      <c r="D838" s="87"/>
      <c r="E838" s="87"/>
      <c r="F838" s="87"/>
      <c r="G838" s="87"/>
      <c r="H838" s="87"/>
      <c r="I838" s="87"/>
      <c r="J838" s="87"/>
      <c r="K838" s="88"/>
      <c r="L838" s="89"/>
      <c r="M838" s="90"/>
      <c r="N838" s="57"/>
      <c r="O838" s="57"/>
      <c r="P838" s="91"/>
    </row>
    <row r="839" spans="2:16" s="50" customFormat="1" ht="13.2">
      <c r="B839" s="86"/>
      <c r="C839" s="87"/>
      <c r="D839" s="87"/>
      <c r="E839" s="87"/>
      <c r="F839" s="87"/>
      <c r="G839" s="87"/>
      <c r="H839" s="87"/>
      <c r="I839" s="87"/>
      <c r="J839" s="87"/>
      <c r="K839" s="88"/>
      <c r="L839" s="89"/>
      <c r="M839" s="90"/>
      <c r="N839" s="57"/>
      <c r="O839" s="57"/>
      <c r="P839" s="91"/>
    </row>
    <row r="840" spans="2:16" s="50" customFormat="1" ht="13.2">
      <c r="B840" s="86"/>
      <c r="C840" s="87"/>
      <c r="D840" s="87"/>
      <c r="E840" s="87"/>
      <c r="F840" s="87"/>
      <c r="G840" s="87"/>
      <c r="H840" s="87"/>
      <c r="I840" s="87"/>
      <c r="J840" s="87"/>
      <c r="K840" s="88"/>
      <c r="L840" s="89"/>
      <c r="M840" s="90"/>
      <c r="N840" s="57"/>
      <c r="O840" s="57"/>
      <c r="P840" s="91"/>
    </row>
    <row r="841" spans="2:16" s="50" customFormat="1" ht="13.2">
      <c r="B841" s="86"/>
      <c r="C841" s="87"/>
      <c r="D841" s="87"/>
      <c r="E841" s="87"/>
      <c r="F841" s="87"/>
      <c r="G841" s="87"/>
      <c r="H841" s="87"/>
      <c r="I841" s="87"/>
      <c r="J841" s="87"/>
      <c r="K841" s="88"/>
      <c r="L841" s="89"/>
      <c r="M841" s="90"/>
      <c r="N841" s="57"/>
      <c r="O841" s="57"/>
      <c r="P841" s="91"/>
    </row>
    <row r="842" spans="2:16" s="50" customFormat="1" ht="13.2">
      <c r="B842" s="86"/>
      <c r="C842" s="87"/>
      <c r="D842" s="87"/>
      <c r="E842" s="87"/>
      <c r="F842" s="87"/>
      <c r="G842" s="87"/>
      <c r="H842" s="87"/>
      <c r="I842" s="87"/>
      <c r="J842" s="87"/>
      <c r="K842" s="88"/>
      <c r="L842" s="89"/>
      <c r="M842" s="90"/>
      <c r="N842" s="57"/>
      <c r="O842" s="57"/>
      <c r="P842" s="91"/>
    </row>
    <row r="843" spans="2:16" s="50" customFormat="1" ht="13.2">
      <c r="B843" s="86"/>
      <c r="C843" s="87"/>
      <c r="D843" s="87"/>
      <c r="E843" s="87"/>
      <c r="F843" s="87"/>
      <c r="G843" s="87"/>
      <c r="H843" s="87"/>
      <c r="I843" s="87"/>
      <c r="J843" s="87"/>
      <c r="K843" s="88"/>
      <c r="L843" s="89"/>
      <c r="M843" s="90"/>
      <c r="N843" s="57"/>
      <c r="O843" s="57"/>
      <c r="P843" s="91"/>
    </row>
    <row r="844" spans="2:16" s="50" customFormat="1" ht="13.2">
      <c r="B844" s="86"/>
      <c r="C844" s="87"/>
      <c r="D844" s="87"/>
      <c r="E844" s="87"/>
      <c r="F844" s="87"/>
      <c r="G844" s="87"/>
      <c r="H844" s="87"/>
      <c r="I844" s="87"/>
      <c r="J844" s="87"/>
      <c r="K844" s="88"/>
      <c r="L844" s="89"/>
      <c r="M844" s="90"/>
      <c r="N844" s="57"/>
      <c r="O844" s="57"/>
      <c r="P844" s="91"/>
    </row>
    <row r="845" spans="2:16" s="50" customFormat="1" ht="13.2">
      <c r="B845" s="86"/>
      <c r="C845" s="87"/>
      <c r="D845" s="87"/>
      <c r="E845" s="87"/>
      <c r="F845" s="87"/>
      <c r="G845" s="87"/>
      <c r="H845" s="87"/>
      <c r="I845" s="87"/>
      <c r="J845" s="87"/>
      <c r="K845" s="88"/>
      <c r="L845" s="89"/>
      <c r="M845" s="90"/>
      <c r="N845" s="57"/>
      <c r="O845" s="57"/>
      <c r="P845" s="91"/>
    </row>
    <row r="846" spans="2:16" s="50" customFormat="1" ht="13.2">
      <c r="B846" s="86"/>
      <c r="C846" s="87"/>
      <c r="D846" s="87"/>
      <c r="E846" s="87"/>
      <c r="F846" s="87"/>
      <c r="G846" s="87"/>
      <c r="H846" s="87"/>
      <c r="I846" s="87"/>
      <c r="J846" s="87"/>
      <c r="K846" s="88"/>
      <c r="L846" s="89"/>
      <c r="M846" s="90"/>
      <c r="N846" s="57"/>
      <c r="O846" s="57"/>
      <c r="P846" s="91"/>
    </row>
    <row r="847" spans="2:16" s="50" customFormat="1" ht="13.2">
      <c r="B847" s="86"/>
      <c r="C847" s="87"/>
      <c r="D847" s="87"/>
      <c r="E847" s="87"/>
      <c r="F847" s="87"/>
      <c r="G847" s="87"/>
      <c r="H847" s="87"/>
      <c r="I847" s="87"/>
      <c r="J847" s="87"/>
      <c r="K847" s="88"/>
      <c r="L847" s="89"/>
      <c r="M847" s="90"/>
      <c r="N847" s="57"/>
      <c r="O847" s="57"/>
      <c r="P847" s="91"/>
    </row>
    <row r="848" spans="2:16" s="50" customFormat="1" ht="13.2">
      <c r="B848" s="86"/>
      <c r="C848" s="87"/>
      <c r="D848" s="87"/>
      <c r="E848" s="87"/>
      <c r="F848" s="87"/>
      <c r="G848" s="87"/>
      <c r="H848" s="87"/>
      <c r="I848" s="87"/>
      <c r="J848" s="87"/>
      <c r="K848" s="88"/>
      <c r="L848" s="89"/>
      <c r="M848" s="90"/>
      <c r="N848" s="57"/>
      <c r="O848" s="57"/>
      <c r="P848" s="91"/>
    </row>
    <row r="849" spans="2:16" s="50" customFormat="1" ht="13.2">
      <c r="B849" s="86"/>
      <c r="C849" s="87"/>
      <c r="D849" s="87"/>
      <c r="E849" s="87"/>
      <c r="F849" s="87"/>
      <c r="G849" s="87"/>
      <c r="H849" s="87"/>
      <c r="I849" s="87"/>
      <c r="J849" s="87"/>
      <c r="K849" s="88"/>
      <c r="L849" s="89"/>
      <c r="M849" s="90"/>
      <c r="N849" s="57"/>
      <c r="O849" s="57"/>
      <c r="P849" s="91"/>
    </row>
    <row r="850" spans="2:16" s="50" customFormat="1" ht="13.2">
      <c r="B850" s="86"/>
      <c r="C850" s="87"/>
      <c r="D850" s="87"/>
      <c r="E850" s="87"/>
      <c r="F850" s="87"/>
      <c r="G850" s="87"/>
      <c r="H850" s="87"/>
      <c r="I850" s="87"/>
      <c r="J850" s="87"/>
      <c r="K850" s="88"/>
      <c r="L850" s="89"/>
      <c r="M850" s="90"/>
      <c r="N850" s="57"/>
      <c r="O850" s="57"/>
      <c r="P850" s="91"/>
    </row>
    <row r="851" spans="2:16" s="50" customFormat="1" ht="13.2">
      <c r="B851" s="86"/>
      <c r="C851" s="87"/>
      <c r="D851" s="87"/>
      <c r="E851" s="87"/>
      <c r="F851" s="87"/>
      <c r="G851" s="87"/>
      <c r="H851" s="87"/>
      <c r="I851" s="87"/>
      <c r="J851" s="87"/>
      <c r="K851" s="88"/>
      <c r="L851" s="89"/>
      <c r="M851" s="90"/>
      <c r="N851" s="57"/>
      <c r="O851" s="57"/>
      <c r="P851" s="91"/>
    </row>
    <row r="852" spans="2:16" s="50" customFormat="1" ht="13.2">
      <c r="B852" s="86"/>
      <c r="C852" s="87"/>
      <c r="D852" s="87"/>
      <c r="E852" s="87"/>
      <c r="F852" s="87"/>
      <c r="G852" s="87"/>
      <c r="H852" s="87"/>
      <c r="I852" s="87"/>
      <c r="J852" s="87"/>
      <c r="K852" s="88"/>
      <c r="L852" s="89"/>
      <c r="M852" s="90"/>
      <c r="N852" s="57"/>
      <c r="O852" s="57"/>
      <c r="P852" s="91"/>
    </row>
    <row r="853" spans="2:16" s="50" customFormat="1" ht="13.2">
      <c r="B853" s="86"/>
      <c r="C853" s="87"/>
      <c r="D853" s="87"/>
      <c r="E853" s="87"/>
      <c r="F853" s="87"/>
      <c r="G853" s="87"/>
      <c r="H853" s="87"/>
      <c r="I853" s="87"/>
      <c r="J853" s="87"/>
      <c r="K853" s="88"/>
      <c r="L853" s="89"/>
      <c r="M853" s="90"/>
      <c r="N853" s="57"/>
      <c r="O853" s="57"/>
      <c r="P853" s="91"/>
    </row>
    <row r="854" spans="2:16" s="50" customFormat="1" ht="13.2">
      <c r="B854" s="86"/>
      <c r="C854" s="87"/>
      <c r="D854" s="87"/>
      <c r="E854" s="87"/>
      <c r="F854" s="87"/>
      <c r="G854" s="87"/>
      <c r="H854" s="87"/>
      <c r="I854" s="87"/>
      <c r="J854" s="87"/>
      <c r="K854" s="88"/>
      <c r="L854" s="89"/>
      <c r="M854" s="90"/>
      <c r="N854" s="57"/>
      <c r="O854" s="57"/>
      <c r="P854" s="91"/>
    </row>
    <row r="855" spans="2:16" s="50" customFormat="1" ht="13.2">
      <c r="B855" s="86"/>
      <c r="C855" s="87"/>
      <c r="D855" s="87"/>
      <c r="E855" s="87"/>
      <c r="F855" s="87"/>
      <c r="G855" s="87"/>
      <c r="H855" s="87"/>
      <c r="I855" s="87"/>
      <c r="J855" s="87"/>
      <c r="K855" s="88"/>
      <c r="L855" s="89"/>
      <c r="M855" s="90"/>
      <c r="N855" s="57"/>
      <c r="O855" s="57"/>
      <c r="P855" s="91"/>
    </row>
    <row r="856" spans="2:16" s="50" customFormat="1" ht="13.2">
      <c r="B856" s="86"/>
      <c r="C856" s="87"/>
      <c r="D856" s="87"/>
      <c r="E856" s="87"/>
      <c r="F856" s="87"/>
      <c r="G856" s="87"/>
      <c r="H856" s="87"/>
      <c r="I856" s="87"/>
      <c r="J856" s="87"/>
      <c r="K856" s="88"/>
      <c r="L856" s="89"/>
      <c r="M856" s="90"/>
      <c r="N856" s="57"/>
      <c r="O856" s="57"/>
      <c r="P856" s="91"/>
    </row>
    <row r="857" spans="2:16" s="50" customFormat="1" ht="13.2">
      <c r="B857" s="86"/>
      <c r="C857" s="87"/>
      <c r="D857" s="87"/>
      <c r="E857" s="87"/>
      <c r="F857" s="87"/>
      <c r="G857" s="87"/>
      <c r="H857" s="87"/>
      <c r="I857" s="87"/>
      <c r="J857" s="87"/>
      <c r="K857" s="88"/>
      <c r="L857" s="89"/>
      <c r="M857" s="90"/>
      <c r="N857" s="57"/>
      <c r="O857" s="57"/>
      <c r="P857" s="91"/>
    </row>
    <row r="858" spans="2:16" s="50" customFormat="1" ht="13.2">
      <c r="B858" s="86"/>
      <c r="C858" s="87"/>
      <c r="D858" s="87"/>
      <c r="E858" s="87"/>
      <c r="F858" s="87"/>
      <c r="G858" s="87"/>
      <c r="H858" s="87"/>
      <c r="I858" s="87"/>
      <c r="J858" s="87"/>
      <c r="K858" s="88"/>
      <c r="L858" s="89"/>
      <c r="M858" s="90"/>
      <c r="N858" s="57"/>
      <c r="O858" s="57"/>
      <c r="P858" s="91"/>
    </row>
    <row r="859" spans="2:16" s="50" customFormat="1" ht="13.2">
      <c r="B859" s="86"/>
      <c r="C859" s="87"/>
      <c r="D859" s="87"/>
      <c r="E859" s="87"/>
      <c r="F859" s="87"/>
      <c r="G859" s="87"/>
      <c r="H859" s="87"/>
      <c r="I859" s="87"/>
      <c r="J859" s="87"/>
      <c r="K859" s="88"/>
      <c r="L859" s="89"/>
      <c r="M859" s="90"/>
      <c r="N859" s="57"/>
      <c r="O859" s="57"/>
      <c r="P859" s="91"/>
    </row>
    <row r="860" spans="2:16" s="50" customFormat="1" ht="13.2">
      <c r="B860" s="86"/>
      <c r="C860" s="87"/>
      <c r="D860" s="87"/>
      <c r="E860" s="87"/>
      <c r="F860" s="87"/>
      <c r="G860" s="87"/>
      <c r="H860" s="87"/>
      <c r="I860" s="87"/>
      <c r="J860" s="87"/>
      <c r="K860" s="88"/>
      <c r="L860" s="89"/>
      <c r="M860" s="90"/>
      <c r="N860" s="57"/>
      <c r="O860" s="57"/>
      <c r="P860" s="91"/>
    </row>
    <row r="861" spans="2:16" s="50" customFormat="1" ht="13.2">
      <c r="B861" s="86"/>
      <c r="C861" s="87"/>
      <c r="D861" s="87"/>
      <c r="E861" s="87"/>
      <c r="F861" s="87"/>
      <c r="G861" s="87"/>
      <c r="H861" s="87"/>
      <c r="I861" s="87"/>
      <c r="J861" s="87"/>
      <c r="K861" s="88"/>
      <c r="L861" s="89"/>
      <c r="M861" s="90"/>
      <c r="N861" s="57"/>
      <c r="O861" s="57"/>
      <c r="P861" s="91"/>
    </row>
    <row r="862" spans="2:16" s="50" customFormat="1" ht="13.2">
      <c r="B862" s="86"/>
      <c r="C862" s="87"/>
      <c r="D862" s="87"/>
      <c r="E862" s="87"/>
      <c r="F862" s="87"/>
      <c r="G862" s="87"/>
      <c r="H862" s="87"/>
      <c r="I862" s="87"/>
      <c r="J862" s="87"/>
      <c r="K862" s="88"/>
      <c r="L862" s="89"/>
      <c r="M862" s="90"/>
      <c r="N862" s="57"/>
      <c r="O862" s="57"/>
      <c r="P862" s="91"/>
    </row>
    <row r="863" spans="2:16" s="50" customFormat="1" ht="13.2">
      <c r="B863" s="86"/>
      <c r="C863" s="87"/>
      <c r="D863" s="87"/>
      <c r="E863" s="87"/>
      <c r="F863" s="87"/>
      <c r="G863" s="87"/>
      <c r="H863" s="87"/>
      <c r="I863" s="87"/>
      <c r="J863" s="87"/>
      <c r="K863" s="88"/>
      <c r="L863" s="89"/>
      <c r="M863" s="90"/>
      <c r="N863" s="57"/>
      <c r="O863" s="57"/>
      <c r="P863" s="91"/>
    </row>
    <row r="864" spans="2:16" s="50" customFormat="1" ht="13.2">
      <c r="B864" s="86"/>
      <c r="C864" s="87"/>
      <c r="D864" s="87"/>
      <c r="E864" s="87"/>
      <c r="F864" s="87"/>
      <c r="G864" s="87"/>
      <c r="H864" s="87"/>
      <c r="I864" s="87"/>
      <c r="J864" s="87"/>
      <c r="K864" s="88"/>
      <c r="L864" s="89"/>
      <c r="M864" s="90"/>
      <c r="N864" s="57"/>
      <c r="O864" s="57"/>
      <c r="P864" s="91"/>
    </row>
    <row r="865" spans="2:16" s="50" customFormat="1" ht="13.2">
      <c r="B865" s="86"/>
      <c r="C865" s="87"/>
      <c r="D865" s="87"/>
      <c r="E865" s="87"/>
      <c r="F865" s="87"/>
      <c r="G865" s="87"/>
      <c r="H865" s="87"/>
      <c r="I865" s="87"/>
      <c r="J865" s="87"/>
      <c r="K865" s="88"/>
      <c r="L865" s="89"/>
      <c r="M865" s="90"/>
      <c r="N865" s="57"/>
      <c r="O865" s="57"/>
      <c r="P865" s="91"/>
    </row>
    <row r="866" spans="2:16" s="50" customFormat="1" ht="13.2">
      <c r="B866" s="86"/>
      <c r="C866" s="87"/>
      <c r="D866" s="87"/>
      <c r="E866" s="87"/>
      <c r="F866" s="87"/>
      <c r="G866" s="87"/>
      <c r="H866" s="87"/>
      <c r="I866" s="87"/>
      <c r="J866" s="87"/>
      <c r="K866" s="88"/>
      <c r="L866" s="89"/>
      <c r="M866" s="90"/>
      <c r="N866" s="57"/>
      <c r="O866" s="57"/>
      <c r="P866" s="91"/>
    </row>
    <row r="867" spans="2:16" s="50" customFormat="1" ht="13.2">
      <c r="B867" s="86"/>
      <c r="C867" s="87"/>
      <c r="D867" s="87"/>
      <c r="E867" s="87"/>
      <c r="F867" s="87"/>
      <c r="G867" s="87"/>
      <c r="H867" s="87"/>
      <c r="I867" s="87"/>
      <c r="J867" s="87"/>
      <c r="K867" s="88"/>
      <c r="L867" s="89"/>
      <c r="M867" s="90"/>
      <c r="N867" s="57"/>
      <c r="O867" s="57"/>
      <c r="P867" s="91"/>
    </row>
    <row r="868" spans="2:16" s="50" customFormat="1" ht="13.2">
      <c r="B868" s="86"/>
      <c r="C868" s="87"/>
      <c r="D868" s="87"/>
      <c r="E868" s="87"/>
      <c r="F868" s="87"/>
      <c r="G868" s="87"/>
      <c r="H868" s="87"/>
      <c r="I868" s="87"/>
      <c r="J868" s="87"/>
      <c r="K868" s="88"/>
      <c r="L868" s="89"/>
      <c r="M868" s="90"/>
      <c r="N868" s="57"/>
      <c r="O868" s="57"/>
      <c r="P868" s="91"/>
    </row>
    <row r="869" spans="2:16" s="50" customFormat="1" ht="13.2">
      <c r="B869" s="86"/>
      <c r="C869" s="87"/>
      <c r="D869" s="87"/>
      <c r="E869" s="87"/>
      <c r="F869" s="87"/>
      <c r="G869" s="87"/>
      <c r="H869" s="87"/>
      <c r="I869" s="87"/>
      <c r="J869" s="87"/>
      <c r="K869" s="88"/>
      <c r="L869" s="89"/>
      <c r="M869" s="90"/>
      <c r="N869" s="57"/>
      <c r="O869" s="57"/>
      <c r="P869" s="91"/>
    </row>
    <row r="870" spans="2:16" s="50" customFormat="1" ht="13.2">
      <c r="B870" s="86"/>
      <c r="C870" s="87"/>
      <c r="D870" s="87"/>
      <c r="E870" s="87"/>
      <c r="F870" s="87"/>
      <c r="G870" s="87"/>
      <c r="H870" s="87"/>
      <c r="I870" s="87"/>
      <c r="J870" s="87"/>
      <c r="K870" s="88"/>
      <c r="L870" s="89"/>
      <c r="M870" s="90"/>
      <c r="N870" s="57"/>
      <c r="O870" s="57"/>
      <c r="P870" s="91"/>
    </row>
    <row r="871" spans="2:16" s="50" customFormat="1" ht="13.2">
      <c r="B871" s="86"/>
      <c r="C871" s="87"/>
      <c r="D871" s="87"/>
      <c r="E871" s="87"/>
      <c r="F871" s="87"/>
      <c r="G871" s="87"/>
      <c r="H871" s="87"/>
      <c r="I871" s="87"/>
      <c r="J871" s="87"/>
      <c r="K871" s="88"/>
      <c r="L871" s="89"/>
      <c r="M871" s="90"/>
      <c r="N871" s="57"/>
      <c r="O871" s="57"/>
      <c r="P871" s="91"/>
    </row>
    <row r="872" spans="2:16" s="50" customFormat="1" ht="13.2">
      <c r="B872" s="86"/>
      <c r="C872" s="87"/>
      <c r="D872" s="87"/>
      <c r="E872" s="87"/>
      <c r="F872" s="87"/>
      <c r="G872" s="87"/>
      <c r="H872" s="87"/>
      <c r="I872" s="87"/>
      <c r="J872" s="87"/>
      <c r="K872" s="88"/>
      <c r="L872" s="89"/>
      <c r="M872" s="90"/>
      <c r="N872" s="57"/>
      <c r="O872" s="57"/>
      <c r="P872" s="91"/>
    </row>
    <row r="873" spans="2:16" s="50" customFormat="1" ht="13.2">
      <c r="B873" s="86"/>
      <c r="C873" s="87"/>
      <c r="D873" s="87"/>
      <c r="E873" s="87"/>
      <c r="F873" s="87"/>
      <c r="G873" s="87"/>
      <c r="H873" s="87"/>
      <c r="I873" s="87"/>
      <c r="J873" s="87"/>
      <c r="K873" s="88"/>
      <c r="L873" s="89"/>
      <c r="M873" s="90"/>
      <c r="N873" s="57"/>
      <c r="O873" s="57"/>
      <c r="P873" s="91"/>
    </row>
    <row r="874" spans="2:16" s="50" customFormat="1" ht="13.2">
      <c r="B874" s="86"/>
      <c r="C874" s="87"/>
      <c r="D874" s="87"/>
      <c r="E874" s="87"/>
      <c r="F874" s="87"/>
      <c r="G874" s="87"/>
      <c r="H874" s="87"/>
      <c r="I874" s="87"/>
      <c r="J874" s="87"/>
      <c r="K874" s="88"/>
      <c r="L874" s="89"/>
      <c r="M874" s="90"/>
      <c r="N874" s="57"/>
      <c r="O874" s="57"/>
      <c r="P874" s="91"/>
    </row>
    <row r="875" spans="2:16" s="50" customFormat="1" ht="13.2">
      <c r="B875" s="86"/>
      <c r="C875" s="87"/>
      <c r="D875" s="87"/>
      <c r="E875" s="87"/>
      <c r="F875" s="87"/>
      <c r="G875" s="87"/>
      <c r="H875" s="87"/>
      <c r="I875" s="87"/>
      <c r="J875" s="87"/>
      <c r="K875" s="88"/>
      <c r="L875" s="89"/>
      <c r="M875" s="90"/>
      <c r="N875" s="57"/>
      <c r="O875" s="57"/>
      <c r="P875" s="91"/>
    </row>
    <row r="876" spans="2:16" s="50" customFormat="1" ht="13.2">
      <c r="B876" s="86"/>
      <c r="C876" s="87"/>
      <c r="D876" s="87"/>
      <c r="E876" s="87"/>
      <c r="F876" s="87"/>
      <c r="G876" s="87"/>
      <c r="H876" s="87"/>
      <c r="I876" s="87"/>
      <c r="J876" s="87"/>
      <c r="K876" s="88"/>
      <c r="L876" s="89"/>
      <c r="M876" s="90"/>
      <c r="N876" s="57"/>
      <c r="O876" s="57"/>
      <c r="P876" s="91"/>
    </row>
    <row r="877" spans="2:16" s="50" customFormat="1" ht="13.2">
      <c r="B877" s="86"/>
      <c r="C877" s="87"/>
      <c r="D877" s="87"/>
      <c r="E877" s="87"/>
      <c r="F877" s="87"/>
      <c r="G877" s="87"/>
      <c r="H877" s="87"/>
      <c r="I877" s="87"/>
      <c r="J877" s="87"/>
      <c r="K877" s="88"/>
      <c r="L877" s="89"/>
      <c r="M877" s="90"/>
      <c r="N877" s="57"/>
      <c r="O877" s="57"/>
      <c r="P877" s="91"/>
    </row>
    <row r="878" spans="2:16" s="50" customFormat="1" ht="13.2">
      <c r="B878" s="86"/>
      <c r="C878" s="87"/>
      <c r="D878" s="87"/>
      <c r="E878" s="87"/>
      <c r="F878" s="87"/>
      <c r="G878" s="87"/>
      <c r="H878" s="87"/>
      <c r="I878" s="87"/>
      <c r="J878" s="87"/>
      <c r="K878" s="88"/>
      <c r="L878" s="89"/>
      <c r="M878" s="90"/>
      <c r="N878" s="57"/>
      <c r="O878" s="57"/>
      <c r="P878" s="91"/>
    </row>
    <row r="879" spans="2:16" s="50" customFormat="1" ht="13.2">
      <c r="B879" s="86"/>
      <c r="C879" s="87"/>
      <c r="D879" s="87"/>
      <c r="E879" s="87"/>
      <c r="F879" s="87"/>
      <c r="G879" s="87"/>
      <c r="H879" s="87"/>
      <c r="I879" s="87"/>
      <c r="J879" s="87"/>
      <c r="K879" s="88"/>
      <c r="L879" s="89"/>
      <c r="M879" s="90"/>
      <c r="N879" s="57"/>
      <c r="O879" s="57"/>
      <c r="P879" s="91"/>
    </row>
    <row r="880" spans="2:16" s="50" customFormat="1" ht="13.2">
      <c r="B880" s="86"/>
      <c r="C880" s="87"/>
      <c r="D880" s="87"/>
      <c r="E880" s="87"/>
      <c r="F880" s="87"/>
      <c r="G880" s="87"/>
      <c r="H880" s="87"/>
      <c r="I880" s="87"/>
      <c r="J880" s="87"/>
      <c r="K880" s="88"/>
      <c r="L880" s="89"/>
      <c r="M880" s="90"/>
      <c r="N880" s="57"/>
      <c r="O880" s="57"/>
      <c r="P880" s="91"/>
    </row>
    <row r="881" spans="2:16" s="50" customFormat="1" ht="13.2">
      <c r="B881" s="86"/>
      <c r="C881" s="87"/>
      <c r="D881" s="87"/>
      <c r="E881" s="87"/>
      <c r="F881" s="87"/>
      <c r="G881" s="87"/>
      <c r="H881" s="87"/>
      <c r="I881" s="87"/>
      <c r="J881" s="87"/>
      <c r="K881" s="88"/>
      <c r="L881" s="89"/>
      <c r="M881" s="90"/>
      <c r="N881" s="57"/>
      <c r="O881" s="57"/>
      <c r="P881" s="91"/>
    </row>
    <row r="882" spans="2:16" s="50" customFormat="1" ht="13.2">
      <c r="B882" s="86"/>
      <c r="C882" s="87"/>
      <c r="D882" s="87"/>
      <c r="E882" s="87"/>
      <c r="F882" s="87"/>
      <c r="G882" s="87"/>
      <c r="H882" s="87"/>
      <c r="I882" s="87"/>
      <c r="J882" s="87"/>
      <c r="K882" s="88"/>
      <c r="L882" s="89"/>
      <c r="M882" s="90"/>
      <c r="N882" s="57"/>
      <c r="O882" s="57"/>
      <c r="P882" s="91"/>
    </row>
    <row r="883" spans="2:16" s="50" customFormat="1" ht="13.2">
      <c r="B883" s="86"/>
      <c r="C883" s="87"/>
      <c r="D883" s="87"/>
      <c r="E883" s="87"/>
      <c r="F883" s="87"/>
      <c r="G883" s="87"/>
      <c r="H883" s="87"/>
      <c r="I883" s="87"/>
      <c r="J883" s="87"/>
      <c r="K883" s="88"/>
      <c r="L883" s="89"/>
      <c r="M883" s="90"/>
      <c r="N883" s="57"/>
      <c r="O883" s="57"/>
      <c r="P883" s="91"/>
    </row>
    <row r="884" spans="2:16" s="50" customFormat="1" ht="13.2">
      <c r="B884" s="86"/>
      <c r="C884" s="87"/>
      <c r="D884" s="87"/>
      <c r="E884" s="87"/>
      <c r="F884" s="87"/>
      <c r="G884" s="87"/>
      <c r="H884" s="87"/>
      <c r="I884" s="87"/>
      <c r="J884" s="87"/>
      <c r="K884" s="88"/>
      <c r="L884" s="89"/>
      <c r="M884" s="90"/>
      <c r="N884" s="57"/>
      <c r="O884" s="57"/>
      <c r="P884" s="91"/>
    </row>
    <row r="885" spans="2:16" s="50" customFormat="1" ht="13.2">
      <c r="B885" s="86"/>
      <c r="C885" s="87"/>
      <c r="D885" s="87"/>
      <c r="E885" s="87"/>
      <c r="F885" s="87"/>
      <c r="G885" s="87"/>
      <c r="H885" s="87"/>
      <c r="I885" s="87"/>
      <c r="J885" s="87"/>
      <c r="K885" s="88"/>
      <c r="L885" s="89"/>
      <c r="M885" s="90"/>
      <c r="N885" s="57"/>
      <c r="O885" s="57"/>
      <c r="P885" s="91"/>
    </row>
    <row r="886" spans="2:16" s="50" customFormat="1" ht="13.2">
      <c r="B886" s="86"/>
      <c r="C886" s="87"/>
      <c r="D886" s="87"/>
      <c r="E886" s="87"/>
      <c r="F886" s="87"/>
      <c r="G886" s="87"/>
      <c r="H886" s="87"/>
      <c r="I886" s="87"/>
      <c r="J886" s="87"/>
      <c r="K886" s="88"/>
      <c r="L886" s="89"/>
      <c r="M886" s="90"/>
      <c r="N886" s="57"/>
      <c r="O886" s="57"/>
      <c r="P886" s="91"/>
    </row>
    <row r="887" spans="2:16" s="50" customFormat="1" ht="13.2">
      <c r="B887" s="86"/>
      <c r="C887" s="87"/>
      <c r="D887" s="87"/>
      <c r="E887" s="87"/>
      <c r="F887" s="87"/>
      <c r="G887" s="87"/>
      <c r="H887" s="87"/>
      <c r="I887" s="87"/>
      <c r="J887" s="87"/>
      <c r="K887" s="88"/>
      <c r="L887" s="89"/>
      <c r="M887" s="90"/>
      <c r="N887" s="57"/>
      <c r="O887" s="57"/>
      <c r="P887" s="91"/>
    </row>
    <row r="888" spans="2:16" s="50" customFormat="1" ht="13.2">
      <c r="B888" s="86"/>
      <c r="C888" s="87"/>
      <c r="D888" s="87"/>
      <c r="E888" s="87"/>
      <c r="F888" s="87"/>
      <c r="G888" s="87"/>
      <c r="H888" s="87"/>
      <c r="I888" s="87"/>
      <c r="J888" s="87"/>
      <c r="K888" s="88"/>
      <c r="L888" s="89"/>
      <c r="M888" s="90"/>
      <c r="N888" s="57"/>
      <c r="O888" s="57"/>
      <c r="P888" s="91"/>
    </row>
    <row r="889" spans="2:16" s="50" customFormat="1" ht="13.2">
      <c r="B889" s="86"/>
      <c r="C889" s="87"/>
      <c r="D889" s="87"/>
      <c r="E889" s="87"/>
      <c r="F889" s="87"/>
      <c r="G889" s="87"/>
      <c r="H889" s="87"/>
      <c r="I889" s="87"/>
      <c r="J889" s="87"/>
      <c r="K889" s="88"/>
      <c r="L889" s="89"/>
      <c r="M889" s="90"/>
      <c r="N889" s="57"/>
      <c r="O889" s="57"/>
      <c r="P889" s="91"/>
    </row>
    <row r="890" spans="2:16" s="50" customFormat="1" ht="13.2">
      <c r="B890" s="86"/>
      <c r="C890" s="87"/>
      <c r="D890" s="87"/>
      <c r="E890" s="87"/>
      <c r="F890" s="87"/>
      <c r="G890" s="87"/>
      <c r="H890" s="87"/>
      <c r="I890" s="87"/>
      <c r="J890" s="87"/>
      <c r="K890" s="88"/>
      <c r="L890" s="89"/>
      <c r="M890" s="90"/>
      <c r="N890" s="57"/>
      <c r="O890" s="57"/>
      <c r="P890" s="91"/>
    </row>
    <row r="891" spans="2:16" s="50" customFormat="1" ht="13.2">
      <c r="B891" s="86"/>
      <c r="C891" s="87"/>
      <c r="D891" s="87"/>
      <c r="E891" s="87"/>
      <c r="F891" s="87"/>
      <c r="G891" s="87"/>
      <c r="H891" s="87"/>
      <c r="I891" s="87"/>
      <c r="J891" s="87"/>
      <c r="K891" s="88"/>
      <c r="L891" s="89"/>
      <c r="M891" s="90"/>
      <c r="N891" s="57"/>
      <c r="O891" s="57"/>
      <c r="P891" s="91"/>
    </row>
    <row r="892" spans="2:16" s="50" customFormat="1" ht="13.2">
      <c r="B892" s="86"/>
      <c r="C892" s="87"/>
      <c r="D892" s="87"/>
      <c r="E892" s="87"/>
      <c r="F892" s="87"/>
      <c r="G892" s="87"/>
      <c r="H892" s="87"/>
      <c r="I892" s="87"/>
      <c r="J892" s="87"/>
      <c r="K892" s="88"/>
      <c r="L892" s="89"/>
      <c r="M892" s="90"/>
      <c r="N892" s="57"/>
      <c r="O892" s="57"/>
      <c r="P892" s="91"/>
    </row>
    <row r="893" spans="2:16" s="50" customFormat="1" ht="13.2">
      <c r="B893" s="86"/>
      <c r="C893" s="87"/>
      <c r="D893" s="87"/>
      <c r="E893" s="87"/>
      <c r="F893" s="87"/>
      <c r="G893" s="87"/>
      <c r="H893" s="87"/>
      <c r="I893" s="87"/>
      <c r="J893" s="87"/>
      <c r="K893" s="88"/>
      <c r="L893" s="89"/>
      <c r="M893" s="90"/>
      <c r="N893" s="57"/>
      <c r="O893" s="57"/>
      <c r="P893" s="91"/>
    </row>
    <row r="894" spans="2:16" s="50" customFormat="1" ht="13.2">
      <c r="B894" s="86"/>
      <c r="C894" s="87"/>
      <c r="D894" s="87"/>
      <c r="E894" s="87"/>
      <c r="F894" s="87"/>
      <c r="G894" s="87"/>
      <c r="H894" s="87"/>
      <c r="I894" s="87"/>
      <c r="J894" s="87"/>
      <c r="K894" s="88"/>
      <c r="L894" s="89"/>
      <c r="M894" s="90"/>
      <c r="N894" s="57"/>
      <c r="O894" s="57"/>
      <c r="P894" s="91"/>
    </row>
    <row r="895" spans="2:16" s="50" customFormat="1" ht="13.2">
      <c r="B895" s="86"/>
      <c r="C895" s="87"/>
      <c r="D895" s="87"/>
      <c r="E895" s="87"/>
      <c r="F895" s="87"/>
      <c r="G895" s="87"/>
      <c r="H895" s="87"/>
      <c r="I895" s="87"/>
      <c r="J895" s="87"/>
      <c r="K895" s="88"/>
      <c r="L895" s="89"/>
      <c r="M895" s="90"/>
      <c r="N895" s="57"/>
      <c r="O895" s="57"/>
      <c r="P895" s="91"/>
    </row>
    <row r="896" spans="2:16" s="50" customFormat="1" ht="13.2">
      <c r="B896" s="86"/>
      <c r="C896" s="87"/>
      <c r="D896" s="87"/>
      <c r="E896" s="87"/>
      <c r="F896" s="87"/>
      <c r="G896" s="87"/>
      <c r="H896" s="87"/>
      <c r="I896" s="87"/>
      <c r="J896" s="87"/>
      <c r="K896" s="88"/>
      <c r="L896" s="89"/>
      <c r="M896" s="90"/>
      <c r="N896" s="57"/>
      <c r="O896" s="57"/>
      <c r="P896" s="91"/>
    </row>
    <row r="897" spans="2:16" s="50" customFormat="1" ht="13.2">
      <c r="B897" s="86"/>
      <c r="C897" s="87"/>
      <c r="D897" s="87"/>
      <c r="E897" s="87"/>
      <c r="F897" s="87"/>
      <c r="G897" s="87"/>
      <c r="H897" s="87"/>
      <c r="I897" s="87"/>
      <c r="J897" s="87"/>
      <c r="K897" s="88"/>
      <c r="L897" s="89"/>
      <c r="M897" s="90"/>
      <c r="N897" s="57"/>
      <c r="O897" s="57"/>
      <c r="P897" s="91"/>
    </row>
    <row r="898" spans="2:16" s="50" customFormat="1" ht="13.2">
      <c r="B898" s="86"/>
      <c r="C898" s="87"/>
      <c r="D898" s="87"/>
      <c r="E898" s="87"/>
      <c r="F898" s="87"/>
      <c r="G898" s="87"/>
      <c r="H898" s="87"/>
      <c r="I898" s="87"/>
      <c r="J898" s="87"/>
      <c r="K898" s="88"/>
      <c r="L898" s="89"/>
      <c r="M898" s="90"/>
      <c r="N898" s="57"/>
      <c r="O898" s="57"/>
      <c r="P898" s="91"/>
    </row>
    <row r="899" spans="2:16" s="50" customFormat="1" ht="13.2">
      <c r="B899" s="86"/>
      <c r="C899" s="87"/>
      <c r="D899" s="87"/>
      <c r="E899" s="87"/>
      <c r="F899" s="87"/>
      <c r="G899" s="87"/>
      <c r="H899" s="87"/>
      <c r="I899" s="87"/>
      <c r="J899" s="87"/>
      <c r="K899" s="88"/>
      <c r="L899" s="89"/>
      <c r="M899" s="90"/>
      <c r="N899" s="57"/>
      <c r="O899" s="57"/>
      <c r="P899" s="91"/>
    </row>
    <row r="900" spans="2:16" s="50" customFormat="1" ht="13.2">
      <c r="B900" s="86"/>
      <c r="C900" s="87"/>
      <c r="D900" s="87"/>
      <c r="E900" s="87"/>
      <c r="F900" s="87"/>
      <c r="G900" s="87"/>
      <c r="H900" s="87"/>
      <c r="I900" s="87"/>
      <c r="J900" s="87"/>
      <c r="K900" s="88"/>
      <c r="L900" s="89"/>
      <c r="M900" s="90"/>
      <c r="N900" s="57"/>
      <c r="O900" s="57"/>
      <c r="P900" s="91"/>
    </row>
    <row r="901" spans="2:16" s="50" customFormat="1" ht="13.2">
      <c r="B901" s="86"/>
      <c r="C901" s="87"/>
      <c r="D901" s="87"/>
      <c r="E901" s="87"/>
      <c r="F901" s="87"/>
      <c r="G901" s="87"/>
      <c r="H901" s="87"/>
      <c r="I901" s="87"/>
      <c r="J901" s="87"/>
      <c r="K901" s="88"/>
      <c r="L901" s="89"/>
      <c r="M901" s="90"/>
      <c r="N901" s="57"/>
      <c r="O901" s="57"/>
      <c r="P901" s="91"/>
    </row>
    <row r="902" spans="2:16" s="50" customFormat="1" ht="13.2">
      <c r="B902" s="86"/>
      <c r="C902" s="87"/>
      <c r="D902" s="87"/>
      <c r="E902" s="87"/>
      <c r="F902" s="87"/>
      <c r="G902" s="87"/>
      <c r="H902" s="87"/>
      <c r="I902" s="87"/>
      <c r="J902" s="87"/>
      <c r="K902" s="88"/>
      <c r="L902" s="89"/>
      <c r="M902" s="90"/>
      <c r="N902" s="57"/>
      <c r="O902" s="57"/>
      <c r="P902" s="91"/>
    </row>
    <row r="903" spans="2:16" s="50" customFormat="1" ht="13.2">
      <c r="B903" s="86"/>
      <c r="C903" s="87"/>
      <c r="D903" s="87"/>
      <c r="E903" s="87"/>
      <c r="F903" s="87"/>
      <c r="G903" s="87"/>
      <c r="H903" s="87"/>
      <c r="I903" s="87"/>
      <c r="J903" s="87"/>
      <c r="K903" s="88"/>
      <c r="L903" s="89"/>
      <c r="M903" s="90"/>
      <c r="N903" s="57"/>
      <c r="O903" s="57"/>
      <c r="P903" s="91"/>
    </row>
    <row r="904" spans="2:16" s="50" customFormat="1" ht="13.2">
      <c r="B904" s="86"/>
      <c r="C904" s="87"/>
      <c r="D904" s="87"/>
      <c r="E904" s="87"/>
      <c r="F904" s="87"/>
      <c r="G904" s="87"/>
      <c r="H904" s="87"/>
      <c r="I904" s="87"/>
      <c r="J904" s="87"/>
      <c r="K904" s="88"/>
      <c r="L904" s="89"/>
      <c r="M904" s="90"/>
      <c r="N904" s="57"/>
      <c r="O904" s="57"/>
      <c r="P904" s="91"/>
    </row>
    <row r="905" spans="2:16" s="50" customFormat="1" ht="13.2">
      <c r="B905" s="86"/>
      <c r="C905" s="87"/>
      <c r="D905" s="87"/>
      <c r="E905" s="87"/>
      <c r="F905" s="87"/>
      <c r="G905" s="87"/>
      <c r="H905" s="87"/>
      <c r="I905" s="87"/>
      <c r="J905" s="87"/>
      <c r="K905" s="88"/>
      <c r="L905" s="89"/>
      <c r="M905" s="90"/>
      <c r="N905" s="57"/>
      <c r="O905" s="57"/>
      <c r="P905" s="91"/>
    </row>
    <row r="906" spans="2:16" s="50" customFormat="1" ht="13.2">
      <c r="B906" s="86"/>
      <c r="C906" s="87"/>
      <c r="D906" s="87"/>
      <c r="E906" s="87"/>
      <c r="F906" s="87"/>
      <c r="G906" s="87"/>
      <c r="H906" s="87"/>
      <c r="I906" s="87"/>
      <c r="J906" s="87"/>
      <c r="K906" s="88"/>
      <c r="L906" s="89"/>
      <c r="M906" s="90"/>
      <c r="N906" s="57"/>
      <c r="O906" s="57"/>
      <c r="P906" s="91"/>
    </row>
    <row r="907" spans="2:16" s="50" customFormat="1" ht="13.2">
      <c r="B907" s="86"/>
      <c r="C907" s="87"/>
      <c r="D907" s="87"/>
      <c r="E907" s="87"/>
      <c r="F907" s="87"/>
      <c r="G907" s="87"/>
      <c r="H907" s="87"/>
      <c r="I907" s="87"/>
      <c r="J907" s="87"/>
      <c r="K907" s="88"/>
      <c r="L907" s="89"/>
      <c r="M907" s="90"/>
      <c r="N907" s="57"/>
      <c r="O907" s="57"/>
      <c r="P907" s="91"/>
    </row>
    <row r="908" spans="2:16" s="50" customFormat="1" ht="13.2">
      <c r="B908" s="86"/>
      <c r="C908" s="87"/>
      <c r="D908" s="87"/>
      <c r="E908" s="87"/>
      <c r="F908" s="87"/>
      <c r="G908" s="87"/>
      <c r="H908" s="87"/>
      <c r="I908" s="87"/>
      <c r="J908" s="87"/>
      <c r="K908" s="88"/>
      <c r="L908" s="89"/>
      <c r="M908" s="90"/>
      <c r="N908" s="57"/>
      <c r="O908" s="57"/>
      <c r="P908" s="91"/>
    </row>
    <row r="909" spans="2:16" s="50" customFormat="1" ht="13.2">
      <c r="B909" s="86"/>
      <c r="C909" s="87"/>
      <c r="D909" s="87"/>
      <c r="E909" s="87"/>
      <c r="F909" s="87"/>
      <c r="G909" s="87"/>
      <c r="H909" s="87"/>
      <c r="I909" s="87"/>
      <c r="J909" s="87"/>
      <c r="K909" s="88"/>
      <c r="L909" s="89"/>
      <c r="M909" s="90"/>
      <c r="N909" s="57"/>
      <c r="O909" s="57"/>
      <c r="P909" s="91"/>
    </row>
    <row r="910" spans="2:16" s="50" customFormat="1" ht="13.2">
      <c r="B910" s="86"/>
      <c r="C910" s="87"/>
      <c r="D910" s="87"/>
      <c r="E910" s="87"/>
      <c r="F910" s="87"/>
      <c r="G910" s="87"/>
      <c r="H910" s="87"/>
      <c r="I910" s="87"/>
      <c r="J910" s="87"/>
      <c r="K910" s="88"/>
      <c r="L910" s="89"/>
      <c r="M910" s="90"/>
      <c r="N910" s="57"/>
      <c r="O910" s="57"/>
      <c r="P910" s="91"/>
    </row>
    <row r="911" spans="2:16" s="50" customFormat="1" ht="13.2">
      <c r="B911" s="86"/>
      <c r="C911" s="87"/>
      <c r="D911" s="87"/>
      <c r="E911" s="87"/>
      <c r="F911" s="87"/>
      <c r="G911" s="87"/>
      <c r="H911" s="87"/>
      <c r="I911" s="87"/>
      <c r="J911" s="87"/>
      <c r="K911" s="88"/>
      <c r="L911" s="89"/>
      <c r="M911" s="90"/>
      <c r="N911" s="57"/>
      <c r="O911" s="57"/>
      <c r="P911" s="91"/>
    </row>
    <row r="912" spans="2:16" s="50" customFormat="1" ht="13.2">
      <c r="B912" s="86"/>
      <c r="C912" s="87"/>
      <c r="D912" s="87"/>
      <c r="E912" s="87"/>
      <c r="F912" s="87"/>
      <c r="G912" s="87"/>
      <c r="H912" s="87"/>
      <c r="I912" s="87"/>
      <c r="J912" s="87"/>
      <c r="K912" s="88"/>
      <c r="L912" s="89"/>
      <c r="M912" s="90"/>
      <c r="N912" s="57"/>
      <c r="O912" s="57"/>
      <c r="P912" s="91"/>
    </row>
    <row r="913" spans="2:16" s="50" customFormat="1" ht="13.2">
      <c r="B913" s="86"/>
      <c r="C913" s="87"/>
      <c r="D913" s="87"/>
      <c r="E913" s="87"/>
      <c r="F913" s="87"/>
      <c r="G913" s="87"/>
      <c r="H913" s="87"/>
      <c r="I913" s="87"/>
      <c r="J913" s="87"/>
      <c r="K913" s="88"/>
      <c r="L913" s="89"/>
      <c r="M913" s="90"/>
      <c r="N913" s="57"/>
      <c r="O913" s="57"/>
      <c r="P913" s="91"/>
    </row>
    <row r="914" spans="2:16" s="50" customFormat="1" ht="13.2">
      <c r="B914" s="86"/>
      <c r="C914" s="87"/>
      <c r="D914" s="87"/>
      <c r="E914" s="87"/>
      <c r="F914" s="87"/>
      <c r="G914" s="87"/>
      <c r="H914" s="87"/>
      <c r="I914" s="87"/>
      <c r="J914" s="87"/>
      <c r="K914" s="88"/>
      <c r="L914" s="89"/>
      <c r="M914" s="90"/>
      <c r="N914" s="57"/>
      <c r="O914" s="57"/>
      <c r="P914" s="91"/>
    </row>
    <row r="915" spans="2:16" s="50" customFormat="1" ht="13.2">
      <c r="B915" s="86"/>
      <c r="C915" s="87"/>
      <c r="D915" s="87"/>
      <c r="E915" s="87"/>
      <c r="F915" s="87"/>
      <c r="G915" s="87"/>
      <c r="H915" s="87"/>
      <c r="I915" s="87"/>
      <c r="J915" s="87"/>
      <c r="K915" s="88"/>
      <c r="L915" s="89"/>
      <c r="M915" s="90"/>
      <c r="N915" s="57"/>
      <c r="O915" s="57"/>
      <c r="P915" s="91"/>
    </row>
    <row r="916" spans="2:16" s="50" customFormat="1" ht="13.2">
      <c r="B916" s="86"/>
      <c r="C916" s="87"/>
      <c r="D916" s="87"/>
      <c r="E916" s="87"/>
      <c r="F916" s="87"/>
      <c r="G916" s="87"/>
      <c r="H916" s="87"/>
      <c r="I916" s="87"/>
      <c r="J916" s="87"/>
      <c r="K916" s="88"/>
      <c r="L916" s="89"/>
      <c r="M916" s="90"/>
      <c r="N916" s="57"/>
      <c r="O916" s="57"/>
      <c r="P916" s="91"/>
    </row>
    <row r="917" spans="2:16" s="50" customFormat="1" ht="13.2">
      <c r="B917" s="86"/>
      <c r="C917" s="87"/>
      <c r="D917" s="87"/>
      <c r="E917" s="87"/>
      <c r="F917" s="87"/>
      <c r="G917" s="87"/>
      <c r="H917" s="87"/>
      <c r="I917" s="87"/>
      <c r="J917" s="87"/>
      <c r="K917" s="88"/>
      <c r="L917" s="89"/>
      <c r="M917" s="90"/>
      <c r="N917" s="57"/>
      <c r="O917" s="57"/>
      <c r="P917" s="91"/>
    </row>
    <row r="918" spans="2:16" s="50" customFormat="1" ht="13.2">
      <c r="B918" s="86"/>
      <c r="C918" s="87"/>
      <c r="D918" s="87"/>
      <c r="E918" s="87"/>
      <c r="F918" s="87"/>
      <c r="G918" s="87"/>
      <c r="H918" s="87"/>
      <c r="I918" s="87"/>
      <c r="J918" s="87"/>
      <c r="K918" s="88"/>
      <c r="L918" s="89"/>
      <c r="M918" s="90"/>
      <c r="N918" s="57"/>
      <c r="O918" s="57"/>
      <c r="P918" s="91"/>
    </row>
    <row r="919" spans="2:16" s="50" customFormat="1" ht="13.2">
      <c r="B919" s="86"/>
      <c r="C919" s="87"/>
      <c r="D919" s="87"/>
      <c r="E919" s="87"/>
      <c r="F919" s="87"/>
      <c r="G919" s="87"/>
      <c r="H919" s="87"/>
      <c r="I919" s="87"/>
      <c r="J919" s="87"/>
      <c r="K919" s="88"/>
      <c r="L919" s="89"/>
      <c r="M919" s="90"/>
      <c r="N919" s="57"/>
      <c r="O919" s="57"/>
      <c r="P919" s="91"/>
    </row>
    <row r="920" spans="2:16" s="50" customFormat="1" ht="13.2">
      <c r="B920" s="86"/>
      <c r="C920" s="87"/>
      <c r="D920" s="87"/>
      <c r="E920" s="87"/>
      <c r="F920" s="87"/>
      <c r="G920" s="87"/>
      <c r="H920" s="87"/>
      <c r="I920" s="87"/>
      <c r="J920" s="87"/>
      <c r="K920" s="88"/>
      <c r="L920" s="89"/>
      <c r="M920" s="90"/>
      <c r="N920" s="57"/>
      <c r="O920" s="57"/>
      <c r="P920" s="91"/>
    </row>
    <row r="921" spans="2:16" s="50" customFormat="1" ht="13.2">
      <c r="B921" s="86"/>
      <c r="C921" s="87"/>
      <c r="D921" s="87"/>
      <c r="E921" s="87"/>
      <c r="F921" s="87"/>
      <c r="G921" s="87"/>
      <c r="H921" s="87"/>
      <c r="I921" s="87"/>
      <c r="J921" s="87"/>
      <c r="K921" s="88"/>
      <c r="L921" s="89"/>
      <c r="M921" s="90"/>
      <c r="N921" s="57"/>
      <c r="O921" s="57"/>
      <c r="P921" s="91"/>
    </row>
    <row r="922" spans="2:16" s="50" customFormat="1" ht="13.2">
      <c r="B922" s="86"/>
      <c r="C922" s="87"/>
      <c r="D922" s="87"/>
      <c r="E922" s="87"/>
      <c r="F922" s="87"/>
      <c r="G922" s="87"/>
      <c r="H922" s="87"/>
      <c r="I922" s="87"/>
      <c r="J922" s="87"/>
      <c r="K922" s="88"/>
      <c r="L922" s="89"/>
      <c r="M922" s="90"/>
      <c r="N922" s="57"/>
      <c r="O922" s="57"/>
      <c r="P922" s="91"/>
    </row>
    <row r="923" spans="2:16" s="50" customFormat="1" ht="13.2">
      <c r="B923" s="86"/>
      <c r="C923" s="87"/>
      <c r="D923" s="87"/>
      <c r="E923" s="87"/>
      <c r="F923" s="87"/>
      <c r="G923" s="87"/>
      <c r="H923" s="87"/>
      <c r="I923" s="87"/>
      <c r="J923" s="87"/>
      <c r="K923" s="88"/>
      <c r="L923" s="89"/>
      <c r="M923" s="90"/>
      <c r="N923" s="57"/>
      <c r="O923" s="57"/>
      <c r="P923" s="91"/>
    </row>
    <row r="924" spans="2:16" s="50" customFormat="1" ht="13.2">
      <c r="B924" s="86"/>
      <c r="C924" s="87"/>
      <c r="D924" s="87"/>
      <c r="E924" s="87"/>
      <c r="F924" s="87"/>
      <c r="G924" s="87"/>
      <c r="H924" s="87"/>
      <c r="I924" s="87"/>
      <c r="J924" s="87"/>
      <c r="K924" s="88"/>
      <c r="L924" s="89"/>
      <c r="M924" s="90"/>
      <c r="N924" s="57"/>
      <c r="O924" s="57"/>
      <c r="P924" s="91"/>
    </row>
    <row r="925" spans="2:16" s="50" customFormat="1" ht="13.2">
      <c r="B925" s="86"/>
      <c r="C925" s="87"/>
      <c r="D925" s="87"/>
      <c r="E925" s="87"/>
      <c r="F925" s="87"/>
      <c r="G925" s="87"/>
      <c r="H925" s="87"/>
      <c r="I925" s="87"/>
      <c r="J925" s="87"/>
      <c r="K925" s="88"/>
      <c r="L925" s="89"/>
      <c r="M925" s="90"/>
      <c r="N925" s="57"/>
      <c r="O925" s="57"/>
      <c r="P925" s="91"/>
    </row>
    <row r="926" spans="2:16" s="50" customFormat="1" ht="13.2">
      <c r="B926" s="86"/>
      <c r="C926" s="87"/>
      <c r="D926" s="87"/>
      <c r="E926" s="87"/>
      <c r="F926" s="87"/>
      <c r="G926" s="87"/>
      <c r="H926" s="87"/>
      <c r="I926" s="87"/>
      <c r="J926" s="87"/>
      <c r="K926" s="88"/>
      <c r="L926" s="89"/>
      <c r="M926" s="90"/>
      <c r="N926" s="57"/>
      <c r="O926" s="57"/>
      <c r="P926" s="91"/>
    </row>
    <row r="927" spans="2:16" s="50" customFormat="1" ht="13.2">
      <c r="B927" s="86"/>
      <c r="C927" s="87"/>
      <c r="D927" s="87"/>
      <c r="E927" s="87"/>
      <c r="F927" s="87"/>
      <c r="G927" s="87"/>
      <c r="H927" s="87"/>
      <c r="I927" s="87"/>
      <c r="J927" s="87"/>
      <c r="K927" s="88"/>
      <c r="L927" s="89"/>
      <c r="M927" s="90"/>
      <c r="N927" s="57"/>
      <c r="O927" s="57"/>
      <c r="P927" s="91"/>
    </row>
    <row r="928" spans="2:16" s="50" customFormat="1" ht="13.2">
      <c r="B928" s="86"/>
      <c r="C928" s="87"/>
      <c r="D928" s="87"/>
      <c r="E928" s="87"/>
      <c r="F928" s="87"/>
      <c r="G928" s="87"/>
      <c r="H928" s="87"/>
      <c r="I928" s="87"/>
      <c r="J928" s="87"/>
      <c r="K928" s="88"/>
      <c r="L928" s="89"/>
      <c r="M928" s="90"/>
      <c r="N928" s="57"/>
      <c r="O928" s="57"/>
      <c r="P928" s="91"/>
    </row>
    <row r="929" spans="2:16" s="50" customFormat="1" ht="13.2">
      <c r="B929" s="86"/>
      <c r="C929" s="87"/>
      <c r="D929" s="87"/>
      <c r="E929" s="87"/>
      <c r="F929" s="87"/>
      <c r="G929" s="87"/>
      <c r="H929" s="87"/>
      <c r="I929" s="87"/>
      <c r="J929" s="87"/>
      <c r="K929" s="88"/>
      <c r="L929" s="89"/>
      <c r="M929" s="90"/>
      <c r="N929" s="57"/>
      <c r="O929" s="57"/>
      <c r="P929" s="91"/>
    </row>
    <row r="930" spans="2:16" s="50" customFormat="1" ht="13.2">
      <c r="B930" s="86"/>
      <c r="C930" s="87"/>
      <c r="D930" s="87"/>
      <c r="E930" s="87"/>
      <c r="F930" s="87"/>
      <c r="G930" s="87"/>
      <c r="H930" s="87"/>
      <c r="I930" s="87"/>
      <c r="J930" s="87"/>
      <c r="K930" s="88"/>
      <c r="L930" s="89"/>
      <c r="M930" s="90"/>
      <c r="N930" s="57"/>
      <c r="O930" s="57"/>
      <c r="P930" s="91"/>
    </row>
    <row r="931" spans="2:16" s="50" customFormat="1" ht="13.2">
      <c r="B931" s="86"/>
      <c r="C931" s="87"/>
      <c r="D931" s="87"/>
      <c r="E931" s="87"/>
      <c r="F931" s="87"/>
      <c r="G931" s="87"/>
      <c r="H931" s="87"/>
      <c r="I931" s="87"/>
      <c r="J931" s="87"/>
      <c r="K931" s="88"/>
      <c r="L931" s="89"/>
      <c r="M931" s="90"/>
      <c r="N931" s="57"/>
      <c r="O931" s="57"/>
      <c r="P931" s="91"/>
    </row>
    <row r="932" spans="2:16" s="50" customFormat="1" ht="13.2">
      <c r="B932" s="86"/>
      <c r="C932" s="87"/>
      <c r="D932" s="87"/>
      <c r="E932" s="87"/>
      <c r="F932" s="87"/>
      <c r="G932" s="87"/>
      <c r="H932" s="87"/>
      <c r="I932" s="87"/>
      <c r="J932" s="87"/>
      <c r="K932" s="88"/>
      <c r="L932" s="89"/>
      <c r="M932" s="90"/>
      <c r="N932" s="57"/>
      <c r="O932" s="57"/>
      <c r="P932" s="91"/>
    </row>
    <row r="933" spans="2:16" s="50" customFormat="1" ht="13.2">
      <c r="B933" s="86"/>
      <c r="C933" s="87"/>
      <c r="D933" s="87"/>
      <c r="E933" s="87"/>
      <c r="F933" s="87"/>
      <c r="G933" s="87"/>
      <c r="H933" s="87"/>
      <c r="I933" s="87"/>
      <c r="J933" s="87"/>
      <c r="K933" s="88"/>
      <c r="L933" s="89"/>
      <c r="M933" s="90"/>
      <c r="N933" s="57"/>
      <c r="O933" s="57"/>
      <c r="P933" s="91"/>
    </row>
    <row r="934" spans="2:16" s="50" customFormat="1" ht="13.2">
      <c r="B934" s="86"/>
      <c r="C934" s="87"/>
      <c r="D934" s="87"/>
      <c r="E934" s="87"/>
      <c r="F934" s="87"/>
      <c r="G934" s="87"/>
      <c r="H934" s="87"/>
      <c r="I934" s="87"/>
      <c r="J934" s="87"/>
      <c r="K934" s="88"/>
      <c r="L934" s="89"/>
      <c r="M934" s="90"/>
      <c r="N934" s="57"/>
      <c r="O934" s="57"/>
      <c r="P934" s="91"/>
    </row>
    <row r="935" spans="2:16" s="50" customFormat="1" ht="13.2">
      <c r="B935" s="86"/>
      <c r="C935" s="87"/>
      <c r="D935" s="87"/>
      <c r="E935" s="87"/>
      <c r="F935" s="87"/>
      <c r="G935" s="87"/>
      <c r="H935" s="87"/>
      <c r="I935" s="87"/>
      <c r="J935" s="87"/>
      <c r="K935" s="88"/>
      <c r="L935" s="89"/>
      <c r="M935" s="90"/>
      <c r="N935" s="57"/>
      <c r="O935" s="57"/>
      <c r="P935" s="91"/>
    </row>
    <row r="936" spans="2:16" s="50" customFormat="1" ht="13.2">
      <c r="B936" s="86"/>
      <c r="C936" s="87"/>
      <c r="D936" s="87"/>
      <c r="E936" s="87"/>
      <c r="F936" s="87"/>
      <c r="G936" s="87"/>
      <c r="H936" s="87"/>
      <c r="I936" s="87"/>
      <c r="J936" s="87"/>
      <c r="K936" s="88"/>
      <c r="L936" s="89"/>
      <c r="M936" s="90"/>
      <c r="N936" s="57"/>
      <c r="O936" s="57"/>
      <c r="P936" s="91"/>
    </row>
    <row r="937" spans="2:16" s="50" customFormat="1" ht="13.2">
      <c r="B937" s="86"/>
      <c r="C937" s="87"/>
      <c r="D937" s="87"/>
      <c r="E937" s="87"/>
      <c r="F937" s="87"/>
      <c r="G937" s="87"/>
      <c r="H937" s="87"/>
      <c r="I937" s="87"/>
      <c r="J937" s="87"/>
      <c r="K937" s="88"/>
      <c r="L937" s="89"/>
      <c r="M937" s="90"/>
      <c r="N937" s="57"/>
      <c r="O937" s="57"/>
      <c r="P937" s="91"/>
    </row>
    <row r="938" spans="2:16" s="50" customFormat="1" ht="13.2">
      <c r="B938" s="86"/>
      <c r="C938" s="87"/>
      <c r="D938" s="87"/>
      <c r="E938" s="87"/>
      <c r="F938" s="87"/>
      <c r="G938" s="87"/>
      <c r="H938" s="87"/>
      <c r="I938" s="87"/>
      <c r="J938" s="87"/>
      <c r="K938" s="88"/>
      <c r="L938" s="89"/>
      <c r="M938" s="90"/>
      <c r="N938" s="57"/>
      <c r="O938" s="57"/>
      <c r="P938" s="91"/>
    </row>
    <row r="939" spans="2:16" s="50" customFormat="1" ht="13.2">
      <c r="B939" s="86"/>
      <c r="C939" s="87"/>
      <c r="D939" s="87"/>
      <c r="E939" s="87"/>
      <c r="F939" s="87"/>
      <c r="G939" s="87"/>
      <c r="H939" s="87"/>
      <c r="I939" s="87"/>
      <c r="J939" s="87"/>
      <c r="K939" s="88"/>
      <c r="L939" s="89"/>
      <c r="M939" s="90"/>
      <c r="N939" s="57"/>
      <c r="O939" s="57"/>
      <c r="P939" s="91"/>
    </row>
    <row r="940" spans="2:16" s="50" customFormat="1" ht="13.2">
      <c r="B940" s="86"/>
      <c r="C940" s="87"/>
      <c r="D940" s="87"/>
      <c r="E940" s="87"/>
      <c r="F940" s="87"/>
      <c r="G940" s="87"/>
      <c r="H940" s="87"/>
      <c r="I940" s="87"/>
      <c r="J940" s="87"/>
      <c r="K940" s="88"/>
      <c r="L940" s="89"/>
      <c r="M940" s="90"/>
      <c r="N940" s="57"/>
      <c r="O940" s="57"/>
      <c r="P940" s="91"/>
    </row>
    <row r="941" spans="2:16" s="50" customFormat="1" ht="13.2">
      <c r="B941" s="86"/>
      <c r="C941" s="87"/>
      <c r="D941" s="87"/>
      <c r="E941" s="87"/>
      <c r="F941" s="87"/>
      <c r="G941" s="87"/>
      <c r="H941" s="87"/>
      <c r="I941" s="87"/>
      <c r="J941" s="87"/>
      <c r="K941" s="88"/>
      <c r="L941" s="89"/>
      <c r="M941" s="90"/>
      <c r="N941" s="57"/>
      <c r="O941" s="57"/>
      <c r="P941" s="91"/>
    </row>
    <row r="942" spans="2:16" s="50" customFormat="1" ht="13.2">
      <c r="B942" s="86"/>
      <c r="C942" s="87"/>
      <c r="D942" s="87"/>
      <c r="E942" s="87"/>
      <c r="F942" s="87"/>
      <c r="G942" s="87"/>
      <c r="H942" s="87"/>
      <c r="I942" s="87"/>
      <c r="J942" s="87"/>
      <c r="K942" s="88"/>
      <c r="L942" s="89"/>
      <c r="M942" s="90"/>
      <c r="N942" s="57"/>
      <c r="O942" s="57"/>
      <c r="P942" s="91"/>
    </row>
    <row r="943" spans="2:16" s="50" customFormat="1" ht="13.2">
      <c r="B943" s="86"/>
      <c r="C943" s="87"/>
      <c r="D943" s="87"/>
      <c r="E943" s="87"/>
      <c r="F943" s="87"/>
      <c r="G943" s="87"/>
      <c r="H943" s="87"/>
      <c r="I943" s="87"/>
      <c r="J943" s="87"/>
      <c r="K943" s="88"/>
      <c r="L943" s="89"/>
      <c r="M943" s="90"/>
      <c r="N943" s="57"/>
      <c r="O943" s="57"/>
      <c r="P943" s="91"/>
    </row>
    <row r="944" spans="2:16" s="50" customFormat="1" ht="13.2">
      <c r="B944" s="86"/>
      <c r="C944" s="87"/>
      <c r="D944" s="87"/>
      <c r="E944" s="87"/>
      <c r="F944" s="87"/>
      <c r="G944" s="87"/>
      <c r="H944" s="87"/>
      <c r="I944" s="87"/>
      <c r="J944" s="87"/>
      <c r="K944" s="88"/>
      <c r="L944" s="89"/>
      <c r="M944" s="90"/>
      <c r="N944" s="57"/>
      <c r="O944" s="57"/>
      <c r="P944" s="91"/>
    </row>
    <row r="945" spans="2:16" s="50" customFormat="1" ht="13.2">
      <c r="B945" s="86"/>
      <c r="C945" s="87"/>
      <c r="D945" s="87"/>
      <c r="E945" s="87"/>
      <c r="F945" s="87"/>
      <c r="G945" s="87"/>
      <c r="H945" s="87"/>
      <c r="I945" s="87"/>
      <c r="J945" s="87"/>
      <c r="K945" s="88"/>
      <c r="L945" s="89"/>
      <c r="M945" s="90"/>
      <c r="N945" s="57"/>
      <c r="O945" s="57"/>
      <c r="P945" s="91"/>
    </row>
    <row r="946" spans="2:16" s="50" customFormat="1" ht="13.2">
      <c r="B946" s="86"/>
      <c r="C946" s="87"/>
      <c r="D946" s="87"/>
      <c r="E946" s="87"/>
      <c r="F946" s="87"/>
      <c r="G946" s="87"/>
      <c r="H946" s="87"/>
      <c r="I946" s="87"/>
      <c r="J946" s="87"/>
      <c r="K946" s="88"/>
      <c r="L946" s="89"/>
      <c r="M946" s="90"/>
      <c r="N946" s="57"/>
      <c r="O946" s="57"/>
      <c r="P946" s="91"/>
    </row>
    <row r="947" spans="2:16" s="50" customFormat="1" ht="13.2">
      <c r="B947" s="86"/>
      <c r="C947" s="87"/>
      <c r="D947" s="87"/>
      <c r="E947" s="87"/>
      <c r="F947" s="87"/>
      <c r="G947" s="87"/>
      <c r="H947" s="87"/>
      <c r="I947" s="87"/>
      <c r="J947" s="87"/>
      <c r="K947" s="88"/>
      <c r="L947" s="89"/>
      <c r="M947" s="90"/>
      <c r="N947" s="57"/>
      <c r="O947" s="57"/>
      <c r="P947" s="91"/>
    </row>
    <row r="948" spans="2:16" s="50" customFormat="1" ht="13.2">
      <c r="B948" s="86"/>
      <c r="C948" s="87"/>
      <c r="D948" s="87"/>
      <c r="E948" s="87"/>
      <c r="F948" s="87"/>
      <c r="G948" s="87"/>
      <c r="H948" s="87"/>
      <c r="I948" s="87"/>
      <c r="J948" s="87"/>
      <c r="K948" s="88"/>
      <c r="L948" s="89"/>
      <c r="M948" s="90"/>
      <c r="N948" s="57"/>
      <c r="O948" s="57"/>
      <c r="P948" s="91"/>
    </row>
    <row r="949" spans="2:16" s="50" customFormat="1" ht="13.2">
      <c r="B949" s="86"/>
      <c r="C949" s="87"/>
      <c r="D949" s="87"/>
      <c r="E949" s="87"/>
      <c r="F949" s="87"/>
      <c r="G949" s="87"/>
      <c r="H949" s="87"/>
      <c r="I949" s="87"/>
      <c r="J949" s="87"/>
      <c r="K949" s="88"/>
      <c r="L949" s="89"/>
      <c r="M949" s="90"/>
      <c r="N949" s="57"/>
      <c r="O949" s="57"/>
      <c r="P949" s="91"/>
    </row>
    <row r="950" spans="2:16" s="50" customFormat="1" ht="13.2">
      <c r="B950" s="86"/>
      <c r="C950" s="87"/>
      <c r="D950" s="87"/>
      <c r="E950" s="87"/>
      <c r="F950" s="87"/>
      <c r="G950" s="87"/>
      <c r="H950" s="87"/>
      <c r="I950" s="87"/>
      <c r="J950" s="87"/>
      <c r="K950" s="88"/>
      <c r="L950" s="89"/>
      <c r="M950" s="90"/>
      <c r="N950" s="57"/>
      <c r="O950" s="57"/>
      <c r="P950" s="91"/>
    </row>
    <row r="951" spans="2:16" s="50" customFormat="1" ht="13.2">
      <c r="B951" s="86"/>
      <c r="C951" s="87"/>
      <c r="D951" s="87"/>
      <c r="E951" s="87"/>
      <c r="F951" s="87"/>
      <c r="G951" s="87"/>
      <c r="H951" s="87"/>
      <c r="I951" s="87"/>
      <c r="J951" s="87"/>
      <c r="K951" s="88"/>
      <c r="L951" s="89"/>
      <c r="M951" s="90"/>
      <c r="N951" s="57"/>
      <c r="O951" s="57"/>
      <c r="P951" s="91"/>
    </row>
    <row r="952" spans="2:16" s="50" customFormat="1" ht="13.2">
      <c r="B952" s="86"/>
      <c r="C952" s="87"/>
      <c r="D952" s="87"/>
      <c r="E952" s="87"/>
      <c r="F952" s="87"/>
      <c r="G952" s="87"/>
      <c r="H952" s="87"/>
      <c r="I952" s="87"/>
      <c r="J952" s="87"/>
      <c r="K952" s="88"/>
      <c r="L952" s="89"/>
      <c r="M952" s="90"/>
      <c r="N952" s="57"/>
      <c r="O952" s="57"/>
      <c r="P952" s="91"/>
    </row>
    <row r="953" spans="2:16" s="50" customFormat="1" ht="13.2">
      <c r="B953" s="86"/>
      <c r="C953" s="87"/>
      <c r="D953" s="87"/>
      <c r="E953" s="87"/>
      <c r="F953" s="87"/>
      <c r="G953" s="87"/>
      <c r="H953" s="87"/>
      <c r="I953" s="87"/>
      <c r="J953" s="87"/>
      <c r="K953" s="88"/>
      <c r="L953" s="89"/>
      <c r="M953" s="90"/>
      <c r="N953" s="57"/>
      <c r="O953" s="57"/>
      <c r="P953" s="91"/>
    </row>
    <row r="954" spans="2:16" s="50" customFormat="1" ht="13.2">
      <c r="B954" s="86"/>
      <c r="C954" s="87"/>
      <c r="D954" s="87"/>
      <c r="E954" s="87"/>
      <c r="F954" s="87"/>
      <c r="G954" s="87"/>
      <c r="H954" s="87"/>
      <c r="I954" s="87"/>
      <c r="J954" s="87"/>
      <c r="K954" s="88"/>
      <c r="L954" s="89"/>
      <c r="M954" s="90"/>
      <c r="N954" s="57"/>
      <c r="O954" s="57"/>
      <c r="P954" s="91"/>
    </row>
    <row r="955" spans="2:16" s="50" customFormat="1" ht="13.2">
      <c r="B955" s="86"/>
      <c r="C955" s="87"/>
      <c r="D955" s="87"/>
      <c r="E955" s="87"/>
      <c r="F955" s="87"/>
      <c r="G955" s="87"/>
      <c r="H955" s="87"/>
      <c r="I955" s="87"/>
      <c r="J955" s="87"/>
      <c r="K955" s="88"/>
      <c r="L955" s="89"/>
      <c r="M955" s="90"/>
      <c r="N955" s="57"/>
      <c r="O955" s="57"/>
      <c r="P955" s="91"/>
    </row>
    <row r="956" spans="2:16" s="50" customFormat="1" ht="13.2">
      <c r="B956" s="86"/>
      <c r="C956" s="87"/>
      <c r="D956" s="87"/>
      <c r="E956" s="87"/>
      <c r="F956" s="87"/>
      <c r="G956" s="87"/>
      <c r="H956" s="87"/>
      <c r="I956" s="87"/>
      <c r="J956" s="87"/>
      <c r="K956" s="88"/>
      <c r="L956" s="89"/>
      <c r="M956" s="90"/>
      <c r="N956" s="57"/>
      <c r="O956" s="57"/>
      <c r="P956" s="91"/>
    </row>
    <row r="957" spans="2:16" s="50" customFormat="1" ht="13.2">
      <c r="B957" s="86"/>
      <c r="C957" s="87"/>
      <c r="D957" s="87"/>
      <c r="E957" s="87"/>
      <c r="F957" s="87"/>
      <c r="G957" s="87"/>
      <c r="H957" s="87"/>
      <c r="I957" s="87"/>
      <c r="J957" s="87"/>
      <c r="K957" s="88"/>
      <c r="L957" s="89"/>
      <c r="M957" s="90"/>
      <c r="N957" s="57"/>
      <c r="O957" s="57"/>
      <c r="P957" s="91"/>
    </row>
    <row r="958" spans="2:16" s="50" customFormat="1" ht="13.2">
      <c r="B958" s="86"/>
      <c r="C958" s="87"/>
      <c r="D958" s="87"/>
      <c r="E958" s="87"/>
      <c r="F958" s="87"/>
      <c r="G958" s="87"/>
      <c r="H958" s="87"/>
      <c r="I958" s="87"/>
      <c r="J958" s="87"/>
      <c r="K958" s="88"/>
      <c r="L958" s="89"/>
      <c r="M958" s="90"/>
      <c r="N958" s="57"/>
      <c r="O958" s="57"/>
      <c r="P958" s="91"/>
    </row>
    <row r="959" spans="2:16" s="50" customFormat="1" ht="13.2">
      <c r="B959" s="86"/>
      <c r="C959" s="87"/>
      <c r="D959" s="87"/>
      <c r="E959" s="87"/>
      <c r="F959" s="87"/>
      <c r="G959" s="87"/>
      <c r="H959" s="87"/>
      <c r="I959" s="87"/>
      <c r="J959" s="87"/>
      <c r="K959" s="88"/>
      <c r="L959" s="89"/>
      <c r="M959" s="90"/>
      <c r="N959" s="57"/>
      <c r="O959" s="57"/>
      <c r="P959" s="91"/>
    </row>
    <row r="960" spans="2:16" s="50" customFormat="1" ht="13.2">
      <c r="B960" s="86"/>
      <c r="C960" s="87"/>
      <c r="D960" s="87"/>
      <c r="E960" s="87"/>
      <c r="F960" s="87"/>
      <c r="G960" s="87"/>
      <c r="H960" s="87"/>
      <c r="I960" s="87"/>
      <c r="J960" s="87"/>
      <c r="K960" s="88"/>
      <c r="L960" s="89"/>
      <c r="M960" s="90"/>
      <c r="N960" s="57"/>
      <c r="O960" s="57"/>
      <c r="P960" s="91"/>
    </row>
    <row r="961" spans="2:16" s="50" customFormat="1" ht="13.2">
      <c r="B961" s="86"/>
      <c r="C961" s="87"/>
      <c r="D961" s="87"/>
      <c r="E961" s="87"/>
      <c r="F961" s="87"/>
      <c r="G961" s="87"/>
      <c r="H961" s="87"/>
      <c r="I961" s="87"/>
      <c r="J961" s="87"/>
      <c r="K961" s="88"/>
      <c r="L961" s="89"/>
      <c r="M961" s="90"/>
      <c r="N961" s="57"/>
      <c r="O961" s="57"/>
      <c r="P961" s="91"/>
    </row>
    <row r="962" spans="2:16" s="50" customFormat="1" ht="13.2">
      <c r="B962" s="86"/>
      <c r="C962" s="87"/>
      <c r="D962" s="87"/>
      <c r="E962" s="87"/>
      <c r="F962" s="87"/>
      <c r="G962" s="87"/>
      <c r="H962" s="87"/>
      <c r="I962" s="87"/>
      <c r="J962" s="87"/>
      <c r="K962" s="88"/>
      <c r="L962" s="89"/>
      <c r="M962" s="90"/>
      <c r="N962" s="57"/>
      <c r="O962" s="57"/>
      <c r="P962" s="91"/>
    </row>
    <row r="963" spans="2:16" s="50" customFormat="1" ht="13.2">
      <c r="B963" s="86"/>
      <c r="C963" s="87"/>
      <c r="D963" s="87"/>
      <c r="E963" s="87"/>
      <c r="F963" s="87"/>
      <c r="G963" s="87"/>
      <c r="H963" s="87"/>
      <c r="I963" s="87"/>
      <c r="J963" s="87"/>
      <c r="K963" s="88"/>
      <c r="L963" s="89"/>
      <c r="M963" s="90"/>
      <c r="N963" s="57"/>
      <c r="O963" s="57"/>
      <c r="P963" s="91"/>
    </row>
    <row r="964" spans="2:16" s="50" customFormat="1" ht="13.2">
      <c r="B964" s="86"/>
      <c r="C964" s="87"/>
      <c r="D964" s="87"/>
      <c r="E964" s="87"/>
      <c r="F964" s="87"/>
      <c r="G964" s="87"/>
      <c r="H964" s="87"/>
      <c r="I964" s="87"/>
      <c r="J964" s="87"/>
      <c r="K964" s="88"/>
      <c r="L964" s="89"/>
      <c r="M964" s="90"/>
      <c r="N964" s="57"/>
      <c r="O964" s="57"/>
      <c r="P964" s="91"/>
    </row>
    <row r="965" spans="2:16" s="50" customFormat="1" ht="13.2">
      <c r="B965" s="86"/>
      <c r="C965" s="87"/>
      <c r="D965" s="87"/>
      <c r="E965" s="87"/>
      <c r="F965" s="87"/>
      <c r="G965" s="87"/>
      <c r="H965" s="87"/>
      <c r="I965" s="87"/>
      <c r="J965" s="87"/>
      <c r="K965" s="88"/>
      <c r="L965" s="89"/>
      <c r="M965" s="90"/>
      <c r="N965" s="57"/>
      <c r="O965" s="57"/>
      <c r="P965" s="91"/>
    </row>
    <row r="966" spans="2:16" s="50" customFormat="1" ht="13.2">
      <c r="B966" s="86"/>
      <c r="C966" s="87"/>
      <c r="D966" s="87"/>
      <c r="E966" s="87"/>
      <c r="F966" s="87"/>
      <c r="G966" s="87"/>
      <c r="H966" s="87"/>
      <c r="I966" s="87"/>
      <c r="J966" s="87"/>
      <c r="K966" s="88"/>
      <c r="L966" s="89"/>
      <c r="M966" s="90"/>
      <c r="N966" s="57"/>
      <c r="O966" s="57"/>
      <c r="P966" s="91"/>
    </row>
    <row r="967" spans="2:16" s="50" customFormat="1" ht="13.2">
      <c r="B967" s="86"/>
      <c r="C967" s="87"/>
      <c r="D967" s="87"/>
      <c r="E967" s="87"/>
      <c r="F967" s="87"/>
      <c r="G967" s="87"/>
      <c r="H967" s="87"/>
      <c r="I967" s="87"/>
      <c r="J967" s="87"/>
      <c r="K967" s="88"/>
      <c r="L967" s="89"/>
      <c r="M967" s="90"/>
      <c r="N967" s="57"/>
      <c r="O967" s="57"/>
      <c r="P967" s="91"/>
    </row>
    <row r="968" spans="2:16" s="50" customFormat="1" ht="13.2">
      <c r="B968" s="86"/>
      <c r="C968" s="87"/>
      <c r="D968" s="87"/>
      <c r="E968" s="87"/>
      <c r="F968" s="87"/>
      <c r="G968" s="87"/>
      <c r="H968" s="87"/>
      <c r="I968" s="87"/>
      <c r="J968" s="87"/>
      <c r="K968" s="88"/>
      <c r="L968" s="89"/>
      <c r="M968" s="90"/>
      <c r="N968" s="57"/>
      <c r="O968" s="57"/>
      <c r="P968" s="91"/>
    </row>
    <row r="969" spans="2:16" s="50" customFormat="1" ht="13.2">
      <c r="B969" s="86"/>
      <c r="C969" s="87"/>
      <c r="D969" s="87"/>
      <c r="E969" s="87"/>
      <c r="F969" s="87"/>
      <c r="G969" s="87"/>
      <c r="H969" s="87"/>
      <c r="I969" s="87"/>
      <c r="J969" s="87"/>
      <c r="K969" s="88"/>
      <c r="L969" s="89"/>
      <c r="M969" s="90"/>
      <c r="N969" s="57"/>
      <c r="O969" s="57"/>
      <c r="P969" s="91"/>
    </row>
    <row r="970" spans="2:16" s="50" customFormat="1" ht="13.2">
      <c r="B970" s="86"/>
      <c r="C970" s="87"/>
      <c r="D970" s="87"/>
      <c r="E970" s="87"/>
      <c r="F970" s="87"/>
      <c r="G970" s="87"/>
      <c r="H970" s="87"/>
      <c r="I970" s="87"/>
      <c r="J970" s="87"/>
      <c r="K970" s="88"/>
      <c r="L970" s="89"/>
      <c r="M970" s="90"/>
      <c r="N970" s="57"/>
      <c r="O970" s="57"/>
      <c r="P970" s="91"/>
    </row>
    <row r="971" spans="2:16" s="50" customFormat="1" ht="13.2">
      <c r="B971" s="86"/>
      <c r="C971" s="87"/>
      <c r="D971" s="87"/>
      <c r="E971" s="87"/>
      <c r="F971" s="87"/>
      <c r="G971" s="87"/>
      <c r="H971" s="87"/>
      <c r="I971" s="87"/>
      <c r="J971" s="87"/>
      <c r="K971" s="88"/>
      <c r="L971" s="89"/>
      <c r="M971" s="90"/>
      <c r="N971" s="57"/>
      <c r="O971" s="57"/>
      <c r="P971" s="91"/>
    </row>
    <row r="972" spans="2:16" s="50" customFormat="1" ht="13.2">
      <c r="B972" s="86"/>
      <c r="C972" s="87"/>
      <c r="D972" s="87"/>
      <c r="E972" s="87"/>
      <c r="F972" s="87"/>
      <c r="G972" s="87"/>
      <c r="H972" s="87"/>
      <c r="I972" s="87"/>
      <c r="J972" s="87"/>
      <c r="K972" s="88"/>
      <c r="L972" s="89"/>
      <c r="M972" s="90"/>
      <c r="N972" s="57"/>
      <c r="O972" s="57"/>
      <c r="P972" s="91"/>
    </row>
    <row r="973" spans="2:16" s="50" customFormat="1" ht="13.2">
      <c r="B973" s="86"/>
      <c r="C973" s="87"/>
      <c r="D973" s="87"/>
      <c r="E973" s="87"/>
      <c r="F973" s="87"/>
      <c r="G973" s="87"/>
      <c r="H973" s="87"/>
      <c r="I973" s="87"/>
      <c r="J973" s="87"/>
      <c r="K973" s="88"/>
      <c r="L973" s="89"/>
      <c r="M973" s="90"/>
      <c r="N973" s="57"/>
      <c r="O973" s="57"/>
      <c r="P973" s="91"/>
    </row>
    <row r="974" spans="2:16" s="50" customFormat="1" ht="13.2">
      <c r="B974" s="86"/>
      <c r="C974" s="87"/>
      <c r="D974" s="87"/>
      <c r="E974" s="87"/>
      <c r="F974" s="87"/>
      <c r="G974" s="87"/>
      <c r="H974" s="87"/>
      <c r="I974" s="87"/>
      <c r="J974" s="87"/>
      <c r="K974" s="88"/>
      <c r="L974" s="89"/>
      <c r="M974" s="90"/>
      <c r="N974" s="57"/>
      <c r="O974" s="57"/>
      <c r="P974" s="91"/>
    </row>
    <row r="975" spans="2:16" s="50" customFormat="1" ht="13.2">
      <c r="B975" s="86"/>
      <c r="C975" s="87"/>
      <c r="D975" s="87"/>
      <c r="E975" s="87"/>
      <c r="F975" s="87"/>
      <c r="G975" s="87"/>
      <c r="H975" s="87"/>
      <c r="I975" s="87"/>
      <c r="J975" s="87"/>
      <c r="K975" s="88"/>
      <c r="L975" s="89"/>
      <c r="M975" s="90"/>
      <c r="N975" s="57"/>
      <c r="O975" s="57"/>
      <c r="P975" s="91"/>
    </row>
    <row r="976" spans="2:16" s="50" customFormat="1" ht="13.2">
      <c r="B976" s="86"/>
      <c r="C976" s="87"/>
      <c r="D976" s="87"/>
      <c r="E976" s="87"/>
      <c r="F976" s="87"/>
      <c r="G976" s="87"/>
      <c r="H976" s="87"/>
      <c r="I976" s="87"/>
      <c r="J976" s="87"/>
      <c r="K976" s="88"/>
      <c r="L976" s="89"/>
      <c r="M976" s="90"/>
      <c r="N976" s="57"/>
      <c r="O976" s="57"/>
      <c r="P976" s="91"/>
    </row>
    <row r="977" spans="2:16" s="50" customFormat="1" ht="13.2">
      <c r="B977" s="86"/>
      <c r="C977" s="87"/>
      <c r="D977" s="87"/>
      <c r="E977" s="87"/>
      <c r="F977" s="87"/>
      <c r="G977" s="87"/>
      <c r="H977" s="87"/>
      <c r="I977" s="87"/>
      <c r="J977" s="87"/>
      <c r="K977" s="88"/>
      <c r="L977" s="89"/>
      <c r="M977" s="90"/>
      <c r="N977" s="57"/>
      <c r="O977" s="57"/>
      <c r="P977" s="91"/>
    </row>
    <row r="978" spans="2:16" s="50" customFormat="1" ht="13.2">
      <c r="B978" s="86"/>
      <c r="C978" s="87"/>
      <c r="D978" s="87"/>
      <c r="E978" s="87"/>
      <c r="F978" s="87"/>
      <c r="G978" s="87"/>
      <c r="H978" s="87"/>
      <c r="I978" s="87"/>
      <c r="J978" s="87"/>
      <c r="K978" s="88"/>
      <c r="L978" s="89"/>
      <c r="M978" s="90"/>
      <c r="N978" s="57"/>
      <c r="O978" s="57"/>
      <c r="P978" s="91"/>
    </row>
    <row r="979" spans="2:16" s="50" customFormat="1" ht="13.2">
      <c r="B979" s="86"/>
      <c r="C979" s="87"/>
      <c r="D979" s="87"/>
      <c r="E979" s="87"/>
      <c r="F979" s="87"/>
      <c r="G979" s="87"/>
      <c r="H979" s="87"/>
      <c r="I979" s="87"/>
      <c r="J979" s="87"/>
      <c r="K979" s="88"/>
      <c r="L979" s="89"/>
      <c r="M979" s="90"/>
      <c r="N979" s="57"/>
      <c r="O979" s="57"/>
      <c r="P979" s="91"/>
    </row>
    <row r="980" spans="2:16" s="50" customFormat="1" ht="13.2">
      <c r="B980" s="86"/>
      <c r="C980" s="87"/>
      <c r="D980" s="87"/>
      <c r="E980" s="87"/>
      <c r="F980" s="87"/>
      <c r="G980" s="87"/>
      <c r="H980" s="87"/>
      <c r="I980" s="87"/>
      <c r="J980" s="87"/>
      <c r="K980" s="88"/>
      <c r="L980" s="89"/>
      <c r="M980" s="90"/>
      <c r="N980" s="57"/>
      <c r="O980" s="57"/>
      <c r="P980" s="91"/>
    </row>
    <row r="981" spans="2:16" s="50" customFormat="1" ht="13.2">
      <c r="B981" s="86"/>
      <c r="C981" s="87"/>
      <c r="D981" s="87"/>
      <c r="E981" s="87"/>
      <c r="F981" s="87"/>
      <c r="G981" s="87"/>
      <c r="H981" s="87"/>
      <c r="I981" s="87"/>
      <c r="J981" s="87"/>
      <c r="K981" s="88"/>
      <c r="L981" s="89"/>
      <c r="M981" s="90"/>
      <c r="N981" s="57"/>
      <c r="O981" s="57"/>
      <c r="P981" s="91"/>
    </row>
    <row r="982" spans="2:16" s="50" customFormat="1" ht="13.2">
      <c r="B982" s="86"/>
      <c r="C982" s="87"/>
      <c r="D982" s="87"/>
      <c r="E982" s="87"/>
      <c r="F982" s="87"/>
      <c r="G982" s="87"/>
      <c r="H982" s="87"/>
      <c r="I982" s="87"/>
      <c r="J982" s="87"/>
      <c r="K982" s="88"/>
      <c r="L982" s="89"/>
      <c r="M982" s="90"/>
      <c r="N982" s="57"/>
      <c r="O982" s="57"/>
      <c r="P982" s="91"/>
    </row>
    <row r="983" spans="2:16" s="50" customFormat="1" ht="13.2">
      <c r="B983" s="86"/>
      <c r="C983" s="87"/>
      <c r="D983" s="87"/>
      <c r="E983" s="87"/>
      <c r="F983" s="87"/>
      <c r="G983" s="87"/>
      <c r="H983" s="87"/>
      <c r="I983" s="87"/>
      <c r="J983" s="87"/>
      <c r="K983" s="88"/>
      <c r="L983" s="89"/>
      <c r="M983" s="90"/>
      <c r="N983" s="57"/>
      <c r="O983" s="57"/>
      <c r="P983" s="91"/>
    </row>
    <row r="984" spans="2:16" s="50" customFormat="1" ht="13.2">
      <c r="B984" s="86"/>
      <c r="C984" s="87"/>
      <c r="D984" s="87"/>
      <c r="E984" s="87"/>
      <c r="F984" s="87"/>
      <c r="G984" s="87"/>
      <c r="H984" s="87"/>
      <c r="I984" s="87"/>
      <c r="J984" s="87"/>
      <c r="K984" s="88"/>
      <c r="L984" s="89"/>
      <c r="M984" s="90"/>
      <c r="N984" s="57"/>
      <c r="O984" s="57"/>
      <c r="P984" s="91"/>
    </row>
    <row r="985" spans="2:16" s="50" customFormat="1" ht="13.2">
      <c r="B985" s="86"/>
      <c r="C985" s="87"/>
      <c r="D985" s="87"/>
      <c r="E985" s="87"/>
      <c r="F985" s="87"/>
      <c r="G985" s="87"/>
      <c r="H985" s="87"/>
      <c r="I985" s="87"/>
      <c r="J985" s="87"/>
      <c r="K985" s="88"/>
      <c r="L985" s="89"/>
      <c r="M985" s="90"/>
      <c r="N985" s="57"/>
      <c r="O985" s="57"/>
      <c r="P985" s="91"/>
    </row>
    <row r="986" spans="2:16" s="50" customFormat="1" ht="13.2">
      <c r="B986" s="86"/>
      <c r="C986" s="87"/>
      <c r="D986" s="87"/>
      <c r="E986" s="87"/>
      <c r="F986" s="87"/>
      <c r="G986" s="87"/>
      <c r="H986" s="87"/>
      <c r="I986" s="87"/>
      <c r="J986" s="87"/>
      <c r="K986" s="88"/>
      <c r="L986" s="89"/>
      <c r="M986" s="90"/>
      <c r="N986" s="57"/>
      <c r="O986" s="57"/>
      <c r="P986" s="91"/>
    </row>
    <row r="987" spans="2:16" s="50" customFormat="1" ht="13.2">
      <c r="B987" s="86"/>
      <c r="C987" s="87"/>
      <c r="D987" s="87"/>
      <c r="E987" s="87"/>
      <c r="F987" s="87"/>
      <c r="G987" s="87"/>
      <c r="H987" s="87"/>
      <c r="I987" s="87"/>
      <c r="J987" s="87"/>
      <c r="K987" s="88"/>
      <c r="L987" s="89"/>
      <c r="M987" s="90"/>
      <c r="N987" s="57"/>
      <c r="O987" s="57"/>
      <c r="P987" s="91"/>
    </row>
    <row r="988" spans="2:16" s="50" customFormat="1" ht="13.2">
      <c r="B988" s="86"/>
      <c r="C988" s="87"/>
      <c r="D988" s="87"/>
      <c r="E988" s="87"/>
      <c r="F988" s="87"/>
      <c r="G988" s="87"/>
      <c r="H988" s="87"/>
      <c r="I988" s="87"/>
      <c r="J988" s="87"/>
      <c r="K988" s="88"/>
      <c r="L988" s="89"/>
      <c r="M988" s="90"/>
      <c r="N988" s="57"/>
      <c r="O988" s="57"/>
      <c r="P988" s="91"/>
    </row>
    <row r="989" spans="2:16" s="50" customFormat="1" ht="13.2">
      <c r="B989" s="86"/>
      <c r="C989" s="87"/>
      <c r="D989" s="87"/>
      <c r="E989" s="87"/>
      <c r="F989" s="87"/>
      <c r="G989" s="87"/>
      <c r="H989" s="87"/>
      <c r="I989" s="87"/>
      <c r="J989" s="87"/>
      <c r="K989" s="88"/>
      <c r="L989" s="89"/>
      <c r="M989" s="90"/>
      <c r="N989" s="57"/>
      <c r="O989" s="57"/>
      <c r="P989" s="91"/>
    </row>
    <row r="990" spans="2:16" s="50" customFormat="1" ht="13.2">
      <c r="B990" s="86"/>
      <c r="C990" s="87"/>
      <c r="D990" s="87"/>
      <c r="E990" s="87"/>
      <c r="F990" s="87"/>
      <c r="G990" s="87"/>
      <c r="H990" s="87"/>
      <c r="I990" s="87"/>
      <c r="J990" s="87"/>
      <c r="K990" s="88"/>
      <c r="L990" s="89"/>
      <c r="M990" s="90"/>
      <c r="N990" s="57"/>
      <c r="O990" s="57"/>
      <c r="P990" s="91"/>
    </row>
    <row r="991" spans="2:16" s="50" customFormat="1" ht="13.2">
      <c r="B991" s="86"/>
      <c r="C991" s="87"/>
      <c r="D991" s="87"/>
      <c r="E991" s="87"/>
      <c r="F991" s="87"/>
      <c r="G991" s="87"/>
      <c r="H991" s="87"/>
      <c r="I991" s="87"/>
      <c r="J991" s="87"/>
      <c r="K991" s="88"/>
      <c r="L991" s="89"/>
      <c r="M991" s="90"/>
      <c r="N991" s="57"/>
      <c r="O991" s="57"/>
      <c r="P991" s="91"/>
    </row>
    <row r="992" spans="2:16" s="50" customFormat="1" ht="13.2">
      <c r="B992" s="86"/>
      <c r="C992" s="87"/>
      <c r="D992" s="87"/>
      <c r="E992" s="87"/>
      <c r="F992" s="87"/>
      <c r="G992" s="87"/>
      <c r="H992" s="87"/>
      <c r="I992" s="87"/>
      <c r="J992" s="87"/>
      <c r="K992" s="88"/>
      <c r="L992" s="89"/>
      <c r="M992" s="90"/>
      <c r="N992" s="57"/>
      <c r="O992" s="57"/>
      <c r="P992" s="91"/>
    </row>
    <row r="993" spans="2:16" s="50" customFormat="1" ht="13.2">
      <c r="B993" s="86"/>
      <c r="C993" s="87"/>
      <c r="D993" s="87"/>
      <c r="E993" s="87"/>
      <c r="F993" s="87"/>
      <c r="G993" s="87"/>
      <c r="H993" s="87"/>
      <c r="I993" s="87"/>
      <c r="J993" s="87"/>
      <c r="K993" s="88"/>
      <c r="L993" s="89"/>
      <c r="M993" s="90"/>
      <c r="N993" s="57"/>
      <c r="O993" s="57"/>
      <c r="P993" s="91"/>
    </row>
    <row r="994" spans="2:16" s="50" customFormat="1" ht="13.2">
      <c r="B994" s="86"/>
      <c r="C994" s="87"/>
      <c r="D994" s="87"/>
      <c r="E994" s="87"/>
      <c r="F994" s="87"/>
      <c r="G994" s="87"/>
      <c r="H994" s="87"/>
      <c r="I994" s="87"/>
      <c r="J994" s="87"/>
      <c r="K994" s="88"/>
      <c r="L994" s="89"/>
      <c r="M994" s="90"/>
      <c r="N994" s="57"/>
      <c r="O994" s="57"/>
      <c r="P994" s="91"/>
    </row>
    <row r="995" spans="2:16" s="50" customFormat="1" ht="13.2">
      <c r="B995" s="86"/>
      <c r="C995" s="87"/>
      <c r="D995" s="87"/>
      <c r="E995" s="87"/>
      <c r="F995" s="87"/>
      <c r="G995" s="87"/>
      <c r="H995" s="87"/>
      <c r="I995" s="87"/>
      <c r="J995" s="87"/>
      <c r="K995" s="88"/>
      <c r="L995" s="89"/>
      <c r="M995" s="90"/>
      <c r="N995" s="57"/>
      <c r="O995" s="57"/>
      <c r="P995" s="91"/>
    </row>
    <row r="996" spans="2:16" s="50" customFormat="1" ht="13.2">
      <c r="B996" s="86"/>
      <c r="C996" s="87"/>
      <c r="D996" s="87"/>
      <c r="E996" s="87"/>
      <c r="F996" s="87"/>
      <c r="G996" s="87"/>
      <c r="H996" s="87"/>
      <c r="I996" s="87"/>
      <c r="J996" s="87"/>
      <c r="K996" s="88"/>
      <c r="L996" s="89"/>
      <c r="M996" s="90"/>
      <c r="N996" s="57"/>
      <c r="O996" s="57"/>
      <c r="P996" s="91"/>
    </row>
    <row r="997" spans="2:16" s="50" customFormat="1" ht="13.2">
      <c r="B997" s="86"/>
      <c r="C997" s="87"/>
      <c r="D997" s="87"/>
      <c r="E997" s="87"/>
      <c r="F997" s="87"/>
      <c r="G997" s="87"/>
      <c r="H997" s="87"/>
      <c r="I997" s="87"/>
      <c r="J997" s="87"/>
      <c r="K997" s="88"/>
      <c r="L997" s="89"/>
      <c r="M997" s="90"/>
      <c r="N997" s="57"/>
      <c r="O997" s="57"/>
      <c r="P997" s="91"/>
    </row>
    <row r="998" spans="2:16" s="50" customFormat="1" ht="13.2">
      <c r="B998" s="86"/>
      <c r="C998" s="87"/>
      <c r="D998" s="87"/>
      <c r="E998" s="87"/>
      <c r="F998" s="87"/>
      <c r="G998" s="87"/>
      <c r="H998" s="87"/>
      <c r="I998" s="87"/>
      <c r="J998" s="87"/>
      <c r="K998" s="88"/>
      <c r="L998" s="89"/>
      <c r="M998" s="90"/>
      <c r="N998" s="57"/>
      <c r="O998" s="57"/>
      <c r="P998" s="91"/>
    </row>
    <row r="999" spans="2:16" s="50" customFormat="1" ht="13.2">
      <c r="B999" s="86"/>
      <c r="C999" s="87"/>
      <c r="D999" s="87"/>
      <c r="E999" s="87"/>
      <c r="F999" s="87"/>
      <c r="G999" s="87"/>
      <c r="H999" s="87"/>
      <c r="I999" s="87"/>
      <c r="J999" s="87"/>
      <c r="K999" s="88"/>
      <c r="L999" s="89"/>
      <c r="M999" s="90"/>
      <c r="N999" s="57"/>
      <c r="O999" s="57"/>
      <c r="P999" s="91"/>
    </row>
    <row r="1000" spans="2:16" s="50" customFormat="1" ht="13.2">
      <c r="B1000" s="86"/>
      <c r="C1000" s="87"/>
      <c r="D1000" s="87"/>
      <c r="E1000" s="87"/>
      <c r="F1000" s="87"/>
      <c r="G1000" s="87"/>
      <c r="H1000" s="87"/>
      <c r="I1000" s="87"/>
      <c r="J1000" s="87"/>
      <c r="K1000" s="88"/>
      <c r="L1000" s="89"/>
      <c r="M1000" s="90"/>
      <c r="N1000" s="57"/>
      <c r="O1000" s="57"/>
      <c r="P1000" s="91"/>
    </row>
    <row r="1001" spans="2:16" s="50" customFormat="1" ht="13.2">
      <c r="B1001" s="86"/>
      <c r="C1001" s="87"/>
      <c r="D1001" s="87"/>
      <c r="E1001" s="87"/>
      <c r="F1001" s="87"/>
      <c r="G1001" s="87"/>
      <c r="H1001" s="87"/>
      <c r="I1001" s="87"/>
      <c r="J1001" s="87"/>
      <c r="K1001" s="88"/>
      <c r="L1001" s="89"/>
      <c r="M1001" s="90"/>
      <c r="N1001" s="57"/>
      <c r="O1001" s="57"/>
      <c r="P1001" s="91"/>
    </row>
    <row r="1002" spans="2:16" s="50" customFormat="1" ht="13.2">
      <c r="B1002" s="86"/>
      <c r="C1002" s="87"/>
      <c r="D1002" s="87"/>
      <c r="E1002" s="87"/>
      <c r="F1002" s="87"/>
      <c r="G1002" s="87"/>
      <c r="H1002" s="87"/>
      <c r="I1002" s="87"/>
      <c r="J1002" s="87"/>
      <c r="K1002" s="88"/>
      <c r="L1002" s="89"/>
      <c r="M1002" s="90"/>
      <c r="N1002" s="57"/>
      <c r="O1002" s="57"/>
      <c r="P1002" s="91"/>
    </row>
    <row r="1003" spans="2:16" s="50" customFormat="1" ht="13.2">
      <c r="B1003" s="86"/>
      <c r="C1003" s="87"/>
      <c r="D1003" s="87"/>
      <c r="E1003" s="87"/>
      <c r="F1003" s="87"/>
      <c r="G1003" s="87"/>
      <c r="H1003" s="87"/>
      <c r="I1003" s="87"/>
      <c r="J1003" s="87"/>
      <c r="K1003" s="88"/>
      <c r="L1003" s="89"/>
      <c r="M1003" s="90"/>
      <c r="N1003" s="57"/>
      <c r="O1003" s="57"/>
      <c r="P1003" s="91"/>
    </row>
    <row r="1004" spans="2:16" s="50" customFormat="1" ht="13.2">
      <c r="B1004" s="86"/>
      <c r="C1004" s="87"/>
      <c r="D1004" s="87"/>
      <c r="E1004" s="87"/>
      <c r="F1004" s="87"/>
      <c r="G1004" s="87"/>
      <c r="H1004" s="87"/>
      <c r="I1004" s="87"/>
      <c r="J1004" s="87"/>
      <c r="K1004" s="88"/>
      <c r="L1004" s="89"/>
      <c r="M1004" s="90"/>
      <c r="N1004" s="57"/>
      <c r="O1004" s="57"/>
      <c r="P1004" s="91"/>
    </row>
    <row r="1005" spans="2:16" s="50" customFormat="1" ht="13.2">
      <c r="B1005" s="86"/>
      <c r="C1005" s="87"/>
      <c r="D1005" s="87"/>
      <c r="E1005" s="87"/>
      <c r="F1005" s="87"/>
      <c r="G1005" s="87"/>
      <c r="H1005" s="87"/>
      <c r="I1005" s="87"/>
      <c r="J1005" s="87"/>
      <c r="K1005" s="88"/>
      <c r="L1005" s="89"/>
      <c r="M1005" s="90"/>
      <c r="N1005" s="57"/>
      <c r="O1005" s="57"/>
      <c r="P1005" s="91"/>
    </row>
    <row r="1006" spans="2:16" s="50" customFormat="1" ht="13.2">
      <c r="B1006" s="86"/>
      <c r="C1006" s="87"/>
      <c r="D1006" s="87"/>
      <c r="E1006" s="87"/>
      <c r="F1006" s="87"/>
      <c r="G1006" s="87"/>
      <c r="H1006" s="87"/>
      <c r="I1006" s="87"/>
      <c r="J1006" s="87"/>
      <c r="K1006" s="88"/>
      <c r="L1006" s="89"/>
      <c r="M1006" s="90"/>
      <c r="N1006" s="57"/>
      <c r="O1006" s="57"/>
      <c r="P1006" s="91"/>
    </row>
    <row r="1007" spans="2:16" s="50" customFormat="1" ht="13.2">
      <c r="B1007" s="86"/>
      <c r="C1007" s="87"/>
      <c r="D1007" s="87"/>
      <c r="E1007" s="87"/>
      <c r="F1007" s="87"/>
      <c r="G1007" s="87"/>
      <c r="H1007" s="87"/>
      <c r="I1007" s="87"/>
      <c r="J1007" s="87"/>
      <c r="K1007" s="88"/>
      <c r="L1007" s="89"/>
      <c r="M1007" s="90"/>
      <c r="N1007" s="57"/>
      <c r="O1007" s="57"/>
      <c r="P1007" s="91"/>
    </row>
    <row r="1008" spans="2:16" s="50" customFormat="1" ht="13.2">
      <c r="B1008" s="86"/>
      <c r="C1008" s="87"/>
      <c r="D1008" s="87"/>
      <c r="E1008" s="87"/>
      <c r="F1008" s="87"/>
      <c r="G1008" s="87"/>
      <c r="H1008" s="87"/>
      <c r="I1008" s="87"/>
      <c r="J1008" s="87"/>
      <c r="K1008" s="88"/>
      <c r="L1008" s="89"/>
      <c r="M1008" s="90"/>
      <c r="N1008" s="57"/>
      <c r="O1008" s="57"/>
      <c r="P1008" s="91"/>
    </row>
    <row r="1009" spans="2:16" s="50" customFormat="1" ht="13.2">
      <c r="B1009" s="86"/>
      <c r="C1009" s="87"/>
      <c r="D1009" s="87"/>
      <c r="E1009" s="87"/>
      <c r="F1009" s="87"/>
      <c r="G1009" s="87"/>
      <c r="H1009" s="87"/>
      <c r="I1009" s="87"/>
      <c r="J1009" s="87"/>
      <c r="K1009" s="88"/>
      <c r="L1009" s="89"/>
      <c r="M1009" s="90"/>
      <c r="N1009" s="57"/>
      <c r="O1009" s="57"/>
      <c r="P1009" s="91"/>
    </row>
    <row r="1010" spans="2:16" s="50" customFormat="1" ht="13.2">
      <c r="B1010" s="86"/>
      <c r="C1010" s="87"/>
      <c r="D1010" s="87"/>
      <c r="E1010" s="87"/>
      <c r="F1010" s="87"/>
      <c r="G1010" s="87"/>
      <c r="H1010" s="87"/>
      <c r="I1010" s="87"/>
      <c r="J1010" s="87"/>
      <c r="K1010" s="88"/>
      <c r="L1010" s="89"/>
      <c r="M1010" s="90"/>
      <c r="N1010" s="57"/>
      <c r="O1010" s="57"/>
      <c r="P1010" s="91"/>
    </row>
    <row r="1011" spans="2:16" s="50" customFormat="1" ht="13.2">
      <c r="B1011" s="86"/>
      <c r="C1011" s="87"/>
      <c r="D1011" s="87"/>
      <c r="E1011" s="87"/>
      <c r="F1011" s="87"/>
      <c r="G1011" s="87"/>
      <c r="H1011" s="87"/>
      <c r="I1011" s="87"/>
      <c r="J1011" s="87"/>
      <c r="K1011" s="88"/>
      <c r="L1011" s="89"/>
      <c r="M1011" s="90"/>
      <c r="N1011" s="57"/>
      <c r="O1011" s="57"/>
      <c r="P1011" s="91"/>
    </row>
    <row r="1012" spans="2:16" s="50" customFormat="1" ht="13.2">
      <c r="B1012" s="86"/>
      <c r="C1012" s="87"/>
      <c r="D1012" s="87"/>
      <c r="E1012" s="87"/>
      <c r="F1012" s="87"/>
      <c r="G1012" s="87"/>
      <c r="H1012" s="87"/>
      <c r="I1012" s="87"/>
      <c r="J1012" s="87"/>
      <c r="K1012" s="88"/>
      <c r="L1012" s="89"/>
      <c r="M1012" s="90"/>
      <c r="N1012" s="57"/>
      <c r="O1012" s="57"/>
      <c r="P1012" s="91"/>
    </row>
    <row r="1013" spans="2:16" s="50" customFormat="1" ht="13.2">
      <c r="B1013" s="86"/>
      <c r="C1013" s="87"/>
      <c r="D1013" s="87"/>
      <c r="E1013" s="87"/>
      <c r="F1013" s="87"/>
      <c r="G1013" s="87"/>
      <c r="H1013" s="87"/>
      <c r="I1013" s="87"/>
      <c r="J1013" s="87"/>
      <c r="K1013" s="88"/>
      <c r="L1013" s="89"/>
      <c r="M1013" s="90"/>
      <c r="N1013" s="57"/>
      <c r="O1013" s="57"/>
      <c r="P1013" s="91"/>
    </row>
    <row r="1014" spans="2:16" s="50" customFormat="1" ht="13.2">
      <c r="B1014" s="86"/>
      <c r="C1014" s="87"/>
      <c r="D1014" s="87"/>
      <c r="E1014" s="87"/>
      <c r="F1014" s="87"/>
      <c r="G1014" s="87"/>
      <c r="H1014" s="87"/>
      <c r="I1014" s="87"/>
      <c r="J1014" s="87"/>
      <c r="K1014" s="88"/>
      <c r="L1014" s="89"/>
      <c r="M1014" s="90"/>
      <c r="N1014" s="57"/>
      <c r="O1014" s="57"/>
      <c r="P1014" s="91"/>
    </row>
    <row r="1015" spans="2:16" s="50" customFormat="1" ht="13.2">
      <c r="B1015" s="86"/>
      <c r="C1015" s="87"/>
      <c r="D1015" s="87"/>
      <c r="E1015" s="87"/>
      <c r="F1015" s="87"/>
      <c r="G1015" s="87"/>
      <c r="H1015" s="87"/>
      <c r="I1015" s="87"/>
      <c r="J1015" s="87"/>
      <c r="K1015" s="88"/>
      <c r="L1015" s="89"/>
      <c r="M1015" s="90"/>
      <c r="N1015" s="57"/>
      <c r="O1015" s="57"/>
      <c r="P1015" s="91"/>
    </row>
    <row r="1016" spans="2:16" s="50" customFormat="1" ht="13.2">
      <c r="B1016" s="86"/>
      <c r="C1016" s="87"/>
      <c r="D1016" s="87"/>
      <c r="E1016" s="87"/>
      <c r="F1016" s="87"/>
      <c r="G1016" s="87"/>
      <c r="H1016" s="87"/>
      <c r="I1016" s="87"/>
      <c r="J1016" s="87"/>
      <c r="K1016" s="88"/>
      <c r="L1016" s="89"/>
      <c r="M1016" s="90"/>
      <c r="N1016" s="57"/>
      <c r="O1016" s="57"/>
      <c r="P1016" s="91"/>
    </row>
    <row r="1017" spans="2:16" s="50" customFormat="1" ht="13.2">
      <c r="B1017" s="86"/>
      <c r="C1017" s="87"/>
      <c r="D1017" s="87"/>
      <c r="E1017" s="87"/>
      <c r="F1017" s="87"/>
      <c r="G1017" s="87"/>
      <c r="H1017" s="87"/>
      <c r="I1017" s="87"/>
      <c r="J1017" s="87"/>
      <c r="K1017" s="88"/>
      <c r="L1017" s="89"/>
      <c r="M1017" s="90"/>
      <c r="N1017" s="57"/>
      <c r="O1017" s="57"/>
      <c r="P1017" s="91"/>
    </row>
    <row r="1018" spans="2:16" s="50" customFormat="1" ht="13.2">
      <c r="B1018" s="86"/>
      <c r="C1018" s="87"/>
      <c r="D1018" s="87"/>
      <c r="E1018" s="87"/>
      <c r="F1018" s="87"/>
      <c r="G1018" s="87"/>
      <c r="H1018" s="87"/>
      <c r="I1018" s="87"/>
      <c r="J1018" s="87"/>
      <c r="K1018" s="88"/>
      <c r="L1018" s="89"/>
      <c r="M1018" s="90"/>
      <c r="N1018" s="57"/>
      <c r="O1018" s="57"/>
      <c r="P1018" s="91"/>
    </row>
    <row r="1019" spans="2:16" s="50" customFormat="1" ht="13.2">
      <c r="B1019" s="86"/>
      <c r="C1019" s="87"/>
      <c r="D1019" s="87"/>
      <c r="E1019" s="87"/>
      <c r="F1019" s="87"/>
      <c r="G1019" s="87"/>
      <c r="H1019" s="87"/>
      <c r="I1019" s="87"/>
      <c r="J1019" s="87"/>
      <c r="K1019" s="88"/>
      <c r="L1019" s="89"/>
      <c r="M1019" s="90"/>
      <c r="N1019" s="57"/>
      <c r="O1019" s="57"/>
      <c r="P1019" s="91"/>
    </row>
    <row r="1020" spans="2:16" s="50" customFormat="1" ht="13.2">
      <c r="B1020" s="86"/>
      <c r="C1020" s="87"/>
      <c r="D1020" s="87"/>
      <c r="E1020" s="87"/>
      <c r="F1020" s="87"/>
      <c r="G1020" s="87"/>
      <c r="H1020" s="87"/>
      <c r="I1020" s="87"/>
      <c r="J1020" s="87"/>
      <c r="K1020" s="88"/>
      <c r="L1020" s="89"/>
      <c r="M1020" s="90"/>
      <c r="N1020" s="57"/>
      <c r="O1020" s="57"/>
      <c r="P1020" s="91"/>
    </row>
    <row r="1021" spans="2:16" s="50" customFormat="1" ht="13.2">
      <c r="B1021" s="86"/>
      <c r="C1021" s="87"/>
      <c r="D1021" s="87"/>
      <c r="E1021" s="87"/>
      <c r="F1021" s="87"/>
      <c r="G1021" s="87"/>
      <c r="H1021" s="87"/>
      <c r="I1021" s="87"/>
      <c r="J1021" s="87"/>
      <c r="K1021" s="88"/>
      <c r="L1021" s="89"/>
      <c r="M1021" s="90"/>
      <c r="N1021" s="57"/>
      <c r="O1021" s="57"/>
      <c r="P1021" s="91"/>
    </row>
    <row r="1022" spans="2:16" s="50" customFormat="1" ht="13.2">
      <c r="B1022" s="86"/>
      <c r="C1022" s="87"/>
      <c r="D1022" s="87"/>
      <c r="E1022" s="87"/>
      <c r="F1022" s="87"/>
      <c r="G1022" s="87"/>
      <c r="H1022" s="87"/>
      <c r="I1022" s="87"/>
      <c r="J1022" s="87"/>
      <c r="K1022" s="88"/>
      <c r="L1022" s="89"/>
      <c r="M1022" s="90"/>
      <c r="N1022" s="57"/>
      <c r="O1022" s="57"/>
      <c r="P1022" s="91"/>
    </row>
    <row r="1023" spans="2:16" s="50" customFormat="1" ht="13.2">
      <c r="B1023" s="86"/>
      <c r="C1023" s="87"/>
      <c r="D1023" s="87"/>
      <c r="E1023" s="87"/>
      <c r="F1023" s="87"/>
      <c r="G1023" s="87"/>
      <c r="H1023" s="87"/>
      <c r="I1023" s="87"/>
      <c r="J1023" s="87"/>
      <c r="K1023" s="88"/>
      <c r="L1023" s="89"/>
      <c r="M1023" s="90"/>
      <c r="N1023" s="57"/>
      <c r="O1023" s="57"/>
      <c r="P1023" s="91"/>
    </row>
    <row r="1024" spans="2:16" s="50" customFormat="1" ht="13.2">
      <c r="B1024" s="86"/>
      <c r="C1024" s="87"/>
      <c r="D1024" s="87"/>
      <c r="E1024" s="87"/>
      <c r="F1024" s="87"/>
      <c r="G1024" s="87"/>
      <c r="H1024" s="87"/>
      <c r="I1024" s="87"/>
      <c r="J1024" s="87"/>
      <c r="K1024" s="88"/>
      <c r="L1024" s="89"/>
      <c r="M1024" s="90"/>
      <c r="N1024" s="57"/>
      <c r="O1024" s="57"/>
      <c r="P1024" s="91"/>
    </row>
    <row r="1025" spans="2:16" s="50" customFormat="1" ht="13.2">
      <c r="B1025" s="86"/>
      <c r="C1025" s="87"/>
      <c r="D1025" s="87"/>
      <c r="E1025" s="87"/>
      <c r="F1025" s="87"/>
      <c r="G1025" s="87"/>
      <c r="H1025" s="87"/>
      <c r="I1025" s="87"/>
      <c r="J1025" s="87"/>
      <c r="K1025" s="88"/>
      <c r="L1025" s="89"/>
      <c r="M1025" s="90"/>
      <c r="N1025" s="57"/>
      <c r="O1025" s="57"/>
      <c r="P1025" s="91"/>
    </row>
    <row r="1026" spans="2:16" s="50" customFormat="1" ht="13.2">
      <c r="B1026" s="86"/>
      <c r="C1026" s="87"/>
      <c r="D1026" s="87"/>
      <c r="E1026" s="87"/>
      <c r="F1026" s="87"/>
      <c r="G1026" s="87"/>
      <c r="H1026" s="87"/>
      <c r="I1026" s="87"/>
      <c r="J1026" s="87"/>
      <c r="K1026" s="88"/>
      <c r="L1026" s="89"/>
      <c r="M1026" s="90"/>
      <c r="N1026" s="57"/>
      <c r="O1026" s="57"/>
      <c r="P1026" s="91"/>
    </row>
    <row r="1027" spans="2:16" s="50" customFormat="1" ht="13.2">
      <c r="B1027" s="86"/>
      <c r="C1027" s="87"/>
      <c r="D1027" s="87"/>
      <c r="E1027" s="87"/>
      <c r="F1027" s="87"/>
      <c r="G1027" s="87"/>
      <c r="H1027" s="87"/>
      <c r="I1027" s="87"/>
      <c r="J1027" s="87"/>
      <c r="K1027" s="88"/>
      <c r="L1027" s="89"/>
      <c r="M1027" s="90"/>
      <c r="N1027" s="57"/>
      <c r="O1027" s="57"/>
      <c r="P1027" s="91"/>
    </row>
    <row r="1028" spans="2:16" s="50" customFormat="1" ht="13.2">
      <c r="B1028" s="86"/>
      <c r="C1028" s="87"/>
      <c r="D1028" s="87"/>
      <c r="E1028" s="87"/>
      <c r="F1028" s="87"/>
      <c r="G1028" s="87"/>
      <c r="H1028" s="87"/>
      <c r="I1028" s="87"/>
      <c r="J1028" s="87"/>
      <c r="K1028" s="88"/>
      <c r="L1028" s="89"/>
      <c r="M1028" s="90"/>
      <c r="N1028" s="57"/>
      <c r="O1028" s="57"/>
      <c r="P1028" s="91"/>
    </row>
    <row r="1029" spans="2:16" s="50" customFormat="1" ht="13.2">
      <c r="B1029" s="86"/>
      <c r="C1029" s="87"/>
      <c r="D1029" s="87"/>
      <c r="E1029" s="87"/>
      <c r="F1029" s="87"/>
      <c r="G1029" s="87"/>
      <c r="H1029" s="87"/>
      <c r="I1029" s="87"/>
      <c r="J1029" s="87"/>
      <c r="K1029" s="88"/>
      <c r="L1029" s="89"/>
      <c r="M1029" s="90"/>
      <c r="N1029" s="57"/>
      <c r="O1029" s="57"/>
      <c r="P1029" s="91"/>
    </row>
    <row r="1030" spans="2:16" s="50" customFormat="1" ht="13.2">
      <c r="B1030" s="86"/>
      <c r="C1030" s="87"/>
      <c r="D1030" s="87"/>
      <c r="E1030" s="87"/>
      <c r="F1030" s="87"/>
      <c r="G1030" s="87"/>
      <c r="H1030" s="87"/>
      <c r="I1030" s="87"/>
      <c r="J1030" s="87"/>
      <c r="K1030" s="88"/>
      <c r="L1030" s="89"/>
      <c r="M1030" s="90"/>
      <c r="N1030" s="57"/>
      <c r="O1030" s="57"/>
      <c r="P1030" s="91"/>
    </row>
    <row r="1031" spans="2:16" s="50" customFormat="1" ht="13.2">
      <c r="B1031" s="86"/>
      <c r="C1031" s="87"/>
      <c r="D1031" s="87"/>
      <c r="E1031" s="87"/>
      <c r="F1031" s="87"/>
      <c r="G1031" s="87"/>
      <c r="H1031" s="87"/>
      <c r="I1031" s="87"/>
      <c r="J1031" s="87"/>
      <c r="K1031" s="88"/>
      <c r="L1031" s="89"/>
      <c r="M1031" s="90"/>
      <c r="N1031" s="57"/>
      <c r="O1031" s="57"/>
      <c r="P1031" s="91"/>
    </row>
    <row r="1032" spans="2:16" s="50" customFormat="1" ht="13.2">
      <c r="B1032" s="86"/>
      <c r="C1032" s="87"/>
      <c r="D1032" s="87"/>
      <c r="E1032" s="87"/>
      <c r="F1032" s="87"/>
      <c r="G1032" s="87"/>
      <c r="H1032" s="87"/>
      <c r="I1032" s="87"/>
      <c r="J1032" s="87"/>
      <c r="K1032" s="88"/>
      <c r="L1032" s="89"/>
      <c r="M1032" s="90"/>
      <c r="N1032" s="57"/>
      <c r="O1032" s="57"/>
      <c r="P1032" s="91"/>
    </row>
    <row r="1033" spans="2:16" s="50" customFormat="1" ht="13.2">
      <c r="B1033" s="86"/>
      <c r="C1033" s="87"/>
      <c r="D1033" s="87"/>
      <c r="E1033" s="87"/>
      <c r="F1033" s="87"/>
      <c r="G1033" s="87"/>
      <c r="H1033" s="87"/>
      <c r="I1033" s="87"/>
      <c r="J1033" s="87"/>
      <c r="K1033" s="88"/>
      <c r="L1033" s="89"/>
      <c r="M1033" s="90"/>
      <c r="N1033" s="57"/>
      <c r="O1033" s="57"/>
      <c r="P1033" s="91"/>
    </row>
    <row r="1034" spans="2:16" s="50" customFormat="1" ht="13.2">
      <c r="B1034" s="86"/>
      <c r="C1034" s="87"/>
      <c r="D1034" s="87"/>
      <c r="E1034" s="87"/>
      <c r="F1034" s="87"/>
      <c r="G1034" s="87"/>
      <c r="H1034" s="87"/>
      <c r="I1034" s="87"/>
      <c r="J1034" s="87"/>
      <c r="K1034" s="88"/>
      <c r="L1034" s="89"/>
      <c r="M1034" s="90"/>
      <c r="N1034" s="57"/>
      <c r="O1034" s="57"/>
      <c r="P1034" s="91"/>
    </row>
    <row r="1035" spans="2:16" s="50" customFormat="1" ht="13.2">
      <c r="B1035" s="86"/>
      <c r="C1035" s="87"/>
      <c r="D1035" s="87"/>
      <c r="E1035" s="87"/>
      <c r="F1035" s="87"/>
      <c r="G1035" s="87"/>
      <c r="H1035" s="87"/>
      <c r="I1035" s="87"/>
      <c r="J1035" s="87"/>
      <c r="K1035" s="88"/>
      <c r="L1035" s="89"/>
      <c r="M1035" s="90"/>
      <c r="N1035" s="57"/>
      <c r="O1035" s="57"/>
      <c r="P1035" s="91"/>
    </row>
    <row r="1036" spans="2:16" s="50" customFormat="1" ht="13.2">
      <c r="B1036" s="86"/>
      <c r="C1036" s="87"/>
      <c r="D1036" s="87"/>
      <c r="E1036" s="87"/>
      <c r="F1036" s="87"/>
      <c r="G1036" s="87"/>
      <c r="H1036" s="87"/>
      <c r="I1036" s="87"/>
      <c r="J1036" s="87"/>
      <c r="K1036" s="88"/>
      <c r="L1036" s="89"/>
      <c r="M1036" s="90"/>
      <c r="N1036" s="57"/>
      <c r="O1036" s="57"/>
      <c r="P1036" s="91"/>
    </row>
    <row r="1037" spans="2:16" s="50" customFormat="1" ht="13.2">
      <c r="B1037" s="86"/>
      <c r="C1037" s="87"/>
      <c r="D1037" s="87"/>
      <c r="E1037" s="87"/>
      <c r="F1037" s="87"/>
      <c r="G1037" s="87"/>
      <c r="H1037" s="87"/>
      <c r="I1037" s="87"/>
      <c r="J1037" s="87"/>
      <c r="K1037" s="88"/>
      <c r="L1037" s="89"/>
      <c r="M1037" s="90"/>
      <c r="N1037" s="57"/>
      <c r="O1037" s="57"/>
      <c r="P1037" s="91"/>
    </row>
    <row r="1038" spans="2:16" s="50" customFormat="1" ht="13.2">
      <c r="B1038" s="86"/>
      <c r="C1038" s="87"/>
      <c r="D1038" s="87"/>
      <c r="E1038" s="87"/>
      <c r="F1038" s="87"/>
      <c r="G1038" s="87"/>
      <c r="H1038" s="87"/>
      <c r="I1038" s="87"/>
      <c r="J1038" s="87"/>
      <c r="K1038" s="88"/>
      <c r="L1038" s="89"/>
      <c r="M1038" s="90"/>
      <c r="N1038" s="57"/>
      <c r="O1038" s="57"/>
      <c r="P1038" s="91"/>
    </row>
    <row r="1039" spans="2:16" s="50" customFormat="1" ht="13.2">
      <c r="B1039" s="86"/>
      <c r="C1039" s="87"/>
      <c r="D1039" s="87"/>
      <c r="E1039" s="87"/>
      <c r="F1039" s="87"/>
      <c r="G1039" s="87"/>
      <c r="H1039" s="87"/>
      <c r="I1039" s="87"/>
      <c r="J1039" s="87"/>
      <c r="K1039" s="88"/>
      <c r="L1039" s="89"/>
      <c r="M1039" s="90"/>
      <c r="N1039" s="57"/>
      <c r="O1039" s="57"/>
      <c r="P1039" s="91"/>
    </row>
    <row r="1040" spans="2:16" s="50" customFormat="1" ht="13.2">
      <c r="B1040" s="86"/>
      <c r="C1040" s="87"/>
      <c r="D1040" s="87"/>
      <c r="E1040" s="87"/>
      <c r="F1040" s="87"/>
      <c r="G1040" s="87"/>
      <c r="H1040" s="87"/>
      <c r="I1040" s="87"/>
      <c r="J1040" s="87"/>
      <c r="K1040" s="88"/>
      <c r="L1040" s="89"/>
      <c r="M1040" s="90"/>
      <c r="N1040" s="57"/>
      <c r="O1040" s="57"/>
      <c r="P1040" s="91"/>
    </row>
    <row r="1041" spans="2:16" s="50" customFormat="1" ht="13.2">
      <c r="B1041" s="86"/>
      <c r="C1041" s="87"/>
      <c r="D1041" s="87"/>
      <c r="E1041" s="87"/>
      <c r="F1041" s="87"/>
      <c r="G1041" s="87"/>
      <c r="H1041" s="87"/>
      <c r="I1041" s="87"/>
      <c r="J1041" s="87"/>
      <c r="K1041" s="88"/>
      <c r="L1041" s="89"/>
      <c r="M1041" s="90"/>
      <c r="N1041" s="57"/>
      <c r="O1041" s="57"/>
      <c r="P1041" s="91"/>
    </row>
    <row r="1042" spans="2:16" s="50" customFormat="1" ht="13.2">
      <c r="B1042" s="86"/>
      <c r="C1042" s="87"/>
      <c r="D1042" s="87"/>
      <c r="E1042" s="87"/>
      <c r="F1042" s="87"/>
      <c r="G1042" s="87"/>
      <c r="H1042" s="87"/>
      <c r="I1042" s="87"/>
      <c r="J1042" s="87"/>
      <c r="K1042" s="88"/>
      <c r="L1042" s="89"/>
      <c r="M1042" s="90"/>
      <c r="N1042" s="57"/>
      <c r="O1042" s="57"/>
      <c r="P1042" s="91"/>
    </row>
    <row r="1043" spans="2:16" s="50" customFormat="1" ht="13.2">
      <c r="B1043" s="86"/>
      <c r="C1043" s="87"/>
      <c r="D1043" s="87"/>
      <c r="E1043" s="87"/>
      <c r="F1043" s="87"/>
      <c r="G1043" s="87"/>
      <c r="H1043" s="87"/>
      <c r="I1043" s="87"/>
      <c r="J1043" s="87"/>
      <c r="K1043" s="88"/>
      <c r="L1043" s="89"/>
      <c r="M1043" s="90"/>
      <c r="N1043" s="57"/>
      <c r="O1043" s="57"/>
      <c r="P1043" s="91"/>
    </row>
    <row r="1044" spans="2:16" s="50" customFormat="1" ht="13.2">
      <c r="B1044" s="86"/>
      <c r="C1044" s="87"/>
      <c r="D1044" s="87"/>
      <c r="E1044" s="87"/>
      <c r="F1044" s="87"/>
      <c r="G1044" s="87"/>
      <c r="H1044" s="87"/>
      <c r="I1044" s="87"/>
      <c r="J1044" s="87"/>
      <c r="K1044" s="88"/>
      <c r="L1044" s="89"/>
      <c r="M1044" s="90"/>
      <c r="N1044" s="57"/>
      <c r="O1044" s="57"/>
      <c r="P1044" s="91"/>
    </row>
    <row r="1045" spans="2:16" s="50" customFormat="1" ht="13.2">
      <c r="B1045" s="86"/>
      <c r="C1045" s="87"/>
      <c r="D1045" s="87"/>
      <c r="E1045" s="87"/>
      <c r="F1045" s="87"/>
      <c r="G1045" s="87"/>
      <c r="H1045" s="87"/>
      <c r="I1045" s="87"/>
      <c r="J1045" s="87"/>
      <c r="K1045" s="88"/>
      <c r="L1045" s="89"/>
      <c r="M1045" s="90"/>
      <c r="N1045" s="57"/>
      <c r="O1045" s="57"/>
      <c r="P1045" s="91"/>
    </row>
    <row r="1046" spans="2:16" s="50" customFormat="1" ht="13.2">
      <c r="B1046" s="86"/>
      <c r="C1046" s="87"/>
      <c r="D1046" s="87"/>
      <c r="E1046" s="87"/>
      <c r="F1046" s="87"/>
      <c r="G1046" s="87"/>
      <c r="H1046" s="87"/>
      <c r="I1046" s="87"/>
      <c r="J1046" s="87"/>
      <c r="K1046" s="88"/>
      <c r="L1046" s="89"/>
      <c r="M1046" s="90"/>
      <c r="N1046" s="57"/>
      <c r="O1046" s="57"/>
      <c r="P1046" s="91"/>
    </row>
    <row r="1047" spans="2:16" s="50" customFormat="1" ht="13.2">
      <c r="B1047" s="86"/>
      <c r="C1047" s="87"/>
      <c r="D1047" s="87"/>
      <c r="E1047" s="87"/>
      <c r="F1047" s="87"/>
      <c r="G1047" s="87"/>
      <c r="H1047" s="87"/>
      <c r="I1047" s="87"/>
      <c r="J1047" s="87"/>
      <c r="K1047" s="88"/>
      <c r="L1047" s="89"/>
      <c r="M1047" s="90"/>
      <c r="N1047" s="57"/>
      <c r="O1047" s="57"/>
      <c r="P1047" s="91"/>
    </row>
    <row r="1048" spans="2:16" s="50" customFormat="1" ht="13.2">
      <c r="B1048" s="86"/>
      <c r="C1048" s="87"/>
      <c r="D1048" s="87"/>
      <c r="E1048" s="87"/>
      <c r="F1048" s="87"/>
      <c r="G1048" s="87"/>
      <c r="H1048" s="87"/>
      <c r="I1048" s="87"/>
      <c r="J1048" s="87"/>
      <c r="K1048" s="88"/>
      <c r="L1048" s="89"/>
      <c r="M1048" s="90"/>
      <c r="N1048" s="57"/>
      <c r="O1048" s="57"/>
      <c r="P1048" s="91"/>
    </row>
    <row r="1049" spans="2:16" s="50" customFormat="1" ht="13.2">
      <c r="B1049" s="86"/>
      <c r="C1049" s="87"/>
      <c r="D1049" s="87"/>
      <c r="E1049" s="87"/>
      <c r="F1049" s="87"/>
      <c r="G1049" s="87"/>
      <c r="H1049" s="87"/>
      <c r="I1049" s="87"/>
      <c r="J1049" s="87"/>
      <c r="K1049" s="88"/>
      <c r="L1049" s="89"/>
      <c r="M1049" s="90"/>
      <c r="N1049" s="57"/>
      <c r="O1049" s="57"/>
      <c r="P1049" s="91"/>
    </row>
    <row r="1050" spans="2:16" s="50" customFormat="1" ht="13.2">
      <c r="B1050" s="86"/>
      <c r="C1050" s="87"/>
      <c r="D1050" s="87"/>
      <c r="E1050" s="87"/>
      <c r="F1050" s="87"/>
      <c r="G1050" s="87"/>
      <c r="H1050" s="87"/>
      <c r="I1050" s="87"/>
      <c r="J1050" s="87"/>
      <c r="K1050" s="88"/>
      <c r="L1050" s="89"/>
      <c r="M1050" s="90"/>
      <c r="N1050" s="57"/>
      <c r="O1050" s="57"/>
      <c r="P1050" s="91"/>
    </row>
    <row r="1051" spans="2:16" s="50" customFormat="1" ht="13.2">
      <c r="B1051" s="86"/>
      <c r="C1051" s="87"/>
      <c r="D1051" s="87"/>
      <c r="E1051" s="87"/>
      <c r="F1051" s="87"/>
      <c r="G1051" s="87"/>
      <c r="H1051" s="87"/>
      <c r="I1051" s="87"/>
      <c r="J1051" s="87"/>
      <c r="K1051" s="88"/>
      <c r="L1051" s="89"/>
      <c r="M1051" s="90"/>
      <c r="N1051" s="57"/>
      <c r="O1051" s="57"/>
      <c r="P1051" s="91"/>
    </row>
    <row r="1052" spans="2:16" s="50" customFormat="1" ht="13.2">
      <c r="B1052" s="86"/>
      <c r="C1052" s="87"/>
      <c r="D1052" s="87"/>
      <c r="E1052" s="87"/>
      <c r="F1052" s="87"/>
      <c r="G1052" s="87"/>
      <c r="H1052" s="87"/>
      <c r="I1052" s="87"/>
      <c r="J1052" s="87"/>
      <c r="K1052" s="88"/>
      <c r="L1052" s="89"/>
      <c r="M1052" s="90"/>
      <c r="N1052" s="57"/>
      <c r="O1052" s="57"/>
      <c r="P1052" s="91"/>
    </row>
    <row r="1053" spans="2:16" s="50" customFormat="1" ht="13.2">
      <c r="B1053" s="86"/>
      <c r="C1053" s="87"/>
      <c r="D1053" s="87"/>
      <c r="E1053" s="87"/>
      <c r="F1053" s="87"/>
      <c r="G1053" s="87"/>
      <c r="H1053" s="87"/>
      <c r="I1053" s="87"/>
      <c r="J1053" s="87"/>
      <c r="K1053" s="88"/>
      <c r="L1053" s="89"/>
      <c r="M1053" s="90"/>
      <c r="N1053" s="57"/>
      <c r="O1053" s="57"/>
      <c r="P1053" s="91"/>
    </row>
    <row r="1054" spans="2:16" s="50" customFormat="1" ht="13.2">
      <c r="B1054" s="86"/>
      <c r="C1054" s="87"/>
      <c r="D1054" s="87"/>
      <c r="E1054" s="87"/>
      <c r="F1054" s="87"/>
      <c r="G1054" s="87"/>
      <c r="H1054" s="87"/>
      <c r="I1054" s="87"/>
      <c r="J1054" s="87"/>
      <c r="K1054" s="88"/>
      <c r="L1054" s="89"/>
      <c r="M1054" s="90"/>
      <c r="N1054" s="57"/>
      <c r="O1054" s="57"/>
      <c r="P1054" s="91"/>
    </row>
    <row r="1055" spans="2:16" s="50" customFormat="1" ht="13.2">
      <c r="B1055" s="86"/>
      <c r="C1055" s="87"/>
      <c r="D1055" s="87"/>
      <c r="E1055" s="87"/>
      <c r="F1055" s="87"/>
      <c r="G1055" s="87"/>
      <c r="H1055" s="87"/>
      <c r="I1055" s="87"/>
      <c r="J1055" s="87"/>
      <c r="K1055" s="88"/>
      <c r="L1055" s="89"/>
      <c r="M1055" s="90"/>
      <c r="N1055" s="57"/>
      <c r="O1055" s="57"/>
      <c r="P1055" s="91"/>
    </row>
    <row r="1056" spans="2:16" s="50" customFormat="1" ht="13.2">
      <c r="B1056" s="86"/>
      <c r="C1056" s="87"/>
      <c r="D1056" s="87"/>
      <c r="E1056" s="87"/>
      <c r="F1056" s="87"/>
      <c r="G1056" s="87"/>
      <c r="H1056" s="87"/>
      <c r="I1056" s="87"/>
      <c r="J1056" s="87"/>
      <c r="K1056" s="88"/>
      <c r="L1056" s="89"/>
      <c r="M1056" s="90"/>
      <c r="N1056" s="57"/>
      <c r="O1056" s="57"/>
      <c r="P1056" s="91"/>
    </row>
    <row r="1057" spans="2:16" s="50" customFormat="1" ht="13.2">
      <c r="B1057" s="86"/>
      <c r="C1057" s="87"/>
      <c r="D1057" s="87"/>
      <c r="E1057" s="87"/>
      <c r="F1057" s="87"/>
      <c r="G1057" s="87"/>
      <c r="H1057" s="87"/>
      <c r="I1057" s="87"/>
      <c r="J1057" s="87"/>
      <c r="K1057" s="88"/>
      <c r="L1057" s="89"/>
      <c r="M1057" s="90"/>
      <c r="N1057" s="57"/>
      <c r="O1057" s="57"/>
      <c r="P1057" s="91"/>
    </row>
    <row r="1058" spans="2:16" s="50" customFormat="1" ht="13.2">
      <c r="B1058" s="86"/>
      <c r="C1058" s="87"/>
      <c r="D1058" s="87"/>
      <c r="E1058" s="87"/>
      <c r="F1058" s="87"/>
      <c r="G1058" s="87"/>
      <c r="H1058" s="87"/>
      <c r="I1058" s="87"/>
      <c r="J1058" s="87"/>
      <c r="K1058" s="88"/>
      <c r="L1058" s="89"/>
      <c r="M1058" s="90"/>
      <c r="N1058" s="57"/>
      <c r="O1058" s="57"/>
      <c r="P1058" s="91"/>
    </row>
    <row r="1059" spans="2:16" s="50" customFormat="1" ht="13.2">
      <c r="B1059" s="86"/>
      <c r="C1059" s="87"/>
      <c r="D1059" s="87"/>
      <c r="E1059" s="87"/>
      <c r="F1059" s="87"/>
      <c r="G1059" s="87"/>
      <c r="H1059" s="87"/>
      <c r="I1059" s="87"/>
      <c r="J1059" s="87"/>
      <c r="K1059" s="88"/>
      <c r="L1059" s="89"/>
      <c r="M1059" s="90"/>
      <c r="N1059" s="57"/>
      <c r="O1059" s="57"/>
      <c r="P1059" s="91"/>
    </row>
    <row r="1060" spans="2:16" s="50" customFormat="1" ht="13.2">
      <c r="B1060" s="86"/>
      <c r="C1060" s="87"/>
      <c r="D1060" s="87"/>
      <c r="E1060" s="87"/>
      <c r="F1060" s="87"/>
      <c r="G1060" s="87"/>
      <c r="H1060" s="87"/>
      <c r="I1060" s="87"/>
      <c r="J1060" s="87"/>
      <c r="K1060" s="88"/>
      <c r="L1060" s="89"/>
      <c r="M1060" s="90"/>
      <c r="N1060" s="57"/>
      <c r="O1060" s="57"/>
      <c r="P1060" s="91"/>
    </row>
    <row r="1061" spans="2:16" s="50" customFormat="1" ht="13.2">
      <c r="B1061" s="86"/>
      <c r="C1061" s="87"/>
      <c r="D1061" s="87"/>
      <c r="E1061" s="87"/>
      <c r="F1061" s="87"/>
      <c r="G1061" s="87"/>
      <c r="H1061" s="87"/>
      <c r="I1061" s="87"/>
      <c r="J1061" s="87"/>
      <c r="K1061" s="88"/>
      <c r="L1061" s="89"/>
      <c r="M1061" s="90"/>
      <c r="N1061" s="57"/>
      <c r="O1061" s="57"/>
      <c r="P1061" s="91"/>
    </row>
    <row r="1062" spans="2:16" s="50" customFormat="1" ht="13.2">
      <c r="B1062" s="86"/>
      <c r="C1062" s="87"/>
      <c r="D1062" s="87"/>
      <c r="E1062" s="87"/>
      <c r="F1062" s="87"/>
      <c r="G1062" s="87"/>
      <c r="H1062" s="87"/>
      <c r="I1062" s="87"/>
      <c r="J1062" s="87"/>
      <c r="K1062" s="88"/>
      <c r="L1062" s="89"/>
      <c r="M1062" s="90"/>
      <c r="N1062" s="57"/>
      <c r="O1062" s="57"/>
      <c r="P1062" s="91"/>
    </row>
    <row r="1063" spans="2:16" s="50" customFormat="1" ht="13.2">
      <c r="B1063" s="86"/>
      <c r="C1063" s="87"/>
      <c r="D1063" s="87"/>
      <c r="E1063" s="87"/>
      <c r="F1063" s="87"/>
      <c r="G1063" s="87"/>
      <c r="H1063" s="87"/>
      <c r="I1063" s="87"/>
      <c r="J1063" s="87"/>
      <c r="K1063" s="88"/>
      <c r="L1063" s="89"/>
      <c r="M1063" s="90"/>
      <c r="N1063" s="57"/>
      <c r="O1063" s="57"/>
      <c r="P1063" s="91"/>
    </row>
    <row r="1064" spans="2:16" s="50" customFormat="1" ht="13.2">
      <c r="B1064" s="86"/>
      <c r="C1064" s="87"/>
      <c r="D1064" s="87"/>
      <c r="E1064" s="87"/>
      <c r="F1064" s="87"/>
      <c r="G1064" s="87"/>
      <c r="H1064" s="87"/>
      <c r="I1064" s="87"/>
      <c r="J1064" s="87"/>
      <c r="K1064" s="88"/>
      <c r="L1064" s="89"/>
      <c r="M1064" s="90"/>
      <c r="N1064" s="57"/>
      <c r="O1064" s="57"/>
      <c r="P1064" s="91"/>
    </row>
    <row r="1065" spans="2:16" s="50" customFormat="1" ht="13.2">
      <c r="B1065" s="86"/>
      <c r="C1065" s="87"/>
      <c r="D1065" s="87"/>
      <c r="E1065" s="87"/>
      <c r="F1065" s="87"/>
      <c r="G1065" s="87"/>
      <c r="H1065" s="87"/>
      <c r="I1065" s="87"/>
      <c r="J1065" s="87"/>
      <c r="K1065" s="88"/>
      <c r="L1065" s="89"/>
      <c r="M1065" s="90"/>
      <c r="N1065" s="57"/>
      <c r="O1065" s="57"/>
      <c r="P1065" s="91"/>
    </row>
    <row r="1066" spans="2:16" s="50" customFormat="1" ht="13.2">
      <c r="B1066" s="86"/>
      <c r="C1066" s="87"/>
      <c r="D1066" s="87"/>
      <c r="E1066" s="87"/>
      <c r="F1066" s="87"/>
      <c r="G1066" s="87"/>
      <c r="H1066" s="87"/>
      <c r="I1066" s="87"/>
      <c r="J1066" s="87"/>
      <c r="K1066" s="88"/>
      <c r="L1066" s="89"/>
      <c r="M1066" s="90"/>
      <c r="N1066" s="57"/>
      <c r="O1066" s="57"/>
      <c r="P1066" s="91"/>
    </row>
    <row r="1067" spans="2:16" s="50" customFormat="1" ht="13.2">
      <c r="B1067" s="86"/>
      <c r="C1067" s="87"/>
      <c r="D1067" s="87"/>
      <c r="E1067" s="87"/>
      <c r="F1067" s="87"/>
      <c r="G1067" s="87"/>
      <c r="H1067" s="87"/>
      <c r="I1067" s="87"/>
      <c r="J1067" s="87"/>
      <c r="K1067" s="88"/>
      <c r="L1067" s="89"/>
      <c r="M1067" s="90"/>
      <c r="N1067" s="57"/>
      <c r="O1067" s="57"/>
      <c r="P1067" s="91"/>
    </row>
    <row r="1068" spans="2:16" s="50" customFormat="1" ht="13.2">
      <c r="B1068" s="86"/>
      <c r="C1068" s="87"/>
      <c r="D1068" s="87"/>
      <c r="E1068" s="87"/>
      <c r="F1068" s="87"/>
      <c r="G1068" s="87"/>
      <c r="H1068" s="87"/>
      <c r="I1068" s="87"/>
      <c r="J1068" s="87"/>
      <c r="K1068" s="88"/>
      <c r="L1068" s="89"/>
      <c r="M1068" s="90"/>
      <c r="N1068" s="57"/>
      <c r="O1068" s="57"/>
      <c r="P1068" s="91"/>
    </row>
    <row r="1069" spans="2:16" s="50" customFormat="1" ht="13.2">
      <c r="B1069" s="86"/>
      <c r="C1069" s="87"/>
      <c r="D1069" s="87"/>
      <c r="E1069" s="87"/>
      <c r="F1069" s="87"/>
      <c r="G1069" s="87"/>
      <c r="H1069" s="87"/>
      <c r="I1069" s="87"/>
      <c r="J1069" s="87"/>
      <c r="K1069" s="88"/>
      <c r="L1069" s="89"/>
      <c r="M1069" s="90"/>
      <c r="N1069" s="57"/>
      <c r="O1069" s="57"/>
      <c r="P1069" s="91"/>
    </row>
    <row r="1070" spans="2:16" s="50" customFormat="1" ht="13.2">
      <c r="B1070" s="86"/>
      <c r="C1070" s="87"/>
      <c r="D1070" s="87"/>
      <c r="E1070" s="87"/>
      <c r="F1070" s="87"/>
      <c r="G1070" s="87"/>
      <c r="H1070" s="87"/>
      <c r="I1070" s="87"/>
      <c r="J1070" s="87"/>
      <c r="K1070" s="88"/>
      <c r="L1070" s="89"/>
      <c r="M1070" s="90"/>
      <c r="N1070" s="57"/>
      <c r="O1070" s="57"/>
      <c r="P1070" s="91"/>
    </row>
    <row r="1071" spans="2:16" s="50" customFormat="1" ht="13.2">
      <c r="B1071" s="86"/>
      <c r="C1071" s="87"/>
      <c r="D1071" s="87"/>
      <c r="E1071" s="87"/>
      <c r="F1071" s="87"/>
      <c r="G1071" s="87"/>
      <c r="H1071" s="87"/>
      <c r="I1071" s="87"/>
      <c r="J1071" s="87"/>
      <c r="K1071" s="88"/>
      <c r="L1071" s="89"/>
      <c r="M1071" s="90"/>
      <c r="N1071" s="57"/>
      <c r="O1071" s="57"/>
      <c r="P1071" s="91"/>
    </row>
    <row r="1072" spans="2:16" s="50" customFormat="1" ht="13.2">
      <c r="B1072" s="86"/>
      <c r="C1072" s="87"/>
      <c r="D1072" s="87"/>
      <c r="E1072" s="87"/>
      <c r="F1072" s="87"/>
      <c r="G1072" s="87"/>
      <c r="H1072" s="87"/>
      <c r="I1072" s="87"/>
      <c r="J1072" s="87"/>
      <c r="K1072" s="88"/>
      <c r="L1072" s="89"/>
      <c r="M1072" s="90"/>
      <c r="N1072" s="57"/>
      <c r="O1072" s="57"/>
      <c r="P1072" s="91"/>
    </row>
    <row r="1073" spans="2:16" s="50" customFormat="1" ht="13.2">
      <c r="B1073" s="86"/>
      <c r="C1073" s="87"/>
      <c r="D1073" s="87"/>
      <c r="E1073" s="87"/>
      <c r="F1073" s="87"/>
      <c r="G1073" s="87"/>
      <c r="H1073" s="87"/>
      <c r="I1073" s="87"/>
      <c r="J1073" s="87"/>
      <c r="K1073" s="88"/>
      <c r="L1073" s="89"/>
      <c r="M1073" s="90"/>
      <c r="N1073" s="57"/>
      <c r="O1073" s="57"/>
      <c r="P1073" s="91"/>
    </row>
    <row r="1074" spans="2:16" s="50" customFormat="1" ht="13.2">
      <c r="B1074" s="86"/>
      <c r="C1074" s="87"/>
      <c r="D1074" s="87"/>
      <c r="E1074" s="87"/>
      <c r="F1074" s="87"/>
      <c r="G1074" s="87"/>
      <c r="H1074" s="87"/>
      <c r="I1074" s="87"/>
      <c r="J1074" s="87"/>
      <c r="K1074" s="88"/>
      <c r="L1074" s="89"/>
      <c r="M1074" s="90"/>
      <c r="N1074" s="57"/>
      <c r="O1074" s="57"/>
      <c r="P1074" s="91"/>
    </row>
    <row r="1075" spans="2:16" s="50" customFormat="1" ht="13.2">
      <c r="B1075" s="86"/>
      <c r="C1075" s="87"/>
      <c r="D1075" s="87"/>
      <c r="E1075" s="87"/>
      <c r="F1075" s="87"/>
      <c r="G1075" s="87"/>
      <c r="H1075" s="87"/>
      <c r="I1075" s="87"/>
      <c r="J1075" s="87"/>
      <c r="K1075" s="88"/>
      <c r="L1075" s="89"/>
      <c r="M1075" s="90"/>
      <c r="N1075" s="57"/>
      <c r="O1075" s="57"/>
      <c r="P1075" s="91"/>
    </row>
    <row r="1076" spans="2:16" s="50" customFormat="1" ht="13.2">
      <c r="B1076" s="86"/>
      <c r="C1076" s="87"/>
      <c r="D1076" s="87"/>
      <c r="E1076" s="87"/>
      <c r="F1076" s="87"/>
      <c r="G1076" s="87"/>
      <c r="H1076" s="87"/>
      <c r="I1076" s="87"/>
      <c r="J1076" s="87"/>
      <c r="K1076" s="88"/>
      <c r="L1076" s="89"/>
      <c r="M1076" s="90"/>
      <c r="N1076" s="57"/>
      <c r="O1076" s="57"/>
      <c r="P1076" s="91"/>
    </row>
    <row r="1077" spans="2:16" s="50" customFormat="1" ht="13.2">
      <c r="B1077" s="86"/>
      <c r="C1077" s="87"/>
      <c r="D1077" s="87"/>
      <c r="E1077" s="87"/>
      <c r="F1077" s="87"/>
      <c r="G1077" s="87"/>
      <c r="H1077" s="87"/>
      <c r="I1077" s="87"/>
      <c r="J1077" s="87"/>
      <c r="K1077" s="88"/>
      <c r="L1077" s="89"/>
      <c r="M1077" s="90"/>
      <c r="N1077" s="57"/>
      <c r="O1077" s="57"/>
      <c r="P1077" s="91"/>
    </row>
    <row r="1078" spans="2:16" s="50" customFormat="1" ht="13.2">
      <c r="B1078" s="86"/>
      <c r="C1078" s="87"/>
      <c r="D1078" s="87"/>
      <c r="E1078" s="87"/>
      <c r="F1078" s="87"/>
      <c r="G1078" s="87"/>
      <c r="H1078" s="87"/>
      <c r="I1078" s="87"/>
      <c r="J1078" s="87"/>
      <c r="K1078" s="88"/>
      <c r="L1078" s="89"/>
      <c r="M1078" s="90"/>
      <c r="N1078" s="57"/>
      <c r="O1078" s="57"/>
      <c r="P1078" s="91"/>
    </row>
    <row r="1079" spans="2:16" s="50" customFormat="1" ht="13.2">
      <c r="B1079" s="86"/>
      <c r="C1079" s="87"/>
      <c r="D1079" s="87"/>
      <c r="E1079" s="87"/>
      <c r="F1079" s="87"/>
      <c r="G1079" s="87"/>
      <c r="H1079" s="87"/>
      <c r="I1079" s="87"/>
      <c r="J1079" s="87"/>
      <c r="K1079" s="88"/>
      <c r="L1079" s="89"/>
      <c r="M1079" s="90"/>
      <c r="N1079" s="57"/>
      <c r="O1079" s="57"/>
      <c r="P1079" s="91"/>
    </row>
    <row r="1080" spans="2:16" s="50" customFormat="1" ht="13.2">
      <c r="B1080" s="86"/>
      <c r="C1080" s="87"/>
      <c r="D1080" s="87"/>
      <c r="E1080" s="87"/>
      <c r="F1080" s="87"/>
      <c r="G1080" s="87"/>
      <c r="H1080" s="87"/>
      <c r="I1080" s="87"/>
      <c r="J1080" s="87"/>
      <c r="K1080" s="88"/>
      <c r="L1080" s="89"/>
      <c r="M1080" s="90"/>
      <c r="N1080" s="57"/>
      <c r="O1080" s="57"/>
      <c r="P1080" s="91"/>
    </row>
    <row r="1081" spans="2:16" s="50" customFormat="1" ht="13.2">
      <c r="B1081" s="86"/>
      <c r="C1081" s="87"/>
      <c r="D1081" s="87"/>
      <c r="E1081" s="87"/>
      <c r="F1081" s="87"/>
      <c r="G1081" s="87"/>
      <c r="H1081" s="87"/>
      <c r="I1081" s="87"/>
      <c r="J1081" s="87"/>
      <c r="K1081" s="88"/>
      <c r="L1081" s="89"/>
      <c r="M1081" s="90"/>
      <c r="N1081" s="57"/>
      <c r="O1081" s="57"/>
      <c r="P1081" s="91"/>
    </row>
    <row r="1082" spans="2:16" s="50" customFormat="1" ht="13.2">
      <c r="B1082" s="86"/>
      <c r="C1082" s="87"/>
      <c r="D1082" s="87"/>
      <c r="E1082" s="87"/>
      <c r="F1082" s="87"/>
      <c r="G1082" s="87"/>
      <c r="H1082" s="87"/>
      <c r="I1082" s="87"/>
      <c r="J1082" s="87"/>
      <c r="K1082" s="88"/>
      <c r="L1082" s="89"/>
      <c r="M1082" s="90"/>
      <c r="N1082" s="57"/>
      <c r="O1082" s="57"/>
      <c r="P1082" s="91"/>
    </row>
    <row r="1083" spans="2:16" s="50" customFormat="1" ht="13.2">
      <c r="B1083" s="86"/>
      <c r="C1083" s="87"/>
      <c r="D1083" s="87"/>
      <c r="E1083" s="87"/>
      <c r="F1083" s="87"/>
      <c r="G1083" s="87"/>
      <c r="H1083" s="87"/>
      <c r="I1083" s="87"/>
      <c r="J1083" s="87"/>
      <c r="K1083" s="88"/>
      <c r="L1083" s="89"/>
      <c r="M1083" s="90"/>
      <c r="N1083" s="57"/>
      <c r="O1083" s="57"/>
      <c r="P1083" s="91"/>
    </row>
    <row r="1084" spans="2:16" s="50" customFormat="1" ht="13.2">
      <c r="B1084" s="86"/>
      <c r="C1084" s="87"/>
      <c r="D1084" s="87"/>
      <c r="E1084" s="87"/>
      <c r="F1084" s="87"/>
      <c r="G1084" s="87"/>
      <c r="H1084" s="87"/>
      <c r="I1084" s="87"/>
      <c r="J1084" s="87"/>
      <c r="K1084" s="88"/>
      <c r="L1084" s="89"/>
      <c r="M1084" s="90"/>
      <c r="N1084" s="57"/>
      <c r="O1084" s="57"/>
      <c r="P1084" s="91"/>
    </row>
    <row r="1085" spans="2:16" s="50" customFormat="1" ht="13.2">
      <c r="B1085" s="86"/>
      <c r="C1085" s="87"/>
      <c r="D1085" s="87"/>
      <c r="E1085" s="87"/>
      <c r="F1085" s="87"/>
      <c r="G1085" s="87"/>
      <c r="H1085" s="87"/>
      <c r="I1085" s="87"/>
      <c r="J1085" s="87"/>
      <c r="K1085" s="88"/>
      <c r="L1085" s="89"/>
      <c r="M1085" s="90"/>
      <c r="N1085" s="57"/>
      <c r="O1085" s="57"/>
      <c r="P1085" s="91"/>
    </row>
    <row r="1086" spans="2:16" s="50" customFormat="1" ht="13.2">
      <c r="B1086" s="86"/>
      <c r="C1086" s="87"/>
      <c r="D1086" s="87"/>
      <c r="E1086" s="87"/>
      <c r="F1086" s="87"/>
      <c r="G1086" s="87"/>
      <c r="H1086" s="87"/>
      <c r="I1086" s="87"/>
      <c r="J1086" s="87"/>
      <c r="K1086" s="88"/>
      <c r="L1086" s="89"/>
      <c r="M1086" s="90"/>
      <c r="N1086" s="57"/>
      <c r="O1086" s="57"/>
      <c r="P1086" s="91"/>
    </row>
    <row r="1087" spans="2:16" s="50" customFormat="1" ht="13.2">
      <c r="B1087" s="86"/>
      <c r="C1087" s="87"/>
      <c r="D1087" s="87"/>
      <c r="E1087" s="87"/>
      <c r="F1087" s="87"/>
      <c r="G1087" s="87"/>
      <c r="H1087" s="87"/>
      <c r="I1087" s="87"/>
      <c r="J1087" s="87"/>
      <c r="K1087" s="88"/>
      <c r="L1087" s="89"/>
      <c r="M1087" s="90"/>
      <c r="N1087" s="57"/>
      <c r="O1087" s="57"/>
      <c r="P1087" s="91"/>
    </row>
    <row r="1088" spans="2:16" s="50" customFormat="1" ht="13.2">
      <c r="B1088" s="86"/>
      <c r="C1088" s="87"/>
      <c r="D1088" s="87"/>
      <c r="E1088" s="87"/>
      <c r="F1088" s="87"/>
      <c r="G1088" s="87"/>
      <c r="H1088" s="87"/>
      <c r="I1088" s="87"/>
      <c r="J1088" s="87"/>
      <c r="K1088" s="88"/>
      <c r="L1088" s="89"/>
      <c r="M1088" s="90"/>
      <c r="N1088" s="57"/>
      <c r="O1088" s="57"/>
      <c r="P1088" s="91"/>
    </row>
    <row r="1089" spans="2:16" s="50" customFormat="1" ht="13.2">
      <c r="B1089" s="86"/>
      <c r="C1089" s="87"/>
      <c r="D1089" s="87"/>
      <c r="E1089" s="87"/>
      <c r="F1089" s="87"/>
      <c r="G1089" s="87"/>
      <c r="H1089" s="87"/>
      <c r="I1089" s="87"/>
      <c r="J1089" s="87"/>
      <c r="K1089" s="88"/>
      <c r="L1089" s="89"/>
      <c r="M1089" s="90"/>
      <c r="N1089" s="57"/>
      <c r="O1089" s="57"/>
      <c r="P1089" s="91"/>
    </row>
    <row r="1090" spans="2:16" s="50" customFormat="1" ht="13.2">
      <c r="B1090" s="86"/>
      <c r="C1090" s="87"/>
      <c r="D1090" s="87"/>
      <c r="E1090" s="87"/>
      <c r="F1090" s="87"/>
      <c r="G1090" s="87"/>
      <c r="H1090" s="87"/>
      <c r="I1090" s="87"/>
      <c r="J1090" s="87"/>
      <c r="K1090" s="88"/>
      <c r="L1090" s="89"/>
      <c r="M1090" s="90"/>
      <c r="N1090" s="57"/>
      <c r="O1090" s="57"/>
      <c r="P1090" s="91"/>
    </row>
    <row r="1091" spans="2:16" s="50" customFormat="1" ht="13.2">
      <c r="B1091" s="86"/>
      <c r="C1091" s="87"/>
      <c r="D1091" s="87"/>
      <c r="E1091" s="87"/>
      <c r="F1091" s="87"/>
      <c r="G1091" s="87"/>
      <c r="H1091" s="87"/>
      <c r="I1091" s="87"/>
      <c r="J1091" s="87"/>
      <c r="K1091" s="88"/>
      <c r="L1091" s="89"/>
      <c r="M1091" s="90"/>
      <c r="N1091" s="57"/>
      <c r="O1091" s="57"/>
      <c r="P1091" s="91"/>
    </row>
    <row r="1092" spans="2:16" s="50" customFormat="1" ht="13.2">
      <c r="B1092" s="86"/>
      <c r="C1092" s="87"/>
      <c r="D1092" s="87"/>
      <c r="E1092" s="87"/>
      <c r="F1092" s="87"/>
      <c r="G1092" s="87"/>
      <c r="H1092" s="87"/>
      <c r="I1092" s="87"/>
      <c r="J1092" s="87"/>
      <c r="K1092" s="88"/>
      <c r="L1092" s="89"/>
      <c r="M1092" s="90"/>
      <c r="N1092" s="57"/>
      <c r="O1092" s="57"/>
      <c r="P1092" s="91"/>
    </row>
    <row r="1093" spans="2:16" s="50" customFormat="1" ht="13.2">
      <c r="B1093" s="86"/>
      <c r="C1093" s="87"/>
      <c r="D1093" s="87"/>
      <c r="E1093" s="87"/>
      <c r="F1093" s="87"/>
      <c r="G1093" s="87"/>
      <c r="H1093" s="87"/>
      <c r="I1093" s="87"/>
      <c r="J1093" s="87"/>
      <c r="K1093" s="88"/>
      <c r="L1093" s="89"/>
      <c r="M1093" s="90"/>
      <c r="N1093" s="57"/>
      <c r="O1093" s="57"/>
      <c r="P1093" s="91"/>
    </row>
    <row r="1094" spans="2:16" s="50" customFormat="1" ht="13.2">
      <c r="B1094" s="86"/>
      <c r="C1094" s="87"/>
      <c r="D1094" s="87"/>
      <c r="E1094" s="87"/>
      <c r="F1094" s="87"/>
      <c r="G1094" s="87"/>
      <c r="H1094" s="87"/>
      <c r="I1094" s="87"/>
      <c r="J1094" s="87"/>
      <c r="K1094" s="88"/>
      <c r="L1094" s="89"/>
      <c r="M1094" s="90"/>
      <c r="N1094" s="57"/>
      <c r="O1094" s="57"/>
      <c r="P1094" s="91"/>
    </row>
    <row r="1095" spans="2:16" s="50" customFormat="1" ht="13.2">
      <c r="B1095" s="86"/>
      <c r="C1095" s="87"/>
      <c r="D1095" s="87"/>
      <c r="E1095" s="87"/>
      <c r="F1095" s="87"/>
      <c r="G1095" s="87"/>
      <c r="H1095" s="87"/>
      <c r="I1095" s="87"/>
      <c r="J1095" s="87"/>
      <c r="K1095" s="88"/>
      <c r="L1095" s="89"/>
      <c r="M1095" s="90"/>
      <c r="N1095" s="57"/>
      <c r="O1095" s="57"/>
      <c r="P1095" s="91"/>
    </row>
    <row r="1096" spans="2:16" s="50" customFormat="1" ht="13.2">
      <c r="B1096" s="86"/>
      <c r="C1096" s="87"/>
      <c r="D1096" s="87"/>
      <c r="E1096" s="87"/>
      <c r="F1096" s="87"/>
      <c r="G1096" s="87"/>
      <c r="H1096" s="87"/>
      <c r="I1096" s="87"/>
      <c r="J1096" s="87"/>
      <c r="K1096" s="88"/>
      <c r="L1096" s="89"/>
      <c r="M1096" s="90"/>
      <c r="N1096" s="57"/>
      <c r="O1096" s="57"/>
      <c r="P1096" s="91"/>
    </row>
    <row r="1097" spans="2:16" s="50" customFormat="1" ht="13.2">
      <c r="B1097" s="86"/>
      <c r="C1097" s="87"/>
      <c r="D1097" s="87"/>
      <c r="E1097" s="87"/>
      <c r="F1097" s="87"/>
      <c r="G1097" s="87"/>
      <c r="H1097" s="87"/>
      <c r="I1097" s="87"/>
      <c r="J1097" s="87"/>
      <c r="K1097" s="88"/>
      <c r="L1097" s="89"/>
      <c r="M1097" s="90"/>
      <c r="N1097" s="57"/>
      <c r="O1097" s="57"/>
      <c r="P1097" s="91"/>
    </row>
    <row r="1098" spans="2:16" s="50" customFormat="1" ht="13.2">
      <c r="B1098" s="86"/>
      <c r="C1098" s="87"/>
      <c r="D1098" s="87"/>
      <c r="E1098" s="87"/>
      <c r="F1098" s="87"/>
      <c r="G1098" s="87"/>
      <c r="H1098" s="87"/>
      <c r="I1098" s="87"/>
      <c r="J1098" s="87"/>
      <c r="K1098" s="88"/>
      <c r="L1098" s="89"/>
      <c r="M1098" s="90"/>
      <c r="N1098" s="57"/>
      <c r="O1098" s="57"/>
      <c r="P1098" s="91"/>
    </row>
    <row r="1099" spans="2:16" s="50" customFormat="1" ht="13.2">
      <c r="B1099" s="86"/>
      <c r="C1099" s="87"/>
      <c r="D1099" s="87"/>
      <c r="E1099" s="87"/>
      <c r="F1099" s="87"/>
      <c r="G1099" s="87"/>
      <c r="H1099" s="87"/>
      <c r="I1099" s="87"/>
      <c r="J1099" s="87"/>
      <c r="K1099" s="88"/>
      <c r="L1099" s="89"/>
      <c r="M1099" s="90"/>
      <c r="N1099" s="57"/>
      <c r="O1099" s="57"/>
      <c r="P1099" s="91"/>
    </row>
    <row r="1100" spans="2:16" s="50" customFormat="1" ht="13.2">
      <c r="B1100" s="86"/>
      <c r="C1100" s="87"/>
      <c r="D1100" s="87"/>
      <c r="E1100" s="87"/>
      <c r="F1100" s="87"/>
      <c r="G1100" s="87"/>
      <c r="H1100" s="87"/>
      <c r="I1100" s="87"/>
      <c r="J1100" s="87"/>
      <c r="K1100" s="88"/>
      <c r="L1100" s="89"/>
      <c r="M1100" s="90"/>
      <c r="N1100" s="57"/>
      <c r="O1100" s="57"/>
      <c r="P1100" s="91"/>
    </row>
    <row r="1101" spans="2:16" s="50" customFormat="1" ht="13.2">
      <c r="B1101" s="86"/>
      <c r="C1101" s="87"/>
      <c r="D1101" s="87"/>
      <c r="E1101" s="87"/>
      <c r="F1101" s="87"/>
      <c r="G1101" s="87"/>
      <c r="H1101" s="87"/>
      <c r="I1101" s="87"/>
      <c r="J1101" s="87"/>
      <c r="K1101" s="88"/>
      <c r="L1101" s="89"/>
      <c r="M1101" s="90"/>
      <c r="N1101" s="57"/>
      <c r="O1101" s="57"/>
      <c r="P1101" s="91"/>
    </row>
    <row r="1102" spans="2:16" s="50" customFormat="1" ht="13.2">
      <c r="B1102" s="86"/>
      <c r="C1102" s="87"/>
      <c r="D1102" s="87"/>
      <c r="E1102" s="87"/>
      <c r="F1102" s="87"/>
      <c r="G1102" s="87"/>
      <c r="H1102" s="87"/>
      <c r="I1102" s="87"/>
      <c r="J1102" s="87"/>
      <c r="K1102" s="88"/>
      <c r="L1102" s="89"/>
      <c r="M1102" s="90"/>
      <c r="N1102" s="57"/>
      <c r="O1102" s="57"/>
      <c r="P1102" s="91"/>
    </row>
    <row r="1103" spans="2:16" s="50" customFormat="1" ht="13.2">
      <c r="B1103" s="86"/>
      <c r="C1103" s="87"/>
      <c r="D1103" s="87"/>
      <c r="E1103" s="87"/>
      <c r="F1103" s="87"/>
      <c r="G1103" s="87"/>
      <c r="H1103" s="87"/>
      <c r="I1103" s="87"/>
      <c r="J1103" s="87"/>
      <c r="K1103" s="88"/>
      <c r="L1103" s="89"/>
      <c r="M1103" s="90"/>
      <c r="N1103" s="57"/>
      <c r="O1103" s="57"/>
      <c r="P1103" s="91"/>
    </row>
    <row r="1104" spans="2:16" s="50" customFormat="1" ht="13.2">
      <c r="B1104" s="86"/>
      <c r="C1104" s="87"/>
      <c r="D1104" s="87"/>
      <c r="E1104" s="87"/>
      <c r="F1104" s="87"/>
      <c r="G1104" s="87"/>
      <c r="H1104" s="87"/>
      <c r="I1104" s="87"/>
      <c r="J1104" s="87"/>
      <c r="K1104" s="88"/>
      <c r="L1104" s="89"/>
      <c r="M1104" s="90"/>
      <c r="N1104" s="57"/>
      <c r="O1104" s="57"/>
      <c r="P1104" s="91"/>
    </row>
    <row r="1105" spans="2:16" s="50" customFormat="1" ht="13.2">
      <c r="B1105" s="86"/>
      <c r="C1105" s="87"/>
      <c r="D1105" s="87"/>
      <c r="E1105" s="87"/>
      <c r="F1105" s="87"/>
      <c r="G1105" s="87"/>
      <c r="H1105" s="87"/>
      <c r="I1105" s="87"/>
      <c r="J1105" s="87"/>
      <c r="K1105" s="88"/>
      <c r="L1105" s="89"/>
      <c r="M1105" s="90"/>
      <c r="N1105" s="57"/>
      <c r="O1105" s="57"/>
      <c r="P1105" s="91"/>
    </row>
    <row r="1106" spans="2:16" s="50" customFormat="1" ht="13.2">
      <c r="B1106" s="86"/>
      <c r="C1106" s="87"/>
      <c r="D1106" s="87"/>
      <c r="E1106" s="87"/>
      <c r="F1106" s="87"/>
      <c r="G1106" s="87"/>
      <c r="H1106" s="87"/>
      <c r="I1106" s="87"/>
      <c r="J1106" s="87"/>
      <c r="K1106" s="88"/>
      <c r="L1106" s="89"/>
      <c r="M1106" s="90"/>
      <c r="N1106" s="57"/>
      <c r="O1106" s="57"/>
      <c r="P1106" s="91"/>
    </row>
    <row r="1107" spans="2:16" s="50" customFormat="1" ht="13.2">
      <c r="B1107" s="86"/>
      <c r="C1107" s="87"/>
      <c r="D1107" s="87"/>
      <c r="E1107" s="87"/>
      <c r="F1107" s="87"/>
      <c r="G1107" s="87"/>
      <c r="H1107" s="87"/>
      <c r="I1107" s="87"/>
      <c r="J1107" s="87"/>
      <c r="K1107" s="88"/>
      <c r="L1107" s="89"/>
      <c r="M1107" s="90"/>
      <c r="N1107" s="57"/>
      <c r="O1107" s="57"/>
      <c r="P1107" s="91"/>
    </row>
    <row r="1108" spans="2:16" s="50" customFormat="1" ht="13.2">
      <c r="B1108" s="86"/>
      <c r="C1108" s="87"/>
      <c r="D1108" s="87"/>
      <c r="E1108" s="87"/>
      <c r="F1108" s="87"/>
      <c r="G1108" s="87"/>
      <c r="H1108" s="87"/>
      <c r="I1108" s="87"/>
      <c r="J1108" s="87"/>
      <c r="K1108" s="88"/>
      <c r="L1108" s="89"/>
      <c r="M1108" s="90"/>
      <c r="N1108" s="57"/>
      <c r="O1108" s="57"/>
      <c r="P1108" s="91"/>
    </row>
    <row r="1109" spans="2:16" s="50" customFormat="1" ht="13.2">
      <c r="B1109" s="86"/>
      <c r="C1109" s="87"/>
      <c r="D1109" s="87"/>
      <c r="E1109" s="87"/>
      <c r="F1109" s="87"/>
      <c r="G1109" s="87"/>
      <c r="H1109" s="87"/>
      <c r="I1109" s="87"/>
      <c r="J1109" s="87"/>
      <c r="K1109" s="88"/>
      <c r="L1109" s="89"/>
      <c r="M1109" s="90"/>
      <c r="N1109" s="57"/>
      <c r="O1109" s="57"/>
      <c r="P1109" s="91"/>
    </row>
    <row r="1110" spans="2:16" s="50" customFormat="1" ht="13.2">
      <c r="B1110" s="86"/>
      <c r="C1110" s="87"/>
      <c r="D1110" s="87"/>
      <c r="E1110" s="87"/>
      <c r="F1110" s="87"/>
      <c r="G1110" s="87"/>
      <c r="H1110" s="87"/>
      <c r="I1110" s="87"/>
      <c r="J1110" s="87"/>
      <c r="K1110" s="88"/>
      <c r="L1110" s="89"/>
      <c r="M1110" s="90"/>
      <c r="N1110" s="57"/>
      <c r="O1110" s="57"/>
      <c r="P1110" s="91"/>
    </row>
    <row r="1111" spans="2:16" s="50" customFormat="1" ht="13.2">
      <c r="B1111" s="86"/>
      <c r="C1111" s="87"/>
      <c r="D1111" s="87"/>
      <c r="E1111" s="87"/>
      <c r="F1111" s="87"/>
      <c r="G1111" s="87"/>
      <c r="H1111" s="87"/>
      <c r="I1111" s="87"/>
      <c r="J1111" s="87"/>
      <c r="K1111" s="88"/>
      <c r="L1111" s="89"/>
      <c r="M1111" s="90"/>
      <c r="N1111" s="57"/>
      <c r="O1111" s="57"/>
      <c r="P1111" s="91"/>
    </row>
    <row r="1112" spans="2:16" s="50" customFormat="1" ht="13.2">
      <c r="B1112" s="86"/>
      <c r="C1112" s="87"/>
      <c r="D1112" s="87"/>
      <c r="E1112" s="87"/>
      <c r="F1112" s="87"/>
      <c r="G1112" s="87"/>
      <c r="H1112" s="87"/>
      <c r="I1112" s="87"/>
      <c r="J1112" s="87"/>
      <c r="K1112" s="88"/>
      <c r="L1112" s="89"/>
      <c r="M1112" s="90"/>
      <c r="N1112" s="57"/>
      <c r="O1112" s="57"/>
      <c r="P1112" s="91"/>
    </row>
    <row r="1113" spans="2:16" s="50" customFormat="1" ht="13.2">
      <c r="B1113" s="86"/>
      <c r="C1113" s="87"/>
      <c r="D1113" s="87"/>
      <c r="E1113" s="87"/>
      <c r="F1113" s="87"/>
      <c r="G1113" s="87"/>
      <c r="H1113" s="87"/>
      <c r="I1113" s="87"/>
      <c r="J1113" s="87"/>
      <c r="K1113" s="88"/>
      <c r="L1113" s="89"/>
      <c r="M1113" s="90"/>
      <c r="N1113" s="57"/>
      <c r="O1113" s="57"/>
      <c r="P1113" s="91"/>
    </row>
    <row r="1114" spans="2:16" s="50" customFormat="1" ht="13.2">
      <c r="B1114" s="86"/>
      <c r="C1114" s="87"/>
      <c r="D1114" s="87"/>
      <c r="E1114" s="87"/>
      <c r="F1114" s="87"/>
      <c r="G1114" s="87"/>
      <c r="H1114" s="87"/>
      <c r="I1114" s="87"/>
      <c r="J1114" s="87"/>
      <c r="K1114" s="88"/>
      <c r="L1114" s="89"/>
      <c r="M1114" s="90"/>
      <c r="N1114" s="57"/>
      <c r="O1114" s="57"/>
      <c r="P1114" s="91"/>
    </row>
    <row r="1115" spans="2:16" s="50" customFormat="1" ht="13.2">
      <c r="B1115" s="86"/>
      <c r="C1115" s="87"/>
      <c r="D1115" s="87"/>
      <c r="E1115" s="87"/>
      <c r="F1115" s="87"/>
      <c r="G1115" s="87"/>
      <c r="H1115" s="87"/>
      <c r="I1115" s="87"/>
      <c r="J1115" s="87"/>
      <c r="K1115" s="88"/>
      <c r="L1115" s="89"/>
      <c r="M1115" s="90"/>
      <c r="N1115" s="57"/>
      <c r="O1115" s="57"/>
      <c r="P1115" s="91"/>
    </row>
    <row r="1116" spans="2:16" s="50" customFormat="1" ht="13.2">
      <c r="B1116" s="86"/>
      <c r="C1116" s="87"/>
      <c r="D1116" s="87"/>
      <c r="E1116" s="87"/>
      <c r="F1116" s="87"/>
      <c r="G1116" s="87"/>
      <c r="H1116" s="87"/>
      <c r="I1116" s="87"/>
      <c r="J1116" s="87"/>
      <c r="K1116" s="88"/>
      <c r="L1116" s="89"/>
      <c r="M1116" s="90"/>
      <c r="N1116" s="57"/>
      <c r="O1116" s="57"/>
      <c r="P1116" s="91"/>
    </row>
    <row r="1117" spans="2:16" s="50" customFormat="1" ht="13.2">
      <c r="B1117" s="86"/>
      <c r="C1117" s="87"/>
      <c r="D1117" s="87"/>
      <c r="E1117" s="87"/>
      <c r="F1117" s="87"/>
      <c r="G1117" s="87"/>
      <c r="H1117" s="87"/>
      <c r="I1117" s="87"/>
      <c r="J1117" s="87"/>
      <c r="K1117" s="88"/>
      <c r="L1117" s="89"/>
      <c r="M1117" s="90"/>
      <c r="N1117" s="57"/>
      <c r="O1117" s="57"/>
      <c r="P1117" s="91"/>
    </row>
    <row r="1118" spans="2:16" s="50" customFormat="1" ht="13.2">
      <c r="B1118" s="86"/>
      <c r="C1118" s="87"/>
      <c r="D1118" s="87"/>
      <c r="E1118" s="87"/>
      <c r="F1118" s="87"/>
      <c r="G1118" s="87"/>
      <c r="H1118" s="87"/>
      <c r="I1118" s="87"/>
      <c r="J1118" s="87"/>
      <c r="K1118" s="88"/>
      <c r="L1118" s="89"/>
      <c r="M1118" s="90"/>
      <c r="N1118" s="57"/>
      <c r="O1118" s="57"/>
      <c r="P1118" s="91"/>
    </row>
    <row r="1119" spans="2:16" s="50" customFormat="1" ht="13.2">
      <c r="B1119" s="86"/>
      <c r="C1119" s="87"/>
      <c r="D1119" s="87"/>
      <c r="E1119" s="87"/>
      <c r="F1119" s="87"/>
      <c r="G1119" s="87"/>
      <c r="H1119" s="87"/>
      <c r="I1119" s="87"/>
      <c r="J1119" s="87"/>
      <c r="K1119" s="88"/>
      <c r="L1119" s="89"/>
      <c r="M1119" s="90"/>
      <c r="N1119" s="57"/>
      <c r="O1119" s="57"/>
      <c r="P1119" s="91"/>
    </row>
    <row r="1120" spans="2:16" s="50" customFormat="1" ht="13.2">
      <c r="B1120" s="86"/>
      <c r="C1120" s="87"/>
      <c r="D1120" s="87"/>
      <c r="E1120" s="87"/>
      <c r="F1120" s="87"/>
      <c r="G1120" s="87"/>
      <c r="H1120" s="87"/>
      <c r="I1120" s="87"/>
      <c r="J1120" s="87"/>
      <c r="K1120" s="88"/>
      <c r="L1120" s="89"/>
      <c r="M1120" s="90"/>
      <c r="N1120" s="57"/>
      <c r="O1120" s="57"/>
      <c r="P1120" s="91"/>
    </row>
    <row r="1121" spans="2:16" s="50" customFormat="1" ht="13.2">
      <c r="B1121" s="86"/>
      <c r="C1121" s="87"/>
      <c r="D1121" s="87"/>
      <c r="E1121" s="87"/>
      <c r="F1121" s="87"/>
      <c r="G1121" s="87"/>
      <c r="H1121" s="87"/>
      <c r="I1121" s="87"/>
      <c r="J1121" s="87"/>
      <c r="K1121" s="88"/>
      <c r="L1121" s="89"/>
      <c r="M1121" s="90"/>
      <c r="N1121" s="57"/>
      <c r="O1121" s="57"/>
      <c r="P1121" s="91"/>
    </row>
    <row r="1122" spans="2:16" s="50" customFormat="1" ht="13.2">
      <c r="B1122" s="86"/>
      <c r="C1122" s="87"/>
      <c r="D1122" s="87"/>
      <c r="E1122" s="87"/>
      <c r="F1122" s="87"/>
      <c r="G1122" s="87"/>
      <c r="H1122" s="87"/>
      <c r="I1122" s="87"/>
      <c r="J1122" s="87"/>
      <c r="K1122" s="88"/>
      <c r="L1122" s="89"/>
      <c r="M1122" s="90"/>
      <c r="N1122" s="57"/>
      <c r="O1122" s="57"/>
      <c r="P1122" s="91"/>
    </row>
    <row r="1123" spans="2:16" s="50" customFormat="1" ht="13.2">
      <c r="B1123" s="86"/>
      <c r="C1123" s="87"/>
      <c r="D1123" s="87"/>
      <c r="E1123" s="87"/>
      <c r="F1123" s="87"/>
      <c r="G1123" s="87"/>
      <c r="H1123" s="87"/>
      <c r="I1123" s="87"/>
      <c r="J1123" s="87"/>
      <c r="K1123" s="88"/>
      <c r="L1123" s="89"/>
      <c r="M1123" s="90"/>
      <c r="N1123" s="57"/>
      <c r="O1123" s="57"/>
      <c r="P1123" s="91"/>
    </row>
    <row r="1124" spans="2:16" s="50" customFormat="1" ht="13.2">
      <c r="B1124" s="86"/>
      <c r="C1124" s="87"/>
      <c r="D1124" s="87"/>
      <c r="E1124" s="87"/>
      <c r="F1124" s="87"/>
      <c r="G1124" s="87"/>
      <c r="H1124" s="87"/>
      <c r="I1124" s="87"/>
      <c r="J1124" s="87"/>
      <c r="K1124" s="88"/>
      <c r="L1124" s="89"/>
      <c r="M1124" s="90"/>
      <c r="N1124" s="57"/>
      <c r="O1124" s="57"/>
      <c r="P1124" s="91"/>
    </row>
    <row r="1125" spans="2:16" s="50" customFormat="1" ht="13.2">
      <c r="B1125" s="86"/>
      <c r="C1125" s="87"/>
      <c r="D1125" s="87"/>
      <c r="E1125" s="87"/>
      <c r="F1125" s="87"/>
      <c r="G1125" s="87"/>
      <c r="H1125" s="87"/>
      <c r="I1125" s="87"/>
      <c r="J1125" s="87"/>
      <c r="K1125" s="88"/>
      <c r="L1125" s="89"/>
      <c r="M1125" s="90"/>
      <c r="N1125" s="57"/>
      <c r="O1125" s="57"/>
      <c r="P1125" s="91"/>
    </row>
    <row r="1126" spans="2:16" s="50" customFormat="1" ht="13.2">
      <c r="B1126" s="86"/>
      <c r="C1126" s="87"/>
      <c r="D1126" s="87"/>
      <c r="E1126" s="87"/>
      <c r="F1126" s="87"/>
      <c r="G1126" s="87"/>
      <c r="H1126" s="87"/>
      <c r="I1126" s="87"/>
      <c r="J1126" s="87"/>
      <c r="K1126" s="88"/>
      <c r="L1126" s="89"/>
      <c r="M1126" s="90"/>
      <c r="N1126" s="57"/>
      <c r="O1126" s="57"/>
      <c r="P1126" s="91"/>
    </row>
    <row r="1127" spans="2:16" s="50" customFormat="1" ht="13.2">
      <c r="B1127" s="86"/>
      <c r="C1127" s="87"/>
      <c r="D1127" s="87"/>
      <c r="E1127" s="87"/>
      <c r="F1127" s="87"/>
      <c r="G1127" s="87"/>
      <c r="H1127" s="87"/>
      <c r="I1127" s="87"/>
      <c r="J1127" s="87"/>
      <c r="K1127" s="88"/>
      <c r="L1127" s="89"/>
      <c r="M1127" s="90"/>
      <c r="N1127" s="57"/>
      <c r="O1127" s="57"/>
      <c r="P1127" s="91"/>
    </row>
    <row r="1128" spans="2:16" s="50" customFormat="1" ht="13.2">
      <c r="B1128" s="86"/>
      <c r="C1128" s="87"/>
      <c r="D1128" s="87"/>
      <c r="E1128" s="87"/>
      <c r="F1128" s="87"/>
      <c r="G1128" s="87"/>
      <c r="H1128" s="87"/>
      <c r="I1128" s="87"/>
      <c r="J1128" s="87"/>
      <c r="K1128" s="88"/>
      <c r="L1128" s="89"/>
      <c r="M1128" s="90"/>
      <c r="N1128" s="57"/>
      <c r="O1128" s="57"/>
      <c r="P1128" s="91"/>
    </row>
    <row r="1129" spans="2:16" s="50" customFormat="1" ht="13.2">
      <c r="B1129" s="86"/>
      <c r="C1129" s="87"/>
      <c r="D1129" s="87"/>
      <c r="E1129" s="87"/>
      <c r="F1129" s="87"/>
      <c r="G1129" s="87"/>
      <c r="H1129" s="87"/>
      <c r="I1129" s="87"/>
      <c r="J1129" s="87"/>
      <c r="K1129" s="88"/>
      <c r="L1129" s="89"/>
      <c r="M1129" s="90"/>
      <c r="N1129" s="57"/>
      <c r="O1129" s="57"/>
      <c r="P1129" s="91"/>
    </row>
    <row r="1130" spans="2:16" s="50" customFormat="1" ht="13.2">
      <c r="B1130" s="86"/>
      <c r="C1130" s="87"/>
      <c r="D1130" s="87"/>
      <c r="E1130" s="87"/>
      <c r="F1130" s="87"/>
      <c r="G1130" s="87"/>
      <c r="H1130" s="87"/>
      <c r="I1130" s="87"/>
      <c r="J1130" s="87"/>
      <c r="K1130" s="88"/>
      <c r="L1130" s="89"/>
      <c r="M1130" s="90"/>
      <c r="N1130" s="57"/>
      <c r="O1130" s="57"/>
      <c r="P1130" s="91"/>
    </row>
    <row r="1131" spans="2:16" s="50" customFormat="1" ht="13.2">
      <c r="B1131" s="86"/>
      <c r="C1131" s="87"/>
      <c r="D1131" s="87"/>
      <c r="E1131" s="87"/>
      <c r="F1131" s="87"/>
      <c r="G1131" s="87"/>
      <c r="H1131" s="87"/>
      <c r="I1131" s="87"/>
      <c r="J1131" s="87"/>
      <c r="K1131" s="88"/>
      <c r="L1131" s="89"/>
      <c r="M1131" s="90"/>
      <c r="N1131" s="57"/>
      <c r="O1131" s="57"/>
      <c r="P1131" s="91"/>
    </row>
    <row r="1132" spans="2:16" s="50" customFormat="1" ht="13.2">
      <c r="B1132" s="86"/>
      <c r="C1132" s="87"/>
      <c r="D1132" s="87"/>
      <c r="E1132" s="87"/>
      <c r="F1132" s="87"/>
      <c r="G1132" s="87"/>
      <c r="H1132" s="87"/>
      <c r="I1132" s="87"/>
      <c r="J1132" s="87"/>
      <c r="K1132" s="88"/>
      <c r="L1132" s="89"/>
      <c r="M1132" s="90"/>
      <c r="N1132" s="57"/>
      <c r="O1132" s="57"/>
      <c r="P1132" s="91"/>
    </row>
    <row r="1133" spans="2:16" s="50" customFormat="1" ht="13.2">
      <c r="B1133" s="86"/>
      <c r="C1133" s="87"/>
      <c r="D1133" s="87"/>
      <c r="E1133" s="87"/>
      <c r="F1133" s="87"/>
      <c r="G1133" s="87"/>
      <c r="H1133" s="87"/>
      <c r="I1133" s="87"/>
      <c r="J1133" s="87"/>
      <c r="K1133" s="88"/>
      <c r="L1133" s="89"/>
      <c r="M1133" s="90"/>
      <c r="N1133" s="57"/>
      <c r="O1133" s="57"/>
      <c r="P1133" s="91"/>
    </row>
    <row r="1134" spans="2:16" s="50" customFormat="1" ht="13.2">
      <c r="B1134" s="86"/>
      <c r="C1134" s="87"/>
      <c r="D1134" s="87"/>
      <c r="E1134" s="87"/>
      <c r="F1134" s="87"/>
      <c r="G1134" s="87"/>
      <c r="H1134" s="87"/>
      <c r="I1134" s="87"/>
      <c r="J1134" s="87"/>
      <c r="K1134" s="88"/>
      <c r="L1134" s="89"/>
      <c r="M1134" s="90"/>
      <c r="N1134" s="57"/>
      <c r="O1134" s="57"/>
      <c r="P1134" s="91"/>
    </row>
    <row r="1135" spans="2:16" s="50" customFormat="1" ht="13.2">
      <c r="B1135" s="86"/>
      <c r="C1135" s="87"/>
      <c r="D1135" s="87"/>
      <c r="E1135" s="87"/>
      <c r="F1135" s="87"/>
      <c r="G1135" s="87"/>
      <c r="H1135" s="87"/>
      <c r="I1135" s="87"/>
      <c r="J1135" s="87"/>
      <c r="K1135" s="88"/>
      <c r="L1135" s="89"/>
      <c r="M1135" s="90"/>
      <c r="N1135" s="57"/>
      <c r="O1135" s="57"/>
      <c r="P1135" s="91"/>
    </row>
    <row r="1136" spans="2:16" s="50" customFormat="1" ht="13.2">
      <c r="B1136" s="86"/>
      <c r="C1136" s="87"/>
      <c r="D1136" s="87"/>
      <c r="E1136" s="87"/>
      <c r="F1136" s="87"/>
      <c r="G1136" s="87"/>
      <c r="H1136" s="87"/>
      <c r="I1136" s="87"/>
      <c r="J1136" s="87"/>
      <c r="K1136" s="88"/>
      <c r="L1136" s="89"/>
      <c r="M1136" s="90"/>
      <c r="N1136" s="57"/>
      <c r="O1136" s="57"/>
      <c r="P1136" s="91"/>
    </row>
    <row r="1137" spans="2:16" s="50" customFormat="1" ht="13.2">
      <c r="B1137" s="86"/>
      <c r="C1137" s="87"/>
      <c r="D1137" s="87"/>
      <c r="E1137" s="87"/>
      <c r="F1137" s="87"/>
      <c r="G1137" s="87"/>
      <c r="H1137" s="87"/>
      <c r="I1137" s="87"/>
      <c r="J1137" s="87"/>
      <c r="K1137" s="88"/>
      <c r="L1137" s="89"/>
      <c r="M1137" s="90"/>
      <c r="N1137" s="57"/>
      <c r="O1137" s="57"/>
      <c r="P1137" s="91"/>
    </row>
    <row r="1138" spans="2:16" s="50" customFormat="1" ht="13.2">
      <c r="B1138" s="86"/>
      <c r="C1138" s="87"/>
      <c r="D1138" s="87"/>
      <c r="E1138" s="87"/>
      <c r="F1138" s="87"/>
      <c r="G1138" s="87"/>
      <c r="H1138" s="87"/>
      <c r="I1138" s="87"/>
      <c r="J1138" s="87"/>
      <c r="K1138" s="88"/>
      <c r="L1138" s="89"/>
      <c r="M1138" s="90"/>
      <c r="N1138" s="57"/>
      <c r="O1138" s="57"/>
      <c r="P1138" s="91"/>
    </row>
    <row r="1139" spans="2:16" s="50" customFormat="1" ht="13.2">
      <c r="B1139" s="86"/>
      <c r="C1139" s="87"/>
      <c r="D1139" s="87"/>
      <c r="E1139" s="87"/>
      <c r="F1139" s="87"/>
      <c r="G1139" s="87"/>
      <c r="H1139" s="87"/>
      <c r="I1139" s="87"/>
      <c r="J1139" s="87"/>
      <c r="K1139" s="88"/>
      <c r="L1139" s="89"/>
      <c r="M1139" s="90"/>
      <c r="N1139" s="57"/>
      <c r="O1139" s="57"/>
      <c r="P1139" s="91"/>
    </row>
    <row r="1140" spans="2:16" s="50" customFormat="1" ht="13.2">
      <c r="B1140" s="86"/>
      <c r="C1140" s="87"/>
      <c r="D1140" s="87"/>
      <c r="E1140" s="87"/>
      <c r="F1140" s="87"/>
      <c r="G1140" s="87"/>
      <c r="H1140" s="87"/>
      <c r="I1140" s="87"/>
      <c r="J1140" s="87"/>
      <c r="K1140" s="88"/>
      <c r="L1140" s="89"/>
      <c r="M1140" s="90"/>
      <c r="N1140" s="57"/>
      <c r="O1140" s="57"/>
      <c r="P1140" s="91"/>
    </row>
    <row r="1141" spans="2:16" s="50" customFormat="1" ht="13.2">
      <c r="B1141" s="86"/>
      <c r="C1141" s="87"/>
      <c r="D1141" s="87"/>
      <c r="E1141" s="87"/>
      <c r="F1141" s="87"/>
      <c r="G1141" s="87"/>
      <c r="H1141" s="87"/>
      <c r="I1141" s="87"/>
      <c r="J1141" s="87"/>
      <c r="K1141" s="88"/>
      <c r="L1141" s="89"/>
      <c r="M1141" s="90"/>
      <c r="N1141" s="57"/>
      <c r="O1141" s="57"/>
      <c r="P1141" s="91"/>
    </row>
    <row r="1142" spans="2:16" s="50" customFormat="1" ht="13.2">
      <c r="B1142" s="86"/>
      <c r="C1142" s="87"/>
      <c r="D1142" s="87"/>
      <c r="E1142" s="87"/>
      <c r="F1142" s="87"/>
      <c r="G1142" s="87"/>
      <c r="H1142" s="87"/>
      <c r="I1142" s="87"/>
      <c r="J1142" s="87"/>
      <c r="K1142" s="88"/>
      <c r="L1142" s="89"/>
      <c r="M1142" s="90"/>
      <c r="N1142" s="57"/>
      <c r="O1142" s="57"/>
      <c r="P1142" s="91"/>
    </row>
    <row r="1143" spans="2:16" s="50" customFormat="1" ht="13.2">
      <c r="B1143" s="86"/>
      <c r="C1143" s="87"/>
      <c r="D1143" s="87"/>
      <c r="E1143" s="87"/>
      <c r="F1143" s="87"/>
      <c r="G1143" s="87"/>
      <c r="H1143" s="87"/>
      <c r="I1143" s="87"/>
      <c r="J1143" s="87"/>
      <c r="K1143" s="88"/>
      <c r="L1143" s="89"/>
      <c r="M1143" s="90"/>
      <c r="N1143" s="57"/>
      <c r="O1143" s="57"/>
      <c r="P1143" s="91"/>
    </row>
    <row r="1144" spans="2:16" s="50" customFormat="1" ht="13.2">
      <c r="B1144" s="86"/>
      <c r="C1144" s="87"/>
      <c r="D1144" s="87"/>
      <c r="E1144" s="87"/>
      <c r="F1144" s="87"/>
      <c r="G1144" s="87"/>
      <c r="H1144" s="87"/>
      <c r="I1144" s="87"/>
      <c r="J1144" s="87"/>
      <c r="K1144" s="88"/>
      <c r="L1144" s="89"/>
      <c r="M1144" s="90"/>
      <c r="N1144" s="57"/>
      <c r="O1144" s="57"/>
      <c r="P1144" s="91"/>
    </row>
    <row r="1145" spans="2:16" s="50" customFormat="1" ht="13.2">
      <c r="B1145" s="86"/>
      <c r="C1145" s="87"/>
      <c r="D1145" s="87"/>
      <c r="E1145" s="87"/>
      <c r="F1145" s="87"/>
      <c r="G1145" s="87"/>
      <c r="H1145" s="87"/>
      <c r="I1145" s="87"/>
      <c r="J1145" s="87"/>
      <c r="K1145" s="88"/>
      <c r="L1145" s="89"/>
      <c r="M1145" s="90"/>
      <c r="N1145" s="57"/>
      <c r="O1145" s="57"/>
      <c r="P1145" s="91"/>
    </row>
    <row r="1146" spans="2:16" s="50" customFormat="1" ht="13.2">
      <c r="B1146" s="86"/>
      <c r="C1146" s="87"/>
      <c r="D1146" s="87"/>
      <c r="E1146" s="87"/>
      <c r="F1146" s="87"/>
      <c r="G1146" s="87"/>
      <c r="H1146" s="87"/>
      <c r="I1146" s="87"/>
      <c r="J1146" s="87"/>
      <c r="K1146" s="88"/>
      <c r="L1146" s="89"/>
      <c r="M1146" s="90"/>
      <c r="N1146" s="57"/>
      <c r="O1146" s="57"/>
      <c r="P1146" s="91"/>
    </row>
    <row r="1147" spans="2:16" s="50" customFormat="1" ht="13.2">
      <c r="B1147" s="86"/>
      <c r="C1147" s="87"/>
      <c r="D1147" s="87"/>
      <c r="E1147" s="87"/>
      <c r="F1147" s="87"/>
      <c r="G1147" s="87"/>
      <c r="H1147" s="87"/>
      <c r="I1147" s="87"/>
      <c r="J1147" s="87"/>
      <c r="K1147" s="88"/>
      <c r="L1147" s="89"/>
      <c r="M1147" s="90"/>
      <c r="N1147" s="57"/>
      <c r="O1147" s="57"/>
      <c r="P1147" s="91"/>
    </row>
    <row r="1148" spans="2:16" s="50" customFormat="1" ht="13.2">
      <c r="B1148" s="86"/>
      <c r="C1148" s="87"/>
      <c r="D1148" s="87"/>
      <c r="E1148" s="87"/>
      <c r="F1148" s="87"/>
      <c r="G1148" s="87"/>
      <c r="H1148" s="87"/>
      <c r="I1148" s="87"/>
      <c r="J1148" s="87"/>
      <c r="K1148" s="88"/>
      <c r="L1148" s="89"/>
      <c r="M1148" s="90"/>
      <c r="N1148" s="57"/>
      <c r="O1148" s="57"/>
      <c r="P1148" s="91"/>
    </row>
    <row r="1149" spans="2:16" s="50" customFormat="1" ht="13.2">
      <c r="B1149" s="86"/>
      <c r="C1149" s="87"/>
      <c r="D1149" s="87"/>
      <c r="E1149" s="87"/>
      <c r="F1149" s="87"/>
      <c r="G1149" s="87"/>
      <c r="H1149" s="87"/>
      <c r="I1149" s="87"/>
      <c r="J1149" s="87"/>
      <c r="K1149" s="88"/>
      <c r="L1149" s="89"/>
      <c r="M1149" s="90"/>
      <c r="N1149" s="57"/>
      <c r="O1149" s="57"/>
      <c r="P1149" s="91"/>
    </row>
    <row r="1150" spans="2:16" s="50" customFormat="1" ht="13.2">
      <c r="B1150" s="86"/>
      <c r="C1150" s="87"/>
      <c r="D1150" s="87"/>
      <c r="E1150" s="87"/>
      <c r="F1150" s="87"/>
      <c r="G1150" s="87"/>
      <c r="H1150" s="87"/>
      <c r="I1150" s="87"/>
      <c r="J1150" s="87"/>
      <c r="K1150" s="88"/>
      <c r="L1150" s="89"/>
      <c r="M1150" s="90"/>
      <c r="N1150" s="57"/>
      <c r="O1150" s="57"/>
      <c r="P1150" s="91"/>
    </row>
    <row r="1151" spans="2:16" s="50" customFormat="1" ht="13.2">
      <c r="B1151" s="86"/>
      <c r="C1151" s="87"/>
      <c r="D1151" s="87"/>
      <c r="E1151" s="87"/>
      <c r="F1151" s="87"/>
      <c r="G1151" s="87"/>
      <c r="H1151" s="87"/>
      <c r="I1151" s="87"/>
      <c r="J1151" s="87"/>
      <c r="K1151" s="88"/>
      <c r="L1151" s="89"/>
      <c r="M1151" s="90"/>
      <c r="N1151" s="57"/>
      <c r="O1151" s="57"/>
      <c r="P1151" s="91"/>
    </row>
    <row r="1152" spans="2:16" s="50" customFormat="1" ht="13.2">
      <c r="B1152" s="86"/>
      <c r="C1152" s="87"/>
      <c r="D1152" s="87"/>
      <c r="E1152" s="87"/>
      <c r="F1152" s="87"/>
      <c r="G1152" s="87"/>
      <c r="H1152" s="87"/>
      <c r="I1152" s="87"/>
      <c r="J1152" s="87"/>
      <c r="K1152" s="88"/>
      <c r="L1152" s="89"/>
      <c r="M1152" s="90"/>
      <c r="N1152" s="57"/>
      <c r="O1152" s="57"/>
      <c r="P1152" s="91"/>
    </row>
    <row r="1153" spans="2:16" s="50" customFormat="1" ht="13.2">
      <c r="B1153" s="86"/>
      <c r="C1153" s="87"/>
      <c r="D1153" s="87"/>
      <c r="E1153" s="87"/>
      <c r="F1153" s="87"/>
      <c r="G1153" s="87"/>
      <c r="H1153" s="87"/>
      <c r="I1153" s="87"/>
      <c r="J1153" s="87"/>
      <c r="K1153" s="88"/>
      <c r="L1153" s="89"/>
      <c r="M1153" s="90"/>
      <c r="N1153" s="57"/>
      <c r="O1153" s="57"/>
      <c r="P1153" s="91"/>
    </row>
    <row r="1154" spans="2:16" s="50" customFormat="1" ht="13.2">
      <c r="B1154" s="86"/>
      <c r="C1154" s="87"/>
      <c r="D1154" s="87"/>
      <c r="E1154" s="87"/>
      <c r="F1154" s="87"/>
      <c r="G1154" s="87"/>
      <c r="H1154" s="87"/>
      <c r="I1154" s="87"/>
      <c r="J1154" s="87"/>
      <c r="K1154" s="88"/>
      <c r="L1154" s="89"/>
      <c r="M1154" s="90"/>
      <c r="N1154" s="57"/>
      <c r="O1154" s="57"/>
      <c r="P1154" s="91"/>
    </row>
    <row r="1155" spans="2:16" s="50" customFormat="1" ht="13.2">
      <c r="B1155" s="86"/>
      <c r="C1155" s="87"/>
      <c r="D1155" s="87"/>
      <c r="E1155" s="87"/>
      <c r="F1155" s="87"/>
      <c r="G1155" s="87"/>
      <c r="H1155" s="87"/>
      <c r="I1155" s="87"/>
      <c r="J1155" s="87"/>
      <c r="K1155" s="88"/>
      <c r="L1155" s="89"/>
      <c r="M1155" s="90"/>
      <c r="N1155" s="57"/>
      <c r="O1155" s="57"/>
      <c r="P1155" s="91"/>
    </row>
    <row r="1156" spans="2:16" s="50" customFormat="1" ht="13.2">
      <c r="B1156" s="86"/>
      <c r="C1156" s="87"/>
      <c r="D1156" s="87"/>
      <c r="E1156" s="87"/>
      <c r="F1156" s="87"/>
      <c r="G1156" s="87"/>
      <c r="H1156" s="87"/>
      <c r="I1156" s="87"/>
      <c r="J1156" s="87"/>
      <c r="K1156" s="88"/>
      <c r="L1156" s="89"/>
      <c r="M1156" s="90"/>
      <c r="N1156" s="57"/>
      <c r="O1156" s="57"/>
      <c r="P1156" s="91"/>
    </row>
    <row r="1157" spans="2:16" s="50" customFormat="1" ht="13.2">
      <c r="B1157" s="86"/>
      <c r="C1157" s="87"/>
      <c r="D1157" s="87"/>
      <c r="E1157" s="87"/>
      <c r="F1157" s="87"/>
      <c r="G1157" s="87"/>
      <c r="H1157" s="87"/>
      <c r="I1157" s="87"/>
      <c r="J1157" s="87"/>
      <c r="K1157" s="88"/>
      <c r="L1157" s="89"/>
      <c r="M1157" s="90"/>
      <c r="N1157" s="57"/>
      <c r="O1157" s="57"/>
      <c r="P1157" s="91"/>
    </row>
    <row r="1158" spans="2:16" s="50" customFormat="1" ht="13.2">
      <c r="B1158" s="86"/>
      <c r="C1158" s="87"/>
      <c r="D1158" s="87"/>
      <c r="E1158" s="87"/>
      <c r="F1158" s="87"/>
      <c r="G1158" s="87"/>
      <c r="H1158" s="87"/>
      <c r="I1158" s="87"/>
      <c r="J1158" s="87"/>
      <c r="K1158" s="88"/>
      <c r="L1158" s="89"/>
      <c r="M1158" s="90"/>
      <c r="N1158" s="57"/>
      <c r="O1158" s="57"/>
      <c r="P1158" s="91"/>
    </row>
    <row r="1159" spans="2:16" s="50" customFormat="1" ht="13.2">
      <c r="B1159" s="86"/>
      <c r="C1159" s="87"/>
      <c r="D1159" s="87"/>
      <c r="E1159" s="87"/>
      <c r="F1159" s="87"/>
      <c r="G1159" s="87"/>
      <c r="H1159" s="87"/>
      <c r="I1159" s="87"/>
      <c r="J1159" s="87"/>
      <c r="K1159" s="88"/>
      <c r="L1159" s="89"/>
      <c r="M1159" s="90"/>
      <c r="N1159" s="57"/>
      <c r="O1159" s="57"/>
      <c r="P1159" s="91"/>
    </row>
    <row r="1160" spans="2:16" s="50" customFormat="1" ht="13.2">
      <c r="B1160" s="86"/>
      <c r="C1160" s="87"/>
      <c r="D1160" s="87"/>
      <c r="E1160" s="87"/>
      <c r="F1160" s="87"/>
      <c r="G1160" s="87"/>
      <c r="H1160" s="87"/>
      <c r="I1160" s="87"/>
      <c r="J1160" s="87"/>
      <c r="K1160" s="88"/>
      <c r="L1160" s="89"/>
      <c r="M1160" s="90"/>
      <c r="N1160" s="57"/>
      <c r="O1160" s="57"/>
      <c r="P1160" s="91"/>
    </row>
    <row r="1161" spans="2:16" s="50" customFormat="1" ht="13.2">
      <c r="B1161" s="86"/>
      <c r="C1161" s="87"/>
      <c r="D1161" s="87"/>
      <c r="E1161" s="87"/>
      <c r="F1161" s="87"/>
      <c r="G1161" s="87"/>
      <c r="H1161" s="87"/>
      <c r="I1161" s="87"/>
      <c r="J1161" s="87"/>
      <c r="K1161" s="88"/>
      <c r="L1161" s="89"/>
      <c r="M1161" s="90"/>
      <c r="N1161" s="57"/>
      <c r="O1161" s="57"/>
      <c r="P1161" s="91"/>
    </row>
    <row r="1162" spans="2:16" s="50" customFormat="1" ht="13.2">
      <c r="B1162" s="86"/>
      <c r="C1162" s="87"/>
      <c r="D1162" s="87"/>
      <c r="E1162" s="87"/>
      <c r="F1162" s="87"/>
      <c r="G1162" s="87"/>
      <c r="H1162" s="87"/>
      <c r="I1162" s="87"/>
      <c r="J1162" s="87"/>
      <c r="K1162" s="88"/>
      <c r="L1162" s="89"/>
      <c r="M1162" s="90"/>
      <c r="N1162" s="57"/>
      <c r="O1162" s="57"/>
      <c r="P1162" s="91"/>
    </row>
    <row r="1163" spans="2:16" s="50" customFormat="1" ht="13.2">
      <c r="B1163" s="86"/>
      <c r="C1163" s="87"/>
      <c r="D1163" s="87"/>
      <c r="E1163" s="87"/>
      <c r="F1163" s="87"/>
      <c r="G1163" s="87"/>
      <c r="H1163" s="87"/>
      <c r="I1163" s="87"/>
      <c r="J1163" s="87"/>
      <c r="K1163" s="88"/>
      <c r="L1163" s="89"/>
      <c r="M1163" s="90"/>
      <c r="N1163" s="57"/>
      <c r="O1163" s="57"/>
      <c r="P1163" s="91"/>
    </row>
    <row r="1164" spans="2:16" s="50" customFormat="1" ht="13.2">
      <c r="B1164" s="86"/>
      <c r="C1164" s="87"/>
      <c r="D1164" s="87"/>
      <c r="E1164" s="87"/>
      <c r="F1164" s="87"/>
      <c r="G1164" s="87"/>
      <c r="H1164" s="87"/>
      <c r="I1164" s="87"/>
      <c r="J1164" s="87"/>
      <c r="K1164" s="88"/>
      <c r="L1164" s="89"/>
      <c r="M1164" s="90"/>
      <c r="N1164" s="57"/>
      <c r="O1164" s="57"/>
      <c r="P1164" s="91"/>
    </row>
    <row r="1165" spans="2:16" s="50" customFormat="1" ht="13.2">
      <c r="B1165" s="86"/>
      <c r="C1165" s="87"/>
      <c r="D1165" s="87"/>
      <c r="E1165" s="87"/>
      <c r="F1165" s="87"/>
      <c r="G1165" s="87"/>
      <c r="H1165" s="87"/>
      <c r="I1165" s="87"/>
      <c r="J1165" s="87"/>
      <c r="K1165" s="88"/>
      <c r="L1165" s="89"/>
      <c r="M1165" s="90"/>
      <c r="N1165" s="57"/>
      <c r="O1165" s="57"/>
      <c r="P1165" s="91"/>
    </row>
    <row r="1166" spans="2:16" s="50" customFormat="1" ht="13.2">
      <c r="B1166" s="86"/>
      <c r="C1166" s="87"/>
      <c r="D1166" s="87"/>
      <c r="E1166" s="87"/>
      <c r="F1166" s="87"/>
      <c r="G1166" s="87"/>
      <c r="H1166" s="87"/>
      <c r="I1166" s="87"/>
      <c r="J1166" s="87"/>
      <c r="K1166" s="88"/>
      <c r="L1166" s="89"/>
      <c r="M1166" s="90"/>
      <c r="N1166" s="57"/>
      <c r="O1166" s="57"/>
      <c r="P1166" s="91"/>
    </row>
    <row r="1167" spans="2:16" s="50" customFormat="1" ht="13.2">
      <c r="B1167" s="86"/>
      <c r="C1167" s="87"/>
      <c r="D1167" s="87"/>
      <c r="E1167" s="87"/>
      <c r="F1167" s="87"/>
      <c r="G1167" s="87"/>
      <c r="H1167" s="87"/>
      <c r="I1167" s="87"/>
      <c r="J1167" s="87"/>
      <c r="K1167" s="88"/>
      <c r="L1167" s="89"/>
      <c r="M1167" s="90"/>
      <c r="N1167" s="57"/>
      <c r="O1167" s="57"/>
      <c r="P1167" s="91"/>
    </row>
    <row r="1168" spans="2:16" s="50" customFormat="1" ht="13.2">
      <c r="B1168" s="86"/>
      <c r="C1168" s="87"/>
      <c r="D1168" s="87"/>
      <c r="E1168" s="87"/>
      <c r="F1168" s="87"/>
      <c r="G1168" s="87"/>
      <c r="H1168" s="87"/>
      <c r="I1168" s="87"/>
      <c r="J1168" s="87"/>
      <c r="K1168" s="88"/>
      <c r="L1168" s="89"/>
      <c r="M1168" s="90"/>
      <c r="N1168" s="57"/>
      <c r="O1168" s="57"/>
      <c r="P1168" s="91"/>
    </row>
    <row r="1169" spans="2:16" s="50" customFormat="1" ht="13.2">
      <c r="B1169" s="86"/>
      <c r="C1169" s="87"/>
      <c r="D1169" s="87"/>
      <c r="E1169" s="87"/>
      <c r="F1169" s="87"/>
      <c r="G1169" s="87"/>
      <c r="H1169" s="87"/>
      <c r="I1169" s="87"/>
      <c r="J1169" s="87"/>
      <c r="K1169" s="88"/>
      <c r="L1169" s="89"/>
      <c r="M1169" s="90"/>
      <c r="N1169" s="57"/>
      <c r="O1169" s="57"/>
      <c r="P1169" s="91"/>
    </row>
    <row r="1170" spans="2:16" s="50" customFormat="1" ht="13.2">
      <c r="B1170" s="86"/>
      <c r="C1170" s="87"/>
      <c r="D1170" s="87"/>
      <c r="E1170" s="87"/>
      <c r="F1170" s="87"/>
      <c r="G1170" s="87"/>
      <c r="H1170" s="87"/>
      <c r="I1170" s="87"/>
      <c r="J1170" s="87"/>
      <c r="K1170" s="88"/>
      <c r="L1170" s="89"/>
      <c r="M1170" s="90"/>
      <c r="N1170" s="57"/>
      <c r="O1170" s="57"/>
      <c r="P1170" s="91"/>
    </row>
    <row r="1171" spans="2:16" s="50" customFormat="1" ht="13.2">
      <c r="B1171" s="86"/>
      <c r="C1171" s="87"/>
      <c r="D1171" s="87"/>
      <c r="E1171" s="87"/>
      <c r="F1171" s="87"/>
      <c r="G1171" s="87"/>
      <c r="H1171" s="87"/>
      <c r="I1171" s="87"/>
      <c r="J1171" s="87"/>
      <c r="K1171" s="88"/>
      <c r="L1171" s="89"/>
      <c r="M1171" s="90"/>
      <c r="N1171" s="57"/>
      <c r="O1171" s="57"/>
      <c r="P1171" s="91"/>
    </row>
  </sheetData>
  <autoFilter ref="A14:R67" xr:uid="{00000000-0009-0000-0000-000002000000}"/>
  <mergeCells count="34">
    <mergeCell ref="N10:P10"/>
    <mergeCell ref="C2:P2"/>
    <mergeCell ref="B3:B4"/>
    <mergeCell ref="C3:P3"/>
    <mergeCell ref="C4:P4"/>
    <mergeCell ref="C5:P5"/>
    <mergeCell ref="A6:P6"/>
    <mergeCell ref="A7:L7"/>
    <mergeCell ref="A8:L8"/>
    <mergeCell ref="A9:L9"/>
    <mergeCell ref="A10:B10"/>
    <mergeCell ref="C10:L10"/>
    <mergeCell ref="E13:F13"/>
    <mergeCell ref="G13:H13"/>
    <mergeCell ref="A69:N69"/>
    <mergeCell ref="A70:N70"/>
    <mergeCell ref="A71:N71"/>
    <mergeCell ref="J11:J13"/>
    <mergeCell ref="K11:K13"/>
    <mergeCell ref="L11:L13"/>
    <mergeCell ref="M11:M13"/>
    <mergeCell ref="N11:N13"/>
    <mergeCell ref="A11:A13"/>
    <mergeCell ref="B11:B13"/>
    <mergeCell ref="C11:C13"/>
    <mergeCell ref="D11:D13"/>
    <mergeCell ref="E11:H11"/>
    <mergeCell ref="I11:I13"/>
    <mergeCell ref="N73:O73"/>
    <mergeCell ref="L83:O83"/>
    <mergeCell ref="L84:O84"/>
    <mergeCell ref="L85:O85"/>
    <mergeCell ref="P11:P13"/>
    <mergeCell ref="O11:O1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184"/>
  <sheetViews>
    <sheetView topLeftCell="A78" zoomScale="80" zoomScaleNormal="80" workbookViewId="0">
      <selection activeCell="Q45" sqref="Q45"/>
    </sheetView>
  </sheetViews>
  <sheetFormatPr defaultColWidth="7.5546875" defaultRowHeight="15.6"/>
  <cols>
    <col min="1" max="1" width="4.109375" style="9" customWidth="1"/>
    <col min="2" max="2" width="44.88671875" style="92" customWidth="1"/>
    <col min="3" max="3" width="14.33203125" style="93" customWidth="1"/>
    <col min="4" max="4" width="9.5546875" style="93" customWidth="1"/>
    <col min="5" max="5" width="5.6640625" style="93" customWidth="1"/>
    <col min="6" max="6" width="5.5546875" style="93" customWidth="1"/>
    <col min="7" max="9" width="5.6640625" style="93" customWidth="1"/>
    <col min="10" max="10" width="4" style="93" customWidth="1"/>
    <col min="11" max="11" width="5" style="94" customWidth="1"/>
    <col min="12" max="12" width="4.5546875" style="95" customWidth="1"/>
    <col min="13" max="13" width="8" style="96" customWidth="1"/>
    <col min="14" max="14" width="13" style="97" customWidth="1"/>
    <col min="15" max="15" width="18.6640625" style="98" customWidth="1"/>
    <col min="16" max="16" width="38" style="99" customWidth="1"/>
    <col min="17" max="17" width="22.77734375" style="9" customWidth="1"/>
    <col min="18" max="18" width="19.6640625" style="9" customWidth="1"/>
    <col min="19" max="16384" width="7.5546875" style="9"/>
  </cols>
  <sheetData>
    <row r="1" spans="1:17" ht="6.75" customHeight="1">
      <c r="A1" s="1"/>
      <c r="B1" s="101"/>
      <c r="C1" s="2"/>
      <c r="D1" s="2"/>
      <c r="E1" s="2"/>
      <c r="F1" s="2"/>
      <c r="G1" s="2"/>
      <c r="H1" s="2"/>
      <c r="I1" s="2"/>
      <c r="J1" s="2"/>
      <c r="K1" s="3"/>
      <c r="L1" s="4"/>
      <c r="M1" s="5"/>
      <c r="N1" s="6"/>
      <c r="O1" s="7"/>
      <c r="P1" s="8"/>
    </row>
    <row r="2" spans="1:17" ht="15">
      <c r="A2" s="1"/>
      <c r="B2" s="10"/>
      <c r="C2" s="122" t="s">
        <v>75</v>
      </c>
      <c r="D2" s="122"/>
      <c r="E2" s="122"/>
      <c r="F2" s="122"/>
      <c r="G2" s="122"/>
      <c r="H2" s="122"/>
      <c r="I2" s="122"/>
      <c r="J2" s="122"/>
      <c r="K2" s="122"/>
      <c r="L2" s="122"/>
      <c r="M2" s="122"/>
      <c r="N2" s="122"/>
      <c r="O2" s="122"/>
      <c r="P2" s="122"/>
    </row>
    <row r="3" spans="1:17" ht="15">
      <c r="A3" s="1"/>
      <c r="B3" s="123"/>
      <c r="C3" s="124" t="s">
        <v>76</v>
      </c>
      <c r="D3" s="124"/>
      <c r="E3" s="124"/>
      <c r="F3" s="124"/>
      <c r="G3" s="124"/>
      <c r="H3" s="124"/>
      <c r="I3" s="124"/>
      <c r="J3" s="124"/>
      <c r="K3" s="124"/>
      <c r="L3" s="124"/>
      <c r="M3" s="124"/>
      <c r="N3" s="124"/>
      <c r="O3" s="124"/>
      <c r="P3" s="124"/>
    </row>
    <row r="4" spans="1:17" ht="15">
      <c r="A4" s="1"/>
      <c r="B4" s="123"/>
      <c r="C4" s="124" t="s">
        <v>77</v>
      </c>
      <c r="D4" s="124"/>
      <c r="E4" s="124"/>
      <c r="F4" s="124"/>
      <c r="G4" s="124"/>
      <c r="H4" s="124"/>
      <c r="I4" s="124"/>
      <c r="J4" s="124"/>
      <c r="K4" s="124"/>
      <c r="L4" s="124"/>
      <c r="M4" s="124"/>
      <c r="N4" s="124"/>
      <c r="O4" s="124"/>
      <c r="P4" s="124"/>
    </row>
    <row r="5" spans="1:17" ht="15">
      <c r="A5" s="11"/>
      <c r="B5" s="12"/>
      <c r="C5" s="125" t="s">
        <v>78</v>
      </c>
      <c r="D5" s="125"/>
      <c r="E5" s="125"/>
      <c r="F5" s="125"/>
      <c r="G5" s="125"/>
      <c r="H5" s="125"/>
      <c r="I5" s="125"/>
      <c r="J5" s="125"/>
      <c r="K5" s="125"/>
      <c r="L5" s="125"/>
      <c r="M5" s="125"/>
      <c r="N5" s="125"/>
      <c r="O5" s="125"/>
      <c r="P5" s="125"/>
    </row>
    <row r="6" spans="1:17" s="13" customFormat="1" ht="30" customHeight="1">
      <c r="A6" s="126" t="s">
        <v>79</v>
      </c>
      <c r="B6" s="126"/>
      <c r="C6" s="126"/>
      <c r="D6" s="126"/>
      <c r="E6" s="126"/>
      <c r="F6" s="126"/>
      <c r="G6" s="126"/>
      <c r="H6" s="126"/>
      <c r="I6" s="126"/>
      <c r="J6" s="126"/>
      <c r="K6" s="126"/>
      <c r="L6" s="126"/>
      <c r="M6" s="126"/>
      <c r="N6" s="126"/>
      <c r="O6" s="126"/>
      <c r="P6" s="126"/>
    </row>
    <row r="7" spans="1:17" s="13" customFormat="1" ht="39" customHeight="1">
      <c r="A7" s="127" t="s">
        <v>135</v>
      </c>
      <c r="B7" s="128"/>
      <c r="C7" s="128"/>
      <c r="D7" s="128"/>
      <c r="E7" s="128"/>
      <c r="F7" s="128"/>
      <c r="G7" s="128"/>
      <c r="H7" s="128"/>
      <c r="I7" s="128"/>
      <c r="J7" s="128"/>
      <c r="K7" s="128"/>
      <c r="L7" s="129"/>
      <c r="M7" s="14" t="s">
        <v>80</v>
      </c>
      <c r="N7" s="15"/>
      <c r="O7" s="16"/>
      <c r="P7" s="17" t="s">
        <v>186</v>
      </c>
    </row>
    <row r="8" spans="1:17" s="13" customFormat="1" ht="18.75" customHeight="1">
      <c r="A8" s="127" t="s">
        <v>0</v>
      </c>
      <c r="B8" s="128"/>
      <c r="C8" s="128"/>
      <c r="D8" s="128"/>
      <c r="E8" s="128"/>
      <c r="F8" s="128"/>
      <c r="G8" s="128"/>
      <c r="H8" s="128"/>
      <c r="I8" s="128"/>
      <c r="J8" s="128"/>
      <c r="K8" s="128"/>
      <c r="L8" s="129"/>
      <c r="M8" s="14" t="s">
        <v>81</v>
      </c>
      <c r="N8" s="18"/>
      <c r="O8" s="18"/>
      <c r="P8" s="19" t="s">
        <v>82</v>
      </c>
    </row>
    <row r="9" spans="1:17" s="13" customFormat="1" ht="18.75" customHeight="1">
      <c r="A9" s="127" t="s">
        <v>83</v>
      </c>
      <c r="B9" s="128"/>
      <c r="C9" s="128"/>
      <c r="D9" s="128"/>
      <c r="E9" s="128"/>
      <c r="F9" s="128"/>
      <c r="G9" s="128"/>
      <c r="H9" s="128"/>
      <c r="I9" s="128"/>
      <c r="J9" s="128"/>
      <c r="K9" s="128"/>
      <c r="L9" s="129"/>
      <c r="M9" s="14" t="s">
        <v>84</v>
      </c>
      <c r="N9" s="15"/>
      <c r="O9" s="16"/>
      <c r="P9" s="20" t="s">
        <v>85</v>
      </c>
    </row>
    <row r="10" spans="1:17" s="13" customFormat="1" ht="28.5" customHeight="1">
      <c r="A10" s="127" t="s">
        <v>86</v>
      </c>
      <c r="B10" s="128"/>
      <c r="C10" s="127" t="s">
        <v>1</v>
      </c>
      <c r="D10" s="128"/>
      <c r="E10" s="128"/>
      <c r="F10" s="128"/>
      <c r="G10" s="128"/>
      <c r="H10" s="128"/>
      <c r="I10" s="128"/>
      <c r="J10" s="128"/>
      <c r="K10" s="128"/>
      <c r="L10" s="129"/>
      <c r="M10" s="21" t="s">
        <v>87</v>
      </c>
      <c r="N10" s="119" t="s">
        <v>187</v>
      </c>
      <c r="O10" s="120"/>
      <c r="P10" s="121"/>
    </row>
    <row r="11" spans="1:17" s="13" customFormat="1" ht="12.75" customHeight="1">
      <c r="A11" s="147" t="s">
        <v>88</v>
      </c>
      <c r="B11" s="147" t="s">
        <v>89</v>
      </c>
      <c r="C11" s="148" t="s">
        <v>90</v>
      </c>
      <c r="D11" s="148" t="s">
        <v>2</v>
      </c>
      <c r="E11" s="157" t="s">
        <v>91</v>
      </c>
      <c r="F11" s="157"/>
      <c r="G11" s="157"/>
      <c r="H11" s="157"/>
      <c r="I11" s="146" t="s">
        <v>92</v>
      </c>
      <c r="J11" s="146" t="s">
        <v>93</v>
      </c>
      <c r="K11" s="148" t="s">
        <v>94</v>
      </c>
      <c r="L11" s="150" t="s">
        <v>95</v>
      </c>
      <c r="M11" s="152" t="s">
        <v>96</v>
      </c>
      <c r="N11" s="154" t="s">
        <v>97</v>
      </c>
      <c r="O11" s="154" t="s">
        <v>98</v>
      </c>
      <c r="P11" s="116" t="s">
        <v>99</v>
      </c>
    </row>
    <row r="12" spans="1:17" s="13" customFormat="1" ht="27" customHeight="1">
      <c r="A12" s="156"/>
      <c r="B12" s="156"/>
      <c r="C12" s="149"/>
      <c r="D12" s="149" t="s">
        <v>2</v>
      </c>
      <c r="E12" s="22" t="s">
        <v>100</v>
      </c>
      <c r="F12" s="22" t="s">
        <v>101</v>
      </c>
      <c r="G12" s="22" t="s">
        <v>102</v>
      </c>
      <c r="H12" s="22" t="s">
        <v>103</v>
      </c>
      <c r="I12" s="146"/>
      <c r="J12" s="146"/>
      <c r="K12" s="149"/>
      <c r="L12" s="151"/>
      <c r="M12" s="153"/>
      <c r="N12" s="155"/>
      <c r="O12" s="155"/>
      <c r="P12" s="117"/>
    </row>
    <row r="13" spans="1:17" s="13" customFormat="1" ht="13.8">
      <c r="A13" s="156"/>
      <c r="B13" s="156"/>
      <c r="C13" s="149"/>
      <c r="D13" s="149"/>
      <c r="E13" s="118" t="s">
        <v>104</v>
      </c>
      <c r="F13" s="118"/>
      <c r="G13" s="118" t="s">
        <v>105</v>
      </c>
      <c r="H13" s="118"/>
      <c r="I13" s="147"/>
      <c r="J13" s="147"/>
      <c r="K13" s="149"/>
      <c r="L13" s="151"/>
      <c r="M13" s="153"/>
      <c r="N13" s="155"/>
      <c r="O13" s="155"/>
      <c r="P13" s="117"/>
    </row>
    <row r="14" spans="1:17" s="13" customFormat="1" ht="13.8">
      <c r="A14" s="23"/>
      <c r="B14" s="23"/>
      <c r="C14" s="24"/>
      <c r="D14" s="24"/>
      <c r="E14" s="25"/>
      <c r="F14" s="25"/>
      <c r="G14" s="25"/>
      <c r="H14" s="25"/>
      <c r="I14" s="23"/>
      <c r="J14" s="23"/>
      <c r="K14" s="24"/>
      <c r="L14" s="26"/>
      <c r="M14" s="27"/>
      <c r="N14" s="28"/>
      <c r="O14" s="28"/>
      <c r="P14" s="29"/>
    </row>
    <row r="15" spans="1:17" s="30" customFormat="1" ht="79.2">
      <c r="A15" s="31">
        <f>+[23]l7!A15</f>
        <v>1</v>
      </c>
      <c r="B15" s="34" t="str">
        <f>+[24]BG!C13</f>
        <v>Cửa gió nan KT 4500x1000
尺寸50x50箱钢门框、Z形条系，75mm宽铝合金，各条均匀间隔 40mm，同步配件，浅灰色面漆
khung cửa thép hộp KT50x50, hệ nan chữ Z hợp kim nhôm rộng 75mm, các nan cách đều 40mm, phụ kiện đồng bộ, sơn dầu hoàn thiện màu xám nhạt</v>
      </c>
      <c r="C15" s="31" t="s">
        <v>133</v>
      </c>
      <c r="D15" s="31" t="s">
        <v>106</v>
      </c>
      <c r="E15" s="31">
        <v>4500</v>
      </c>
      <c r="F15" s="31">
        <v>1000</v>
      </c>
      <c r="G15" s="31">
        <f>+E15-50</f>
        <v>4450</v>
      </c>
      <c r="H15" s="31">
        <f>+F15-50</f>
        <v>950</v>
      </c>
      <c r="I15" s="31"/>
      <c r="J15" s="31"/>
      <c r="K15" s="31"/>
      <c r="L15" s="31" t="str">
        <f>+[24]BG!L13</f>
        <v>個
Cái</v>
      </c>
      <c r="M15" s="35">
        <f>+[24]BG!M13</f>
        <v>61</v>
      </c>
      <c r="N15" s="32">
        <v>5396600</v>
      </c>
      <c r="O15" s="32">
        <f>+N15*M15</f>
        <v>329192600</v>
      </c>
      <c r="P15" s="33" t="s">
        <v>188</v>
      </c>
      <c r="Q15" s="160">
        <v>5600000</v>
      </c>
    </row>
    <row r="16" spans="1:17" s="30" customFormat="1" ht="79.2">
      <c r="A16" s="31">
        <f>+[23]l7!A16</f>
        <v>2</v>
      </c>
      <c r="B16" s="34" t="str">
        <f>+[24]BG!C14</f>
        <v>Cửa gió nan KT 4500x800
尺寸50x50箱钢门框、Z形条系，75mm宽铝合金，各条均匀间隔 40mm，同步配件，浅灰色面漆
khung cửa thép hộp KT50x50, hệ nan chữ Z hợp kim nhôm rộng 75mm, các nan cách đều 40mm, phụ kiện đồng bộ, sơn dầu hoàn thiện màu xám nhạt</v>
      </c>
      <c r="C16" s="31" t="s">
        <v>133</v>
      </c>
      <c r="D16" s="31" t="s">
        <v>106</v>
      </c>
      <c r="E16" s="31">
        <v>4500</v>
      </c>
      <c r="F16" s="31">
        <v>800</v>
      </c>
      <c r="G16" s="31">
        <f t="shared" ref="G16:H28" si="0">+E16-50</f>
        <v>4450</v>
      </c>
      <c r="H16" s="31">
        <f t="shared" si="0"/>
        <v>750</v>
      </c>
      <c r="I16" s="31"/>
      <c r="J16" s="31"/>
      <c r="K16" s="31"/>
      <c r="L16" s="31" t="str">
        <f>+[24]BG!L14</f>
        <v>個
Cái</v>
      </c>
      <c r="M16" s="35">
        <f>+[24]BG!M14</f>
        <v>0</v>
      </c>
      <c r="N16" s="32">
        <v>4468200</v>
      </c>
      <c r="O16" s="32">
        <f t="shared" ref="O16:O79" si="1">+N16*M16</f>
        <v>0</v>
      </c>
      <c r="P16" s="33" t="s">
        <v>188</v>
      </c>
      <c r="Q16" s="30">
        <v>4490000</v>
      </c>
    </row>
    <row r="17" spans="1:17" s="30" customFormat="1" ht="79.2">
      <c r="A17" s="31">
        <f>+[23]l7!A17</f>
        <v>3</v>
      </c>
      <c r="B17" s="34" t="str">
        <f>+[24]BG!C15</f>
        <v>Cửa gió nan KT 4500x700
尺寸50x50箱钢门框、Z形条系，75mm宽铝合金，各条均匀间隔 40mm，同步配件，浅灰色面漆
khung cửa thép hộp KT50x50, hệ nan chữ Z hợp kim nhôm rộng 75mm, các nan cách đều 40mm, phụ kiện đồng bộ, sơn dầu hoàn thiện màu xám nhạt</v>
      </c>
      <c r="C17" s="31" t="s">
        <v>133</v>
      </c>
      <c r="D17" s="31" t="s">
        <v>106</v>
      </c>
      <c r="E17" s="31">
        <v>4500</v>
      </c>
      <c r="F17" s="31">
        <v>700</v>
      </c>
      <c r="G17" s="31">
        <f t="shared" si="0"/>
        <v>4450</v>
      </c>
      <c r="H17" s="31">
        <f t="shared" si="0"/>
        <v>650</v>
      </c>
      <c r="I17" s="31"/>
      <c r="J17" s="31"/>
      <c r="K17" s="31"/>
      <c r="L17" s="31" t="str">
        <f>+[24]BG!L15</f>
        <v>個
Cái</v>
      </c>
      <c r="M17" s="35">
        <f>+[24]BG!M15</f>
        <v>11</v>
      </c>
      <c r="N17" s="32">
        <v>3778500.0000000005</v>
      </c>
      <c r="O17" s="32">
        <f t="shared" si="1"/>
        <v>41563500.000000007</v>
      </c>
      <c r="P17" s="33" t="s">
        <v>188</v>
      </c>
      <c r="Q17" s="30">
        <v>3980000</v>
      </c>
    </row>
    <row r="18" spans="1:17" s="30" customFormat="1" ht="79.2">
      <c r="A18" s="31">
        <f>+[23]l7!A18</f>
        <v>4</v>
      </c>
      <c r="B18" s="34" t="str">
        <f>+[24]BG!C16</f>
        <v>Cửa gió nan KT 2500x1800
尺寸50x50箱钢门框、Z形条系，75mm宽铝合金，各条均匀间隔 40mm，同步配件，浅灰色面漆
khung cửa thép hộp KT50x50, hệ nan chữ Z hợp kim nhôm rộng 75mm, các nan cách đều 40mm, phụ kiện đồng bộ, sơn dầu hoàn thiện màu xám nhạt</v>
      </c>
      <c r="C18" s="31" t="s">
        <v>133</v>
      </c>
      <c r="D18" s="31" t="s">
        <v>106</v>
      </c>
      <c r="E18" s="31">
        <v>2500</v>
      </c>
      <c r="F18" s="31">
        <v>1800</v>
      </c>
      <c r="G18" s="31">
        <f t="shared" si="0"/>
        <v>2450</v>
      </c>
      <c r="H18" s="31">
        <f t="shared" si="0"/>
        <v>1750</v>
      </c>
      <c r="I18" s="31"/>
      <c r="J18" s="31"/>
      <c r="K18" s="31"/>
      <c r="L18" s="31" t="str">
        <f>+[24]BG!L16</f>
        <v>個
Cái</v>
      </c>
      <c r="M18" s="35">
        <f>+[24]BG!M16</f>
        <v>10</v>
      </c>
      <c r="N18" s="32">
        <v>5358100</v>
      </c>
      <c r="O18" s="32">
        <f t="shared" si="1"/>
        <v>53581000</v>
      </c>
      <c r="P18" s="33" t="s">
        <v>188</v>
      </c>
      <c r="Q18" s="30">
        <v>5480000</v>
      </c>
    </row>
    <row r="19" spans="1:17" s="30" customFormat="1" ht="79.2">
      <c r="A19" s="31">
        <f>+[23]l7!A19</f>
        <v>5</v>
      </c>
      <c r="B19" s="34" t="str">
        <f>+[24]BG!C17</f>
        <v>Cửa gió nan KT 2000x2000
尺寸50x50箱钢门框、Z形条系，75mm宽铝合金，各条均匀间隔 40mm，同步配件，浅灰色面漆
khung cửa thép hộp KT50x50, hệ nan chữ Z hợp kim nhôm rộng 75mm, các nan cách đều 40mm, phụ kiện đồng bộ, sơn dầu hoàn thiện màu xám nhạt</v>
      </c>
      <c r="C19" s="31" t="s">
        <v>133</v>
      </c>
      <c r="D19" s="31" t="s">
        <v>106</v>
      </c>
      <c r="E19" s="31">
        <v>2000</v>
      </c>
      <c r="F19" s="31">
        <v>2000</v>
      </c>
      <c r="G19" s="31">
        <f t="shared" si="0"/>
        <v>1950</v>
      </c>
      <c r="H19" s="31">
        <f t="shared" si="0"/>
        <v>1950</v>
      </c>
      <c r="I19" s="31"/>
      <c r="J19" s="31"/>
      <c r="K19" s="31"/>
      <c r="L19" s="31" t="str">
        <f>+[24]BG!L17</f>
        <v>個
Cái</v>
      </c>
      <c r="M19" s="35">
        <f>+[24]BG!M17</f>
        <v>5</v>
      </c>
      <c r="N19" s="32">
        <v>4725600</v>
      </c>
      <c r="O19" s="32">
        <f t="shared" si="1"/>
        <v>23628000</v>
      </c>
      <c r="P19" s="33" t="s">
        <v>188</v>
      </c>
      <c r="Q19" s="30">
        <v>4890000</v>
      </c>
    </row>
    <row r="20" spans="1:17" s="30" customFormat="1" ht="79.2">
      <c r="A20" s="31">
        <f>+[23]l7!A20</f>
        <v>6</v>
      </c>
      <c r="B20" s="34" t="str">
        <f>+[24]BG!C18</f>
        <v>Cửa gió nan KT 2000x1800
尺寸50x50箱钢门框、Z形条系，75mm宽铝合金，各条均匀间隔 40mm，同步配件，浅灰色面漆
khung cửa thép hộp KT50x50, hệ nan chữ Z hợp kim nhôm rộng 75mm, các nan cách đều 40mm, phụ kiện đồng bộ, sơn dầu hoàn thiện màu xám nhạt</v>
      </c>
      <c r="C20" s="31" t="s">
        <v>133</v>
      </c>
      <c r="D20" s="31" t="s">
        <v>106</v>
      </c>
      <c r="E20" s="31">
        <v>2000</v>
      </c>
      <c r="F20" s="31">
        <v>1800</v>
      </c>
      <c r="G20" s="31">
        <f t="shared" si="0"/>
        <v>1950</v>
      </c>
      <c r="H20" s="31">
        <f t="shared" si="0"/>
        <v>1750</v>
      </c>
      <c r="I20" s="31"/>
      <c r="J20" s="31"/>
      <c r="K20" s="31"/>
      <c r="L20" s="31" t="str">
        <f>+[24]BG!L18</f>
        <v>個
Cái</v>
      </c>
      <c r="M20" s="35">
        <f>+[24]BG!M18</f>
        <v>2</v>
      </c>
      <c r="N20" s="32">
        <v>4307600</v>
      </c>
      <c r="O20" s="32">
        <f t="shared" si="1"/>
        <v>8615200</v>
      </c>
      <c r="P20" s="33" t="s">
        <v>188</v>
      </c>
      <c r="Q20" s="30">
        <v>4490000</v>
      </c>
    </row>
    <row r="21" spans="1:17" s="30" customFormat="1" ht="79.2">
      <c r="A21" s="31">
        <f>+[23]l7!A21</f>
        <v>7</v>
      </c>
      <c r="B21" s="34" t="str">
        <f>+[24]BG!C19</f>
        <v>Cửa gió nan KT 2000x1000
尺寸50x50箱钢门框、Z形条系，75mm宽铝合金，各条均匀间隔 40mm，同步配件，浅灰色面漆
khung cửa thép hộp KT50x50, hệ nan chữ Z hợp kim nhôm rộng 75mm, các nan cách đều 40mm, phụ kiện đồng bộ, sơn dầu hoàn thiện màu xám nhạt</v>
      </c>
      <c r="C21" s="31" t="s">
        <v>133</v>
      </c>
      <c r="D21" s="31" t="s">
        <v>106</v>
      </c>
      <c r="E21" s="31">
        <v>2000</v>
      </c>
      <c r="F21" s="31">
        <v>1000</v>
      </c>
      <c r="G21" s="31">
        <f t="shared" si="0"/>
        <v>1950</v>
      </c>
      <c r="H21" s="31">
        <f t="shared" si="0"/>
        <v>950</v>
      </c>
      <c r="I21" s="31"/>
      <c r="J21" s="31"/>
      <c r="K21" s="31"/>
      <c r="L21" s="31" t="str">
        <f>+[24]BG!L19</f>
        <v>個
Cái</v>
      </c>
      <c r="M21" s="35">
        <f>+[24]BG!M19</f>
        <v>7</v>
      </c>
      <c r="N21" s="32">
        <v>2435400</v>
      </c>
      <c r="O21" s="32">
        <f t="shared" si="1"/>
        <v>17047800</v>
      </c>
      <c r="P21" s="33" t="s">
        <v>188</v>
      </c>
      <c r="Q21" s="30">
        <v>2450000</v>
      </c>
    </row>
    <row r="22" spans="1:17" s="30" customFormat="1" ht="79.2">
      <c r="A22" s="31">
        <f>+[23]l7!A22</f>
        <v>8</v>
      </c>
      <c r="B22" s="34" t="str">
        <f>+[24]BG!C20</f>
        <v>Cửa gió nan KT 1500x1500
尺寸50x50箱钢门框、Z形条系，75mm宽铝合金，各条均匀间隔 40mm，同步配件，浅灰色面漆
khung cửa thép hộp KT50x50, hệ nan chữ Z hợp kim nhôm rộng 75mm, các nan cách đều 40mm, phụ kiện đồng bộ, sơn dầu hoàn thiện màu xám nhạt</v>
      </c>
      <c r="C22" s="31" t="s">
        <v>133</v>
      </c>
      <c r="D22" s="31" t="s">
        <v>106</v>
      </c>
      <c r="E22" s="31">
        <v>1500</v>
      </c>
      <c r="F22" s="31">
        <v>1500</v>
      </c>
      <c r="G22" s="31">
        <f t="shared" si="0"/>
        <v>1450</v>
      </c>
      <c r="H22" s="31">
        <f t="shared" si="0"/>
        <v>1450</v>
      </c>
      <c r="I22" s="31"/>
      <c r="J22" s="31"/>
      <c r="K22" s="31"/>
      <c r="L22" s="31" t="str">
        <f>+[24]BG!L20</f>
        <v>個
Cái</v>
      </c>
      <c r="M22" s="35">
        <f>+[24]BG!M20</f>
        <v>26</v>
      </c>
      <c r="N22" s="32">
        <v>2708200</v>
      </c>
      <c r="O22" s="32">
        <f t="shared" si="1"/>
        <v>70413200</v>
      </c>
      <c r="P22" s="33" t="s">
        <v>188</v>
      </c>
      <c r="Q22" s="30">
        <v>2860000</v>
      </c>
    </row>
    <row r="23" spans="1:17" s="30" customFormat="1" ht="79.2">
      <c r="A23" s="31">
        <f>+[23]l7!A23</f>
        <v>9</v>
      </c>
      <c r="B23" s="34" t="str">
        <f>+[24]BG!C21</f>
        <v>Cửa gió nan KT 1000x1000
尺寸50x50箱钢门框、Z形条系，75mm宽铝合金，各条均匀间隔 40mm，同步配件，浅灰色面漆
khung cửa thép hộp KT50x50, hệ nan chữ Z hợp kim nhôm rộng 75mm, các nan cách đều 40mm, phụ kiện đồng bộ, sơn dầu hoàn thiện màu xám nhạt</v>
      </c>
      <c r="C23" s="31" t="s">
        <v>133</v>
      </c>
      <c r="D23" s="31" t="s">
        <v>106</v>
      </c>
      <c r="E23" s="31">
        <v>1000</v>
      </c>
      <c r="F23" s="31">
        <v>1000</v>
      </c>
      <c r="G23" s="31">
        <f t="shared" si="0"/>
        <v>950</v>
      </c>
      <c r="H23" s="31">
        <f t="shared" si="0"/>
        <v>950</v>
      </c>
      <c r="I23" s="31"/>
      <c r="J23" s="31"/>
      <c r="K23" s="31"/>
      <c r="L23" s="31" t="str">
        <f>+[24]BG!L21</f>
        <v>個
Cái</v>
      </c>
      <c r="M23" s="35">
        <f>+[24]BG!M21</f>
        <v>12</v>
      </c>
      <c r="N23" s="32">
        <v>1250700</v>
      </c>
      <c r="O23" s="32">
        <f t="shared" si="1"/>
        <v>15008400</v>
      </c>
      <c r="P23" s="33" t="s">
        <v>188</v>
      </c>
      <c r="Q23" s="30">
        <v>1320000</v>
      </c>
    </row>
    <row r="24" spans="1:17" s="30" customFormat="1" ht="79.2">
      <c r="A24" s="31">
        <f>+[23]l7!A24</f>
        <v>10</v>
      </c>
      <c r="B24" s="34" t="str">
        <f>+[24]BG!C22</f>
        <v>Cửa gió nan KT 1000x700
尺寸50x50箱钢门框、Z形条系，75mm宽铝合金，各条均匀间隔 40mm，同步配件，浅灰色面漆
khung cửa thép hộp KT50x50, hệ nan chữ Z hợp kim nhôm rộng 75mm, các nan cách đều 40mm, phụ kiện đồng bộ, sơn dầu hoàn thiện màu xám nhạt</v>
      </c>
      <c r="C24" s="31" t="s">
        <v>133</v>
      </c>
      <c r="D24" s="31" t="s">
        <v>106</v>
      </c>
      <c r="E24" s="31">
        <v>1000</v>
      </c>
      <c r="F24" s="31">
        <v>700</v>
      </c>
      <c r="G24" s="31">
        <f t="shared" si="0"/>
        <v>950</v>
      </c>
      <c r="H24" s="31">
        <f t="shared" si="0"/>
        <v>650</v>
      </c>
      <c r="I24" s="31"/>
      <c r="J24" s="31"/>
      <c r="K24" s="31"/>
      <c r="L24" s="31" t="str">
        <f>+[24]BG!L22</f>
        <v>個
Cái</v>
      </c>
      <c r="M24" s="35">
        <f>+[24]BG!M22</f>
        <v>37</v>
      </c>
      <c r="N24" s="32">
        <v>880000.00000000012</v>
      </c>
      <c r="O24" s="32">
        <f t="shared" si="1"/>
        <v>32560000.000000004</v>
      </c>
      <c r="P24" s="33" t="s">
        <v>188</v>
      </c>
      <c r="Q24" s="30">
        <v>920000</v>
      </c>
    </row>
    <row r="25" spans="1:17" s="30" customFormat="1" ht="79.2">
      <c r="A25" s="31">
        <f>+[23]l7!A25</f>
        <v>11</v>
      </c>
      <c r="B25" s="34" t="str">
        <f>+[24]BG!C23</f>
        <v>Cửa gió nan KT 800x1500
尺寸50x50箱钢门框、Z形条系，75mm宽铝合金，各条均匀间隔 40mm，同步配件，浅灰色面漆
khung cửa thép hộp KT50x50, hệ nan chữ Z hợp kim nhôm rộng 75mm, các nan cách đều 40mm, phụ kiện đồng bộ, sơn dầu hoàn thiện màu xám nhạt</v>
      </c>
      <c r="C25" s="31" t="s">
        <v>133</v>
      </c>
      <c r="D25" s="31" t="s">
        <v>106</v>
      </c>
      <c r="E25" s="31">
        <v>800</v>
      </c>
      <c r="F25" s="31">
        <v>1500</v>
      </c>
      <c r="G25" s="31">
        <f t="shared" si="0"/>
        <v>750</v>
      </c>
      <c r="H25" s="31">
        <f t="shared" si="0"/>
        <v>1450</v>
      </c>
      <c r="I25" s="31"/>
      <c r="J25" s="31"/>
      <c r="K25" s="31"/>
      <c r="L25" s="31" t="str">
        <f>+[24]BG!L23</f>
        <v>個
Cái</v>
      </c>
      <c r="M25" s="35">
        <f>+[24]BG!M23</f>
        <v>1</v>
      </c>
      <c r="N25" s="32">
        <v>1338480</v>
      </c>
      <c r="O25" s="32">
        <f t="shared" si="1"/>
        <v>1338480</v>
      </c>
      <c r="P25" s="33" t="s">
        <v>188</v>
      </c>
      <c r="Q25" s="30">
        <v>1520000</v>
      </c>
    </row>
    <row r="26" spans="1:17" s="30" customFormat="1" ht="52.8">
      <c r="A26" s="31">
        <f>+[23]l7!A26</f>
        <v>12</v>
      </c>
      <c r="B26" s="34" t="str">
        <f>+[24]BG!C24</f>
        <v>風門含SEG 1200x600+OBD 流量調節閥含配件及安裝Cửa gió kèm van điều chỉnh lưu lượng SEG 1200x600+OBD Bao gồm nhân công phụ kiện lắp đặt</v>
      </c>
      <c r="C26" s="31" t="s">
        <v>107</v>
      </c>
      <c r="D26" s="31" t="s">
        <v>106</v>
      </c>
      <c r="E26" s="31">
        <v>1200</v>
      </c>
      <c r="F26" s="31">
        <v>600</v>
      </c>
      <c r="G26" s="31">
        <f t="shared" si="0"/>
        <v>1150</v>
      </c>
      <c r="H26" s="31">
        <f t="shared" si="0"/>
        <v>550</v>
      </c>
      <c r="I26" s="31"/>
      <c r="J26" s="31"/>
      <c r="K26" s="31"/>
      <c r="L26" s="31" t="str">
        <f>+[24]BG!L24</f>
        <v>個
Cái</v>
      </c>
      <c r="M26" s="35">
        <f>+[24]BG!M24</f>
        <v>164</v>
      </c>
      <c r="N26" s="102">
        <v>1051600</v>
      </c>
      <c r="O26" s="32">
        <f t="shared" si="1"/>
        <v>172462400</v>
      </c>
      <c r="P26" s="103" t="s">
        <v>189</v>
      </c>
      <c r="Q26" s="30">
        <v>1230000</v>
      </c>
    </row>
    <row r="27" spans="1:17" s="30" customFormat="1" ht="52.8">
      <c r="A27" s="31">
        <f>+[23]l7!A27</f>
        <v>13</v>
      </c>
      <c r="B27" s="34" t="str">
        <f>+[24]BG!C25</f>
        <v>風門含SEG 600x600+OBD 流量調節閥含配件及安裝Cửa gió kèm van điều chỉnh lưu lượng SEG 600x600+OBD Bao gồm nhân công phụ kiện lắp đặt</v>
      </c>
      <c r="C27" s="31" t="s">
        <v>107</v>
      </c>
      <c r="D27" s="31" t="s">
        <v>106</v>
      </c>
      <c r="E27" s="31">
        <v>600</v>
      </c>
      <c r="F27" s="31">
        <v>600</v>
      </c>
      <c r="G27" s="31">
        <f t="shared" si="0"/>
        <v>550</v>
      </c>
      <c r="H27" s="31">
        <f t="shared" si="0"/>
        <v>550</v>
      </c>
      <c r="I27" s="31"/>
      <c r="J27" s="31"/>
      <c r="K27" s="31"/>
      <c r="L27" s="31" t="str">
        <f>+[24]BG!L25</f>
        <v>個
Cái</v>
      </c>
      <c r="M27" s="35">
        <f>+[24]BG!M25</f>
        <v>14</v>
      </c>
      <c r="N27" s="102">
        <v>556600</v>
      </c>
      <c r="O27" s="32">
        <f t="shared" si="1"/>
        <v>7792400</v>
      </c>
      <c r="P27" s="103" t="s">
        <v>189</v>
      </c>
      <c r="Q27" s="30">
        <v>590000</v>
      </c>
    </row>
    <row r="28" spans="1:17" s="30" customFormat="1" ht="39.6">
      <c r="A28" s="31">
        <f>+[23]l7!A28</f>
        <v>14</v>
      </c>
      <c r="B28" s="34" t="str">
        <f>+[24]BG!C26</f>
        <v>風門含PAG 500x500 流量調節閥含配件及安裝 Cửa gió kèm van điều chỉnh lưu lượng PAG 500x500 Bao gồm nhân công phụ kiện lắp đặt</v>
      </c>
      <c r="C28" s="31" t="s">
        <v>107</v>
      </c>
      <c r="D28" s="31" t="s">
        <v>106</v>
      </c>
      <c r="E28" s="31">
        <v>500</v>
      </c>
      <c r="F28" s="31">
        <v>500</v>
      </c>
      <c r="G28" s="31">
        <f t="shared" si="0"/>
        <v>450</v>
      </c>
      <c r="H28" s="31">
        <f t="shared" si="0"/>
        <v>450</v>
      </c>
      <c r="I28" s="31"/>
      <c r="J28" s="31"/>
      <c r="K28" s="31"/>
      <c r="L28" s="31" t="str">
        <f>+[24]BG!L26</f>
        <v>Cái
個</v>
      </c>
      <c r="M28" s="35">
        <f>+[24]BG!M26</f>
        <v>42</v>
      </c>
      <c r="N28" s="102">
        <v>408100.00000000006</v>
      </c>
      <c r="O28" s="32">
        <f t="shared" si="1"/>
        <v>17140200.000000004</v>
      </c>
      <c r="P28" s="103" t="s">
        <v>189</v>
      </c>
      <c r="Q28" s="30">
        <v>530000</v>
      </c>
    </row>
    <row r="29" spans="1:17" s="30" customFormat="1" ht="52.8">
      <c r="A29" s="31">
        <f>+[23]l7!A29</f>
        <v>15</v>
      </c>
      <c r="B29" s="34" t="str">
        <f>+[24]BG!C27</f>
        <v xml:space="preserve">空調鍍鋅鐵皮排風管 1400x700mm, δ=1.15mm 含製作及安裝
Ống thoát gió bằng tôn mạ kẽm 1400x700mm , δ=1.15mm bao gồm gia công chế tạo và lắp đặt. </v>
      </c>
      <c r="C29" s="31"/>
      <c r="D29" s="31"/>
      <c r="E29" s="31"/>
      <c r="F29" s="31"/>
      <c r="G29" s="31"/>
      <c r="H29" s="31"/>
      <c r="I29" s="31"/>
      <c r="J29" s="31"/>
      <c r="K29" s="31"/>
      <c r="L29" s="31" t="str">
        <f>+[24]BG!L27</f>
        <v>m2</v>
      </c>
      <c r="M29" s="35">
        <f>+[24]BG!M27</f>
        <v>1560</v>
      </c>
      <c r="N29" s="32"/>
      <c r="O29" s="32">
        <f t="shared" si="1"/>
        <v>0</v>
      </c>
      <c r="P29" s="33"/>
    </row>
    <row r="30" spans="1:17" s="30" customFormat="1" ht="52.8">
      <c r="A30" s="31">
        <f>+[23]l7!A30</f>
        <v>16</v>
      </c>
      <c r="B30" s="34" t="str">
        <f>+[24]BG!C28</f>
        <v xml:space="preserve">空調鍍鋅鐵皮排風管 1400x500mm, δ=1.15mm 含製作及安裝
Ống thoát gió bằng tôn mạ kẽm 1400x500mm , δ=1.15mm bao gồm gia công chế tạo và lắp đặt. </v>
      </c>
      <c r="C30" s="31"/>
      <c r="D30" s="31"/>
      <c r="E30" s="31"/>
      <c r="F30" s="31"/>
      <c r="G30" s="31"/>
      <c r="H30" s="31"/>
      <c r="I30" s="31"/>
      <c r="J30" s="31"/>
      <c r="K30" s="31"/>
      <c r="L30" s="31" t="str">
        <f>+[24]BG!L28</f>
        <v>m2</v>
      </c>
      <c r="M30" s="35">
        <f>+[24]BG!M28</f>
        <v>32</v>
      </c>
      <c r="N30" s="32"/>
      <c r="O30" s="32">
        <f t="shared" si="1"/>
        <v>0</v>
      </c>
      <c r="P30" s="33"/>
    </row>
    <row r="31" spans="1:17" s="30" customFormat="1" ht="52.8">
      <c r="A31" s="31"/>
      <c r="B31" s="34" t="str">
        <f>+[24]BG!C29</f>
        <v xml:space="preserve">空調鍍鋅鐵皮排風管 1000x600mm, δ=1.15mm 含製作及安裝
Ống thoát gió bằng tôn mạ kẽm 1000x600mm , δ=1.15mm bao gồm gia công chế tạo và lắp đặt. </v>
      </c>
      <c r="C31" s="31"/>
      <c r="D31" s="31"/>
      <c r="E31" s="31"/>
      <c r="F31" s="31"/>
      <c r="G31" s="31"/>
      <c r="H31" s="31"/>
      <c r="I31" s="31"/>
      <c r="J31" s="31"/>
      <c r="K31" s="31"/>
      <c r="L31" s="31" t="str">
        <f>+[24]BG!L29</f>
        <v>m2</v>
      </c>
      <c r="M31" s="35">
        <f>+[24]BG!M29</f>
        <v>863</v>
      </c>
      <c r="N31" s="32"/>
      <c r="O31" s="32">
        <f t="shared" si="1"/>
        <v>0</v>
      </c>
      <c r="P31" s="33"/>
    </row>
    <row r="32" spans="1:17" s="30" customFormat="1" ht="52.8">
      <c r="A32" s="31">
        <f>+[23]l7!A32</f>
        <v>1</v>
      </c>
      <c r="B32" s="34" t="str">
        <f>+[24]BG!C30</f>
        <v xml:space="preserve">空調鍍鋅鐵皮排風管 1000x500mm, δ=1.15mm 含製作及安裝
Ống thoát gió bằng tôn mạ kẽm 1000x500mm , δ=1.15mm bao gồm gia công chế tạo và lắp đặt. </v>
      </c>
      <c r="C32" s="31"/>
      <c r="D32" s="31"/>
      <c r="E32" s="31"/>
      <c r="F32" s="31"/>
      <c r="G32" s="31"/>
      <c r="H32" s="31"/>
      <c r="I32" s="31"/>
      <c r="J32" s="31"/>
      <c r="K32" s="31"/>
      <c r="L32" s="31" t="str">
        <f>+[24]BG!L30</f>
        <v>m2</v>
      </c>
      <c r="M32" s="35">
        <f>+[24]BG!M30</f>
        <v>144</v>
      </c>
      <c r="N32" s="32"/>
      <c r="O32" s="32">
        <f t="shared" si="1"/>
        <v>0</v>
      </c>
      <c r="P32" s="33"/>
    </row>
    <row r="33" spans="1:18" s="30" customFormat="1" ht="52.8">
      <c r="A33" s="31">
        <f>+[23]l7!A33</f>
        <v>2</v>
      </c>
      <c r="B33" s="34" t="str">
        <f>+[24]BG!C31</f>
        <v xml:space="preserve">空調鍍鋅鐵皮排風管 1000x350mm, δ=1.15mm 含製作及安裝
Ống thoát gió bằng tôn mạ kẽm 1000x350mm , δ=1.15mm bao gồm gia công chế tạo và lắp đặt. </v>
      </c>
      <c r="C33" s="31"/>
      <c r="D33" s="31"/>
      <c r="E33" s="31"/>
      <c r="F33" s="31"/>
      <c r="G33" s="31"/>
      <c r="H33" s="31"/>
      <c r="I33" s="31"/>
      <c r="J33" s="31"/>
      <c r="K33" s="31"/>
      <c r="L33" s="31" t="str">
        <f>+[24]BG!L31</f>
        <v>m2</v>
      </c>
      <c r="M33" s="35">
        <f>+[24]BG!M31</f>
        <v>116</v>
      </c>
      <c r="N33" s="32"/>
      <c r="O33" s="32">
        <f t="shared" si="1"/>
        <v>0</v>
      </c>
      <c r="P33" s="33"/>
    </row>
    <row r="34" spans="1:18" s="30" customFormat="1" ht="52.8">
      <c r="A34" s="31">
        <f>+[23]l7!A34</f>
        <v>3</v>
      </c>
      <c r="B34" s="34" t="str">
        <f>+[24]BG!C32</f>
        <v xml:space="preserve">空調鍍鋅鐵皮排風管 600x600mm, δ=0.75mm 含製作及安裝
Ống thoát gió bằng tôn mạ kẽm 600x600mm , δ=0.75mm bao gồm gia công chế tạo và lắp đặt. </v>
      </c>
      <c r="C34" s="31"/>
      <c r="D34" s="31"/>
      <c r="E34" s="31"/>
      <c r="F34" s="31"/>
      <c r="G34" s="31"/>
      <c r="H34" s="31"/>
      <c r="I34" s="31"/>
      <c r="J34" s="31"/>
      <c r="K34" s="31"/>
      <c r="L34" s="31" t="str">
        <f>+[24]BG!L32</f>
        <v>m2</v>
      </c>
      <c r="M34" s="35">
        <f>+[24]BG!M32</f>
        <v>539</v>
      </c>
      <c r="N34" s="32"/>
      <c r="O34" s="32">
        <f t="shared" si="1"/>
        <v>0</v>
      </c>
      <c r="P34" s="33"/>
    </row>
    <row r="35" spans="1:18" s="30" customFormat="1" ht="52.8">
      <c r="A35" s="31">
        <f>+[23]l7!A35</f>
        <v>3</v>
      </c>
      <c r="B35" s="34" t="str">
        <f>+[24]BG!C33</f>
        <v xml:space="preserve">空調鍍鋅鐵皮排風管 500x500mm, δ=0.75mm 含製作及安裝
Ống thoát gió bằng tôn mạ kẽm 500x500mm , δ=0.75mm bao gồm gia công chế tạo và lắp đặt. </v>
      </c>
      <c r="C35" s="31"/>
      <c r="D35" s="31"/>
      <c r="E35" s="31"/>
      <c r="F35" s="31"/>
      <c r="G35" s="31"/>
      <c r="H35" s="31"/>
      <c r="I35" s="31"/>
      <c r="J35" s="31"/>
      <c r="K35" s="31"/>
      <c r="L35" s="31" t="str">
        <f>+[24]BG!L33</f>
        <v>m2</v>
      </c>
      <c r="M35" s="35">
        <f>+[24]BG!M33</f>
        <v>54</v>
      </c>
      <c r="N35" s="32"/>
      <c r="O35" s="32">
        <f t="shared" si="1"/>
        <v>0</v>
      </c>
      <c r="P35" s="33"/>
    </row>
    <row r="36" spans="1:18" s="30" customFormat="1" ht="79.2">
      <c r="A36" s="31">
        <f>+[23]l7!A36</f>
        <v>4</v>
      </c>
      <c r="B36" s="34" t="str">
        <f>+[24]BG!C34</f>
        <v>空調鍍鋅鐵皮排風管1200x400mm EI45, 含製作及安裝 （含越南消防及救護-救難警察局檢定費用）
Ống thoát gió bằng tôn mạ kẽm 1200x400mm, EI45,bao gồm gia công chế tạo và lắp đặt. （Bao gồm chi phí kiểm định của cục cảnh sát pccc &amp; CNCH Việt Nam)</v>
      </c>
      <c r="C36" s="31"/>
      <c r="D36" s="31"/>
      <c r="E36" s="31"/>
      <c r="F36" s="31"/>
      <c r="G36" s="31"/>
      <c r="H36" s="31"/>
      <c r="I36" s="31"/>
      <c r="J36" s="31"/>
      <c r="K36" s="31"/>
      <c r="L36" s="31" t="str">
        <f>+[24]BG!L34</f>
        <v>m2</v>
      </c>
      <c r="M36" s="35">
        <f>+[24]BG!M34</f>
        <v>6703</v>
      </c>
      <c r="N36" s="32"/>
      <c r="O36" s="32">
        <f t="shared" si="1"/>
        <v>0</v>
      </c>
      <c r="P36" s="33"/>
    </row>
    <row r="37" spans="1:18" s="30" customFormat="1" ht="79.2">
      <c r="A37" s="31">
        <f>+[23]l7!A37</f>
        <v>5</v>
      </c>
      <c r="B37" s="34" t="str">
        <f>+[24]BG!C35</f>
        <v>空調鍍鋅鐵皮排風管1600x400mm ,EI45, 含製作及安裝 （含越南消防及救護-救難警察局檢定費用）
Ống thoát gió bằng tôn mạ kẽm 1600x400mm, EI45,  bao gồm gia công chế tạo và lắp đặt. （Bao gồm chi phí kiểm định của cục cảnh sát pccc &amp; CNCH Việt Nam)</v>
      </c>
      <c r="C37" s="31"/>
      <c r="D37" s="31"/>
      <c r="E37" s="31"/>
      <c r="F37" s="31"/>
      <c r="G37" s="31"/>
      <c r="H37" s="31"/>
      <c r="I37" s="31"/>
      <c r="J37" s="31"/>
      <c r="K37" s="31"/>
      <c r="L37" s="31" t="str">
        <f>+[24]BG!L35</f>
        <v>m2</v>
      </c>
      <c r="M37" s="35">
        <f>+[24]BG!M35</f>
        <v>88</v>
      </c>
      <c r="N37" s="32"/>
      <c r="O37" s="32">
        <f t="shared" si="1"/>
        <v>0</v>
      </c>
      <c r="P37" s="33"/>
    </row>
    <row r="38" spans="1:18" s="30" customFormat="1" ht="79.2">
      <c r="A38" s="31">
        <f>+[23]l7!A38</f>
        <v>6</v>
      </c>
      <c r="B38" s="34" t="str">
        <f>+[24]BG!C36</f>
        <v>空調鍍鋅鐵皮排風管1800x400mm EI45,  含製作及安裝 （含越南消防及救護-救難警察局檢定費用）
Ống thoát gió bằng tôn mạ kẽm 1800x400mm, EI45,  bao gồm gia công chế tạo và lắp đặt. （Bao gồm chi phí kiểm định của cục cảnh sát pccc &amp; CNCH Việt Nam)</v>
      </c>
      <c r="C38" s="31"/>
      <c r="D38" s="31"/>
      <c r="E38" s="31"/>
      <c r="F38" s="31"/>
      <c r="G38" s="31"/>
      <c r="H38" s="31"/>
      <c r="I38" s="31"/>
      <c r="J38" s="31"/>
      <c r="K38" s="31"/>
      <c r="L38" s="31" t="str">
        <f>+[24]BG!L36</f>
        <v>m2</v>
      </c>
      <c r="M38" s="35">
        <f>+[24]BG!M36</f>
        <v>1235</v>
      </c>
      <c r="N38" s="32"/>
      <c r="O38" s="32">
        <f t="shared" si="1"/>
        <v>0</v>
      </c>
      <c r="P38" s="33"/>
    </row>
    <row r="39" spans="1:18" s="30" customFormat="1" ht="79.2">
      <c r="A39" s="31">
        <f>+[23]l7!A39</f>
        <v>7</v>
      </c>
      <c r="B39" s="34" t="str">
        <f>+[24]BG!C37</f>
        <v>空調鍍鋅鐵皮排風管2000x400mm EI45, 含製作及安裝 （含越南消防及救護-救難警察局檢定費用）
Ống thoát gió bằng tôn mạ kẽm 2000x400mm, EI45, bao gồm gia công chế tạo và lắp đặt. （Bao gồm chi phí kiểm định của cục cảnh sát pccc &amp; CNCH Việt Nam)</v>
      </c>
      <c r="C39" s="31"/>
      <c r="D39" s="31"/>
      <c r="E39" s="31"/>
      <c r="F39" s="31"/>
      <c r="G39" s="31"/>
      <c r="H39" s="31"/>
      <c r="I39" s="31"/>
      <c r="J39" s="31"/>
      <c r="K39" s="31"/>
      <c r="L39" s="31" t="str">
        <f>+[24]BG!L37</f>
        <v>m2</v>
      </c>
      <c r="M39" s="35">
        <f>+[24]BG!M37</f>
        <v>5200</v>
      </c>
      <c r="N39" s="32"/>
      <c r="O39" s="32">
        <f t="shared" si="1"/>
        <v>0</v>
      </c>
      <c r="P39" s="33"/>
    </row>
    <row r="40" spans="1:18" s="30" customFormat="1" ht="79.2">
      <c r="A40" s="31">
        <f>+[23]l7!A40</f>
        <v>8</v>
      </c>
      <c r="B40" s="34" t="str">
        <f>+[24]BG!C38</f>
        <v>空調鍍鋅鐵皮排風管1500x500mm EI30, 含製作及安裝 （含越南消防及救護-救難警察局檢定費用）
Ống thoát gió bằng tôn mạ kẽm 1500x500mm, EI30, bao gồm gia công chế tạo và lắp đặt. （Bao gồm chi phí kiểm định của cục cảnh sát pccc &amp; CNCH Việt Nam)</v>
      </c>
      <c r="C40" s="31"/>
      <c r="D40" s="31"/>
      <c r="E40" s="31"/>
      <c r="F40" s="31"/>
      <c r="G40" s="31"/>
      <c r="H40" s="31"/>
      <c r="I40" s="31"/>
      <c r="J40" s="31"/>
      <c r="K40" s="31"/>
      <c r="L40" s="31" t="str">
        <f>+[24]BG!L38</f>
        <v>m2</v>
      </c>
      <c r="M40" s="35">
        <f>+[24]BG!M38</f>
        <v>570</v>
      </c>
      <c r="N40" s="32"/>
      <c r="O40" s="32">
        <f t="shared" si="1"/>
        <v>0</v>
      </c>
      <c r="P40" s="33"/>
    </row>
    <row r="41" spans="1:18" s="30" customFormat="1" ht="79.2">
      <c r="A41" s="31">
        <f>+[23]l7!A41</f>
        <v>9</v>
      </c>
      <c r="B41" s="34" t="str">
        <f>+[24]BG!C39</f>
        <v>空調鍍鋅鐵皮排風管500x500mm EI30, 含製作及安裝 （含越南消防及救護-救難警察局檢定費用）
Ống thoát gió bằng tôn mạ kẽm 500x500mm, EI30, bao gồm gia công chế tạo và lắp đặt. （Bao gồm chi phí kiểm định của cục cảnh sát pccc &amp; CNCH Việt Nam)</v>
      </c>
      <c r="C41" s="31"/>
      <c r="D41" s="31"/>
      <c r="E41" s="31"/>
      <c r="F41" s="31"/>
      <c r="G41" s="31"/>
      <c r="H41" s="31"/>
      <c r="I41" s="31"/>
      <c r="J41" s="31"/>
      <c r="K41" s="31"/>
      <c r="L41" s="31" t="str">
        <f>+[24]BG!L39</f>
        <v>m2</v>
      </c>
      <c r="M41" s="35">
        <f>+[24]BG!M39</f>
        <v>39</v>
      </c>
      <c r="N41" s="32"/>
      <c r="O41" s="32">
        <f t="shared" si="1"/>
        <v>0</v>
      </c>
      <c r="P41" s="33"/>
    </row>
    <row r="42" spans="1:18" s="30" customFormat="1" ht="79.2">
      <c r="A42" s="31">
        <f>+[23]l7!A42</f>
        <v>10</v>
      </c>
      <c r="B42" s="34" t="str">
        <f>+[24]BG!C40</f>
        <v>空調鍍鋅鐵皮排風管700x350mm EI30, 含製作及安裝 （含越南消防及救護-救難警察局檢定費用）
Ống thoát gió bằng tôn mạ kẽm 700x350mm, EI30, bao gồm gia công chế tạo và lắp đặt. （Bao gồm chi phí kiểm định của cục cảnh sát pccc &amp; CNCH Việt Nam)</v>
      </c>
      <c r="C42" s="31"/>
      <c r="D42" s="31"/>
      <c r="E42" s="31"/>
      <c r="F42" s="31"/>
      <c r="G42" s="31"/>
      <c r="H42" s="31"/>
      <c r="I42" s="31"/>
      <c r="J42" s="31"/>
      <c r="K42" s="31"/>
      <c r="L42" s="31" t="str">
        <f>+[24]BG!L40</f>
        <v>m2</v>
      </c>
      <c r="M42" s="35">
        <f>+[24]BG!M40</f>
        <v>476</v>
      </c>
      <c r="N42" s="32"/>
      <c r="O42" s="32">
        <f t="shared" si="1"/>
        <v>0</v>
      </c>
      <c r="P42" s="33"/>
    </row>
    <row r="43" spans="1:18" s="30" customFormat="1" ht="79.2">
      <c r="A43" s="31">
        <f>+[23]l7!A43</f>
        <v>11</v>
      </c>
      <c r="B43" s="34" t="str">
        <f>+[24]BG!C41</f>
        <v>空調鍍鋅鐵皮排風管1000x350mm EI30, 含製作及安裝 （含越南消防及救護-救難警察局檢定費用）
Ống thoát gió bằng tôn mạ kẽm 1000x350mm, EI30, bao gồm gia công chế tạo và lắp đặt. （Bao gồm chi phí kiểm định của cục cảnh sát pccc &amp; CNCH Việt Nam)</v>
      </c>
      <c r="C43" s="31"/>
      <c r="D43" s="31"/>
      <c r="E43" s="31"/>
      <c r="F43" s="31"/>
      <c r="G43" s="31"/>
      <c r="H43" s="31"/>
      <c r="I43" s="31"/>
      <c r="J43" s="31"/>
      <c r="K43" s="31"/>
      <c r="L43" s="31" t="str">
        <f>+[24]BG!L41</f>
        <v>m2</v>
      </c>
      <c r="M43" s="35">
        <f>+[24]BG!M41</f>
        <v>232</v>
      </c>
      <c r="N43" s="32"/>
      <c r="O43" s="32">
        <f t="shared" si="1"/>
        <v>0</v>
      </c>
      <c r="P43" s="33"/>
    </row>
    <row r="44" spans="1:18" s="30" customFormat="1" ht="39.6">
      <c r="A44" s="31">
        <f>+[23]l7!A44</f>
        <v>12</v>
      </c>
      <c r="B44" s="34" t="str">
        <f>+[24]BG!C42</f>
        <v>大小頭、彎頭、三通等連接配件，含安裝Phụ kiện kết nối côn, cút, tê…. bao gồm lắp đặt</v>
      </c>
      <c r="C44" s="31"/>
      <c r="D44" s="31"/>
      <c r="E44" s="31"/>
      <c r="F44" s="31"/>
      <c r="G44" s="31"/>
      <c r="H44" s="31"/>
      <c r="I44" s="31"/>
      <c r="J44" s="31"/>
      <c r="K44" s="31"/>
      <c r="L44" s="31" t="str">
        <f>+[24]BG!L42</f>
        <v>Khoản
式</v>
      </c>
      <c r="M44" s="35">
        <f>+[24]BG!M42</f>
        <v>1</v>
      </c>
      <c r="N44" s="32"/>
      <c r="O44" s="32">
        <f t="shared" si="1"/>
        <v>0</v>
      </c>
      <c r="P44" s="33"/>
    </row>
    <row r="45" spans="1:18" s="30" customFormat="1" ht="52.8">
      <c r="A45" s="31">
        <f>+[23]l7!A45</f>
        <v>13</v>
      </c>
      <c r="B45" s="34" t="str">
        <f>+[24]BG!C43</f>
        <v>MFD單葉閥2000x400 ，on/off DC 24v電動機, EI45
Van MFD 1 lá 2000x400, động cơ điện on/off DC 24v, EI45</v>
      </c>
      <c r="C45" s="31" t="s">
        <v>123</v>
      </c>
      <c r="D45" s="31" t="s">
        <v>106</v>
      </c>
      <c r="E45" s="31">
        <v>2000</v>
      </c>
      <c r="F45" s="31">
        <v>400</v>
      </c>
      <c r="G45" s="31"/>
      <c r="H45" s="31"/>
      <c r="I45" s="31">
        <v>2</v>
      </c>
      <c r="J45" s="31">
        <v>200</v>
      </c>
      <c r="K45" s="31">
        <v>1.1499999999999999</v>
      </c>
      <c r="L45" s="31" t="str">
        <f>+[24]BG!L43</f>
        <v>Cái
個</v>
      </c>
      <c r="M45" s="35">
        <f>+[24]BG!M43</f>
        <v>49</v>
      </c>
      <c r="N45" s="32">
        <v>9387821.2268456407</v>
      </c>
      <c r="O45" s="32">
        <f t="shared" si="1"/>
        <v>460003240.11543638</v>
      </c>
      <c r="P45" s="33" t="s">
        <v>128</v>
      </c>
      <c r="Q45" s="30">
        <v>7920000</v>
      </c>
      <c r="R45" s="30">
        <f>Q45*M45</f>
        <v>388080000</v>
      </c>
    </row>
    <row r="46" spans="1:18" s="30" customFormat="1" ht="52.8">
      <c r="A46" s="31">
        <f>+[23]l7!A46</f>
        <v>14</v>
      </c>
      <c r="B46" s="34" t="str">
        <f>+[24]BG!C44</f>
        <v>MFD單葉閥1200x400 ，on/off DC 24v電動機, EI45
Van MFD 1 lá 1200x400, động cơ điện on/off DC 24v, EI45</v>
      </c>
      <c r="C46" s="31" t="s">
        <v>123</v>
      </c>
      <c r="D46" s="31" t="s">
        <v>106</v>
      </c>
      <c r="E46" s="31">
        <v>1200</v>
      </c>
      <c r="F46" s="31">
        <v>400</v>
      </c>
      <c r="G46" s="31"/>
      <c r="H46" s="31"/>
      <c r="I46" s="31"/>
      <c r="J46" s="31">
        <v>200</v>
      </c>
      <c r="K46" s="31">
        <v>1.1499999999999999</v>
      </c>
      <c r="L46" s="31" t="str">
        <f>+[24]BG!L44</f>
        <v>Cái
個</v>
      </c>
      <c r="M46" s="35">
        <f>+[24]BG!M44</f>
        <v>8</v>
      </c>
      <c r="N46" s="32">
        <v>5123838.4944966454</v>
      </c>
      <c r="O46" s="32">
        <f t="shared" si="1"/>
        <v>40990707.955973163</v>
      </c>
      <c r="P46" s="33" t="s">
        <v>128</v>
      </c>
      <c r="Q46" s="30">
        <v>4300000</v>
      </c>
      <c r="R46" s="30">
        <f t="shared" ref="R46:R81" si="2">Q46*M46</f>
        <v>34400000</v>
      </c>
    </row>
    <row r="47" spans="1:18" s="30" customFormat="1" ht="52.8">
      <c r="A47" s="31">
        <f>+[23]l7!A47</f>
        <v>15</v>
      </c>
      <c r="B47" s="34" t="str">
        <f>+[24]BG!C45</f>
        <v>MFD單葉閥1000x350 ，on/off DC 24v電動機, EI45
Van MFD 1 lá 1000x350, động cơ điện on/off DC 24v, EI45</v>
      </c>
      <c r="C47" s="31" t="s">
        <v>123</v>
      </c>
      <c r="D47" s="31" t="s">
        <v>106</v>
      </c>
      <c r="E47" s="31">
        <v>1000</v>
      </c>
      <c r="F47" s="31">
        <v>350</v>
      </c>
      <c r="G47" s="31"/>
      <c r="H47" s="31"/>
      <c r="I47" s="31"/>
      <c r="J47" s="31">
        <v>200</v>
      </c>
      <c r="K47" s="31">
        <v>1.1499999999999999</v>
      </c>
      <c r="L47" s="31" t="str">
        <f>+[24]BG!L45</f>
        <v>Cái
個</v>
      </c>
      <c r="M47" s="35">
        <f>+[24]BG!M45</f>
        <v>7</v>
      </c>
      <c r="N47" s="32">
        <v>4531029.0392617462</v>
      </c>
      <c r="O47" s="32">
        <f t="shared" si="1"/>
        <v>31717203.274832223</v>
      </c>
      <c r="P47" s="33" t="s">
        <v>128</v>
      </c>
      <c r="Q47" s="30">
        <v>4030000</v>
      </c>
      <c r="R47" s="30">
        <f t="shared" si="2"/>
        <v>28210000</v>
      </c>
    </row>
    <row r="48" spans="1:18" s="30" customFormat="1" ht="26.4">
      <c r="A48" s="31">
        <f>+[23]l7!A48</f>
        <v>16</v>
      </c>
      <c r="B48" s="34" t="str">
        <f>+[24]BG!C46</f>
        <v>MD單葉閥4500x1000 ，on/off DC 24v電動機
Van MD 1 lá 4500x1000, động cơ điện on/off DC 24v</v>
      </c>
      <c r="C48" s="31" t="s">
        <v>42</v>
      </c>
      <c r="D48" s="31" t="s">
        <v>106</v>
      </c>
      <c r="E48" s="31">
        <v>4500</v>
      </c>
      <c r="F48" s="31">
        <v>1000</v>
      </c>
      <c r="G48" s="31"/>
      <c r="H48" s="31"/>
      <c r="I48" s="31"/>
      <c r="J48" s="31">
        <v>200</v>
      </c>
      <c r="K48" s="31">
        <v>1.1499999999999999</v>
      </c>
      <c r="L48" s="31" t="str">
        <f>+[24]BG!L46</f>
        <v>Cái
個</v>
      </c>
      <c r="M48" s="35">
        <f>+[24]BG!M46</f>
        <v>61</v>
      </c>
      <c r="N48" s="32">
        <v>7523250</v>
      </c>
      <c r="O48" s="32">
        <f t="shared" si="1"/>
        <v>458918250</v>
      </c>
      <c r="P48" s="33" t="s">
        <v>129</v>
      </c>
      <c r="Q48" s="30">
        <v>10260000</v>
      </c>
      <c r="R48" s="30">
        <f t="shared" si="2"/>
        <v>625860000</v>
      </c>
    </row>
    <row r="49" spans="1:18" s="30" customFormat="1" ht="26.4">
      <c r="A49" s="31">
        <f>+[23]l7!A49</f>
        <v>17</v>
      </c>
      <c r="B49" s="34" t="str">
        <f>+[24]BG!C47</f>
        <v>MD單葉閥4500x900 ，on/off DC 24v電動機
Van MD 1 lá 4500x900, động cơ điện on/off DC 24v</v>
      </c>
      <c r="C49" s="31" t="s">
        <v>42</v>
      </c>
      <c r="D49" s="31" t="s">
        <v>106</v>
      </c>
      <c r="E49" s="31">
        <v>4500</v>
      </c>
      <c r="F49" s="31">
        <v>900</v>
      </c>
      <c r="G49" s="31"/>
      <c r="H49" s="31"/>
      <c r="I49" s="31"/>
      <c r="J49" s="31">
        <v>200</v>
      </c>
      <c r="K49" s="31">
        <v>1.1499999999999999</v>
      </c>
      <c r="L49" s="31" t="str">
        <f>+[24]BG!L47</f>
        <v>Cái
個</v>
      </c>
      <c r="M49" s="35">
        <f>+[24]BG!M47</f>
        <v>0</v>
      </c>
      <c r="N49" s="32">
        <v>7275187.5</v>
      </c>
      <c r="O49" s="32">
        <f t="shared" si="1"/>
        <v>0</v>
      </c>
      <c r="P49" s="33" t="s">
        <v>129</v>
      </c>
      <c r="R49" s="30">
        <f t="shared" si="2"/>
        <v>0</v>
      </c>
    </row>
    <row r="50" spans="1:18" s="30" customFormat="1" ht="26.4">
      <c r="A50" s="31">
        <f>+[23]l7!A50</f>
        <v>18</v>
      </c>
      <c r="B50" s="34" t="str">
        <f>+[24]BG!C48</f>
        <v>MD單葉閥4500x700 ，on/off DC 24v電動機
Van MD 1 lá 4500x700, động cơ điện on/off DC 24v</v>
      </c>
      <c r="C50" s="31" t="s">
        <v>42</v>
      </c>
      <c r="D50" s="31" t="s">
        <v>106</v>
      </c>
      <c r="E50" s="31">
        <v>4500</v>
      </c>
      <c r="F50" s="31">
        <v>700</v>
      </c>
      <c r="G50" s="31"/>
      <c r="H50" s="31"/>
      <c r="I50" s="31"/>
      <c r="J50" s="31">
        <v>200</v>
      </c>
      <c r="K50" s="31">
        <v>1.1499999999999999</v>
      </c>
      <c r="L50" s="31" t="str">
        <f>+[24]BG!L48</f>
        <v>Cái
個</v>
      </c>
      <c r="M50" s="35">
        <f>+[24]BG!M48</f>
        <v>11</v>
      </c>
      <c r="N50" s="32">
        <v>6781687.5</v>
      </c>
      <c r="O50" s="32">
        <f t="shared" si="1"/>
        <v>74598562.5</v>
      </c>
      <c r="P50" s="33" t="s">
        <v>129</v>
      </c>
      <c r="Q50" s="30">
        <v>7989000</v>
      </c>
      <c r="R50" s="30">
        <f t="shared" si="2"/>
        <v>87879000</v>
      </c>
    </row>
    <row r="51" spans="1:18" s="30" customFormat="1" ht="26.4">
      <c r="A51" s="31">
        <f>+[23]l7!A51</f>
        <v>19</v>
      </c>
      <c r="B51" s="34" t="str">
        <f>+[24]BG!C49</f>
        <v>MD單葉閥2500x1800 ，on/off DC 24v電動機
Van MD 1 lá 2500x1800, động cơ điện on/off DC 24v</v>
      </c>
      <c r="C51" s="31" t="s">
        <v>42</v>
      </c>
      <c r="D51" s="31" t="s">
        <v>106</v>
      </c>
      <c r="E51" s="31">
        <v>2500</v>
      </c>
      <c r="F51" s="31">
        <v>1800</v>
      </c>
      <c r="G51" s="31"/>
      <c r="H51" s="31"/>
      <c r="I51" s="31"/>
      <c r="J51" s="31">
        <v>200</v>
      </c>
      <c r="K51" s="31">
        <v>1.1499999999999999</v>
      </c>
      <c r="L51" s="31" t="str">
        <f>+[24]BG!L49</f>
        <v>Cái
個</v>
      </c>
      <c r="M51" s="35">
        <f>+[24]BG!M49</f>
        <v>10</v>
      </c>
      <c r="N51" s="32">
        <v>7174125</v>
      </c>
      <c r="O51" s="32">
        <f t="shared" si="1"/>
        <v>71741250</v>
      </c>
      <c r="P51" s="33" t="s">
        <v>129</v>
      </c>
      <c r="Q51" s="30">
        <v>9756000</v>
      </c>
      <c r="R51" s="30">
        <f t="shared" si="2"/>
        <v>97560000</v>
      </c>
    </row>
    <row r="52" spans="1:18" s="30" customFormat="1" ht="26.4">
      <c r="A52" s="31">
        <f>+[23]l7!A52</f>
        <v>20</v>
      </c>
      <c r="B52" s="34" t="str">
        <f>+[24]BG!C50</f>
        <v>MD單葉閥2000x2000 ，on/off DC 24v電動機
Van MD 1 lá 2000x2000, động cơ điện on/off DC 24v</v>
      </c>
      <c r="C52" s="31" t="s">
        <v>42</v>
      </c>
      <c r="D52" s="31" t="s">
        <v>106</v>
      </c>
      <c r="E52" s="31">
        <v>2000</v>
      </c>
      <c r="F52" s="31">
        <v>2000</v>
      </c>
      <c r="G52" s="31"/>
      <c r="H52" s="31"/>
      <c r="I52" s="31"/>
      <c r="J52" s="31">
        <v>200</v>
      </c>
      <c r="K52" s="31">
        <v>1.1499999999999999</v>
      </c>
      <c r="L52" s="31" t="str">
        <f>+[24]BG!L50</f>
        <v>Cái
個</v>
      </c>
      <c r="M52" s="35">
        <f>+[24]BG!M50</f>
        <v>5</v>
      </c>
      <c r="N52" s="32">
        <v>6844687.5</v>
      </c>
      <c r="O52" s="32">
        <f t="shared" si="1"/>
        <v>34223437.5</v>
      </c>
      <c r="P52" s="33" t="s">
        <v>129</v>
      </c>
      <c r="Q52" s="30">
        <v>9280000</v>
      </c>
      <c r="R52" s="30">
        <f t="shared" si="2"/>
        <v>46400000</v>
      </c>
    </row>
    <row r="53" spans="1:18" s="30" customFormat="1" ht="26.4">
      <c r="A53" s="31">
        <f>+[23]l7!A53</f>
        <v>21</v>
      </c>
      <c r="B53" s="34" t="str">
        <f>+[24]BG!C51</f>
        <v>MD單葉閥2000x1800 ，on/off DC 24v電動機
Van MD 1 lá 2000x1800, động cơ điện on/off DC 24v</v>
      </c>
      <c r="C53" s="31" t="s">
        <v>42</v>
      </c>
      <c r="D53" s="31" t="s">
        <v>106</v>
      </c>
      <c r="E53" s="31">
        <v>2000</v>
      </c>
      <c r="F53" s="31">
        <v>1800</v>
      </c>
      <c r="G53" s="31"/>
      <c r="H53" s="31"/>
      <c r="I53" s="31"/>
      <c r="J53" s="31">
        <v>200</v>
      </c>
      <c r="K53" s="31">
        <v>1.1499999999999999</v>
      </c>
      <c r="L53" s="31" t="str">
        <f>+[24]BG!L51</f>
        <v>Cái
個</v>
      </c>
      <c r="M53" s="35">
        <f>+[24]BG!M51</f>
        <v>2</v>
      </c>
      <c r="N53" s="32">
        <v>6591375</v>
      </c>
      <c r="O53" s="32">
        <f t="shared" si="1"/>
        <v>13182750</v>
      </c>
      <c r="P53" s="33" t="s">
        <v>129</v>
      </c>
      <c r="Q53" s="30">
        <v>8916000</v>
      </c>
      <c r="R53" s="30">
        <f t="shared" si="2"/>
        <v>17832000</v>
      </c>
    </row>
    <row r="54" spans="1:18" s="30" customFormat="1" ht="26.4">
      <c r="A54" s="31">
        <f>+[23]l7!A54</f>
        <v>22</v>
      </c>
      <c r="B54" s="34" t="str">
        <f>+[24]BG!C52</f>
        <v>MD單葉閥2000x1000 ，on/off DC 24v電動機
Van MD 1 lá 2000x1000, động cơ điện on/off DC 24v</v>
      </c>
      <c r="C54" s="31" t="s">
        <v>42</v>
      </c>
      <c r="D54" s="31" t="s">
        <v>106</v>
      </c>
      <c r="E54" s="31">
        <v>2000</v>
      </c>
      <c r="F54" s="31">
        <v>1000</v>
      </c>
      <c r="G54" s="31"/>
      <c r="H54" s="31"/>
      <c r="I54" s="31"/>
      <c r="J54" s="31">
        <v>200</v>
      </c>
      <c r="K54" s="31">
        <v>1.1499999999999999</v>
      </c>
      <c r="L54" s="31" t="str">
        <f>+[24]BG!L52</f>
        <v>Cái
個</v>
      </c>
      <c r="M54" s="35">
        <f>+[24]BG!M52</f>
        <v>7</v>
      </c>
      <c r="N54" s="32">
        <v>3903375</v>
      </c>
      <c r="O54" s="32">
        <f t="shared" si="1"/>
        <v>27323625</v>
      </c>
      <c r="P54" s="33" t="s">
        <v>131</v>
      </c>
      <c r="Q54" s="30">
        <v>5060000</v>
      </c>
      <c r="R54" s="30">
        <f t="shared" si="2"/>
        <v>35420000</v>
      </c>
    </row>
    <row r="55" spans="1:18" s="30" customFormat="1" ht="26.4">
      <c r="A55" s="31">
        <f>+[23]l7!A55</f>
        <v>23</v>
      </c>
      <c r="B55" s="34" t="str">
        <f>+[24]BG!C53</f>
        <v>MD單葉閥1500x1500 ，on/off DC 24v電動機
Van MD 1 lá 1500x1500, động cơ điện on/off DC 24v</v>
      </c>
      <c r="C55" s="31" t="s">
        <v>42</v>
      </c>
      <c r="D55" s="31" t="s">
        <v>106</v>
      </c>
      <c r="E55" s="31">
        <v>1500</v>
      </c>
      <c r="F55" s="31">
        <v>1500</v>
      </c>
      <c r="G55" s="31"/>
      <c r="H55" s="31"/>
      <c r="I55" s="31"/>
      <c r="J55" s="31">
        <v>200</v>
      </c>
      <c r="K55" s="31">
        <v>1.1499999999999999</v>
      </c>
      <c r="L55" s="31" t="str">
        <f>+[24]BG!L53</f>
        <v>Cái
個</v>
      </c>
      <c r="M55" s="35">
        <f>+[24]BG!M53</f>
        <v>26</v>
      </c>
      <c r="N55" s="32">
        <v>4024125</v>
      </c>
      <c r="O55" s="32">
        <f t="shared" si="1"/>
        <v>104627250</v>
      </c>
      <c r="P55" s="33" t="s">
        <v>131</v>
      </c>
      <c r="Q55" s="30">
        <v>4035000</v>
      </c>
      <c r="R55" s="30">
        <f t="shared" si="2"/>
        <v>104910000</v>
      </c>
    </row>
    <row r="56" spans="1:18" s="30" customFormat="1" ht="26.4">
      <c r="A56" s="31">
        <f>+[23]l7!A56</f>
        <v>24</v>
      </c>
      <c r="B56" s="34" t="str">
        <f>+[24]BG!C54</f>
        <v>MD單葉閥1000x1000 ，on/off DC 24v電動機
Van MD 1 lá 1000x1000, động cơ điện on/off DC 24v</v>
      </c>
      <c r="C56" s="31" t="s">
        <v>42</v>
      </c>
      <c r="D56" s="31" t="s">
        <v>106</v>
      </c>
      <c r="E56" s="31">
        <v>1000</v>
      </c>
      <c r="F56" s="31">
        <v>1000</v>
      </c>
      <c r="G56" s="31"/>
      <c r="H56" s="31"/>
      <c r="I56" s="31"/>
      <c r="J56" s="31">
        <v>200</v>
      </c>
      <c r="K56" s="31">
        <v>1.1499999999999999</v>
      </c>
      <c r="L56" s="31" t="str">
        <f>+[24]BG!L54</f>
        <v>Cái
個</v>
      </c>
      <c r="M56" s="35">
        <f>+[24]BG!M54</f>
        <v>12</v>
      </c>
      <c r="N56" s="32">
        <v>2287687.5</v>
      </c>
      <c r="O56" s="32">
        <f t="shared" si="1"/>
        <v>27452250</v>
      </c>
      <c r="P56" s="33" t="s">
        <v>132</v>
      </c>
      <c r="Q56" s="30">
        <v>2740000</v>
      </c>
      <c r="R56" s="30">
        <f t="shared" si="2"/>
        <v>32880000</v>
      </c>
    </row>
    <row r="57" spans="1:18" s="30" customFormat="1" ht="26.4">
      <c r="A57" s="31">
        <f>+[23]l7!A57</f>
        <v>25</v>
      </c>
      <c r="B57" s="34" t="str">
        <f>+[24]BG!C55</f>
        <v>MD單葉閥1000x700 ，on/off DC 24v電動機
Van MD 1 lá 1000x700, động cơ điện on/off DC 24v</v>
      </c>
      <c r="C57" s="31" t="s">
        <v>42</v>
      </c>
      <c r="D57" s="31" t="s">
        <v>106</v>
      </c>
      <c r="E57" s="31">
        <v>1000</v>
      </c>
      <c r="F57" s="31">
        <v>700</v>
      </c>
      <c r="G57" s="31"/>
      <c r="H57" s="31"/>
      <c r="I57" s="31"/>
      <c r="J57" s="31">
        <v>200</v>
      </c>
      <c r="K57" s="31">
        <v>1.1499999999999999</v>
      </c>
      <c r="L57" s="31" t="str">
        <f>+[24]BG!L55</f>
        <v>Cái
個</v>
      </c>
      <c r="M57" s="35">
        <f>+[24]BG!M55</f>
        <v>37</v>
      </c>
      <c r="N57" s="32">
        <v>2054062.5</v>
      </c>
      <c r="O57" s="32">
        <f t="shared" si="1"/>
        <v>76000312.5</v>
      </c>
      <c r="P57" s="33" t="s">
        <v>132</v>
      </c>
      <c r="Q57" s="30">
        <v>2404000</v>
      </c>
      <c r="R57" s="30">
        <f t="shared" si="2"/>
        <v>88948000</v>
      </c>
    </row>
    <row r="58" spans="1:18" s="30" customFormat="1" ht="26.4">
      <c r="A58" s="31">
        <f>+[23]l7!A58</f>
        <v>26</v>
      </c>
      <c r="B58" s="34" t="str">
        <f>+[24]BG!C56</f>
        <v>MD單葉閥800x1500 ，on/off DC 24v電動機
Van MD 1 lá 800x1500, động cơ điện on/off DC 24v</v>
      </c>
      <c r="C58" s="31" t="s">
        <v>42</v>
      </c>
      <c r="D58" s="31" t="s">
        <v>106</v>
      </c>
      <c r="E58" s="31">
        <v>800</v>
      </c>
      <c r="F58" s="31">
        <v>1500</v>
      </c>
      <c r="G58" s="31"/>
      <c r="H58" s="31"/>
      <c r="I58" s="31"/>
      <c r="J58" s="31">
        <v>200</v>
      </c>
      <c r="K58" s="31">
        <v>1.1499999999999999</v>
      </c>
      <c r="L58" s="31" t="str">
        <f>+[24]BG!L56</f>
        <v>Cái
個</v>
      </c>
      <c r="M58" s="35">
        <f>+[24]BG!M56</f>
        <v>1</v>
      </c>
      <c r="N58" s="32">
        <v>2471437.5</v>
      </c>
      <c r="O58" s="32">
        <f t="shared" si="1"/>
        <v>2471437.5</v>
      </c>
      <c r="P58" s="33" t="s">
        <v>132</v>
      </c>
      <c r="Q58" s="30">
        <v>3006000</v>
      </c>
      <c r="R58" s="30">
        <f t="shared" si="2"/>
        <v>3006000</v>
      </c>
    </row>
    <row r="59" spans="1:18" s="30" customFormat="1" ht="26.4">
      <c r="A59" s="31">
        <f>+[23]l7!A59</f>
        <v>27</v>
      </c>
      <c r="B59" s="34" t="str">
        <f>+[24]BG!C57</f>
        <v>1800×1000止回阀安装 Van 1 chiều 1800x1000</v>
      </c>
      <c r="C59" s="31" t="s">
        <v>57</v>
      </c>
      <c r="D59" s="31" t="s">
        <v>106</v>
      </c>
      <c r="E59" s="31">
        <v>1800</v>
      </c>
      <c r="F59" s="31">
        <v>1000</v>
      </c>
      <c r="G59" s="31"/>
      <c r="H59" s="31"/>
      <c r="I59" s="31"/>
      <c r="J59" s="31">
        <v>200</v>
      </c>
      <c r="K59" s="31">
        <v>1.1499999999999999</v>
      </c>
      <c r="L59" s="31" t="str">
        <f>+[24]BG!L57</f>
        <v>Cái
個</v>
      </c>
      <c r="M59" s="35">
        <f>+[24]BG!M57</f>
        <v>9</v>
      </c>
      <c r="N59" s="32">
        <v>1970000</v>
      </c>
      <c r="O59" s="32">
        <f t="shared" si="1"/>
        <v>17730000</v>
      </c>
      <c r="P59" s="33"/>
      <c r="Q59" s="30">
        <v>2436000</v>
      </c>
      <c r="R59" s="30">
        <f t="shared" si="2"/>
        <v>21924000</v>
      </c>
    </row>
    <row r="60" spans="1:18" s="30" customFormat="1" ht="26.4">
      <c r="A60" s="31"/>
      <c r="B60" s="34" t="str">
        <f>+[24]BG!C58</f>
        <v>单向止回风阀（NRD）1400×500 mm Van 1 chiều NRD 1400x500</v>
      </c>
      <c r="C60" s="31" t="s">
        <v>57</v>
      </c>
      <c r="D60" s="31" t="s">
        <v>106</v>
      </c>
      <c r="E60" s="31">
        <v>1400</v>
      </c>
      <c r="F60" s="31">
        <v>500</v>
      </c>
      <c r="G60" s="31"/>
      <c r="H60" s="31"/>
      <c r="I60" s="31"/>
      <c r="J60" s="31">
        <v>200</v>
      </c>
      <c r="K60" s="31">
        <v>1.1499999999999999</v>
      </c>
      <c r="L60" s="31" t="str">
        <f>+[24]BG!L58</f>
        <v>Cái
個</v>
      </c>
      <c r="M60" s="35">
        <f>+[24]BG!M58</f>
        <v>7</v>
      </c>
      <c r="N60" s="32">
        <v>1212500</v>
      </c>
      <c r="O60" s="32">
        <f t="shared" si="1"/>
        <v>8487500</v>
      </c>
      <c r="P60" s="33"/>
      <c r="Q60" s="30">
        <v>1288000</v>
      </c>
      <c r="R60" s="30">
        <f t="shared" si="2"/>
        <v>9016000</v>
      </c>
    </row>
    <row r="61" spans="1:18" s="30" customFormat="1" ht="26.4">
      <c r="A61" s="31">
        <f>+[23]l7!A61</f>
        <v>1</v>
      </c>
      <c r="B61" s="34" t="str">
        <f>+[24]BG!C59</f>
        <v>1000×500配重式泄压阀安装 Van xả áp kiểu đối trọng KT:1000x500</v>
      </c>
      <c r="C61" s="31" t="s">
        <v>171</v>
      </c>
      <c r="D61" s="31" t="s">
        <v>106</v>
      </c>
      <c r="E61" s="31">
        <v>1000</v>
      </c>
      <c r="F61" s="31">
        <v>500</v>
      </c>
      <c r="G61" s="31"/>
      <c r="H61" s="31"/>
      <c r="I61" s="31"/>
      <c r="J61" s="31">
        <v>200</v>
      </c>
      <c r="K61" s="31">
        <v>1.1499999999999999</v>
      </c>
      <c r="L61" s="31" t="str">
        <f>+[24]BG!L59</f>
        <v>Cái
個</v>
      </c>
      <c r="M61" s="35">
        <f>+[24]BG!M59</f>
        <v>21</v>
      </c>
      <c r="N61" s="32">
        <v>1153450</v>
      </c>
      <c r="O61" s="32">
        <f t="shared" si="1"/>
        <v>24222450</v>
      </c>
      <c r="P61" s="33"/>
      <c r="Q61" s="30">
        <v>979999.99999999988</v>
      </c>
      <c r="R61" s="30">
        <f t="shared" si="2"/>
        <v>20579999.999999996</v>
      </c>
    </row>
    <row r="62" spans="1:18" s="30" customFormat="1" ht="39.6">
      <c r="A62" s="31">
        <f>+[23]l7!A62</f>
        <v>2</v>
      </c>
      <c r="B62" s="34" t="str">
        <f>+[24]BG!C60</f>
        <v>手動抽煙啟動按鈕。含安裝及與監控模塊鏈接配件
Nút ấn khởi động hút khói bằng tay (testing). Bao gồm nhân công lắp đặt, phụ kiện liên kết</v>
      </c>
      <c r="C62" s="31"/>
      <c r="D62" s="31"/>
      <c r="E62" s="31"/>
      <c r="F62" s="31"/>
      <c r="G62" s="31"/>
      <c r="H62" s="31"/>
      <c r="I62" s="31"/>
      <c r="J62" s="31"/>
      <c r="K62" s="31"/>
      <c r="L62" s="31" t="str">
        <f>+[24]BG!L60</f>
        <v>個
Cái</v>
      </c>
      <c r="M62" s="35">
        <f>+[24]BG!M60</f>
        <v>37</v>
      </c>
      <c r="N62" s="32"/>
      <c r="O62" s="32">
        <f t="shared" si="1"/>
        <v>0</v>
      </c>
      <c r="P62" s="33"/>
      <c r="R62" s="30">
        <f t="shared" si="2"/>
        <v>0</v>
      </c>
    </row>
    <row r="63" spans="1:18" s="30" customFormat="1" ht="52.8">
      <c r="A63" s="31">
        <f>+[23]l7!A63</f>
        <v>3</v>
      </c>
      <c r="B63" s="34" t="str">
        <f>+[24]BG!C61</f>
        <v>L50x50x5mm吊架，含製造與施工（含一道底漆，及兩道乳白色面漆）
Giá treo L50x50x5mm bao gồm chế tạo và thi công ( gồm sơn 1 lớp sơn lót và 2 lớp sơn phủ màu sữa)</v>
      </c>
      <c r="C63" s="31"/>
      <c r="D63" s="31"/>
      <c r="E63" s="31"/>
      <c r="F63" s="31"/>
      <c r="G63" s="31"/>
      <c r="H63" s="31"/>
      <c r="I63" s="31"/>
      <c r="J63" s="31"/>
      <c r="K63" s="31"/>
      <c r="L63" s="31" t="str">
        <f>+[24]BG!L61</f>
        <v>套
Bộ</v>
      </c>
      <c r="M63" s="35">
        <f>+[24]BG!M61</f>
        <v>2577</v>
      </c>
      <c r="N63" s="32"/>
      <c r="O63" s="32">
        <f t="shared" si="1"/>
        <v>0</v>
      </c>
      <c r="P63" s="33"/>
      <c r="R63" s="30">
        <f t="shared" si="2"/>
        <v>0</v>
      </c>
    </row>
    <row r="64" spans="1:18" s="30" customFormat="1" ht="39.6">
      <c r="A64" s="31">
        <f>+[23]l7!A64</f>
        <v>4</v>
      </c>
      <c r="B64" s="34" t="str">
        <f>+[24]BG!C62</f>
        <v>Khớp nối mềm kèm bích đầu quạt Bao gồm nhân công phụ kiện lắp đặt
軟接頭含抽煙機頭法蘭。含配件及安裝</v>
      </c>
      <c r="C64" s="31"/>
      <c r="D64" s="31"/>
      <c r="E64" s="31"/>
      <c r="F64" s="31"/>
      <c r="G64" s="31"/>
      <c r="H64" s="31"/>
      <c r="I64" s="31"/>
      <c r="J64" s="31"/>
      <c r="K64" s="31"/>
      <c r="L64" s="31" t="str">
        <f>+[24]BG!L62</f>
        <v>個
Cái</v>
      </c>
      <c r="M64" s="35">
        <f>+[24]BG!M62</f>
        <v>58</v>
      </c>
      <c r="N64" s="32"/>
      <c r="O64" s="32">
        <f t="shared" si="1"/>
        <v>0</v>
      </c>
      <c r="P64" s="33"/>
      <c r="R64" s="30">
        <f t="shared" si="2"/>
        <v>0</v>
      </c>
    </row>
    <row r="65" spans="1:18" s="30" customFormat="1" ht="39.6">
      <c r="A65" s="31">
        <f>+[23]l7!A65</f>
        <v>5</v>
      </c>
      <c r="B65" s="34" t="str">
        <f>+[24]BG!C63</f>
        <v>Cửa gió louver thải khói + lưới chắn côn trùng 1800x1000
louver風門排煙+擋昆蟲網1800x1000</v>
      </c>
      <c r="C65" s="31" t="s">
        <v>133</v>
      </c>
      <c r="D65" s="31" t="s">
        <v>106</v>
      </c>
      <c r="E65" s="31">
        <v>1800</v>
      </c>
      <c r="F65" s="31">
        <v>1000</v>
      </c>
      <c r="G65" s="31">
        <f>+E65-50</f>
        <v>1750</v>
      </c>
      <c r="H65" s="31">
        <f>+F65-50</f>
        <v>950</v>
      </c>
      <c r="I65" s="31"/>
      <c r="J65" s="31"/>
      <c r="K65" s="31"/>
      <c r="L65" s="31" t="str">
        <f>+[24]BG!L63</f>
        <v>個
Cái</v>
      </c>
      <c r="M65" s="35">
        <f>+[24]BG!M63</f>
        <v>9</v>
      </c>
      <c r="N65" s="32">
        <v>2202750</v>
      </c>
      <c r="O65" s="32">
        <f t="shared" si="1"/>
        <v>19824750</v>
      </c>
      <c r="P65" s="33" t="s">
        <v>127</v>
      </c>
      <c r="Q65" s="30">
        <v>2770000</v>
      </c>
      <c r="R65" s="30">
        <f t="shared" si="2"/>
        <v>24930000</v>
      </c>
    </row>
    <row r="66" spans="1:18" s="30" customFormat="1" ht="26.4">
      <c r="A66" s="31">
        <f>+[23]l7!A66</f>
        <v>6</v>
      </c>
      <c r="B66" s="34" t="str">
        <f>+[24]BG!C64</f>
        <v>Cửa gió louver thải khói + lưới chắn côn trùng 1400x500
louver風門排煙+擋昆蟲網1400x500</v>
      </c>
      <c r="C66" s="31" t="s">
        <v>133</v>
      </c>
      <c r="D66" s="31" t="s">
        <v>106</v>
      </c>
      <c r="E66" s="31">
        <v>1400</v>
      </c>
      <c r="F66" s="31">
        <v>500</v>
      </c>
      <c r="G66" s="31">
        <f t="shared" ref="G66:H68" si="3">+E66-50</f>
        <v>1350</v>
      </c>
      <c r="H66" s="31">
        <f t="shared" si="3"/>
        <v>450</v>
      </c>
      <c r="I66" s="31"/>
      <c r="J66" s="31"/>
      <c r="K66" s="31"/>
      <c r="L66" s="31" t="str">
        <f>+[24]BG!L64</f>
        <v>個
Cái</v>
      </c>
      <c r="M66" s="35">
        <f>+[24]BG!M64</f>
        <v>9</v>
      </c>
      <c r="N66" s="32">
        <v>913869.00000000012</v>
      </c>
      <c r="O66" s="32">
        <f t="shared" si="1"/>
        <v>8224821.0000000009</v>
      </c>
      <c r="P66" s="33" t="s">
        <v>127</v>
      </c>
      <c r="Q66" s="30">
        <v>1130000</v>
      </c>
      <c r="R66" s="30">
        <f t="shared" si="2"/>
        <v>10170000</v>
      </c>
    </row>
    <row r="67" spans="1:18" s="30" customFormat="1" ht="26.4">
      <c r="A67" s="31">
        <f>+[23]l7!A67</f>
        <v>7</v>
      </c>
      <c r="B67" s="34" t="str">
        <f>+[24]BG!C65</f>
        <v>Cửa gió louver thải khói + lưới chắn côn trùng 1000x600
louver風門排煙+擋昆蟲網1000x600</v>
      </c>
      <c r="C67" s="31" t="s">
        <v>133</v>
      </c>
      <c r="D67" s="31" t="s">
        <v>106</v>
      </c>
      <c r="E67" s="31">
        <v>1000</v>
      </c>
      <c r="F67" s="31">
        <v>600</v>
      </c>
      <c r="G67" s="31">
        <f t="shared" si="3"/>
        <v>950</v>
      </c>
      <c r="H67" s="31">
        <f t="shared" si="3"/>
        <v>550</v>
      </c>
      <c r="I67" s="31"/>
      <c r="J67" s="31"/>
      <c r="K67" s="31"/>
      <c r="L67" s="31" t="str">
        <f>+[24]BG!L65</f>
        <v>個
Cái</v>
      </c>
      <c r="M67" s="35">
        <f>+[24]BG!M65</f>
        <v>6</v>
      </c>
      <c r="N67" s="32">
        <v>772596.00000000012</v>
      </c>
      <c r="O67" s="32">
        <f t="shared" si="1"/>
        <v>4635576.0000000009</v>
      </c>
      <c r="P67" s="33" t="s">
        <v>127</v>
      </c>
      <c r="Q67" s="30">
        <v>990000</v>
      </c>
      <c r="R67" s="30">
        <f t="shared" si="2"/>
        <v>5940000</v>
      </c>
    </row>
    <row r="68" spans="1:18" s="30" customFormat="1" ht="26.4">
      <c r="A68" s="31">
        <f>+[23]l7!A68</f>
        <v>8</v>
      </c>
      <c r="B68" s="34" t="str">
        <f>+[24]BG!C66</f>
        <v>Cửa gió louver thải khói + lưới chắn côn trùng 1000x500
louver風門排煙+擋昆蟲網1000x500</v>
      </c>
      <c r="C68" s="31" t="s">
        <v>133</v>
      </c>
      <c r="D68" s="31" t="s">
        <v>106</v>
      </c>
      <c r="E68" s="31">
        <v>1000</v>
      </c>
      <c r="F68" s="31">
        <v>500</v>
      </c>
      <c r="G68" s="31">
        <f t="shared" si="3"/>
        <v>950</v>
      </c>
      <c r="H68" s="31">
        <f t="shared" si="3"/>
        <v>450</v>
      </c>
      <c r="I68" s="31"/>
      <c r="J68" s="31"/>
      <c r="K68" s="31"/>
      <c r="L68" s="31" t="str">
        <f>+[24]BG!L66</f>
        <v>個
Cái</v>
      </c>
      <c r="M68" s="35">
        <f>+[24]BG!M66</f>
        <v>13</v>
      </c>
      <c r="N68" s="32">
        <v>662409</v>
      </c>
      <c r="O68" s="32">
        <f t="shared" si="1"/>
        <v>8611317</v>
      </c>
      <c r="P68" s="33" t="s">
        <v>127</v>
      </c>
      <c r="Q68" s="30">
        <v>665000</v>
      </c>
      <c r="R68" s="30">
        <f t="shared" si="2"/>
        <v>8645000</v>
      </c>
    </row>
    <row r="69" spans="1:18" s="30" customFormat="1" ht="79.2">
      <c r="A69" s="31">
        <f>+[23]l7!A69</f>
        <v>9</v>
      </c>
      <c r="B69" s="34" t="str">
        <f>+[24]BG!C67</f>
        <v>Côn thu đầu quạt 1400x700/DQ-L800. Bao gồm nhân công lắp đặt, phụ kiện bích nối, zoăng làm kín, kẹp C, bulong+ốc+long đen
 1400x700/DQ-L800抽煙機頭變徑。含安裝及鏈接法蘭、墊圈、C夾、螺栓螺絲等</v>
      </c>
      <c r="C69" s="31"/>
      <c r="D69" s="31"/>
      <c r="E69" s="31"/>
      <c r="F69" s="31"/>
      <c r="G69" s="31"/>
      <c r="H69" s="31"/>
      <c r="I69" s="31"/>
      <c r="J69" s="31"/>
      <c r="K69" s="31"/>
      <c r="L69" s="31" t="str">
        <f>+[24]BG!L67</f>
        <v>個
Cái</v>
      </c>
      <c r="M69" s="35">
        <f>+[24]BG!M67</f>
        <v>9</v>
      </c>
      <c r="N69" s="32"/>
      <c r="O69" s="32">
        <f t="shared" si="1"/>
        <v>0</v>
      </c>
      <c r="P69" s="33"/>
      <c r="R69" s="30">
        <f t="shared" si="2"/>
        <v>0</v>
      </c>
    </row>
    <row r="70" spans="1:18" s="30" customFormat="1" ht="79.2">
      <c r="A70" s="31">
        <f>+[23]l7!A70</f>
        <v>10</v>
      </c>
      <c r="B70" s="34" t="str">
        <f>+[24]BG!C68</f>
        <v>Côn thu đầu quạt 1400x500/DQ-L800. Bao gồm nhân công lắp đặt, phụ kiện bích nối, zoăng làm kín, kẹp C, bulong+ốc+long đen
 1400x500/DQ-L800抽煙機頭變徑。含安裝及鏈接法蘭、墊圈、C夾、螺栓螺絲等</v>
      </c>
      <c r="C70" s="31"/>
      <c r="D70" s="31"/>
      <c r="E70" s="31"/>
      <c r="F70" s="31"/>
      <c r="G70" s="31"/>
      <c r="H70" s="31"/>
      <c r="I70" s="31"/>
      <c r="J70" s="31"/>
      <c r="K70" s="31"/>
      <c r="L70" s="31" t="str">
        <f>+[24]BG!L68</f>
        <v>個
Cái</v>
      </c>
      <c r="M70" s="35">
        <f>+[24]BG!M68</f>
        <v>4</v>
      </c>
      <c r="N70" s="32"/>
      <c r="O70" s="32">
        <f t="shared" si="1"/>
        <v>0</v>
      </c>
      <c r="P70" s="33"/>
      <c r="R70" s="30">
        <f t="shared" si="2"/>
        <v>0</v>
      </c>
    </row>
    <row r="71" spans="1:18" s="30" customFormat="1" ht="79.2">
      <c r="A71" s="31"/>
      <c r="B71" s="34" t="str">
        <f>+[24]BG!C69</f>
        <v>Côn thu đầu quạt 1000x350/DQ-L800. Bao gồm nhân công lắp đặt, phụ kiện bích nối, zoăng làm kín, kẹp C, bulong+ốc+long đen
 1000x350/DQ-L800抽煙機頭變徑。含安裝及鏈接法蘭、墊圈、C夾、螺栓螺絲等</v>
      </c>
      <c r="C71" s="31"/>
      <c r="D71" s="31"/>
      <c r="E71" s="31"/>
      <c r="F71" s="31"/>
      <c r="G71" s="31"/>
      <c r="H71" s="31"/>
      <c r="I71" s="31"/>
      <c r="J71" s="31"/>
      <c r="K71" s="31"/>
      <c r="L71" s="31" t="str">
        <f>+[24]BG!L69</f>
        <v>個
Cái</v>
      </c>
      <c r="M71" s="35">
        <f>+[24]BG!M69</f>
        <v>7</v>
      </c>
      <c r="N71" s="32"/>
      <c r="O71" s="32">
        <f t="shared" si="1"/>
        <v>0</v>
      </c>
      <c r="P71" s="33"/>
      <c r="R71" s="30">
        <f t="shared" si="2"/>
        <v>0</v>
      </c>
    </row>
    <row r="72" spans="1:18" s="30" customFormat="1" ht="79.2">
      <c r="A72" s="31"/>
      <c r="B72" s="34" t="str">
        <f>+[24]BG!C70</f>
        <v>Côn thu đầu quạt 1000x600/DQ-L800. Bao gồm nhân công lắp đặt, phụ kiện bích nối, zoăng làm kín, kẹp C, bulong+ốc+long đen
 1000x600/DQ-L800抽煙機頭變徑。含安裝及鏈接法蘭、墊圈、C夾、螺栓螺絲等</v>
      </c>
      <c r="C72" s="31"/>
      <c r="D72" s="31"/>
      <c r="E72" s="31"/>
      <c r="F72" s="31"/>
      <c r="G72" s="31"/>
      <c r="H72" s="31"/>
      <c r="I72" s="31"/>
      <c r="J72" s="31"/>
      <c r="K72" s="31"/>
      <c r="L72" s="31" t="str">
        <f>+[24]BG!L70</f>
        <v>個
Cái</v>
      </c>
      <c r="M72" s="35">
        <f>+[24]BG!M70</f>
        <v>12</v>
      </c>
      <c r="N72" s="32"/>
      <c r="O72" s="32">
        <f t="shared" si="1"/>
        <v>0</v>
      </c>
      <c r="P72" s="33"/>
      <c r="R72" s="30">
        <f t="shared" si="2"/>
        <v>0</v>
      </c>
    </row>
    <row r="73" spans="1:18" s="30" customFormat="1" ht="79.2">
      <c r="A73" s="31"/>
      <c r="B73" s="34" t="str">
        <f>+[24]BG!C71</f>
        <v>Côn thu đầu quạt 1000x500/DQ-L800. Bao gồm nhân công lắp đặt, phụ kiện bích nối, zoăng làm kín, kẹp C, bulong+ốc+long đen
 1000x500/DQ-L800抽煙機頭變徑。含安裝及鏈接法蘭、墊圈、C夾、螺栓螺絲等</v>
      </c>
      <c r="C73" s="31"/>
      <c r="D73" s="31"/>
      <c r="E73" s="31"/>
      <c r="F73" s="31"/>
      <c r="G73" s="31"/>
      <c r="H73" s="31"/>
      <c r="I73" s="31"/>
      <c r="J73" s="31"/>
      <c r="K73" s="31"/>
      <c r="L73" s="31" t="str">
        <f>+[24]BG!L71</f>
        <v>個
Cái</v>
      </c>
      <c r="M73" s="35">
        <f>+[24]BG!M71</f>
        <v>26</v>
      </c>
      <c r="N73" s="32"/>
      <c r="O73" s="32">
        <f t="shared" si="1"/>
        <v>0</v>
      </c>
      <c r="P73" s="33"/>
      <c r="R73" s="30">
        <f t="shared" si="2"/>
        <v>0</v>
      </c>
    </row>
    <row r="74" spans="1:18" s="30" customFormat="1" ht="26.4">
      <c r="A74" s="31"/>
      <c r="B74" s="34" t="str">
        <f>+[24]BG!C72</f>
        <v>D820排风帽（带防虫网）制作与安装. Chụp thải gió kèm lưới chắn côn trùng D820</v>
      </c>
      <c r="C74" s="31"/>
      <c r="D74" s="31"/>
      <c r="E74" s="31"/>
      <c r="F74" s="31"/>
      <c r="G74" s="31"/>
      <c r="H74" s="31"/>
      <c r="I74" s="31"/>
      <c r="J74" s="31"/>
      <c r="K74" s="31"/>
      <c r="L74" s="31" t="str">
        <f>+[24]BG!L72</f>
        <v>個
Cái</v>
      </c>
      <c r="M74" s="35">
        <f>+[24]BG!M72</f>
        <v>12</v>
      </c>
      <c r="N74" s="32"/>
      <c r="O74" s="32">
        <f t="shared" si="1"/>
        <v>0</v>
      </c>
      <c r="P74" s="33"/>
      <c r="R74" s="30">
        <f t="shared" si="2"/>
        <v>0</v>
      </c>
    </row>
    <row r="75" spans="1:18" s="30" customFormat="1" ht="79.2">
      <c r="A75" s="31"/>
      <c r="B75" s="34" t="str">
        <f>+[24]BG!C73</f>
        <v>Cút 90 độ 1800x1000R1000. Bao gồm nhân công lắp đặt, phụ kiện bích nối, zoăng làm kín, kẹp C, bulong+ốc+long đen
1800x1000R1000 90度彎頭含安裝及鏈接法蘭、墊圈、C夾、螺栓螺絲等</v>
      </c>
      <c r="C75" s="31"/>
      <c r="D75" s="31"/>
      <c r="E75" s="31"/>
      <c r="F75" s="31"/>
      <c r="G75" s="31"/>
      <c r="H75" s="31"/>
      <c r="I75" s="31"/>
      <c r="J75" s="31"/>
      <c r="K75" s="31"/>
      <c r="L75" s="31" t="str">
        <f>+[24]BG!L73</f>
        <v>個
Cái</v>
      </c>
      <c r="M75" s="35">
        <f>+[24]BG!M73</f>
        <v>9</v>
      </c>
      <c r="N75" s="32"/>
      <c r="O75" s="32">
        <f t="shared" si="1"/>
        <v>0</v>
      </c>
      <c r="P75" s="33"/>
      <c r="R75" s="30">
        <f t="shared" si="2"/>
        <v>0</v>
      </c>
    </row>
    <row r="76" spans="1:18" s="30" customFormat="1" ht="52.8">
      <c r="A76" s="31"/>
      <c r="B76" s="34" t="str">
        <f>+[24]BG!C74</f>
        <v>45°弯头（1800×1000，TDC法兰）+ 304不锈钢防虫网（4–6mm），板厚0.95mm.  Cút 45 độ KT: 1800x1000 - TDC+Lưới chắn côn trùng inox 304 (mắt lưới 4-6mm), chiều dày tôn 0,95mm</v>
      </c>
      <c r="C76" s="31"/>
      <c r="D76" s="31"/>
      <c r="E76" s="31"/>
      <c r="F76" s="31"/>
      <c r="G76" s="31"/>
      <c r="H76" s="31"/>
      <c r="I76" s="31"/>
      <c r="J76" s="31"/>
      <c r="K76" s="31"/>
      <c r="L76" s="31" t="str">
        <f>+[24]BG!L74</f>
        <v>個
Cái</v>
      </c>
      <c r="M76" s="35">
        <f>+[24]BG!M74</f>
        <v>9</v>
      </c>
      <c r="N76" s="32"/>
      <c r="O76" s="32">
        <f t="shared" si="1"/>
        <v>0</v>
      </c>
      <c r="P76" s="33"/>
      <c r="R76" s="30">
        <f t="shared" si="2"/>
        <v>0</v>
      </c>
    </row>
    <row r="77" spans="1:18" s="30" customFormat="1" ht="79.2">
      <c r="A77" s="31"/>
      <c r="B77" s="34" t="str">
        <f>+[24]BG!C75</f>
        <v>Cút 90 độ 1400x500R500. Bao gồm nhân công lắp đặt, phụ kiện bích nối, zoăng làm kín, kẹp C, bulong+ốc+long đen
1400x500R500 90度彎頭含安裝及鏈接法蘭、墊圈、C夾、螺栓螺絲等</v>
      </c>
      <c r="C77" s="31"/>
      <c r="D77" s="31"/>
      <c r="E77" s="31"/>
      <c r="F77" s="31"/>
      <c r="G77" s="31"/>
      <c r="H77" s="31"/>
      <c r="I77" s="31"/>
      <c r="J77" s="31"/>
      <c r="K77" s="31"/>
      <c r="L77" s="31" t="str">
        <f>+[24]BG!L75</f>
        <v>個
Cái</v>
      </c>
      <c r="M77" s="35">
        <f>+[24]BG!M75</f>
        <v>7</v>
      </c>
      <c r="N77" s="32"/>
      <c r="O77" s="32">
        <f t="shared" si="1"/>
        <v>0</v>
      </c>
      <c r="P77" s="33"/>
      <c r="R77" s="30">
        <f t="shared" si="2"/>
        <v>0</v>
      </c>
    </row>
    <row r="78" spans="1:18" s="30" customFormat="1" ht="52.8">
      <c r="A78" s="31"/>
      <c r="B78" s="34" t="str">
        <f>+[24]BG!C76</f>
        <v>45°弯头（1400x500，TDC法兰）+ 304不锈钢防虫网（4–6mm），板厚0.95mm. Cút 45 độ KT: 1400x500 - TDC+Lưới chắn côn trùng inox 304 (mắt lưới 4-6mm), chiều dày tôn 0,95mm</v>
      </c>
      <c r="C78" s="31"/>
      <c r="D78" s="31"/>
      <c r="E78" s="31"/>
      <c r="F78" s="31"/>
      <c r="G78" s="31"/>
      <c r="H78" s="31"/>
      <c r="I78" s="31"/>
      <c r="J78" s="31"/>
      <c r="K78" s="31"/>
      <c r="L78" s="31" t="str">
        <f>+[24]BG!L76</f>
        <v>個
Cái</v>
      </c>
      <c r="M78" s="35">
        <f>+[24]BG!M76</f>
        <v>7</v>
      </c>
      <c r="N78" s="32"/>
      <c r="O78" s="32">
        <f t="shared" si="1"/>
        <v>0</v>
      </c>
      <c r="P78" s="33"/>
      <c r="R78" s="30">
        <f t="shared" si="2"/>
        <v>0</v>
      </c>
    </row>
    <row r="79" spans="1:18" s="30" customFormat="1" ht="79.2">
      <c r="A79" s="31"/>
      <c r="B79" s="34" t="str">
        <f>+[24]BG!C77</f>
        <v>Cút 90 độ 1000x500R500. Bao gồm nhân công lắp đặt, phụ kiện bích nối, zoăng làm kín, kẹp C, bulong+ốc+long đen
1000x500R500 90度彎頭含安裝及鏈接法蘭、墊圈、C夾、螺栓螺絲等</v>
      </c>
      <c r="C79" s="31"/>
      <c r="D79" s="31"/>
      <c r="E79" s="31"/>
      <c r="F79" s="31"/>
      <c r="G79" s="31"/>
      <c r="H79" s="31"/>
      <c r="I79" s="31"/>
      <c r="J79" s="31"/>
      <c r="K79" s="31"/>
      <c r="L79" s="31" t="str">
        <f>+[24]BG!L77</f>
        <v>個
Cái</v>
      </c>
      <c r="M79" s="35">
        <f>+[24]BG!M77</f>
        <v>0</v>
      </c>
      <c r="N79" s="32"/>
      <c r="O79" s="32">
        <f t="shared" si="1"/>
        <v>0</v>
      </c>
      <c r="P79" s="33"/>
      <c r="R79" s="30">
        <f t="shared" si="2"/>
        <v>0</v>
      </c>
    </row>
    <row r="80" spans="1:18" s="30" customFormat="1" ht="13.2">
      <c r="A80" s="31"/>
      <c r="B80" s="34" t="s">
        <v>73</v>
      </c>
      <c r="C80" s="31"/>
      <c r="D80" s="31"/>
      <c r="E80" s="31"/>
      <c r="F80" s="31"/>
      <c r="G80" s="31"/>
      <c r="H80" s="31"/>
      <c r="I80" s="31"/>
      <c r="J80" s="31"/>
      <c r="K80" s="31"/>
      <c r="L80" s="31" t="s">
        <v>190</v>
      </c>
      <c r="M80" s="35">
        <v>1</v>
      </c>
      <c r="N80" s="32"/>
      <c r="O80" s="32">
        <f t="shared" ref="O80" si="4">+N80*M80</f>
        <v>0</v>
      </c>
      <c r="P80" s="33" t="s">
        <v>191</v>
      </c>
      <c r="R80" s="30">
        <f t="shared" si="2"/>
        <v>0</v>
      </c>
    </row>
    <row r="81" spans="1:18" s="30" customFormat="1" ht="29.4" customHeight="1">
      <c r="A81" s="31"/>
      <c r="B81" s="34" t="s">
        <v>184</v>
      </c>
      <c r="C81" s="31"/>
      <c r="D81" s="31"/>
      <c r="E81" s="31"/>
      <c r="F81" s="31"/>
      <c r="G81" s="31"/>
      <c r="H81" s="31"/>
      <c r="I81" s="31"/>
      <c r="J81" s="31"/>
      <c r="K81" s="31"/>
      <c r="L81" s="31" t="s">
        <v>190</v>
      </c>
      <c r="M81" s="31">
        <v>1</v>
      </c>
      <c r="N81" s="32"/>
      <c r="O81" s="32"/>
      <c r="P81" s="34" t="s">
        <v>192</v>
      </c>
      <c r="R81" s="30">
        <f t="shared" si="2"/>
        <v>0</v>
      </c>
    </row>
    <row r="82" spans="1:18" s="30" customFormat="1" ht="32.25" customHeight="1">
      <c r="A82" s="140" t="s">
        <v>108</v>
      </c>
      <c r="B82" s="141"/>
      <c r="C82" s="141"/>
      <c r="D82" s="141"/>
      <c r="E82" s="141"/>
      <c r="F82" s="141"/>
      <c r="G82" s="141"/>
      <c r="H82" s="141"/>
      <c r="I82" s="141"/>
      <c r="J82" s="141"/>
      <c r="K82" s="141"/>
      <c r="L82" s="141"/>
      <c r="M82" s="141"/>
      <c r="N82" s="142"/>
      <c r="O82" s="36">
        <f>SUM(O15:O81)</f>
        <v>2305329870.346242</v>
      </c>
      <c r="P82" s="37"/>
      <c r="R82" s="160">
        <f>SUM(R45:R81)</f>
        <v>1692590000</v>
      </c>
    </row>
    <row r="83" spans="1:18" s="30" customFormat="1" ht="32.25" customHeight="1">
      <c r="A83" s="143" t="s">
        <v>124</v>
      </c>
      <c r="B83" s="144"/>
      <c r="C83" s="144"/>
      <c r="D83" s="144"/>
      <c r="E83" s="144"/>
      <c r="F83" s="144"/>
      <c r="G83" s="144"/>
      <c r="H83" s="144"/>
      <c r="I83" s="144"/>
      <c r="J83" s="144"/>
      <c r="K83" s="144"/>
      <c r="L83" s="144"/>
      <c r="M83" s="144"/>
      <c r="N83" s="145"/>
      <c r="O83" s="38">
        <f>O82*0.08</f>
        <v>184426389.62769935</v>
      </c>
      <c r="P83" s="39"/>
    </row>
    <row r="84" spans="1:18" s="30" customFormat="1" ht="32.25" customHeight="1">
      <c r="A84" s="136" t="s">
        <v>125</v>
      </c>
      <c r="B84" s="137"/>
      <c r="C84" s="137"/>
      <c r="D84" s="137"/>
      <c r="E84" s="137"/>
      <c r="F84" s="137"/>
      <c r="G84" s="137"/>
      <c r="H84" s="137"/>
      <c r="I84" s="137"/>
      <c r="J84" s="137"/>
      <c r="K84" s="137"/>
      <c r="L84" s="137"/>
      <c r="M84" s="137"/>
      <c r="N84" s="138"/>
      <c r="O84" s="40">
        <f>SUM(O82:O83)</f>
        <v>2489756259.9739413</v>
      </c>
      <c r="P84" s="41"/>
    </row>
    <row r="85" spans="1:18" s="50" customFormat="1" ht="15" customHeight="1">
      <c r="A85" s="42"/>
      <c r="B85" s="43"/>
      <c r="C85" s="44"/>
      <c r="D85" s="44"/>
      <c r="E85" s="44"/>
      <c r="F85" s="44"/>
      <c r="G85" s="44"/>
      <c r="H85" s="44"/>
      <c r="I85" s="44"/>
      <c r="J85" s="44"/>
      <c r="K85" s="45"/>
      <c r="L85" s="46"/>
      <c r="M85" s="47"/>
      <c r="N85" s="48"/>
      <c r="O85" s="48"/>
      <c r="P85" s="49"/>
    </row>
    <row r="86" spans="1:18" s="50" customFormat="1" ht="15" customHeight="1">
      <c r="A86" s="51"/>
      <c r="B86" s="52" t="s">
        <v>109</v>
      </c>
      <c r="C86" s="53"/>
      <c r="D86" s="53"/>
      <c r="E86" s="53"/>
      <c r="F86" s="54"/>
      <c r="G86" s="53"/>
      <c r="H86" s="51"/>
      <c r="I86" s="51"/>
      <c r="J86" s="51"/>
      <c r="K86" s="51"/>
      <c r="L86" s="51"/>
      <c r="M86" s="55"/>
      <c r="N86" s="139" t="s">
        <v>110</v>
      </c>
      <c r="O86" s="139"/>
      <c r="P86" s="57"/>
    </row>
    <row r="87" spans="1:18" s="50" customFormat="1" ht="15" customHeight="1">
      <c r="A87" s="51"/>
      <c r="B87" s="58" t="s">
        <v>111</v>
      </c>
      <c r="C87" s="59"/>
      <c r="D87" s="59"/>
      <c r="E87" s="59"/>
      <c r="F87" s="60"/>
      <c r="G87" s="60"/>
      <c r="H87" s="51"/>
      <c r="I87" s="51"/>
      <c r="J87" s="51"/>
      <c r="K87" s="51"/>
      <c r="L87" s="61"/>
      <c r="M87" s="62"/>
      <c r="N87" s="62"/>
      <c r="O87" s="56"/>
      <c r="P87" s="57"/>
    </row>
    <row r="88" spans="1:18" s="50" customFormat="1" ht="15" customHeight="1">
      <c r="A88" s="51"/>
      <c r="B88" s="58" t="s">
        <v>112</v>
      </c>
      <c r="C88" s="59"/>
      <c r="D88" s="59"/>
      <c r="E88" s="59"/>
      <c r="F88" s="60"/>
      <c r="G88" s="60"/>
      <c r="H88" s="51"/>
      <c r="I88" s="51"/>
      <c r="J88" s="51"/>
      <c r="K88" s="51"/>
      <c r="L88" s="61"/>
      <c r="M88" s="62"/>
      <c r="N88" s="62"/>
      <c r="O88" s="56"/>
      <c r="P88" s="57"/>
    </row>
    <row r="89" spans="1:18" s="50" customFormat="1" ht="15" customHeight="1">
      <c r="A89" s="51"/>
      <c r="B89" s="58" t="s">
        <v>113</v>
      </c>
      <c r="C89" s="59"/>
      <c r="D89" s="59"/>
      <c r="E89" s="59"/>
      <c r="F89" s="60"/>
      <c r="G89" s="60"/>
      <c r="H89" s="51"/>
      <c r="I89" s="51"/>
      <c r="J89" s="51"/>
      <c r="K89" s="51"/>
      <c r="L89" s="61"/>
      <c r="M89" s="62"/>
      <c r="N89" s="62"/>
      <c r="O89" s="56"/>
      <c r="P89" s="57"/>
    </row>
    <row r="90" spans="1:18" s="50" customFormat="1" ht="15" customHeight="1">
      <c r="A90" s="51"/>
      <c r="B90" s="58" t="s">
        <v>114</v>
      </c>
      <c r="C90" s="59"/>
      <c r="D90" s="59"/>
      <c r="E90" s="59"/>
      <c r="F90" s="60"/>
      <c r="G90" s="60"/>
      <c r="H90" s="51"/>
      <c r="I90" s="51"/>
      <c r="J90" s="51"/>
      <c r="K90" s="51"/>
      <c r="L90" s="61"/>
      <c r="M90" s="62"/>
      <c r="N90" s="62"/>
      <c r="O90" s="56"/>
      <c r="P90" s="57"/>
    </row>
    <row r="91" spans="1:18" s="50" customFormat="1" ht="15" customHeight="1">
      <c r="A91" s="51"/>
      <c r="B91" s="63" t="s">
        <v>115</v>
      </c>
      <c r="C91" s="64"/>
      <c r="D91" s="64"/>
      <c r="E91" s="64"/>
      <c r="F91" s="65"/>
      <c r="G91" s="65"/>
      <c r="H91" s="51"/>
      <c r="I91" s="51"/>
      <c r="J91" s="51"/>
      <c r="K91" s="51"/>
      <c r="L91" s="61"/>
      <c r="M91" s="66"/>
      <c r="N91" s="67"/>
      <c r="O91" s="68"/>
      <c r="P91" s="57"/>
    </row>
    <row r="92" spans="1:18" s="50" customFormat="1" ht="15" customHeight="1">
      <c r="A92" s="51"/>
      <c r="B92" s="69" t="s">
        <v>116</v>
      </c>
      <c r="C92" s="69"/>
      <c r="D92" s="69"/>
      <c r="E92" s="69"/>
      <c r="F92" s="69"/>
      <c r="G92" s="69"/>
      <c r="H92" s="51"/>
      <c r="I92" s="51"/>
      <c r="J92" s="51"/>
      <c r="K92" s="51"/>
      <c r="L92" s="61"/>
      <c r="M92" s="66"/>
      <c r="N92" s="67"/>
      <c r="O92" s="68"/>
      <c r="P92" s="57"/>
    </row>
    <row r="93" spans="1:18" s="50" customFormat="1" ht="15" customHeight="1">
      <c r="A93" s="51"/>
      <c r="B93" s="70" t="s">
        <v>117</v>
      </c>
      <c r="C93" s="59"/>
      <c r="D93" s="59"/>
      <c r="E93" s="59"/>
      <c r="F93" s="65"/>
      <c r="G93" s="65"/>
      <c r="H93" s="51"/>
      <c r="I93" s="51"/>
      <c r="J93" s="51"/>
      <c r="K93" s="51"/>
      <c r="L93" s="61"/>
      <c r="M93" s="66"/>
      <c r="N93" s="67"/>
      <c r="O93" s="68"/>
      <c r="P93" s="57"/>
    </row>
    <row r="94" spans="1:18" s="50" customFormat="1" ht="15" customHeight="1">
      <c r="A94" s="51"/>
      <c r="B94" s="71" t="s">
        <v>118</v>
      </c>
      <c r="C94" s="72"/>
      <c r="D94" s="72"/>
      <c r="E94" s="72"/>
      <c r="F94" s="73"/>
      <c r="G94" s="73"/>
      <c r="H94" s="51"/>
      <c r="I94" s="51"/>
      <c r="J94" s="51"/>
      <c r="K94" s="51"/>
      <c r="L94" s="61"/>
      <c r="M94" s="66"/>
      <c r="N94" s="67"/>
      <c r="O94" s="74"/>
      <c r="P94" s="57"/>
    </row>
    <row r="95" spans="1:18" s="50" customFormat="1" ht="15" customHeight="1">
      <c r="A95" s="51"/>
      <c r="B95" s="69" t="s">
        <v>119</v>
      </c>
      <c r="C95" s="69"/>
      <c r="D95" s="69"/>
      <c r="E95" s="69"/>
      <c r="F95" s="69"/>
      <c r="G95" s="69"/>
      <c r="H95" s="51"/>
      <c r="I95" s="51"/>
      <c r="J95" s="51"/>
      <c r="K95" s="51"/>
      <c r="L95" s="61"/>
      <c r="M95" s="66"/>
      <c r="N95" s="67"/>
      <c r="O95" s="74"/>
      <c r="P95" s="57"/>
    </row>
    <row r="96" spans="1:18" s="50" customFormat="1" ht="15" customHeight="1">
      <c r="A96" s="45"/>
      <c r="B96" s="69" t="s">
        <v>120</v>
      </c>
      <c r="C96" s="69"/>
      <c r="D96" s="69"/>
      <c r="E96" s="69"/>
      <c r="F96" s="69"/>
      <c r="G96" s="69"/>
      <c r="H96" s="51"/>
      <c r="I96" s="45"/>
      <c r="J96" s="45"/>
      <c r="K96" s="75"/>
      <c r="L96" s="130"/>
      <c r="M96" s="130"/>
      <c r="N96" s="130"/>
      <c r="O96" s="131"/>
      <c r="P96" s="57"/>
    </row>
    <row r="97" spans="1:16" s="50" customFormat="1" ht="15" customHeight="1">
      <c r="A97" s="76"/>
      <c r="B97" s="77" t="s">
        <v>121</v>
      </c>
      <c r="C97" s="69"/>
      <c r="D97" s="69"/>
      <c r="E97" s="69"/>
      <c r="F97" s="69"/>
      <c r="G97" s="69"/>
      <c r="H97" s="78"/>
      <c r="I97" s="76"/>
      <c r="J97" s="76"/>
      <c r="K97" s="76"/>
      <c r="L97" s="132"/>
      <c r="M97" s="132"/>
      <c r="N97" s="132"/>
      <c r="O97" s="133"/>
      <c r="P97" s="57"/>
    </row>
    <row r="98" spans="1:16" s="13" customFormat="1" ht="15" customHeight="1">
      <c r="A98" s="79"/>
      <c r="B98" s="77" t="s">
        <v>122</v>
      </c>
      <c r="C98" s="69"/>
      <c r="D98" s="69"/>
      <c r="E98" s="69"/>
      <c r="F98" s="69"/>
      <c r="G98" s="69"/>
      <c r="H98" s="78"/>
      <c r="I98" s="80"/>
      <c r="J98" s="80"/>
      <c r="K98" s="81"/>
      <c r="L98" s="134"/>
      <c r="M98" s="134"/>
      <c r="N98" s="134"/>
      <c r="O98" s="135"/>
      <c r="P98" s="82"/>
    </row>
    <row r="99" spans="1:16" s="50" customFormat="1" ht="15" customHeight="1">
      <c r="A99" s="42"/>
      <c r="B99" s="83"/>
      <c r="C99" s="72"/>
      <c r="D99" s="72"/>
      <c r="E99" s="72"/>
      <c r="F99" s="73"/>
      <c r="G99" s="73"/>
      <c r="H99" s="80"/>
      <c r="I99" s="44"/>
      <c r="J99" s="45"/>
      <c r="K99" s="46"/>
      <c r="L99" s="47"/>
      <c r="M99" s="84"/>
      <c r="N99" s="84"/>
      <c r="O99" s="85"/>
      <c r="P99" s="57"/>
    </row>
    <row r="100" spans="1:16" s="50" customFormat="1" ht="15" customHeight="1">
      <c r="A100" s="42"/>
      <c r="B100" s="43"/>
      <c r="C100" s="44"/>
      <c r="D100" s="44"/>
      <c r="E100" s="44"/>
      <c r="F100" s="44"/>
      <c r="G100" s="44"/>
      <c r="H100" s="44"/>
      <c r="I100" s="44"/>
      <c r="J100" s="44"/>
      <c r="K100" s="45"/>
      <c r="L100" s="46"/>
      <c r="M100" s="47"/>
      <c r="N100" s="48"/>
      <c r="O100" s="48"/>
      <c r="P100" s="49"/>
    </row>
    <row r="101" spans="1:16" s="50" customFormat="1" ht="15" customHeight="1">
      <c r="A101" s="42"/>
      <c r="B101" s="43"/>
      <c r="C101" s="44"/>
      <c r="D101" s="44"/>
      <c r="E101" s="44"/>
      <c r="F101" s="44"/>
      <c r="G101" s="44"/>
      <c r="H101" s="44"/>
      <c r="I101" s="44"/>
      <c r="J101" s="44"/>
      <c r="K101" s="45"/>
      <c r="L101" s="46"/>
      <c r="M101" s="47"/>
      <c r="N101" s="48"/>
      <c r="O101" s="48"/>
      <c r="P101" s="49"/>
    </row>
    <row r="102" spans="1:16" s="50" customFormat="1" ht="15" customHeight="1">
      <c r="A102" s="42"/>
      <c r="B102" s="43"/>
      <c r="C102" s="44"/>
      <c r="D102" s="44"/>
      <c r="E102" s="44"/>
      <c r="F102" s="44"/>
      <c r="G102" s="44"/>
      <c r="H102" s="44"/>
      <c r="I102" s="44"/>
      <c r="J102" s="44"/>
      <c r="K102" s="45"/>
      <c r="L102" s="46"/>
      <c r="M102" s="47"/>
      <c r="N102" s="48"/>
      <c r="O102" s="48"/>
      <c r="P102" s="49"/>
    </row>
    <row r="103" spans="1:16" s="50" customFormat="1" ht="15" customHeight="1">
      <c r="A103" s="42"/>
      <c r="B103" s="43"/>
      <c r="C103" s="44"/>
      <c r="D103" s="44"/>
      <c r="E103" s="44"/>
      <c r="F103" s="44"/>
      <c r="G103" s="44"/>
      <c r="H103" s="44"/>
      <c r="I103" s="44"/>
      <c r="J103" s="44"/>
      <c r="K103" s="45"/>
      <c r="L103" s="46"/>
      <c r="M103" s="47"/>
      <c r="N103" s="48"/>
      <c r="O103" s="48"/>
      <c r="P103" s="49"/>
    </row>
    <row r="104" spans="1:16" s="50" customFormat="1" ht="15" customHeight="1">
      <c r="A104" s="42"/>
      <c r="B104" s="43"/>
      <c r="C104" s="44"/>
      <c r="D104" s="44"/>
      <c r="E104" s="44"/>
      <c r="F104" s="44"/>
      <c r="G104" s="44"/>
      <c r="H104" s="44"/>
      <c r="I104" s="44"/>
      <c r="J104" s="44"/>
      <c r="K104" s="45"/>
      <c r="L104" s="46"/>
      <c r="M104" s="47"/>
      <c r="N104" s="48"/>
      <c r="O104" s="48"/>
      <c r="P104" s="49"/>
    </row>
    <row r="105" spans="1:16" s="50" customFormat="1" ht="15" customHeight="1">
      <c r="A105" s="42"/>
      <c r="B105" s="43"/>
      <c r="C105" s="44"/>
      <c r="D105" s="44"/>
      <c r="E105" s="44"/>
      <c r="F105" s="44"/>
      <c r="G105" s="44"/>
      <c r="H105" s="44"/>
      <c r="I105" s="44"/>
      <c r="J105" s="44"/>
      <c r="K105" s="45"/>
      <c r="L105" s="46"/>
      <c r="M105" s="47"/>
      <c r="N105" s="48"/>
      <c r="O105" s="48"/>
      <c r="P105" s="49"/>
    </row>
    <row r="106" spans="1:16" s="50" customFormat="1" ht="15" customHeight="1">
      <c r="A106" s="42"/>
      <c r="B106" s="43"/>
      <c r="C106" s="44"/>
      <c r="D106" s="44"/>
      <c r="E106" s="44"/>
      <c r="F106" s="44"/>
      <c r="G106" s="44"/>
      <c r="H106" s="44"/>
      <c r="I106" s="44"/>
      <c r="J106" s="44"/>
      <c r="K106" s="45"/>
      <c r="L106" s="46"/>
      <c r="M106" s="47"/>
      <c r="N106" s="48"/>
      <c r="O106" s="48"/>
      <c r="P106" s="49"/>
    </row>
    <row r="107" spans="1:16" s="50" customFormat="1" ht="15" customHeight="1">
      <c r="A107" s="42"/>
      <c r="B107" s="43"/>
      <c r="C107" s="44"/>
      <c r="D107" s="44"/>
      <c r="E107" s="44"/>
      <c r="F107" s="44"/>
      <c r="G107" s="44"/>
      <c r="H107" s="44"/>
      <c r="I107" s="44"/>
      <c r="J107" s="44"/>
      <c r="K107" s="45"/>
      <c r="L107" s="46"/>
      <c r="M107" s="47"/>
      <c r="N107" s="48"/>
      <c r="O107" s="48"/>
      <c r="P107" s="49"/>
    </row>
    <row r="108" spans="1:16" s="50" customFormat="1" ht="13.2">
      <c r="A108" s="42"/>
      <c r="B108" s="43"/>
      <c r="C108" s="44"/>
      <c r="D108" s="44"/>
      <c r="E108" s="44"/>
      <c r="F108" s="44"/>
      <c r="G108" s="44"/>
      <c r="H108" s="44"/>
      <c r="I108" s="44"/>
      <c r="J108" s="44"/>
      <c r="K108" s="45"/>
      <c r="L108" s="46"/>
      <c r="M108" s="47"/>
      <c r="N108" s="48"/>
      <c r="O108" s="48"/>
      <c r="P108" s="49"/>
    </row>
    <row r="109" spans="1:16" s="50" customFormat="1" ht="13.2">
      <c r="A109" s="42"/>
      <c r="B109" s="43"/>
      <c r="C109" s="44"/>
      <c r="D109" s="44"/>
      <c r="E109" s="44"/>
      <c r="F109" s="44"/>
      <c r="G109" s="44"/>
      <c r="H109" s="44"/>
      <c r="I109" s="44"/>
      <c r="J109" s="44"/>
      <c r="K109" s="45"/>
      <c r="L109" s="46"/>
      <c r="M109" s="47"/>
      <c r="N109" s="48"/>
      <c r="O109" s="48"/>
      <c r="P109" s="49"/>
    </row>
    <row r="110" spans="1:16" s="50" customFormat="1" ht="13.2">
      <c r="B110" s="86"/>
      <c r="C110" s="87"/>
      <c r="D110" s="87"/>
      <c r="E110" s="87"/>
      <c r="F110" s="87"/>
      <c r="G110" s="87"/>
      <c r="H110" s="87"/>
      <c r="I110" s="87"/>
      <c r="J110" s="87"/>
      <c r="K110" s="88"/>
      <c r="L110" s="89"/>
      <c r="M110" s="90"/>
      <c r="N110" s="57"/>
      <c r="O110" s="57"/>
      <c r="P110" s="91"/>
    </row>
    <row r="111" spans="1:16" s="50" customFormat="1" ht="13.2">
      <c r="B111" s="86"/>
      <c r="C111" s="87"/>
      <c r="D111" s="87"/>
      <c r="E111" s="87"/>
      <c r="F111" s="87"/>
      <c r="G111" s="87"/>
      <c r="H111" s="87"/>
      <c r="I111" s="87"/>
      <c r="J111" s="87"/>
      <c r="K111" s="88"/>
      <c r="L111" s="89"/>
      <c r="M111" s="90"/>
      <c r="N111" s="57"/>
      <c r="O111" s="57"/>
      <c r="P111" s="91"/>
    </row>
    <row r="112" spans="1:16" s="50" customFormat="1" ht="13.2">
      <c r="B112" s="86"/>
      <c r="C112" s="87"/>
      <c r="D112" s="87"/>
      <c r="E112" s="87"/>
      <c r="F112" s="87"/>
      <c r="G112" s="87"/>
      <c r="H112" s="87"/>
      <c r="I112" s="87"/>
      <c r="J112" s="87"/>
      <c r="K112" s="88"/>
      <c r="L112" s="89"/>
      <c r="M112" s="90"/>
      <c r="N112" s="57"/>
      <c r="O112" s="57"/>
      <c r="P112" s="91"/>
    </row>
    <row r="113" spans="2:16" s="50" customFormat="1" ht="13.2">
      <c r="B113" s="86"/>
      <c r="C113" s="87"/>
      <c r="D113" s="87"/>
      <c r="E113" s="87"/>
      <c r="F113" s="87"/>
      <c r="G113" s="87"/>
      <c r="H113" s="87"/>
      <c r="I113" s="87"/>
      <c r="J113" s="87"/>
      <c r="K113" s="88"/>
      <c r="L113" s="89"/>
      <c r="M113" s="90"/>
      <c r="N113" s="57"/>
      <c r="O113" s="57"/>
      <c r="P113" s="91"/>
    </row>
    <row r="114" spans="2:16" s="50" customFormat="1" ht="13.2">
      <c r="B114" s="86"/>
      <c r="C114" s="87"/>
      <c r="D114" s="87"/>
      <c r="E114" s="87"/>
      <c r="F114" s="87"/>
      <c r="G114" s="87"/>
      <c r="H114" s="87"/>
      <c r="I114" s="87"/>
      <c r="J114" s="87"/>
      <c r="K114" s="88"/>
      <c r="L114" s="89"/>
      <c r="M114" s="90"/>
      <c r="N114" s="57"/>
      <c r="O114" s="57"/>
      <c r="P114" s="91"/>
    </row>
    <row r="115" spans="2:16" s="50" customFormat="1" ht="13.2">
      <c r="B115" s="86"/>
      <c r="C115" s="87"/>
      <c r="D115" s="87"/>
      <c r="E115" s="87"/>
      <c r="F115" s="87"/>
      <c r="G115" s="87"/>
      <c r="H115" s="87"/>
      <c r="I115" s="87"/>
      <c r="J115" s="87"/>
      <c r="K115" s="88"/>
      <c r="L115" s="89"/>
      <c r="M115" s="90"/>
      <c r="N115" s="57"/>
      <c r="O115" s="57"/>
      <c r="P115" s="91"/>
    </row>
    <row r="116" spans="2:16" s="50" customFormat="1" ht="13.2">
      <c r="B116" s="86"/>
      <c r="C116" s="87"/>
      <c r="D116" s="87"/>
      <c r="E116" s="87"/>
      <c r="F116" s="87"/>
      <c r="G116" s="87"/>
      <c r="H116" s="87"/>
      <c r="I116" s="87"/>
      <c r="J116" s="87"/>
      <c r="K116" s="88"/>
      <c r="L116" s="89"/>
      <c r="M116" s="90"/>
      <c r="N116" s="57"/>
      <c r="O116" s="57"/>
      <c r="P116" s="91"/>
    </row>
    <row r="117" spans="2:16" s="50" customFormat="1" ht="13.2">
      <c r="B117" s="86"/>
      <c r="C117" s="87"/>
      <c r="D117" s="87"/>
      <c r="E117" s="87"/>
      <c r="F117" s="87"/>
      <c r="G117" s="87"/>
      <c r="H117" s="87"/>
      <c r="I117" s="87"/>
      <c r="J117" s="87"/>
      <c r="K117" s="88"/>
      <c r="L117" s="89"/>
      <c r="M117" s="90"/>
      <c r="N117" s="57"/>
      <c r="O117" s="57"/>
      <c r="P117" s="91"/>
    </row>
    <row r="118" spans="2:16" s="50" customFormat="1" ht="13.2">
      <c r="B118" s="86"/>
      <c r="C118" s="87"/>
      <c r="D118" s="87"/>
      <c r="E118" s="87"/>
      <c r="F118" s="87"/>
      <c r="G118" s="87"/>
      <c r="H118" s="87"/>
      <c r="I118" s="87"/>
      <c r="J118" s="87"/>
      <c r="K118" s="88"/>
      <c r="L118" s="89"/>
      <c r="M118" s="90"/>
      <c r="N118" s="57"/>
      <c r="O118" s="57"/>
      <c r="P118" s="91"/>
    </row>
    <row r="119" spans="2:16" s="50" customFormat="1" ht="13.2">
      <c r="B119" s="86"/>
      <c r="C119" s="87"/>
      <c r="D119" s="87"/>
      <c r="E119" s="87"/>
      <c r="F119" s="87"/>
      <c r="G119" s="87"/>
      <c r="H119" s="87"/>
      <c r="I119" s="87"/>
      <c r="J119" s="87"/>
      <c r="K119" s="88"/>
      <c r="L119" s="89"/>
      <c r="M119" s="90"/>
      <c r="N119" s="57"/>
      <c r="O119" s="57"/>
      <c r="P119" s="91"/>
    </row>
    <row r="120" spans="2:16" s="50" customFormat="1" ht="13.2">
      <c r="B120" s="86"/>
      <c r="C120" s="87"/>
      <c r="D120" s="87"/>
      <c r="E120" s="87"/>
      <c r="F120" s="87"/>
      <c r="G120" s="87"/>
      <c r="H120" s="87"/>
      <c r="I120" s="87"/>
      <c r="J120" s="87"/>
      <c r="K120" s="88"/>
      <c r="L120" s="89"/>
      <c r="M120" s="90"/>
      <c r="N120" s="57"/>
      <c r="O120" s="57"/>
      <c r="P120" s="91"/>
    </row>
    <row r="121" spans="2:16" s="50" customFormat="1" ht="13.2">
      <c r="B121" s="86"/>
      <c r="C121" s="87"/>
      <c r="D121" s="87"/>
      <c r="E121" s="87"/>
      <c r="F121" s="87"/>
      <c r="G121" s="87"/>
      <c r="H121" s="87"/>
      <c r="I121" s="87"/>
      <c r="J121" s="87"/>
      <c r="K121" s="88"/>
      <c r="L121" s="89"/>
      <c r="M121" s="90"/>
      <c r="N121" s="57"/>
      <c r="O121" s="57"/>
      <c r="P121" s="91"/>
    </row>
    <row r="122" spans="2:16" s="50" customFormat="1" ht="13.2">
      <c r="B122" s="86"/>
      <c r="C122" s="87"/>
      <c r="D122" s="87"/>
      <c r="E122" s="87"/>
      <c r="F122" s="87"/>
      <c r="G122" s="87"/>
      <c r="H122" s="87"/>
      <c r="I122" s="87"/>
      <c r="J122" s="87"/>
      <c r="K122" s="88"/>
      <c r="L122" s="89"/>
      <c r="M122" s="90"/>
      <c r="N122" s="57"/>
      <c r="O122" s="57"/>
      <c r="P122" s="91"/>
    </row>
    <row r="123" spans="2:16" s="50" customFormat="1" ht="13.2">
      <c r="B123" s="86"/>
      <c r="C123" s="87"/>
      <c r="D123" s="87"/>
      <c r="E123" s="87"/>
      <c r="F123" s="87"/>
      <c r="G123" s="87"/>
      <c r="H123" s="87"/>
      <c r="I123" s="87"/>
      <c r="J123" s="87"/>
      <c r="K123" s="88"/>
      <c r="L123" s="89"/>
      <c r="M123" s="90"/>
      <c r="N123" s="57"/>
      <c r="O123" s="57"/>
      <c r="P123" s="91"/>
    </row>
    <row r="124" spans="2:16" s="50" customFormat="1" ht="13.2">
      <c r="B124" s="86"/>
      <c r="C124" s="87"/>
      <c r="D124" s="87"/>
      <c r="E124" s="87"/>
      <c r="F124" s="87"/>
      <c r="G124" s="87"/>
      <c r="H124" s="87"/>
      <c r="I124" s="87"/>
      <c r="J124" s="87"/>
      <c r="K124" s="88"/>
      <c r="L124" s="89"/>
      <c r="M124" s="90"/>
      <c r="N124" s="57"/>
      <c r="O124" s="57"/>
      <c r="P124" s="91"/>
    </row>
    <row r="125" spans="2:16" s="50" customFormat="1" ht="13.2">
      <c r="B125" s="86"/>
      <c r="C125" s="87"/>
      <c r="D125" s="87"/>
      <c r="E125" s="87"/>
      <c r="F125" s="87"/>
      <c r="G125" s="87"/>
      <c r="H125" s="87"/>
      <c r="I125" s="87"/>
      <c r="J125" s="87"/>
      <c r="K125" s="88"/>
      <c r="L125" s="89"/>
      <c r="M125" s="90"/>
      <c r="N125" s="57"/>
      <c r="O125" s="57"/>
      <c r="P125" s="91"/>
    </row>
    <row r="126" spans="2:16" s="50" customFormat="1" ht="13.2">
      <c r="B126" s="86"/>
      <c r="C126" s="87"/>
      <c r="D126" s="87"/>
      <c r="E126" s="87"/>
      <c r="F126" s="87"/>
      <c r="G126" s="87"/>
      <c r="H126" s="87"/>
      <c r="I126" s="87"/>
      <c r="J126" s="87"/>
      <c r="K126" s="88"/>
      <c r="L126" s="89"/>
      <c r="M126" s="90"/>
      <c r="N126" s="57"/>
      <c r="O126" s="57"/>
      <c r="P126" s="91"/>
    </row>
    <row r="127" spans="2:16" s="50" customFormat="1" ht="13.2">
      <c r="B127" s="86"/>
      <c r="C127" s="87"/>
      <c r="D127" s="87"/>
      <c r="E127" s="87"/>
      <c r="F127" s="87"/>
      <c r="G127" s="87"/>
      <c r="H127" s="87"/>
      <c r="I127" s="87"/>
      <c r="J127" s="87"/>
      <c r="K127" s="88"/>
      <c r="L127" s="89"/>
      <c r="M127" s="90"/>
      <c r="N127" s="57"/>
      <c r="O127" s="57"/>
      <c r="P127" s="91"/>
    </row>
    <row r="128" spans="2:16" s="50" customFormat="1" ht="13.2">
      <c r="B128" s="86"/>
      <c r="C128" s="87"/>
      <c r="D128" s="87"/>
      <c r="E128" s="87"/>
      <c r="F128" s="87"/>
      <c r="G128" s="87"/>
      <c r="H128" s="87"/>
      <c r="I128" s="87"/>
      <c r="J128" s="87"/>
      <c r="K128" s="88"/>
      <c r="L128" s="89"/>
      <c r="M128" s="90"/>
      <c r="N128" s="57"/>
      <c r="O128" s="57"/>
      <c r="P128" s="91"/>
    </row>
    <row r="129" spans="2:16" s="50" customFormat="1" ht="13.2">
      <c r="B129" s="86"/>
      <c r="C129" s="87"/>
      <c r="D129" s="87"/>
      <c r="E129" s="87"/>
      <c r="F129" s="87"/>
      <c r="G129" s="87"/>
      <c r="H129" s="87"/>
      <c r="I129" s="87"/>
      <c r="J129" s="87"/>
      <c r="K129" s="88"/>
      <c r="L129" s="89"/>
      <c r="M129" s="90"/>
      <c r="N129" s="57"/>
      <c r="O129" s="57"/>
      <c r="P129" s="91"/>
    </row>
    <row r="130" spans="2:16" s="50" customFormat="1" ht="13.2">
      <c r="B130" s="86"/>
      <c r="C130" s="87"/>
      <c r="D130" s="87"/>
      <c r="E130" s="87"/>
      <c r="F130" s="87"/>
      <c r="G130" s="87"/>
      <c r="H130" s="87"/>
      <c r="I130" s="87"/>
      <c r="J130" s="87"/>
      <c r="K130" s="88"/>
      <c r="L130" s="89"/>
      <c r="M130" s="90"/>
      <c r="N130" s="57"/>
      <c r="O130" s="57"/>
      <c r="P130" s="91"/>
    </row>
    <row r="131" spans="2:16" s="50" customFormat="1" ht="13.2">
      <c r="B131" s="86"/>
      <c r="C131" s="87"/>
      <c r="D131" s="87"/>
      <c r="E131" s="87"/>
      <c r="F131" s="87"/>
      <c r="G131" s="87"/>
      <c r="H131" s="87"/>
      <c r="I131" s="87"/>
      <c r="J131" s="87"/>
      <c r="K131" s="88"/>
      <c r="L131" s="89"/>
      <c r="M131" s="90"/>
      <c r="N131" s="57"/>
      <c r="O131" s="57"/>
      <c r="P131" s="91"/>
    </row>
    <row r="132" spans="2:16" s="50" customFormat="1" ht="13.2">
      <c r="B132" s="86"/>
      <c r="C132" s="87"/>
      <c r="D132" s="87"/>
      <c r="E132" s="87"/>
      <c r="F132" s="87"/>
      <c r="G132" s="87"/>
      <c r="H132" s="87"/>
      <c r="I132" s="87"/>
      <c r="J132" s="87"/>
      <c r="K132" s="88"/>
      <c r="L132" s="89"/>
      <c r="M132" s="90"/>
      <c r="N132" s="57"/>
      <c r="O132" s="57"/>
      <c r="P132" s="91"/>
    </row>
    <row r="133" spans="2:16" s="50" customFormat="1" ht="13.2">
      <c r="B133" s="86"/>
      <c r="C133" s="87"/>
      <c r="D133" s="87"/>
      <c r="E133" s="87"/>
      <c r="F133" s="87"/>
      <c r="G133" s="87"/>
      <c r="H133" s="87"/>
      <c r="I133" s="87"/>
      <c r="J133" s="87"/>
      <c r="K133" s="88"/>
      <c r="L133" s="89"/>
      <c r="M133" s="90"/>
      <c r="N133" s="57"/>
      <c r="O133" s="57"/>
      <c r="P133" s="91"/>
    </row>
    <row r="134" spans="2:16" s="50" customFormat="1" ht="13.2">
      <c r="B134" s="86"/>
      <c r="C134" s="87"/>
      <c r="D134" s="87"/>
      <c r="E134" s="87"/>
      <c r="F134" s="87"/>
      <c r="G134" s="87"/>
      <c r="H134" s="87"/>
      <c r="I134" s="87"/>
      <c r="J134" s="87"/>
      <c r="K134" s="88"/>
      <c r="L134" s="89"/>
      <c r="M134" s="90"/>
      <c r="N134" s="57"/>
      <c r="O134" s="57"/>
      <c r="P134" s="91"/>
    </row>
    <row r="135" spans="2:16" s="50" customFormat="1" ht="13.2">
      <c r="B135" s="86"/>
      <c r="C135" s="87"/>
      <c r="D135" s="87"/>
      <c r="E135" s="87"/>
      <c r="F135" s="87"/>
      <c r="G135" s="87"/>
      <c r="H135" s="87"/>
      <c r="I135" s="87"/>
      <c r="J135" s="87"/>
      <c r="K135" s="88"/>
      <c r="L135" s="89"/>
      <c r="M135" s="90"/>
      <c r="N135" s="57"/>
      <c r="O135" s="57"/>
      <c r="P135" s="91"/>
    </row>
    <row r="136" spans="2:16" s="50" customFormat="1" ht="13.2">
      <c r="B136" s="86"/>
      <c r="C136" s="87"/>
      <c r="D136" s="87"/>
      <c r="E136" s="87"/>
      <c r="F136" s="87"/>
      <c r="G136" s="87"/>
      <c r="H136" s="87"/>
      <c r="I136" s="87"/>
      <c r="J136" s="87"/>
      <c r="K136" s="88"/>
      <c r="L136" s="89"/>
      <c r="M136" s="90"/>
      <c r="N136" s="57"/>
      <c r="O136" s="57"/>
      <c r="P136" s="91"/>
    </row>
    <row r="137" spans="2:16" s="50" customFormat="1" ht="13.2">
      <c r="B137" s="86"/>
      <c r="C137" s="87"/>
      <c r="D137" s="87"/>
      <c r="E137" s="87"/>
      <c r="F137" s="87"/>
      <c r="G137" s="87"/>
      <c r="H137" s="87"/>
      <c r="I137" s="87"/>
      <c r="J137" s="87"/>
      <c r="K137" s="88"/>
      <c r="L137" s="89"/>
      <c r="M137" s="90"/>
      <c r="N137" s="57"/>
      <c r="O137" s="57"/>
      <c r="P137" s="91"/>
    </row>
    <row r="138" spans="2:16" s="50" customFormat="1" ht="13.2">
      <c r="B138" s="86"/>
      <c r="C138" s="87"/>
      <c r="D138" s="87"/>
      <c r="E138" s="87"/>
      <c r="F138" s="87"/>
      <c r="G138" s="87"/>
      <c r="H138" s="87"/>
      <c r="I138" s="87"/>
      <c r="J138" s="87"/>
      <c r="K138" s="88"/>
      <c r="L138" s="89"/>
      <c r="M138" s="90"/>
      <c r="N138" s="57"/>
      <c r="O138" s="57"/>
      <c r="P138" s="91"/>
    </row>
    <row r="139" spans="2:16" s="50" customFormat="1" ht="13.2">
      <c r="B139" s="86"/>
      <c r="C139" s="87"/>
      <c r="D139" s="87"/>
      <c r="E139" s="87"/>
      <c r="F139" s="87"/>
      <c r="G139" s="87"/>
      <c r="H139" s="87"/>
      <c r="I139" s="87"/>
      <c r="J139" s="87"/>
      <c r="K139" s="88"/>
      <c r="L139" s="89"/>
      <c r="M139" s="90"/>
      <c r="N139" s="57"/>
      <c r="O139" s="57"/>
      <c r="P139" s="91"/>
    </row>
    <row r="140" spans="2:16" s="50" customFormat="1" ht="13.2">
      <c r="B140" s="86"/>
      <c r="C140" s="87"/>
      <c r="D140" s="87"/>
      <c r="E140" s="87"/>
      <c r="F140" s="87"/>
      <c r="G140" s="87"/>
      <c r="H140" s="87"/>
      <c r="I140" s="87"/>
      <c r="J140" s="87"/>
      <c r="K140" s="88"/>
      <c r="L140" s="89"/>
      <c r="M140" s="90"/>
      <c r="N140" s="57"/>
      <c r="O140" s="57"/>
      <c r="P140" s="91"/>
    </row>
    <row r="141" spans="2:16" s="50" customFormat="1" ht="13.2">
      <c r="B141" s="86"/>
      <c r="C141" s="87"/>
      <c r="D141" s="87"/>
      <c r="E141" s="87"/>
      <c r="F141" s="87"/>
      <c r="G141" s="87"/>
      <c r="H141" s="87"/>
      <c r="I141" s="87"/>
      <c r="J141" s="87"/>
      <c r="K141" s="88"/>
      <c r="L141" s="89"/>
      <c r="M141" s="90"/>
      <c r="N141" s="57"/>
      <c r="O141" s="57"/>
      <c r="P141" s="91"/>
    </row>
    <row r="142" spans="2:16" s="50" customFormat="1" ht="13.2">
      <c r="B142" s="86"/>
      <c r="C142" s="87"/>
      <c r="D142" s="87"/>
      <c r="E142" s="87"/>
      <c r="F142" s="87"/>
      <c r="G142" s="87"/>
      <c r="H142" s="87"/>
      <c r="I142" s="87"/>
      <c r="J142" s="87"/>
      <c r="K142" s="88"/>
      <c r="L142" s="89"/>
      <c r="M142" s="90"/>
      <c r="N142" s="57"/>
      <c r="O142" s="57"/>
      <c r="P142" s="91"/>
    </row>
    <row r="143" spans="2:16" s="50" customFormat="1" ht="13.2">
      <c r="B143" s="86"/>
      <c r="C143" s="87"/>
      <c r="D143" s="87"/>
      <c r="E143" s="87"/>
      <c r="F143" s="87"/>
      <c r="G143" s="87"/>
      <c r="H143" s="87"/>
      <c r="I143" s="87"/>
      <c r="J143" s="87"/>
      <c r="K143" s="88"/>
      <c r="L143" s="89"/>
      <c r="M143" s="90"/>
      <c r="N143" s="57"/>
      <c r="O143" s="57"/>
      <c r="P143" s="91"/>
    </row>
    <row r="144" spans="2:16" s="50" customFormat="1" ht="13.2">
      <c r="B144" s="86"/>
      <c r="C144" s="87"/>
      <c r="D144" s="87"/>
      <c r="E144" s="87"/>
      <c r="F144" s="87"/>
      <c r="G144" s="87"/>
      <c r="H144" s="87"/>
      <c r="I144" s="87"/>
      <c r="J144" s="87"/>
      <c r="K144" s="88"/>
      <c r="L144" s="89"/>
      <c r="M144" s="90"/>
      <c r="N144" s="57"/>
      <c r="O144" s="57"/>
      <c r="P144" s="91"/>
    </row>
    <row r="145" spans="2:16" s="50" customFormat="1" ht="13.2">
      <c r="B145" s="86"/>
      <c r="C145" s="87"/>
      <c r="D145" s="87"/>
      <c r="E145" s="87"/>
      <c r="F145" s="87"/>
      <c r="G145" s="87"/>
      <c r="H145" s="87"/>
      <c r="I145" s="87"/>
      <c r="J145" s="87"/>
      <c r="K145" s="88"/>
      <c r="L145" s="89"/>
      <c r="M145" s="90"/>
      <c r="N145" s="57"/>
      <c r="O145" s="57"/>
      <c r="P145" s="91"/>
    </row>
    <row r="146" spans="2:16" s="50" customFormat="1" ht="13.2">
      <c r="B146" s="86"/>
      <c r="C146" s="87"/>
      <c r="D146" s="87"/>
      <c r="E146" s="87"/>
      <c r="F146" s="87"/>
      <c r="G146" s="87"/>
      <c r="H146" s="87"/>
      <c r="I146" s="87"/>
      <c r="J146" s="87"/>
      <c r="K146" s="88"/>
      <c r="L146" s="89"/>
      <c r="M146" s="90"/>
      <c r="N146" s="57"/>
      <c r="O146" s="57"/>
      <c r="P146" s="91"/>
    </row>
    <row r="147" spans="2:16" s="50" customFormat="1" ht="13.2">
      <c r="B147" s="86"/>
      <c r="C147" s="87"/>
      <c r="D147" s="87"/>
      <c r="E147" s="87"/>
      <c r="F147" s="87"/>
      <c r="G147" s="87"/>
      <c r="H147" s="87"/>
      <c r="I147" s="87"/>
      <c r="J147" s="87"/>
      <c r="K147" s="88"/>
      <c r="L147" s="89"/>
      <c r="M147" s="90"/>
      <c r="N147" s="57"/>
      <c r="O147" s="57"/>
      <c r="P147" s="91"/>
    </row>
    <row r="148" spans="2:16" s="50" customFormat="1" ht="13.2">
      <c r="B148" s="86"/>
      <c r="C148" s="87"/>
      <c r="D148" s="87"/>
      <c r="E148" s="87"/>
      <c r="F148" s="87"/>
      <c r="G148" s="87"/>
      <c r="H148" s="87"/>
      <c r="I148" s="87"/>
      <c r="J148" s="87"/>
      <c r="K148" s="88"/>
      <c r="L148" s="89"/>
      <c r="M148" s="90"/>
      <c r="N148" s="57"/>
      <c r="O148" s="57"/>
      <c r="P148" s="91"/>
    </row>
    <row r="149" spans="2:16" s="50" customFormat="1" ht="13.2">
      <c r="B149" s="86"/>
      <c r="C149" s="87"/>
      <c r="D149" s="87"/>
      <c r="E149" s="87"/>
      <c r="F149" s="87"/>
      <c r="G149" s="87"/>
      <c r="H149" s="87"/>
      <c r="I149" s="87"/>
      <c r="J149" s="87"/>
      <c r="K149" s="88"/>
      <c r="L149" s="89"/>
      <c r="M149" s="90"/>
      <c r="N149" s="57"/>
      <c r="O149" s="57"/>
      <c r="P149" s="91"/>
    </row>
    <row r="150" spans="2:16" s="50" customFormat="1" ht="13.2">
      <c r="B150" s="86"/>
      <c r="C150" s="87"/>
      <c r="D150" s="87"/>
      <c r="E150" s="87"/>
      <c r="F150" s="87"/>
      <c r="G150" s="87"/>
      <c r="H150" s="87"/>
      <c r="I150" s="87"/>
      <c r="J150" s="87"/>
      <c r="K150" s="88"/>
      <c r="L150" s="89"/>
      <c r="M150" s="90"/>
      <c r="N150" s="57"/>
      <c r="O150" s="57"/>
      <c r="P150" s="91"/>
    </row>
    <row r="151" spans="2:16" s="50" customFormat="1" ht="13.2">
      <c r="B151" s="86"/>
      <c r="C151" s="87"/>
      <c r="D151" s="87"/>
      <c r="E151" s="87"/>
      <c r="F151" s="87"/>
      <c r="G151" s="87"/>
      <c r="H151" s="87"/>
      <c r="I151" s="87"/>
      <c r="J151" s="87"/>
      <c r="K151" s="88"/>
      <c r="L151" s="89"/>
      <c r="M151" s="90"/>
      <c r="N151" s="57"/>
      <c r="O151" s="57"/>
      <c r="P151" s="91"/>
    </row>
    <row r="152" spans="2:16" s="50" customFormat="1" ht="13.2">
      <c r="B152" s="86"/>
      <c r="C152" s="87"/>
      <c r="D152" s="87"/>
      <c r="E152" s="87"/>
      <c r="F152" s="87"/>
      <c r="G152" s="87"/>
      <c r="H152" s="87"/>
      <c r="I152" s="87"/>
      <c r="J152" s="87"/>
      <c r="K152" s="88"/>
      <c r="L152" s="89"/>
      <c r="M152" s="90"/>
      <c r="N152" s="57"/>
      <c r="O152" s="57"/>
      <c r="P152" s="91"/>
    </row>
    <row r="153" spans="2:16" s="50" customFormat="1" ht="13.2">
      <c r="B153" s="86"/>
      <c r="C153" s="87"/>
      <c r="D153" s="87"/>
      <c r="E153" s="87"/>
      <c r="F153" s="87"/>
      <c r="G153" s="87"/>
      <c r="H153" s="87"/>
      <c r="I153" s="87"/>
      <c r="J153" s="87"/>
      <c r="K153" s="88"/>
      <c r="L153" s="89"/>
      <c r="M153" s="90"/>
      <c r="N153" s="57"/>
      <c r="O153" s="57"/>
      <c r="P153" s="91"/>
    </row>
    <row r="154" spans="2:16" s="50" customFormat="1" ht="13.2">
      <c r="B154" s="86"/>
      <c r="C154" s="87"/>
      <c r="D154" s="87"/>
      <c r="E154" s="87"/>
      <c r="F154" s="87"/>
      <c r="G154" s="87"/>
      <c r="H154" s="87"/>
      <c r="I154" s="87"/>
      <c r="J154" s="87"/>
      <c r="K154" s="88"/>
      <c r="L154" s="89"/>
      <c r="M154" s="90"/>
      <c r="N154" s="57"/>
      <c r="O154" s="57"/>
      <c r="P154" s="91"/>
    </row>
    <row r="155" spans="2:16" s="50" customFormat="1" ht="13.2">
      <c r="B155" s="86"/>
      <c r="C155" s="87"/>
      <c r="D155" s="87"/>
      <c r="E155" s="87"/>
      <c r="F155" s="87"/>
      <c r="G155" s="87"/>
      <c r="H155" s="87"/>
      <c r="I155" s="87"/>
      <c r="J155" s="87"/>
      <c r="K155" s="88"/>
      <c r="L155" s="89"/>
      <c r="M155" s="90"/>
      <c r="N155" s="57"/>
      <c r="O155" s="57"/>
      <c r="P155" s="91"/>
    </row>
    <row r="156" spans="2:16" s="50" customFormat="1" ht="13.2">
      <c r="B156" s="86"/>
      <c r="C156" s="87"/>
      <c r="D156" s="87"/>
      <c r="E156" s="87"/>
      <c r="F156" s="87"/>
      <c r="G156" s="87"/>
      <c r="H156" s="87"/>
      <c r="I156" s="87"/>
      <c r="J156" s="87"/>
      <c r="K156" s="88"/>
      <c r="L156" s="89"/>
      <c r="M156" s="90"/>
      <c r="N156" s="57"/>
      <c r="O156" s="57"/>
      <c r="P156" s="91"/>
    </row>
    <row r="157" spans="2:16" s="50" customFormat="1" ht="13.2">
      <c r="B157" s="86"/>
      <c r="C157" s="87"/>
      <c r="D157" s="87"/>
      <c r="E157" s="87"/>
      <c r="F157" s="87"/>
      <c r="G157" s="87"/>
      <c r="H157" s="87"/>
      <c r="I157" s="87"/>
      <c r="J157" s="87"/>
      <c r="K157" s="88"/>
      <c r="L157" s="89"/>
      <c r="M157" s="90"/>
      <c r="N157" s="57"/>
      <c r="O157" s="57"/>
      <c r="P157" s="91"/>
    </row>
    <row r="158" spans="2:16" s="50" customFormat="1" ht="13.2">
      <c r="B158" s="86"/>
      <c r="C158" s="87"/>
      <c r="D158" s="87"/>
      <c r="E158" s="87"/>
      <c r="F158" s="87"/>
      <c r="G158" s="87"/>
      <c r="H158" s="87"/>
      <c r="I158" s="87"/>
      <c r="J158" s="87"/>
      <c r="K158" s="88"/>
      <c r="L158" s="89"/>
      <c r="M158" s="90"/>
      <c r="N158" s="57"/>
      <c r="O158" s="57"/>
      <c r="P158" s="91"/>
    </row>
    <row r="159" spans="2:16" s="50" customFormat="1" ht="13.2">
      <c r="B159" s="86"/>
      <c r="C159" s="87"/>
      <c r="D159" s="87"/>
      <c r="E159" s="87"/>
      <c r="F159" s="87"/>
      <c r="G159" s="87"/>
      <c r="H159" s="87"/>
      <c r="I159" s="87"/>
      <c r="J159" s="87"/>
      <c r="K159" s="88"/>
      <c r="L159" s="89"/>
      <c r="M159" s="90"/>
      <c r="N159" s="57"/>
      <c r="O159" s="57"/>
      <c r="P159" s="91"/>
    </row>
    <row r="160" spans="2:16" s="50" customFormat="1" ht="13.2">
      <c r="B160" s="86"/>
      <c r="C160" s="87"/>
      <c r="D160" s="87"/>
      <c r="E160" s="87"/>
      <c r="F160" s="87"/>
      <c r="G160" s="87"/>
      <c r="H160" s="87"/>
      <c r="I160" s="87"/>
      <c r="J160" s="87"/>
      <c r="K160" s="88"/>
      <c r="L160" s="89"/>
      <c r="M160" s="90"/>
      <c r="N160" s="57"/>
      <c r="O160" s="57"/>
      <c r="P160" s="91"/>
    </row>
    <row r="161" spans="2:16" s="50" customFormat="1" ht="13.2">
      <c r="B161" s="86"/>
      <c r="C161" s="87"/>
      <c r="D161" s="87"/>
      <c r="E161" s="87"/>
      <c r="F161" s="87"/>
      <c r="G161" s="87"/>
      <c r="H161" s="87"/>
      <c r="I161" s="87"/>
      <c r="J161" s="87"/>
      <c r="K161" s="88"/>
      <c r="L161" s="89"/>
      <c r="M161" s="90"/>
      <c r="N161" s="57"/>
      <c r="O161" s="57"/>
      <c r="P161" s="91"/>
    </row>
    <row r="162" spans="2:16" s="50" customFormat="1" ht="13.2">
      <c r="B162" s="86"/>
      <c r="C162" s="87"/>
      <c r="D162" s="87"/>
      <c r="E162" s="87"/>
      <c r="F162" s="87"/>
      <c r="G162" s="87"/>
      <c r="H162" s="87"/>
      <c r="I162" s="87"/>
      <c r="J162" s="87"/>
      <c r="K162" s="88"/>
      <c r="L162" s="89"/>
      <c r="M162" s="90"/>
      <c r="N162" s="57"/>
      <c r="O162" s="57"/>
      <c r="P162" s="91"/>
    </row>
    <row r="163" spans="2:16" s="50" customFormat="1" ht="13.2">
      <c r="B163" s="86"/>
      <c r="C163" s="87"/>
      <c r="D163" s="87"/>
      <c r="E163" s="87"/>
      <c r="F163" s="87"/>
      <c r="G163" s="87"/>
      <c r="H163" s="87"/>
      <c r="I163" s="87"/>
      <c r="J163" s="87"/>
      <c r="K163" s="88"/>
      <c r="L163" s="89"/>
      <c r="M163" s="90"/>
      <c r="N163" s="57"/>
      <c r="O163" s="57"/>
      <c r="P163" s="91"/>
    </row>
    <row r="164" spans="2:16" s="50" customFormat="1" ht="13.2">
      <c r="B164" s="86"/>
      <c r="C164" s="87"/>
      <c r="D164" s="87"/>
      <c r="E164" s="87"/>
      <c r="F164" s="87"/>
      <c r="G164" s="87"/>
      <c r="H164" s="87"/>
      <c r="I164" s="87"/>
      <c r="J164" s="87"/>
      <c r="K164" s="88"/>
      <c r="L164" s="89"/>
      <c r="M164" s="90"/>
      <c r="N164" s="57"/>
      <c r="O164" s="57"/>
      <c r="P164" s="91"/>
    </row>
    <row r="165" spans="2:16" s="50" customFormat="1" ht="13.2">
      <c r="B165" s="86"/>
      <c r="C165" s="87"/>
      <c r="D165" s="87"/>
      <c r="E165" s="87"/>
      <c r="F165" s="87"/>
      <c r="G165" s="87"/>
      <c r="H165" s="87"/>
      <c r="I165" s="87"/>
      <c r="J165" s="87"/>
      <c r="K165" s="88"/>
      <c r="L165" s="89"/>
      <c r="M165" s="90"/>
      <c r="N165" s="57"/>
      <c r="O165" s="57"/>
      <c r="P165" s="91"/>
    </row>
    <row r="166" spans="2:16" s="50" customFormat="1" ht="13.2">
      <c r="B166" s="86"/>
      <c r="C166" s="87"/>
      <c r="D166" s="87"/>
      <c r="E166" s="87"/>
      <c r="F166" s="87"/>
      <c r="G166" s="87"/>
      <c r="H166" s="87"/>
      <c r="I166" s="87"/>
      <c r="J166" s="87"/>
      <c r="K166" s="88"/>
      <c r="L166" s="89"/>
      <c r="M166" s="90"/>
      <c r="N166" s="57"/>
      <c r="O166" s="57"/>
      <c r="P166" s="91"/>
    </row>
    <row r="167" spans="2:16" s="50" customFormat="1" ht="13.2">
      <c r="B167" s="86"/>
      <c r="C167" s="87"/>
      <c r="D167" s="87"/>
      <c r="E167" s="87"/>
      <c r="F167" s="87"/>
      <c r="G167" s="87"/>
      <c r="H167" s="87"/>
      <c r="I167" s="87"/>
      <c r="J167" s="87"/>
      <c r="K167" s="88"/>
      <c r="L167" s="89"/>
      <c r="M167" s="90"/>
      <c r="N167" s="57"/>
      <c r="O167" s="57"/>
      <c r="P167" s="91"/>
    </row>
    <row r="168" spans="2:16" s="50" customFormat="1" ht="13.2">
      <c r="B168" s="86"/>
      <c r="C168" s="87"/>
      <c r="D168" s="87"/>
      <c r="E168" s="87"/>
      <c r="F168" s="87"/>
      <c r="G168" s="87"/>
      <c r="H168" s="87"/>
      <c r="I168" s="87"/>
      <c r="J168" s="87"/>
      <c r="K168" s="88"/>
      <c r="L168" s="89"/>
      <c r="M168" s="90"/>
      <c r="N168" s="57"/>
      <c r="O168" s="57"/>
      <c r="P168" s="91"/>
    </row>
    <row r="169" spans="2:16" s="50" customFormat="1" ht="13.2">
      <c r="B169" s="86"/>
      <c r="C169" s="87"/>
      <c r="D169" s="87"/>
      <c r="E169" s="87"/>
      <c r="F169" s="87"/>
      <c r="G169" s="87"/>
      <c r="H169" s="87"/>
      <c r="I169" s="87"/>
      <c r="J169" s="87"/>
      <c r="K169" s="88"/>
      <c r="L169" s="89"/>
      <c r="M169" s="90"/>
      <c r="N169" s="57"/>
      <c r="O169" s="57"/>
      <c r="P169" s="91"/>
    </row>
    <row r="170" spans="2:16" s="50" customFormat="1" ht="13.2">
      <c r="B170" s="86"/>
      <c r="C170" s="87"/>
      <c r="D170" s="87"/>
      <c r="E170" s="87"/>
      <c r="F170" s="87"/>
      <c r="G170" s="87"/>
      <c r="H170" s="87"/>
      <c r="I170" s="87"/>
      <c r="J170" s="87"/>
      <c r="K170" s="88"/>
      <c r="L170" s="89"/>
      <c r="M170" s="90"/>
      <c r="N170" s="57"/>
      <c r="O170" s="57"/>
      <c r="P170" s="91"/>
    </row>
    <row r="171" spans="2:16" s="50" customFormat="1" ht="13.2">
      <c r="B171" s="86"/>
      <c r="C171" s="87"/>
      <c r="D171" s="87"/>
      <c r="E171" s="87"/>
      <c r="F171" s="87"/>
      <c r="G171" s="87"/>
      <c r="H171" s="87"/>
      <c r="I171" s="87"/>
      <c r="J171" s="87"/>
      <c r="K171" s="88"/>
      <c r="L171" s="89"/>
      <c r="M171" s="90"/>
      <c r="N171" s="57"/>
      <c r="O171" s="57"/>
      <c r="P171" s="91"/>
    </row>
    <row r="172" spans="2:16" s="50" customFormat="1" ht="13.2">
      <c r="B172" s="86"/>
      <c r="C172" s="87"/>
      <c r="D172" s="87"/>
      <c r="E172" s="87"/>
      <c r="F172" s="87"/>
      <c r="G172" s="87"/>
      <c r="H172" s="87"/>
      <c r="I172" s="87"/>
      <c r="J172" s="87"/>
      <c r="K172" s="88"/>
      <c r="L172" s="89"/>
      <c r="M172" s="90"/>
      <c r="N172" s="57"/>
      <c r="O172" s="57"/>
      <c r="P172" s="91"/>
    </row>
    <row r="173" spans="2:16" s="50" customFormat="1" ht="13.2">
      <c r="B173" s="86"/>
      <c r="C173" s="87"/>
      <c r="D173" s="87"/>
      <c r="E173" s="87"/>
      <c r="F173" s="87"/>
      <c r="G173" s="87"/>
      <c r="H173" s="87"/>
      <c r="I173" s="87"/>
      <c r="J173" s="87"/>
      <c r="K173" s="88"/>
      <c r="L173" s="89"/>
      <c r="M173" s="90"/>
      <c r="N173" s="57"/>
      <c r="O173" s="57"/>
      <c r="P173" s="91"/>
    </row>
    <row r="174" spans="2:16" s="50" customFormat="1" ht="13.2">
      <c r="B174" s="86"/>
      <c r="C174" s="87"/>
      <c r="D174" s="87"/>
      <c r="E174" s="87"/>
      <c r="F174" s="87"/>
      <c r="G174" s="87"/>
      <c r="H174" s="87"/>
      <c r="I174" s="87"/>
      <c r="J174" s="87"/>
      <c r="K174" s="88"/>
      <c r="L174" s="89"/>
      <c r="M174" s="90"/>
      <c r="N174" s="57"/>
      <c r="O174" s="57"/>
      <c r="P174" s="91"/>
    </row>
    <row r="175" spans="2:16" s="50" customFormat="1" ht="13.2">
      <c r="B175" s="86"/>
      <c r="C175" s="87"/>
      <c r="D175" s="87"/>
      <c r="E175" s="87"/>
      <c r="F175" s="87"/>
      <c r="G175" s="87"/>
      <c r="H175" s="87"/>
      <c r="I175" s="87"/>
      <c r="J175" s="87"/>
      <c r="K175" s="88"/>
      <c r="L175" s="89"/>
      <c r="M175" s="90"/>
      <c r="N175" s="57"/>
      <c r="O175" s="57"/>
      <c r="P175" s="91"/>
    </row>
    <row r="176" spans="2:16" s="50" customFormat="1" ht="13.2">
      <c r="B176" s="86"/>
      <c r="C176" s="87"/>
      <c r="D176" s="87"/>
      <c r="E176" s="87"/>
      <c r="F176" s="87"/>
      <c r="G176" s="87"/>
      <c r="H176" s="87"/>
      <c r="I176" s="87"/>
      <c r="J176" s="87"/>
      <c r="K176" s="88"/>
      <c r="L176" s="89"/>
      <c r="M176" s="90"/>
      <c r="N176" s="57"/>
      <c r="O176" s="57"/>
      <c r="P176" s="91"/>
    </row>
    <row r="177" spans="2:16" s="50" customFormat="1" ht="13.2">
      <c r="B177" s="86"/>
      <c r="C177" s="87"/>
      <c r="D177" s="87"/>
      <c r="E177" s="87"/>
      <c r="F177" s="87"/>
      <c r="G177" s="87"/>
      <c r="H177" s="87"/>
      <c r="I177" s="87"/>
      <c r="J177" s="87"/>
      <c r="K177" s="88"/>
      <c r="L177" s="89"/>
      <c r="M177" s="90"/>
      <c r="N177" s="57"/>
      <c r="O177" s="57"/>
      <c r="P177" s="91"/>
    </row>
    <row r="178" spans="2:16" s="50" customFormat="1" ht="13.2">
      <c r="B178" s="86"/>
      <c r="C178" s="87"/>
      <c r="D178" s="87"/>
      <c r="E178" s="87"/>
      <c r="F178" s="87"/>
      <c r="G178" s="87"/>
      <c r="H178" s="87"/>
      <c r="I178" s="87"/>
      <c r="J178" s="87"/>
      <c r="K178" s="88"/>
      <c r="L178" s="89"/>
      <c r="M178" s="90"/>
      <c r="N178" s="57"/>
      <c r="O178" s="57"/>
      <c r="P178" s="91"/>
    </row>
    <row r="179" spans="2:16" s="50" customFormat="1" ht="13.2">
      <c r="B179" s="86"/>
      <c r="C179" s="87"/>
      <c r="D179" s="87"/>
      <c r="E179" s="87"/>
      <c r="F179" s="87"/>
      <c r="G179" s="87"/>
      <c r="H179" s="87"/>
      <c r="I179" s="87"/>
      <c r="J179" s="87"/>
      <c r="K179" s="88"/>
      <c r="L179" s="89"/>
      <c r="M179" s="90"/>
      <c r="N179" s="57"/>
      <c r="O179" s="57"/>
      <c r="P179" s="91"/>
    </row>
    <row r="180" spans="2:16" s="50" customFormat="1" ht="13.2">
      <c r="B180" s="86"/>
      <c r="C180" s="87"/>
      <c r="D180" s="87"/>
      <c r="E180" s="87"/>
      <c r="F180" s="87"/>
      <c r="G180" s="87"/>
      <c r="H180" s="87"/>
      <c r="I180" s="87"/>
      <c r="J180" s="87"/>
      <c r="K180" s="88"/>
      <c r="L180" s="89"/>
      <c r="M180" s="90"/>
      <c r="N180" s="57"/>
      <c r="O180" s="57"/>
      <c r="P180" s="91"/>
    </row>
    <row r="181" spans="2:16" s="50" customFormat="1" ht="13.2">
      <c r="B181" s="86"/>
      <c r="C181" s="87"/>
      <c r="D181" s="87"/>
      <c r="E181" s="87"/>
      <c r="F181" s="87"/>
      <c r="G181" s="87"/>
      <c r="H181" s="87"/>
      <c r="I181" s="87"/>
      <c r="J181" s="87"/>
      <c r="K181" s="88"/>
      <c r="L181" s="89"/>
      <c r="M181" s="90"/>
      <c r="N181" s="57"/>
      <c r="O181" s="57"/>
      <c r="P181" s="91"/>
    </row>
    <row r="182" spans="2:16" s="50" customFormat="1" ht="13.2">
      <c r="B182" s="86"/>
      <c r="C182" s="87"/>
      <c r="D182" s="87"/>
      <c r="E182" s="87"/>
      <c r="F182" s="87"/>
      <c r="G182" s="87"/>
      <c r="H182" s="87"/>
      <c r="I182" s="87"/>
      <c r="J182" s="87"/>
      <c r="K182" s="88"/>
      <c r="L182" s="89"/>
      <c r="M182" s="90"/>
      <c r="N182" s="57"/>
      <c r="O182" s="57"/>
      <c r="P182" s="91"/>
    </row>
    <row r="183" spans="2:16" s="50" customFormat="1" ht="13.2">
      <c r="B183" s="86"/>
      <c r="C183" s="87"/>
      <c r="D183" s="87"/>
      <c r="E183" s="87"/>
      <c r="F183" s="87"/>
      <c r="G183" s="87"/>
      <c r="H183" s="87"/>
      <c r="I183" s="87"/>
      <c r="J183" s="87"/>
      <c r="K183" s="88"/>
      <c r="L183" s="89"/>
      <c r="M183" s="90"/>
      <c r="N183" s="57"/>
      <c r="O183" s="57"/>
      <c r="P183" s="91"/>
    </row>
    <row r="184" spans="2:16" s="50" customFormat="1" ht="13.2">
      <c r="B184" s="86"/>
      <c r="C184" s="87"/>
      <c r="D184" s="87"/>
      <c r="E184" s="87"/>
      <c r="F184" s="87"/>
      <c r="G184" s="87"/>
      <c r="H184" s="87"/>
      <c r="I184" s="87"/>
      <c r="J184" s="87"/>
      <c r="K184" s="88"/>
      <c r="L184" s="89"/>
      <c r="M184" s="90"/>
      <c r="N184" s="57"/>
      <c r="O184" s="57"/>
      <c r="P184" s="91"/>
    </row>
    <row r="185" spans="2:16" s="50" customFormat="1" ht="13.2">
      <c r="B185" s="86"/>
      <c r="C185" s="87"/>
      <c r="D185" s="87"/>
      <c r="E185" s="87"/>
      <c r="F185" s="87"/>
      <c r="G185" s="87"/>
      <c r="H185" s="87"/>
      <c r="I185" s="87"/>
      <c r="J185" s="87"/>
      <c r="K185" s="88"/>
      <c r="L185" s="89"/>
      <c r="M185" s="90"/>
      <c r="N185" s="57"/>
      <c r="O185" s="57"/>
      <c r="P185" s="91"/>
    </row>
    <row r="186" spans="2:16" s="50" customFormat="1" ht="13.2">
      <c r="B186" s="86"/>
      <c r="C186" s="87"/>
      <c r="D186" s="87"/>
      <c r="E186" s="87"/>
      <c r="F186" s="87"/>
      <c r="G186" s="87"/>
      <c r="H186" s="87"/>
      <c r="I186" s="87"/>
      <c r="J186" s="87"/>
      <c r="K186" s="88"/>
      <c r="L186" s="89"/>
      <c r="M186" s="90"/>
      <c r="N186" s="57"/>
      <c r="O186" s="57"/>
      <c r="P186" s="91"/>
    </row>
    <row r="187" spans="2:16" s="50" customFormat="1" ht="13.2">
      <c r="B187" s="86"/>
      <c r="C187" s="87"/>
      <c r="D187" s="87"/>
      <c r="E187" s="87"/>
      <c r="F187" s="87"/>
      <c r="G187" s="87"/>
      <c r="H187" s="87"/>
      <c r="I187" s="87"/>
      <c r="J187" s="87"/>
      <c r="K187" s="88"/>
      <c r="L187" s="89"/>
      <c r="M187" s="90"/>
      <c r="N187" s="57"/>
      <c r="O187" s="57"/>
      <c r="P187" s="91"/>
    </row>
    <row r="188" spans="2:16" s="50" customFormat="1" ht="13.2">
      <c r="B188" s="86"/>
      <c r="C188" s="87"/>
      <c r="D188" s="87"/>
      <c r="E188" s="87"/>
      <c r="F188" s="87"/>
      <c r="G188" s="87"/>
      <c r="H188" s="87"/>
      <c r="I188" s="87"/>
      <c r="J188" s="87"/>
      <c r="K188" s="88"/>
      <c r="L188" s="89"/>
      <c r="M188" s="90"/>
      <c r="N188" s="57"/>
      <c r="O188" s="57"/>
      <c r="P188" s="91"/>
    </row>
    <row r="189" spans="2:16" s="50" customFormat="1" ht="13.2">
      <c r="B189" s="86"/>
      <c r="C189" s="87"/>
      <c r="D189" s="87"/>
      <c r="E189" s="87"/>
      <c r="F189" s="87"/>
      <c r="G189" s="87"/>
      <c r="H189" s="87"/>
      <c r="I189" s="87"/>
      <c r="J189" s="87"/>
      <c r="K189" s="88"/>
      <c r="L189" s="89"/>
      <c r="M189" s="90"/>
      <c r="N189" s="57"/>
      <c r="O189" s="57"/>
      <c r="P189" s="91"/>
    </row>
    <row r="190" spans="2:16" s="50" customFormat="1" ht="13.2">
      <c r="B190" s="86"/>
      <c r="C190" s="87"/>
      <c r="D190" s="87"/>
      <c r="E190" s="87"/>
      <c r="F190" s="87"/>
      <c r="G190" s="87"/>
      <c r="H190" s="87"/>
      <c r="I190" s="87"/>
      <c r="J190" s="87"/>
      <c r="K190" s="88"/>
      <c r="L190" s="89"/>
      <c r="M190" s="90"/>
      <c r="N190" s="57"/>
      <c r="O190" s="57"/>
      <c r="P190" s="91"/>
    </row>
    <row r="191" spans="2:16" s="50" customFormat="1" ht="13.2">
      <c r="B191" s="86"/>
      <c r="C191" s="87"/>
      <c r="D191" s="87"/>
      <c r="E191" s="87"/>
      <c r="F191" s="87"/>
      <c r="G191" s="87"/>
      <c r="H191" s="87"/>
      <c r="I191" s="87"/>
      <c r="J191" s="87"/>
      <c r="K191" s="88"/>
      <c r="L191" s="89"/>
      <c r="M191" s="90"/>
      <c r="N191" s="57"/>
      <c r="O191" s="57"/>
      <c r="P191" s="91"/>
    </row>
    <row r="192" spans="2:16" s="50" customFormat="1" ht="13.2">
      <c r="B192" s="86"/>
      <c r="C192" s="87"/>
      <c r="D192" s="87"/>
      <c r="E192" s="87"/>
      <c r="F192" s="87"/>
      <c r="G192" s="87"/>
      <c r="H192" s="87"/>
      <c r="I192" s="87"/>
      <c r="J192" s="87"/>
      <c r="K192" s="88"/>
      <c r="L192" s="89"/>
      <c r="M192" s="90"/>
      <c r="N192" s="57"/>
      <c r="O192" s="57"/>
      <c r="P192" s="91"/>
    </row>
    <row r="193" spans="2:16" s="50" customFormat="1" ht="13.2">
      <c r="B193" s="86"/>
      <c r="C193" s="87"/>
      <c r="D193" s="87"/>
      <c r="E193" s="87"/>
      <c r="F193" s="87"/>
      <c r="G193" s="87"/>
      <c r="H193" s="87"/>
      <c r="I193" s="87"/>
      <c r="J193" s="87"/>
      <c r="K193" s="88"/>
      <c r="L193" s="89"/>
      <c r="M193" s="90"/>
      <c r="N193" s="57"/>
      <c r="O193" s="57"/>
      <c r="P193" s="91"/>
    </row>
    <row r="194" spans="2:16" s="50" customFormat="1" ht="13.2">
      <c r="B194" s="86"/>
      <c r="C194" s="87"/>
      <c r="D194" s="87"/>
      <c r="E194" s="87"/>
      <c r="F194" s="87"/>
      <c r="G194" s="87"/>
      <c r="H194" s="87"/>
      <c r="I194" s="87"/>
      <c r="J194" s="87"/>
      <c r="K194" s="88"/>
      <c r="L194" s="89"/>
      <c r="M194" s="90"/>
      <c r="N194" s="57"/>
      <c r="O194" s="57"/>
      <c r="P194" s="91"/>
    </row>
    <row r="195" spans="2:16" s="50" customFormat="1" ht="13.2">
      <c r="B195" s="86"/>
      <c r="C195" s="87"/>
      <c r="D195" s="87"/>
      <c r="E195" s="87"/>
      <c r="F195" s="87"/>
      <c r="G195" s="87"/>
      <c r="H195" s="87"/>
      <c r="I195" s="87"/>
      <c r="J195" s="87"/>
      <c r="K195" s="88"/>
      <c r="L195" s="89"/>
      <c r="M195" s="90"/>
      <c r="N195" s="57"/>
      <c r="O195" s="57"/>
      <c r="P195" s="91"/>
    </row>
    <row r="196" spans="2:16" s="50" customFormat="1" ht="13.2">
      <c r="B196" s="86"/>
      <c r="C196" s="87"/>
      <c r="D196" s="87"/>
      <c r="E196" s="87"/>
      <c r="F196" s="87"/>
      <c r="G196" s="87"/>
      <c r="H196" s="87"/>
      <c r="I196" s="87"/>
      <c r="J196" s="87"/>
      <c r="K196" s="88"/>
      <c r="L196" s="89"/>
      <c r="M196" s="90"/>
      <c r="N196" s="57"/>
      <c r="O196" s="57"/>
      <c r="P196" s="91"/>
    </row>
    <row r="197" spans="2:16" s="50" customFormat="1" ht="13.2">
      <c r="B197" s="86"/>
      <c r="C197" s="87"/>
      <c r="D197" s="87"/>
      <c r="E197" s="87"/>
      <c r="F197" s="87"/>
      <c r="G197" s="87"/>
      <c r="H197" s="87"/>
      <c r="I197" s="87"/>
      <c r="J197" s="87"/>
      <c r="K197" s="88"/>
      <c r="L197" s="89"/>
      <c r="M197" s="90"/>
      <c r="N197" s="57"/>
      <c r="O197" s="57"/>
      <c r="P197" s="91"/>
    </row>
    <row r="198" spans="2:16" s="50" customFormat="1" ht="13.2">
      <c r="B198" s="86"/>
      <c r="C198" s="87"/>
      <c r="D198" s="87"/>
      <c r="E198" s="87"/>
      <c r="F198" s="87"/>
      <c r="G198" s="87"/>
      <c r="H198" s="87"/>
      <c r="I198" s="87"/>
      <c r="J198" s="87"/>
      <c r="K198" s="88"/>
      <c r="L198" s="89"/>
      <c r="M198" s="90"/>
      <c r="N198" s="57"/>
      <c r="O198" s="57"/>
      <c r="P198" s="91"/>
    </row>
    <row r="199" spans="2:16" s="50" customFormat="1" ht="13.2">
      <c r="B199" s="86"/>
      <c r="C199" s="87"/>
      <c r="D199" s="87"/>
      <c r="E199" s="87"/>
      <c r="F199" s="87"/>
      <c r="G199" s="87"/>
      <c r="H199" s="87"/>
      <c r="I199" s="87"/>
      <c r="J199" s="87"/>
      <c r="K199" s="88"/>
      <c r="L199" s="89"/>
      <c r="M199" s="90"/>
      <c r="N199" s="57"/>
      <c r="O199" s="57"/>
      <c r="P199" s="91"/>
    </row>
    <row r="200" spans="2:16" s="50" customFormat="1" ht="13.2">
      <c r="B200" s="86"/>
      <c r="C200" s="87"/>
      <c r="D200" s="87"/>
      <c r="E200" s="87"/>
      <c r="F200" s="87"/>
      <c r="G200" s="87"/>
      <c r="H200" s="87"/>
      <c r="I200" s="87"/>
      <c r="J200" s="87"/>
      <c r="K200" s="88"/>
      <c r="L200" s="89"/>
      <c r="M200" s="90"/>
      <c r="N200" s="57"/>
      <c r="O200" s="57"/>
      <c r="P200" s="91"/>
    </row>
    <row r="201" spans="2:16" s="50" customFormat="1" ht="13.2">
      <c r="B201" s="86"/>
      <c r="C201" s="87"/>
      <c r="D201" s="87"/>
      <c r="E201" s="87"/>
      <c r="F201" s="87"/>
      <c r="G201" s="87"/>
      <c r="H201" s="87"/>
      <c r="I201" s="87"/>
      <c r="J201" s="87"/>
      <c r="K201" s="88"/>
      <c r="L201" s="89"/>
      <c r="M201" s="90"/>
      <c r="N201" s="57"/>
      <c r="O201" s="57"/>
      <c r="P201" s="91"/>
    </row>
    <row r="202" spans="2:16" s="50" customFormat="1" ht="13.2">
      <c r="B202" s="86"/>
      <c r="C202" s="87"/>
      <c r="D202" s="87"/>
      <c r="E202" s="87"/>
      <c r="F202" s="87"/>
      <c r="G202" s="87"/>
      <c r="H202" s="87"/>
      <c r="I202" s="87"/>
      <c r="J202" s="87"/>
      <c r="K202" s="88"/>
      <c r="L202" s="89"/>
      <c r="M202" s="90"/>
      <c r="N202" s="57"/>
      <c r="O202" s="57"/>
      <c r="P202" s="91"/>
    </row>
    <row r="203" spans="2:16" s="50" customFormat="1" ht="13.2">
      <c r="B203" s="86"/>
      <c r="C203" s="87"/>
      <c r="D203" s="87"/>
      <c r="E203" s="87"/>
      <c r="F203" s="87"/>
      <c r="G203" s="87"/>
      <c r="H203" s="87"/>
      <c r="I203" s="87"/>
      <c r="J203" s="87"/>
      <c r="K203" s="88"/>
      <c r="L203" s="89"/>
      <c r="M203" s="90"/>
      <c r="N203" s="57"/>
      <c r="O203" s="57"/>
      <c r="P203" s="91"/>
    </row>
    <row r="204" spans="2:16" s="50" customFormat="1" ht="13.2">
      <c r="B204" s="86"/>
      <c r="C204" s="87"/>
      <c r="D204" s="87"/>
      <c r="E204" s="87"/>
      <c r="F204" s="87"/>
      <c r="G204" s="87"/>
      <c r="H204" s="87"/>
      <c r="I204" s="87"/>
      <c r="J204" s="87"/>
      <c r="K204" s="88"/>
      <c r="L204" s="89"/>
      <c r="M204" s="90"/>
      <c r="N204" s="57"/>
      <c r="O204" s="57"/>
      <c r="P204" s="91"/>
    </row>
    <row r="205" spans="2:16" s="50" customFormat="1" ht="13.2">
      <c r="B205" s="86"/>
      <c r="C205" s="87"/>
      <c r="D205" s="87"/>
      <c r="E205" s="87"/>
      <c r="F205" s="87"/>
      <c r="G205" s="87"/>
      <c r="H205" s="87"/>
      <c r="I205" s="87"/>
      <c r="J205" s="87"/>
      <c r="K205" s="88"/>
      <c r="L205" s="89"/>
      <c r="M205" s="90"/>
      <c r="N205" s="57"/>
      <c r="O205" s="57"/>
      <c r="P205" s="91"/>
    </row>
    <row r="206" spans="2:16" s="50" customFormat="1" ht="13.2">
      <c r="B206" s="86"/>
      <c r="C206" s="87"/>
      <c r="D206" s="87"/>
      <c r="E206" s="87"/>
      <c r="F206" s="87"/>
      <c r="G206" s="87"/>
      <c r="H206" s="87"/>
      <c r="I206" s="87"/>
      <c r="J206" s="87"/>
      <c r="K206" s="88"/>
      <c r="L206" s="89"/>
      <c r="M206" s="90"/>
      <c r="N206" s="57"/>
      <c r="O206" s="57"/>
      <c r="P206" s="91"/>
    </row>
    <row r="207" spans="2:16" s="50" customFormat="1" ht="13.2">
      <c r="B207" s="86"/>
      <c r="C207" s="87"/>
      <c r="D207" s="87"/>
      <c r="E207" s="87"/>
      <c r="F207" s="87"/>
      <c r="G207" s="87"/>
      <c r="H207" s="87"/>
      <c r="I207" s="87"/>
      <c r="J207" s="87"/>
      <c r="K207" s="88"/>
      <c r="L207" s="89"/>
      <c r="M207" s="90"/>
      <c r="N207" s="57"/>
      <c r="O207" s="57"/>
      <c r="P207" s="91"/>
    </row>
    <row r="208" spans="2:16" s="50" customFormat="1" ht="13.2">
      <c r="B208" s="86"/>
      <c r="C208" s="87"/>
      <c r="D208" s="87"/>
      <c r="E208" s="87"/>
      <c r="F208" s="87"/>
      <c r="G208" s="87"/>
      <c r="H208" s="87"/>
      <c r="I208" s="87"/>
      <c r="J208" s="87"/>
      <c r="K208" s="88"/>
      <c r="L208" s="89"/>
      <c r="M208" s="90"/>
      <c r="N208" s="57"/>
      <c r="O208" s="57"/>
      <c r="P208" s="91"/>
    </row>
    <row r="209" spans="2:16" s="50" customFormat="1" ht="13.2">
      <c r="B209" s="86"/>
      <c r="C209" s="87"/>
      <c r="D209" s="87"/>
      <c r="E209" s="87"/>
      <c r="F209" s="87"/>
      <c r="G209" s="87"/>
      <c r="H209" s="87"/>
      <c r="I209" s="87"/>
      <c r="J209" s="87"/>
      <c r="K209" s="88"/>
      <c r="L209" s="89"/>
      <c r="M209" s="90"/>
      <c r="N209" s="57"/>
      <c r="O209" s="57"/>
      <c r="P209" s="91"/>
    </row>
    <row r="210" spans="2:16" s="50" customFormat="1" ht="13.2">
      <c r="B210" s="86"/>
      <c r="C210" s="87"/>
      <c r="D210" s="87"/>
      <c r="E210" s="87"/>
      <c r="F210" s="87"/>
      <c r="G210" s="87"/>
      <c r="H210" s="87"/>
      <c r="I210" s="87"/>
      <c r="J210" s="87"/>
      <c r="K210" s="88"/>
      <c r="L210" s="89"/>
      <c r="M210" s="90"/>
      <c r="N210" s="57"/>
      <c r="O210" s="57"/>
      <c r="P210" s="91"/>
    </row>
    <row r="211" spans="2:16" s="50" customFormat="1" ht="13.2">
      <c r="B211" s="86"/>
      <c r="C211" s="87"/>
      <c r="D211" s="87"/>
      <c r="E211" s="87"/>
      <c r="F211" s="87"/>
      <c r="G211" s="87"/>
      <c r="H211" s="87"/>
      <c r="I211" s="87"/>
      <c r="J211" s="87"/>
      <c r="K211" s="88"/>
      <c r="L211" s="89"/>
      <c r="M211" s="90"/>
      <c r="N211" s="57"/>
      <c r="O211" s="57"/>
      <c r="P211" s="91"/>
    </row>
    <row r="212" spans="2:16" s="50" customFormat="1" ht="13.2">
      <c r="B212" s="86"/>
      <c r="C212" s="87"/>
      <c r="D212" s="87"/>
      <c r="E212" s="87"/>
      <c r="F212" s="87"/>
      <c r="G212" s="87"/>
      <c r="H212" s="87"/>
      <c r="I212" s="87"/>
      <c r="J212" s="87"/>
      <c r="K212" s="88"/>
      <c r="L212" s="89"/>
      <c r="M212" s="90"/>
      <c r="N212" s="57"/>
      <c r="O212" s="57"/>
      <c r="P212" s="91"/>
    </row>
    <row r="213" spans="2:16" s="50" customFormat="1" ht="13.2">
      <c r="B213" s="86"/>
      <c r="C213" s="87"/>
      <c r="D213" s="87"/>
      <c r="E213" s="87"/>
      <c r="F213" s="87"/>
      <c r="G213" s="87"/>
      <c r="H213" s="87"/>
      <c r="I213" s="87"/>
      <c r="J213" s="87"/>
      <c r="K213" s="88"/>
      <c r="L213" s="89"/>
      <c r="M213" s="90"/>
      <c r="N213" s="57"/>
      <c r="O213" s="57"/>
      <c r="P213" s="91"/>
    </row>
    <row r="214" spans="2:16" s="50" customFormat="1" ht="13.2">
      <c r="B214" s="86"/>
      <c r="C214" s="87"/>
      <c r="D214" s="87"/>
      <c r="E214" s="87"/>
      <c r="F214" s="87"/>
      <c r="G214" s="87"/>
      <c r="H214" s="87"/>
      <c r="I214" s="87"/>
      <c r="J214" s="87"/>
      <c r="K214" s="88"/>
      <c r="L214" s="89"/>
      <c r="M214" s="90"/>
      <c r="N214" s="57"/>
      <c r="O214" s="57"/>
      <c r="P214" s="91"/>
    </row>
    <row r="215" spans="2:16" s="50" customFormat="1" ht="13.2">
      <c r="B215" s="86"/>
      <c r="C215" s="87"/>
      <c r="D215" s="87"/>
      <c r="E215" s="87"/>
      <c r="F215" s="87"/>
      <c r="G215" s="87"/>
      <c r="H215" s="87"/>
      <c r="I215" s="87"/>
      <c r="J215" s="87"/>
      <c r="K215" s="88"/>
      <c r="L215" s="89"/>
      <c r="M215" s="90"/>
      <c r="N215" s="57"/>
      <c r="O215" s="57"/>
      <c r="P215" s="91"/>
    </row>
    <row r="216" spans="2:16" s="50" customFormat="1" ht="13.2">
      <c r="B216" s="86"/>
      <c r="C216" s="87"/>
      <c r="D216" s="87"/>
      <c r="E216" s="87"/>
      <c r="F216" s="87"/>
      <c r="G216" s="87"/>
      <c r="H216" s="87"/>
      <c r="I216" s="87"/>
      <c r="J216" s="87"/>
      <c r="K216" s="88"/>
      <c r="L216" s="89"/>
      <c r="M216" s="90"/>
      <c r="N216" s="57"/>
      <c r="O216" s="57"/>
      <c r="P216" s="91"/>
    </row>
    <row r="217" spans="2:16" s="50" customFormat="1" ht="13.2">
      <c r="B217" s="86"/>
      <c r="C217" s="87"/>
      <c r="D217" s="87"/>
      <c r="E217" s="87"/>
      <c r="F217" s="87"/>
      <c r="G217" s="87"/>
      <c r="H217" s="87"/>
      <c r="I217" s="87"/>
      <c r="J217" s="87"/>
      <c r="K217" s="88"/>
      <c r="L217" s="89"/>
      <c r="M217" s="90"/>
      <c r="N217" s="57"/>
      <c r="O217" s="57"/>
      <c r="P217" s="91"/>
    </row>
    <row r="218" spans="2:16" s="50" customFormat="1" ht="13.2">
      <c r="B218" s="86"/>
      <c r="C218" s="87"/>
      <c r="D218" s="87"/>
      <c r="E218" s="87"/>
      <c r="F218" s="87"/>
      <c r="G218" s="87"/>
      <c r="H218" s="87"/>
      <c r="I218" s="87"/>
      <c r="J218" s="87"/>
      <c r="K218" s="88"/>
      <c r="L218" s="89"/>
      <c r="M218" s="90"/>
      <c r="N218" s="57"/>
      <c r="O218" s="57"/>
      <c r="P218" s="91"/>
    </row>
    <row r="219" spans="2:16" s="50" customFormat="1" ht="13.2">
      <c r="B219" s="86"/>
      <c r="C219" s="87"/>
      <c r="D219" s="87"/>
      <c r="E219" s="87"/>
      <c r="F219" s="87"/>
      <c r="G219" s="87"/>
      <c r="H219" s="87"/>
      <c r="I219" s="87"/>
      <c r="J219" s="87"/>
      <c r="K219" s="88"/>
      <c r="L219" s="89"/>
      <c r="M219" s="90"/>
      <c r="N219" s="57"/>
      <c r="O219" s="57"/>
      <c r="P219" s="91"/>
    </row>
    <row r="220" spans="2:16" s="50" customFormat="1" ht="13.2">
      <c r="B220" s="86"/>
      <c r="C220" s="87"/>
      <c r="D220" s="87"/>
      <c r="E220" s="87"/>
      <c r="F220" s="87"/>
      <c r="G220" s="87"/>
      <c r="H220" s="87"/>
      <c r="I220" s="87"/>
      <c r="J220" s="87"/>
      <c r="K220" s="88"/>
      <c r="L220" s="89"/>
      <c r="M220" s="90"/>
      <c r="N220" s="57"/>
      <c r="O220" s="57"/>
      <c r="P220" s="91"/>
    </row>
    <row r="221" spans="2:16" s="50" customFormat="1" ht="13.2">
      <c r="B221" s="86"/>
      <c r="C221" s="87"/>
      <c r="D221" s="87"/>
      <c r="E221" s="87"/>
      <c r="F221" s="87"/>
      <c r="G221" s="87"/>
      <c r="H221" s="87"/>
      <c r="I221" s="87"/>
      <c r="J221" s="87"/>
      <c r="K221" s="88"/>
      <c r="L221" s="89"/>
      <c r="M221" s="90"/>
      <c r="N221" s="57"/>
      <c r="O221" s="57"/>
      <c r="P221" s="91"/>
    </row>
    <row r="222" spans="2:16" s="50" customFormat="1" ht="13.2">
      <c r="B222" s="86"/>
      <c r="C222" s="87"/>
      <c r="D222" s="87"/>
      <c r="E222" s="87"/>
      <c r="F222" s="87"/>
      <c r="G222" s="87"/>
      <c r="H222" s="87"/>
      <c r="I222" s="87"/>
      <c r="J222" s="87"/>
      <c r="K222" s="88"/>
      <c r="L222" s="89"/>
      <c r="M222" s="90"/>
      <c r="N222" s="57"/>
      <c r="O222" s="57"/>
      <c r="P222" s="91"/>
    </row>
    <row r="223" spans="2:16" s="50" customFormat="1" ht="13.2">
      <c r="B223" s="86"/>
      <c r="C223" s="87"/>
      <c r="D223" s="87"/>
      <c r="E223" s="87"/>
      <c r="F223" s="87"/>
      <c r="G223" s="87"/>
      <c r="H223" s="87"/>
      <c r="I223" s="87"/>
      <c r="J223" s="87"/>
      <c r="K223" s="88"/>
      <c r="L223" s="89"/>
      <c r="M223" s="90"/>
      <c r="N223" s="57"/>
      <c r="O223" s="57"/>
      <c r="P223" s="91"/>
    </row>
    <row r="224" spans="2:16" s="50" customFormat="1" ht="13.2">
      <c r="B224" s="86"/>
      <c r="C224" s="87"/>
      <c r="D224" s="87"/>
      <c r="E224" s="87"/>
      <c r="F224" s="87"/>
      <c r="G224" s="87"/>
      <c r="H224" s="87"/>
      <c r="I224" s="87"/>
      <c r="J224" s="87"/>
      <c r="K224" s="88"/>
      <c r="L224" s="89"/>
      <c r="M224" s="90"/>
      <c r="N224" s="57"/>
      <c r="O224" s="57"/>
      <c r="P224" s="91"/>
    </row>
    <row r="225" spans="2:16" s="50" customFormat="1" ht="13.2">
      <c r="B225" s="86"/>
      <c r="C225" s="87"/>
      <c r="D225" s="87"/>
      <c r="E225" s="87"/>
      <c r="F225" s="87"/>
      <c r="G225" s="87"/>
      <c r="H225" s="87"/>
      <c r="I225" s="87"/>
      <c r="J225" s="87"/>
      <c r="K225" s="88"/>
      <c r="L225" s="89"/>
      <c r="M225" s="90"/>
      <c r="N225" s="57"/>
      <c r="O225" s="57"/>
      <c r="P225" s="91"/>
    </row>
    <row r="226" spans="2:16" s="50" customFormat="1" ht="13.2">
      <c r="B226" s="86"/>
      <c r="C226" s="87"/>
      <c r="D226" s="87"/>
      <c r="E226" s="87"/>
      <c r="F226" s="87"/>
      <c r="G226" s="87"/>
      <c r="H226" s="87"/>
      <c r="I226" s="87"/>
      <c r="J226" s="87"/>
      <c r="K226" s="88"/>
      <c r="L226" s="89"/>
      <c r="M226" s="90"/>
      <c r="N226" s="57"/>
      <c r="O226" s="57"/>
      <c r="P226" s="91"/>
    </row>
    <row r="227" spans="2:16" s="50" customFormat="1" ht="13.2">
      <c r="B227" s="86"/>
      <c r="C227" s="87"/>
      <c r="D227" s="87"/>
      <c r="E227" s="87"/>
      <c r="F227" s="87"/>
      <c r="G227" s="87"/>
      <c r="H227" s="87"/>
      <c r="I227" s="87"/>
      <c r="J227" s="87"/>
      <c r="K227" s="88"/>
      <c r="L227" s="89"/>
      <c r="M227" s="90"/>
      <c r="N227" s="57"/>
      <c r="O227" s="57"/>
      <c r="P227" s="91"/>
    </row>
    <row r="228" spans="2:16" s="50" customFormat="1" ht="13.2">
      <c r="B228" s="86"/>
      <c r="C228" s="87"/>
      <c r="D228" s="87"/>
      <c r="E228" s="87"/>
      <c r="F228" s="87"/>
      <c r="G228" s="87"/>
      <c r="H228" s="87"/>
      <c r="I228" s="87"/>
      <c r="J228" s="87"/>
      <c r="K228" s="88"/>
      <c r="L228" s="89"/>
      <c r="M228" s="90"/>
      <c r="N228" s="57"/>
      <c r="O228" s="57"/>
      <c r="P228" s="91"/>
    </row>
    <row r="229" spans="2:16" s="50" customFormat="1" ht="13.2">
      <c r="B229" s="86"/>
      <c r="C229" s="87"/>
      <c r="D229" s="87"/>
      <c r="E229" s="87"/>
      <c r="F229" s="87"/>
      <c r="G229" s="87"/>
      <c r="H229" s="87"/>
      <c r="I229" s="87"/>
      <c r="J229" s="87"/>
      <c r="K229" s="88"/>
      <c r="L229" s="89"/>
      <c r="M229" s="90"/>
      <c r="N229" s="57"/>
      <c r="O229" s="57"/>
      <c r="P229" s="91"/>
    </row>
    <row r="230" spans="2:16" s="50" customFormat="1" ht="13.2">
      <c r="B230" s="86"/>
      <c r="C230" s="87"/>
      <c r="D230" s="87"/>
      <c r="E230" s="87"/>
      <c r="F230" s="87"/>
      <c r="G230" s="87"/>
      <c r="H230" s="87"/>
      <c r="I230" s="87"/>
      <c r="J230" s="87"/>
      <c r="K230" s="88"/>
      <c r="L230" s="89"/>
      <c r="M230" s="90"/>
      <c r="N230" s="57"/>
      <c r="O230" s="57"/>
      <c r="P230" s="91"/>
    </row>
    <row r="231" spans="2:16" s="50" customFormat="1" ht="13.2">
      <c r="B231" s="86"/>
      <c r="C231" s="87"/>
      <c r="D231" s="87"/>
      <c r="E231" s="87"/>
      <c r="F231" s="87"/>
      <c r="G231" s="87"/>
      <c r="H231" s="87"/>
      <c r="I231" s="87"/>
      <c r="J231" s="87"/>
      <c r="K231" s="88"/>
      <c r="L231" s="89"/>
      <c r="M231" s="90"/>
      <c r="N231" s="57"/>
      <c r="O231" s="57"/>
      <c r="P231" s="91"/>
    </row>
    <row r="232" spans="2:16" s="50" customFormat="1" ht="13.2">
      <c r="B232" s="86"/>
      <c r="C232" s="87"/>
      <c r="D232" s="87"/>
      <c r="E232" s="87"/>
      <c r="F232" s="87"/>
      <c r="G232" s="87"/>
      <c r="H232" s="87"/>
      <c r="I232" s="87"/>
      <c r="J232" s="87"/>
      <c r="K232" s="88"/>
      <c r="L232" s="89"/>
      <c r="M232" s="90"/>
      <c r="N232" s="57"/>
      <c r="O232" s="57"/>
      <c r="P232" s="91"/>
    </row>
    <row r="233" spans="2:16" s="50" customFormat="1" ht="13.2">
      <c r="B233" s="86"/>
      <c r="C233" s="87"/>
      <c r="D233" s="87"/>
      <c r="E233" s="87"/>
      <c r="F233" s="87"/>
      <c r="G233" s="87"/>
      <c r="H233" s="87"/>
      <c r="I233" s="87"/>
      <c r="J233" s="87"/>
      <c r="K233" s="88"/>
      <c r="L233" s="89"/>
      <c r="M233" s="90"/>
      <c r="N233" s="57"/>
      <c r="O233" s="57"/>
      <c r="P233" s="91"/>
    </row>
    <row r="234" spans="2:16" s="50" customFormat="1" ht="13.2">
      <c r="B234" s="86"/>
      <c r="C234" s="87"/>
      <c r="D234" s="87"/>
      <c r="E234" s="87"/>
      <c r="F234" s="87"/>
      <c r="G234" s="87"/>
      <c r="H234" s="87"/>
      <c r="I234" s="87"/>
      <c r="J234" s="87"/>
      <c r="K234" s="88"/>
      <c r="L234" s="89"/>
      <c r="M234" s="90"/>
      <c r="N234" s="57"/>
      <c r="O234" s="57"/>
      <c r="P234" s="91"/>
    </row>
    <row r="235" spans="2:16" s="50" customFormat="1" ht="13.2">
      <c r="B235" s="86"/>
      <c r="C235" s="87"/>
      <c r="D235" s="87"/>
      <c r="E235" s="87"/>
      <c r="F235" s="87"/>
      <c r="G235" s="87"/>
      <c r="H235" s="87"/>
      <c r="I235" s="87"/>
      <c r="J235" s="87"/>
      <c r="K235" s="88"/>
      <c r="L235" s="89"/>
      <c r="M235" s="90"/>
      <c r="N235" s="57"/>
      <c r="O235" s="57"/>
      <c r="P235" s="91"/>
    </row>
    <row r="236" spans="2:16" s="50" customFormat="1" ht="13.2">
      <c r="B236" s="86"/>
      <c r="C236" s="87"/>
      <c r="D236" s="87"/>
      <c r="E236" s="87"/>
      <c r="F236" s="87"/>
      <c r="G236" s="87"/>
      <c r="H236" s="87"/>
      <c r="I236" s="87"/>
      <c r="J236" s="87"/>
      <c r="K236" s="88"/>
      <c r="L236" s="89"/>
      <c r="M236" s="90"/>
      <c r="N236" s="57"/>
      <c r="O236" s="57"/>
      <c r="P236" s="91"/>
    </row>
    <row r="237" spans="2:16" s="50" customFormat="1" ht="13.2">
      <c r="B237" s="86"/>
      <c r="C237" s="87"/>
      <c r="D237" s="87"/>
      <c r="E237" s="87"/>
      <c r="F237" s="87"/>
      <c r="G237" s="87"/>
      <c r="H237" s="87"/>
      <c r="I237" s="87"/>
      <c r="J237" s="87"/>
      <c r="K237" s="88"/>
      <c r="L237" s="89"/>
      <c r="M237" s="90"/>
      <c r="N237" s="57"/>
      <c r="O237" s="57"/>
      <c r="P237" s="91"/>
    </row>
    <row r="238" spans="2:16" s="50" customFormat="1" ht="13.2">
      <c r="B238" s="86"/>
      <c r="C238" s="87"/>
      <c r="D238" s="87"/>
      <c r="E238" s="87"/>
      <c r="F238" s="87"/>
      <c r="G238" s="87"/>
      <c r="H238" s="87"/>
      <c r="I238" s="87"/>
      <c r="J238" s="87"/>
      <c r="K238" s="88"/>
      <c r="L238" s="89"/>
      <c r="M238" s="90"/>
      <c r="N238" s="57"/>
      <c r="O238" s="57"/>
      <c r="P238" s="91"/>
    </row>
    <row r="239" spans="2:16" s="50" customFormat="1" ht="13.2">
      <c r="B239" s="86"/>
      <c r="C239" s="87"/>
      <c r="D239" s="87"/>
      <c r="E239" s="87"/>
      <c r="F239" s="87"/>
      <c r="G239" s="87"/>
      <c r="H239" s="87"/>
      <c r="I239" s="87"/>
      <c r="J239" s="87"/>
      <c r="K239" s="88"/>
      <c r="L239" s="89"/>
      <c r="M239" s="90"/>
      <c r="N239" s="57"/>
      <c r="O239" s="57"/>
      <c r="P239" s="91"/>
    </row>
    <row r="240" spans="2:16" s="50" customFormat="1" ht="13.2">
      <c r="B240" s="86"/>
      <c r="C240" s="87"/>
      <c r="D240" s="87"/>
      <c r="E240" s="87"/>
      <c r="F240" s="87"/>
      <c r="G240" s="87"/>
      <c r="H240" s="87"/>
      <c r="I240" s="87"/>
      <c r="J240" s="87"/>
      <c r="K240" s="88"/>
      <c r="L240" s="89"/>
      <c r="M240" s="90"/>
      <c r="N240" s="57"/>
      <c r="O240" s="57"/>
      <c r="P240" s="91"/>
    </row>
    <row r="241" spans="2:16" s="50" customFormat="1" ht="13.2">
      <c r="B241" s="86"/>
      <c r="C241" s="87"/>
      <c r="D241" s="87"/>
      <c r="E241" s="87"/>
      <c r="F241" s="87"/>
      <c r="G241" s="87"/>
      <c r="H241" s="87"/>
      <c r="I241" s="87"/>
      <c r="J241" s="87"/>
      <c r="K241" s="88"/>
      <c r="L241" s="89"/>
      <c r="M241" s="90"/>
      <c r="N241" s="57"/>
      <c r="O241" s="57"/>
      <c r="P241" s="91"/>
    </row>
    <row r="242" spans="2:16" s="50" customFormat="1" ht="13.2">
      <c r="B242" s="86"/>
      <c r="C242" s="87"/>
      <c r="D242" s="87"/>
      <c r="E242" s="87"/>
      <c r="F242" s="87"/>
      <c r="G242" s="87"/>
      <c r="H242" s="87"/>
      <c r="I242" s="87"/>
      <c r="J242" s="87"/>
      <c r="K242" s="88"/>
      <c r="L242" s="89"/>
      <c r="M242" s="90"/>
      <c r="N242" s="57"/>
      <c r="O242" s="57"/>
      <c r="P242" s="91"/>
    </row>
    <row r="243" spans="2:16" s="50" customFormat="1" ht="13.2">
      <c r="B243" s="86"/>
      <c r="C243" s="87"/>
      <c r="D243" s="87"/>
      <c r="E243" s="87"/>
      <c r="F243" s="87"/>
      <c r="G243" s="87"/>
      <c r="H243" s="87"/>
      <c r="I243" s="87"/>
      <c r="J243" s="87"/>
      <c r="K243" s="88"/>
      <c r="L243" s="89"/>
      <c r="M243" s="90"/>
      <c r="N243" s="57"/>
      <c r="O243" s="57"/>
      <c r="P243" s="91"/>
    </row>
    <row r="244" spans="2:16" s="50" customFormat="1" ht="13.2">
      <c r="B244" s="86"/>
      <c r="C244" s="87"/>
      <c r="D244" s="87"/>
      <c r="E244" s="87"/>
      <c r="F244" s="87"/>
      <c r="G244" s="87"/>
      <c r="H244" s="87"/>
      <c r="I244" s="87"/>
      <c r="J244" s="87"/>
      <c r="K244" s="88"/>
      <c r="L244" s="89"/>
      <c r="M244" s="90"/>
      <c r="N244" s="57"/>
      <c r="O244" s="57"/>
      <c r="P244" s="91"/>
    </row>
    <row r="245" spans="2:16" s="50" customFormat="1" ht="13.2">
      <c r="B245" s="86"/>
      <c r="C245" s="87"/>
      <c r="D245" s="87"/>
      <c r="E245" s="87"/>
      <c r="F245" s="87"/>
      <c r="G245" s="87"/>
      <c r="H245" s="87"/>
      <c r="I245" s="87"/>
      <c r="J245" s="87"/>
      <c r="K245" s="88"/>
      <c r="L245" s="89"/>
      <c r="M245" s="90"/>
      <c r="N245" s="57"/>
      <c r="O245" s="57"/>
      <c r="P245" s="91"/>
    </row>
    <row r="246" spans="2:16" s="50" customFormat="1" ht="13.2">
      <c r="B246" s="86"/>
      <c r="C246" s="87"/>
      <c r="D246" s="87"/>
      <c r="E246" s="87"/>
      <c r="F246" s="87"/>
      <c r="G246" s="87"/>
      <c r="H246" s="87"/>
      <c r="I246" s="87"/>
      <c r="J246" s="87"/>
      <c r="K246" s="88"/>
      <c r="L246" s="89"/>
      <c r="M246" s="90"/>
      <c r="N246" s="57"/>
      <c r="O246" s="57"/>
      <c r="P246" s="91"/>
    </row>
    <row r="247" spans="2:16" s="50" customFormat="1" ht="13.2">
      <c r="B247" s="86"/>
      <c r="C247" s="87"/>
      <c r="D247" s="87"/>
      <c r="E247" s="87"/>
      <c r="F247" s="87"/>
      <c r="G247" s="87"/>
      <c r="H247" s="87"/>
      <c r="I247" s="87"/>
      <c r="J247" s="87"/>
      <c r="K247" s="88"/>
      <c r="L247" s="89"/>
      <c r="M247" s="90"/>
      <c r="N247" s="57"/>
      <c r="O247" s="57"/>
      <c r="P247" s="91"/>
    </row>
    <row r="248" spans="2:16" s="50" customFormat="1" ht="13.2">
      <c r="B248" s="86"/>
      <c r="C248" s="87"/>
      <c r="D248" s="87"/>
      <c r="E248" s="87"/>
      <c r="F248" s="87"/>
      <c r="G248" s="87"/>
      <c r="H248" s="87"/>
      <c r="I248" s="87"/>
      <c r="J248" s="87"/>
      <c r="K248" s="88"/>
      <c r="L248" s="89"/>
      <c r="M248" s="90"/>
      <c r="N248" s="57"/>
      <c r="O248" s="57"/>
      <c r="P248" s="91"/>
    </row>
    <row r="249" spans="2:16" s="50" customFormat="1" ht="13.2">
      <c r="B249" s="86"/>
      <c r="C249" s="87"/>
      <c r="D249" s="87"/>
      <c r="E249" s="87"/>
      <c r="F249" s="87"/>
      <c r="G249" s="87"/>
      <c r="H249" s="87"/>
      <c r="I249" s="87"/>
      <c r="J249" s="87"/>
      <c r="K249" s="88"/>
      <c r="L249" s="89"/>
      <c r="M249" s="90"/>
      <c r="N249" s="57"/>
      <c r="O249" s="57"/>
      <c r="P249" s="91"/>
    </row>
    <row r="250" spans="2:16" s="50" customFormat="1" ht="13.2">
      <c r="B250" s="86"/>
      <c r="C250" s="87"/>
      <c r="D250" s="87"/>
      <c r="E250" s="87"/>
      <c r="F250" s="87"/>
      <c r="G250" s="87"/>
      <c r="H250" s="87"/>
      <c r="I250" s="87"/>
      <c r="J250" s="87"/>
      <c r="K250" s="88"/>
      <c r="L250" s="89"/>
      <c r="M250" s="90"/>
      <c r="N250" s="57"/>
      <c r="O250" s="57"/>
      <c r="P250" s="91"/>
    </row>
    <row r="251" spans="2:16" s="50" customFormat="1" ht="13.2">
      <c r="B251" s="86"/>
      <c r="C251" s="87"/>
      <c r="D251" s="87"/>
      <c r="E251" s="87"/>
      <c r="F251" s="87"/>
      <c r="G251" s="87"/>
      <c r="H251" s="87"/>
      <c r="I251" s="87"/>
      <c r="J251" s="87"/>
      <c r="K251" s="88"/>
      <c r="L251" s="89"/>
      <c r="M251" s="90"/>
      <c r="N251" s="57"/>
      <c r="O251" s="57"/>
      <c r="P251" s="91"/>
    </row>
    <row r="252" spans="2:16" s="50" customFormat="1" ht="13.2">
      <c r="B252" s="86"/>
      <c r="C252" s="87"/>
      <c r="D252" s="87"/>
      <c r="E252" s="87"/>
      <c r="F252" s="87"/>
      <c r="G252" s="87"/>
      <c r="H252" s="87"/>
      <c r="I252" s="87"/>
      <c r="J252" s="87"/>
      <c r="K252" s="88"/>
      <c r="L252" s="89"/>
      <c r="M252" s="90"/>
      <c r="N252" s="57"/>
      <c r="O252" s="57"/>
      <c r="P252" s="91"/>
    </row>
    <row r="253" spans="2:16" s="50" customFormat="1" ht="13.2">
      <c r="B253" s="86"/>
      <c r="C253" s="87"/>
      <c r="D253" s="87"/>
      <c r="E253" s="87"/>
      <c r="F253" s="87"/>
      <c r="G253" s="87"/>
      <c r="H253" s="87"/>
      <c r="I253" s="87"/>
      <c r="J253" s="87"/>
      <c r="K253" s="88"/>
      <c r="L253" s="89"/>
      <c r="M253" s="90"/>
      <c r="N253" s="57"/>
      <c r="O253" s="57"/>
      <c r="P253" s="91"/>
    </row>
    <row r="254" spans="2:16" s="50" customFormat="1" ht="13.2">
      <c r="B254" s="86"/>
      <c r="C254" s="87"/>
      <c r="D254" s="87"/>
      <c r="E254" s="87"/>
      <c r="F254" s="87"/>
      <c r="G254" s="87"/>
      <c r="H254" s="87"/>
      <c r="I254" s="87"/>
      <c r="J254" s="87"/>
      <c r="K254" s="88"/>
      <c r="L254" s="89"/>
      <c r="M254" s="90"/>
      <c r="N254" s="57"/>
      <c r="O254" s="57"/>
      <c r="P254" s="91"/>
    </row>
    <row r="255" spans="2:16" s="50" customFormat="1" ht="13.2">
      <c r="B255" s="86"/>
      <c r="C255" s="87"/>
      <c r="D255" s="87"/>
      <c r="E255" s="87"/>
      <c r="F255" s="87"/>
      <c r="G255" s="87"/>
      <c r="H255" s="87"/>
      <c r="I255" s="87"/>
      <c r="J255" s="87"/>
      <c r="K255" s="88"/>
      <c r="L255" s="89"/>
      <c r="M255" s="90"/>
      <c r="N255" s="57"/>
      <c r="O255" s="57"/>
      <c r="P255" s="91"/>
    </row>
    <row r="256" spans="2:16" s="50" customFormat="1" ht="13.2">
      <c r="B256" s="86"/>
      <c r="C256" s="87"/>
      <c r="D256" s="87"/>
      <c r="E256" s="87"/>
      <c r="F256" s="87"/>
      <c r="G256" s="87"/>
      <c r="H256" s="87"/>
      <c r="I256" s="87"/>
      <c r="J256" s="87"/>
      <c r="K256" s="88"/>
      <c r="L256" s="89"/>
      <c r="M256" s="90"/>
      <c r="N256" s="57"/>
      <c r="O256" s="57"/>
      <c r="P256" s="91"/>
    </row>
    <row r="257" spans="2:16" s="50" customFormat="1" ht="13.2">
      <c r="B257" s="86"/>
      <c r="C257" s="87"/>
      <c r="D257" s="87"/>
      <c r="E257" s="87"/>
      <c r="F257" s="87"/>
      <c r="G257" s="87"/>
      <c r="H257" s="87"/>
      <c r="I257" s="87"/>
      <c r="J257" s="87"/>
      <c r="K257" s="88"/>
      <c r="L257" s="89"/>
      <c r="M257" s="90"/>
      <c r="N257" s="57"/>
      <c r="O257" s="57"/>
      <c r="P257" s="91"/>
    </row>
    <row r="258" spans="2:16" s="50" customFormat="1" ht="13.2">
      <c r="B258" s="86"/>
      <c r="C258" s="87"/>
      <c r="D258" s="87"/>
      <c r="E258" s="87"/>
      <c r="F258" s="87"/>
      <c r="G258" s="87"/>
      <c r="H258" s="87"/>
      <c r="I258" s="87"/>
      <c r="J258" s="87"/>
      <c r="K258" s="88"/>
      <c r="L258" s="89"/>
      <c r="M258" s="90"/>
      <c r="N258" s="57"/>
      <c r="O258" s="57"/>
      <c r="P258" s="91"/>
    </row>
    <row r="259" spans="2:16" s="50" customFormat="1" ht="13.2">
      <c r="B259" s="86"/>
      <c r="C259" s="87"/>
      <c r="D259" s="87"/>
      <c r="E259" s="87"/>
      <c r="F259" s="87"/>
      <c r="G259" s="87"/>
      <c r="H259" s="87"/>
      <c r="I259" s="87"/>
      <c r="J259" s="87"/>
      <c r="K259" s="88"/>
      <c r="L259" s="89"/>
      <c r="M259" s="90"/>
      <c r="N259" s="57"/>
      <c r="O259" s="57"/>
      <c r="P259" s="91"/>
    </row>
    <row r="260" spans="2:16" s="50" customFormat="1" ht="13.2">
      <c r="B260" s="86"/>
      <c r="C260" s="87"/>
      <c r="D260" s="87"/>
      <c r="E260" s="87"/>
      <c r="F260" s="87"/>
      <c r="G260" s="87"/>
      <c r="H260" s="87"/>
      <c r="I260" s="87"/>
      <c r="J260" s="87"/>
      <c r="K260" s="88"/>
      <c r="L260" s="89"/>
      <c r="M260" s="90"/>
      <c r="N260" s="57"/>
      <c r="O260" s="57"/>
      <c r="P260" s="91"/>
    </row>
    <row r="261" spans="2:16" s="50" customFormat="1" ht="13.2">
      <c r="B261" s="86"/>
      <c r="C261" s="87"/>
      <c r="D261" s="87"/>
      <c r="E261" s="87"/>
      <c r="F261" s="87"/>
      <c r="G261" s="87"/>
      <c r="H261" s="87"/>
      <c r="I261" s="87"/>
      <c r="J261" s="87"/>
      <c r="K261" s="88"/>
      <c r="L261" s="89"/>
      <c r="M261" s="90"/>
      <c r="N261" s="57"/>
      <c r="O261" s="57"/>
      <c r="P261" s="91"/>
    </row>
    <row r="262" spans="2:16" s="50" customFormat="1" ht="13.2">
      <c r="B262" s="86"/>
      <c r="C262" s="87"/>
      <c r="D262" s="87"/>
      <c r="E262" s="87"/>
      <c r="F262" s="87"/>
      <c r="G262" s="87"/>
      <c r="H262" s="87"/>
      <c r="I262" s="87"/>
      <c r="J262" s="87"/>
      <c r="K262" s="88"/>
      <c r="L262" s="89"/>
      <c r="M262" s="90"/>
      <c r="N262" s="57"/>
      <c r="O262" s="57"/>
      <c r="P262" s="91"/>
    </row>
    <row r="263" spans="2:16" s="50" customFormat="1" ht="13.2">
      <c r="B263" s="86"/>
      <c r="C263" s="87"/>
      <c r="D263" s="87"/>
      <c r="E263" s="87"/>
      <c r="F263" s="87"/>
      <c r="G263" s="87"/>
      <c r="H263" s="87"/>
      <c r="I263" s="87"/>
      <c r="J263" s="87"/>
      <c r="K263" s="88"/>
      <c r="L263" s="89"/>
      <c r="M263" s="90"/>
      <c r="N263" s="57"/>
      <c r="O263" s="57"/>
      <c r="P263" s="91"/>
    </row>
    <row r="264" spans="2:16" s="50" customFormat="1" ht="13.2">
      <c r="B264" s="86"/>
      <c r="C264" s="87"/>
      <c r="D264" s="87"/>
      <c r="E264" s="87"/>
      <c r="F264" s="87"/>
      <c r="G264" s="87"/>
      <c r="H264" s="87"/>
      <c r="I264" s="87"/>
      <c r="J264" s="87"/>
      <c r="K264" s="88"/>
      <c r="L264" s="89"/>
      <c r="M264" s="90"/>
      <c r="N264" s="57"/>
      <c r="O264" s="57"/>
      <c r="P264" s="91"/>
    </row>
    <row r="265" spans="2:16" s="50" customFormat="1" ht="13.2">
      <c r="B265" s="86"/>
      <c r="C265" s="87"/>
      <c r="D265" s="87"/>
      <c r="E265" s="87"/>
      <c r="F265" s="87"/>
      <c r="G265" s="87"/>
      <c r="H265" s="87"/>
      <c r="I265" s="87"/>
      <c r="J265" s="87"/>
      <c r="K265" s="88"/>
      <c r="L265" s="89"/>
      <c r="M265" s="90"/>
      <c r="N265" s="57"/>
      <c r="O265" s="57"/>
      <c r="P265" s="91"/>
    </row>
    <row r="266" spans="2:16" s="50" customFormat="1" ht="13.2">
      <c r="B266" s="86"/>
      <c r="C266" s="87"/>
      <c r="D266" s="87"/>
      <c r="E266" s="87"/>
      <c r="F266" s="87"/>
      <c r="G266" s="87"/>
      <c r="H266" s="87"/>
      <c r="I266" s="87"/>
      <c r="J266" s="87"/>
      <c r="K266" s="88"/>
      <c r="L266" s="89"/>
      <c r="M266" s="90"/>
      <c r="N266" s="57"/>
      <c r="O266" s="57"/>
      <c r="P266" s="91"/>
    </row>
    <row r="267" spans="2:16" s="50" customFormat="1" ht="13.2">
      <c r="B267" s="86"/>
      <c r="C267" s="87"/>
      <c r="D267" s="87"/>
      <c r="E267" s="87"/>
      <c r="F267" s="87"/>
      <c r="G267" s="87"/>
      <c r="H267" s="87"/>
      <c r="I267" s="87"/>
      <c r="J267" s="87"/>
      <c r="K267" s="88"/>
      <c r="L267" s="89"/>
      <c r="M267" s="90"/>
      <c r="N267" s="57"/>
      <c r="O267" s="57"/>
      <c r="P267" s="91"/>
    </row>
    <row r="268" spans="2:16" s="50" customFormat="1" ht="13.2">
      <c r="B268" s="86"/>
      <c r="C268" s="87"/>
      <c r="D268" s="87"/>
      <c r="E268" s="87"/>
      <c r="F268" s="87"/>
      <c r="G268" s="87"/>
      <c r="H268" s="87"/>
      <c r="I268" s="87"/>
      <c r="J268" s="87"/>
      <c r="K268" s="88"/>
      <c r="L268" s="89"/>
      <c r="M268" s="90"/>
      <c r="N268" s="57"/>
      <c r="O268" s="57"/>
      <c r="P268" s="91"/>
    </row>
    <row r="269" spans="2:16" s="50" customFormat="1" ht="13.2">
      <c r="B269" s="86"/>
      <c r="C269" s="87"/>
      <c r="D269" s="87"/>
      <c r="E269" s="87"/>
      <c r="F269" s="87"/>
      <c r="G269" s="87"/>
      <c r="H269" s="87"/>
      <c r="I269" s="87"/>
      <c r="J269" s="87"/>
      <c r="K269" s="88"/>
      <c r="L269" s="89"/>
      <c r="M269" s="90"/>
      <c r="N269" s="57"/>
      <c r="O269" s="57"/>
      <c r="P269" s="91"/>
    </row>
    <row r="270" spans="2:16" s="50" customFormat="1" ht="13.2">
      <c r="B270" s="86"/>
      <c r="C270" s="87"/>
      <c r="D270" s="87"/>
      <c r="E270" s="87"/>
      <c r="F270" s="87"/>
      <c r="G270" s="87"/>
      <c r="H270" s="87"/>
      <c r="I270" s="87"/>
      <c r="J270" s="87"/>
      <c r="K270" s="88"/>
      <c r="L270" s="89"/>
      <c r="M270" s="90"/>
      <c r="N270" s="57"/>
      <c r="O270" s="57"/>
      <c r="P270" s="91"/>
    </row>
    <row r="271" spans="2:16" s="50" customFormat="1" ht="13.2">
      <c r="B271" s="86"/>
      <c r="C271" s="87"/>
      <c r="D271" s="87"/>
      <c r="E271" s="87"/>
      <c r="F271" s="87"/>
      <c r="G271" s="87"/>
      <c r="H271" s="87"/>
      <c r="I271" s="87"/>
      <c r="J271" s="87"/>
      <c r="K271" s="88"/>
      <c r="L271" s="89"/>
      <c r="M271" s="90"/>
      <c r="N271" s="57"/>
      <c r="O271" s="57"/>
      <c r="P271" s="91"/>
    </row>
    <row r="272" spans="2:16" s="50" customFormat="1" ht="13.2">
      <c r="B272" s="86"/>
      <c r="C272" s="87"/>
      <c r="D272" s="87"/>
      <c r="E272" s="87"/>
      <c r="F272" s="87"/>
      <c r="G272" s="87"/>
      <c r="H272" s="87"/>
      <c r="I272" s="87"/>
      <c r="J272" s="87"/>
      <c r="K272" s="88"/>
      <c r="L272" s="89"/>
      <c r="M272" s="90"/>
      <c r="N272" s="57"/>
      <c r="O272" s="57"/>
      <c r="P272" s="91"/>
    </row>
    <row r="273" spans="2:16" s="50" customFormat="1" ht="13.2">
      <c r="B273" s="86"/>
      <c r="C273" s="87"/>
      <c r="D273" s="87"/>
      <c r="E273" s="87"/>
      <c r="F273" s="87"/>
      <c r="G273" s="87"/>
      <c r="H273" s="87"/>
      <c r="I273" s="87"/>
      <c r="J273" s="87"/>
      <c r="K273" s="88"/>
      <c r="L273" s="89"/>
      <c r="M273" s="90"/>
      <c r="N273" s="57"/>
      <c r="O273" s="57"/>
      <c r="P273" s="91"/>
    </row>
    <row r="274" spans="2:16" s="50" customFormat="1" ht="13.2">
      <c r="B274" s="86"/>
      <c r="C274" s="87"/>
      <c r="D274" s="87"/>
      <c r="E274" s="87"/>
      <c r="F274" s="87"/>
      <c r="G274" s="87"/>
      <c r="H274" s="87"/>
      <c r="I274" s="87"/>
      <c r="J274" s="87"/>
      <c r="K274" s="88"/>
      <c r="L274" s="89"/>
      <c r="M274" s="90"/>
      <c r="N274" s="57"/>
      <c r="O274" s="57"/>
      <c r="P274" s="91"/>
    </row>
    <row r="275" spans="2:16" s="50" customFormat="1" ht="13.2">
      <c r="B275" s="86"/>
      <c r="C275" s="87"/>
      <c r="D275" s="87"/>
      <c r="E275" s="87"/>
      <c r="F275" s="87"/>
      <c r="G275" s="87"/>
      <c r="H275" s="87"/>
      <c r="I275" s="87"/>
      <c r="J275" s="87"/>
      <c r="K275" s="88"/>
      <c r="L275" s="89"/>
      <c r="M275" s="90"/>
      <c r="N275" s="57"/>
      <c r="O275" s="57"/>
      <c r="P275" s="91"/>
    </row>
    <row r="276" spans="2:16" s="50" customFormat="1" ht="13.2">
      <c r="B276" s="86"/>
      <c r="C276" s="87"/>
      <c r="D276" s="87"/>
      <c r="E276" s="87"/>
      <c r="F276" s="87"/>
      <c r="G276" s="87"/>
      <c r="H276" s="87"/>
      <c r="I276" s="87"/>
      <c r="J276" s="87"/>
      <c r="K276" s="88"/>
      <c r="L276" s="89"/>
      <c r="M276" s="90"/>
      <c r="N276" s="57"/>
      <c r="O276" s="57"/>
      <c r="P276" s="91"/>
    </row>
    <row r="277" spans="2:16" s="50" customFormat="1" ht="13.2">
      <c r="B277" s="86"/>
      <c r="C277" s="87"/>
      <c r="D277" s="87"/>
      <c r="E277" s="87"/>
      <c r="F277" s="87"/>
      <c r="G277" s="87"/>
      <c r="H277" s="87"/>
      <c r="I277" s="87"/>
      <c r="J277" s="87"/>
      <c r="K277" s="88"/>
      <c r="L277" s="89"/>
      <c r="M277" s="90"/>
      <c r="N277" s="57"/>
      <c r="O277" s="57"/>
      <c r="P277" s="91"/>
    </row>
    <row r="278" spans="2:16" s="50" customFormat="1" ht="13.2">
      <c r="B278" s="86"/>
      <c r="C278" s="87"/>
      <c r="D278" s="87"/>
      <c r="E278" s="87"/>
      <c r="F278" s="87"/>
      <c r="G278" s="87"/>
      <c r="H278" s="87"/>
      <c r="I278" s="87"/>
      <c r="J278" s="87"/>
      <c r="K278" s="88"/>
      <c r="L278" s="89"/>
      <c r="M278" s="90"/>
      <c r="N278" s="57"/>
      <c r="O278" s="57"/>
      <c r="P278" s="91"/>
    </row>
    <row r="279" spans="2:16" s="50" customFormat="1" ht="13.2">
      <c r="B279" s="86"/>
      <c r="C279" s="87"/>
      <c r="D279" s="87"/>
      <c r="E279" s="87"/>
      <c r="F279" s="87"/>
      <c r="G279" s="87"/>
      <c r="H279" s="87"/>
      <c r="I279" s="87"/>
      <c r="J279" s="87"/>
      <c r="K279" s="88"/>
      <c r="L279" s="89"/>
      <c r="M279" s="90"/>
      <c r="N279" s="57"/>
      <c r="O279" s="57"/>
      <c r="P279" s="91"/>
    </row>
    <row r="280" spans="2:16" s="50" customFormat="1" ht="13.2">
      <c r="B280" s="86"/>
      <c r="C280" s="87"/>
      <c r="D280" s="87"/>
      <c r="E280" s="87"/>
      <c r="F280" s="87"/>
      <c r="G280" s="87"/>
      <c r="H280" s="87"/>
      <c r="I280" s="87"/>
      <c r="J280" s="87"/>
      <c r="K280" s="88"/>
      <c r="L280" s="89"/>
      <c r="M280" s="90"/>
      <c r="N280" s="57"/>
      <c r="O280" s="57"/>
      <c r="P280" s="91"/>
    </row>
    <row r="281" spans="2:16" s="50" customFormat="1" ht="13.2">
      <c r="B281" s="86"/>
      <c r="C281" s="87"/>
      <c r="D281" s="87"/>
      <c r="E281" s="87"/>
      <c r="F281" s="87"/>
      <c r="G281" s="87"/>
      <c r="H281" s="87"/>
      <c r="I281" s="87"/>
      <c r="J281" s="87"/>
      <c r="K281" s="88"/>
      <c r="L281" s="89"/>
      <c r="M281" s="90"/>
      <c r="N281" s="57"/>
      <c r="O281" s="57"/>
      <c r="P281" s="91"/>
    </row>
    <row r="282" spans="2:16" s="50" customFormat="1" ht="13.2">
      <c r="B282" s="86"/>
      <c r="C282" s="87"/>
      <c r="D282" s="87"/>
      <c r="E282" s="87"/>
      <c r="F282" s="87"/>
      <c r="G282" s="87"/>
      <c r="H282" s="87"/>
      <c r="I282" s="87"/>
      <c r="J282" s="87"/>
      <c r="K282" s="88"/>
      <c r="L282" s="89"/>
      <c r="M282" s="90"/>
      <c r="N282" s="57"/>
      <c r="O282" s="57"/>
      <c r="P282" s="91"/>
    </row>
    <row r="283" spans="2:16" s="50" customFormat="1" ht="13.2">
      <c r="B283" s="86"/>
      <c r="C283" s="87"/>
      <c r="D283" s="87"/>
      <c r="E283" s="87"/>
      <c r="F283" s="87"/>
      <c r="G283" s="87"/>
      <c r="H283" s="87"/>
      <c r="I283" s="87"/>
      <c r="J283" s="87"/>
      <c r="K283" s="88"/>
      <c r="L283" s="89"/>
      <c r="M283" s="90"/>
      <c r="N283" s="57"/>
      <c r="O283" s="57"/>
      <c r="P283" s="91"/>
    </row>
    <row r="284" spans="2:16" s="50" customFormat="1" ht="13.2">
      <c r="B284" s="86"/>
      <c r="C284" s="87"/>
      <c r="D284" s="87"/>
      <c r="E284" s="87"/>
      <c r="F284" s="87"/>
      <c r="G284" s="87"/>
      <c r="H284" s="87"/>
      <c r="I284" s="87"/>
      <c r="J284" s="87"/>
      <c r="K284" s="88"/>
      <c r="L284" s="89"/>
      <c r="M284" s="90"/>
      <c r="N284" s="57"/>
      <c r="O284" s="57"/>
      <c r="P284" s="91"/>
    </row>
    <row r="285" spans="2:16" s="50" customFormat="1" ht="13.2">
      <c r="B285" s="86"/>
      <c r="C285" s="87"/>
      <c r="D285" s="87"/>
      <c r="E285" s="87"/>
      <c r="F285" s="87"/>
      <c r="G285" s="87"/>
      <c r="H285" s="87"/>
      <c r="I285" s="87"/>
      <c r="J285" s="87"/>
      <c r="K285" s="88"/>
      <c r="L285" s="89"/>
      <c r="M285" s="90"/>
      <c r="N285" s="57"/>
      <c r="O285" s="57"/>
      <c r="P285" s="91"/>
    </row>
    <row r="286" spans="2:16" s="50" customFormat="1" ht="13.2">
      <c r="B286" s="86"/>
      <c r="C286" s="87"/>
      <c r="D286" s="87"/>
      <c r="E286" s="87"/>
      <c r="F286" s="87"/>
      <c r="G286" s="87"/>
      <c r="H286" s="87"/>
      <c r="I286" s="87"/>
      <c r="J286" s="87"/>
      <c r="K286" s="88"/>
      <c r="L286" s="89"/>
      <c r="M286" s="90"/>
      <c r="N286" s="57"/>
      <c r="O286" s="57"/>
      <c r="P286" s="91"/>
    </row>
    <row r="287" spans="2:16" s="50" customFormat="1" ht="13.2">
      <c r="B287" s="86"/>
      <c r="C287" s="87"/>
      <c r="D287" s="87"/>
      <c r="E287" s="87"/>
      <c r="F287" s="87"/>
      <c r="G287" s="87"/>
      <c r="H287" s="87"/>
      <c r="I287" s="87"/>
      <c r="J287" s="87"/>
      <c r="K287" s="88"/>
      <c r="L287" s="89"/>
      <c r="M287" s="90"/>
      <c r="N287" s="57"/>
      <c r="O287" s="57"/>
      <c r="P287" s="91"/>
    </row>
    <row r="288" spans="2:16" s="50" customFormat="1" ht="13.2">
      <c r="B288" s="86"/>
      <c r="C288" s="87"/>
      <c r="D288" s="87"/>
      <c r="E288" s="87"/>
      <c r="F288" s="87"/>
      <c r="G288" s="87"/>
      <c r="H288" s="87"/>
      <c r="I288" s="87"/>
      <c r="J288" s="87"/>
      <c r="K288" s="88"/>
      <c r="L288" s="89"/>
      <c r="M288" s="90"/>
      <c r="N288" s="57"/>
      <c r="O288" s="57"/>
      <c r="P288" s="91"/>
    </row>
    <row r="289" spans="2:16" s="50" customFormat="1" ht="13.2">
      <c r="B289" s="86"/>
      <c r="C289" s="87"/>
      <c r="D289" s="87"/>
      <c r="E289" s="87"/>
      <c r="F289" s="87"/>
      <c r="G289" s="87"/>
      <c r="H289" s="87"/>
      <c r="I289" s="87"/>
      <c r="J289" s="87"/>
      <c r="K289" s="88"/>
      <c r="L289" s="89"/>
      <c r="M289" s="90"/>
      <c r="N289" s="57"/>
      <c r="O289" s="57"/>
      <c r="P289" s="91"/>
    </row>
    <row r="290" spans="2:16" s="50" customFormat="1" ht="13.2">
      <c r="B290" s="86"/>
      <c r="C290" s="87"/>
      <c r="D290" s="87"/>
      <c r="E290" s="87"/>
      <c r="F290" s="87"/>
      <c r="G290" s="87"/>
      <c r="H290" s="87"/>
      <c r="I290" s="87"/>
      <c r="J290" s="87"/>
      <c r="K290" s="88"/>
      <c r="L290" s="89"/>
      <c r="M290" s="90"/>
      <c r="N290" s="57"/>
      <c r="O290" s="57"/>
      <c r="P290" s="91"/>
    </row>
    <row r="291" spans="2:16" s="50" customFormat="1" ht="13.2">
      <c r="B291" s="86"/>
      <c r="C291" s="87"/>
      <c r="D291" s="87"/>
      <c r="E291" s="87"/>
      <c r="F291" s="87"/>
      <c r="G291" s="87"/>
      <c r="H291" s="87"/>
      <c r="I291" s="87"/>
      <c r="J291" s="87"/>
      <c r="K291" s="88"/>
      <c r="L291" s="89"/>
      <c r="M291" s="90"/>
      <c r="N291" s="57"/>
      <c r="O291" s="57"/>
      <c r="P291" s="91"/>
    </row>
    <row r="292" spans="2:16" s="50" customFormat="1" ht="13.2">
      <c r="B292" s="86"/>
      <c r="C292" s="87"/>
      <c r="D292" s="87"/>
      <c r="E292" s="87"/>
      <c r="F292" s="87"/>
      <c r="G292" s="87"/>
      <c r="H292" s="87"/>
      <c r="I292" s="87"/>
      <c r="J292" s="87"/>
      <c r="K292" s="88"/>
      <c r="L292" s="89"/>
      <c r="M292" s="90"/>
      <c r="N292" s="57"/>
      <c r="O292" s="57"/>
      <c r="P292" s="91"/>
    </row>
    <row r="293" spans="2:16" s="50" customFormat="1" ht="13.2">
      <c r="B293" s="86"/>
      <c r="C293" s="87"/>
      <c r="D293" s="87"/>
      <c r="E293" s="87"/>
      <c r="F293" s="87"/>
      <c r="G293" s="87"/>
      <c r="H293" s="87"/>
      <c r="I293" s="87"/>
      <c r="J293" s="87"/>
      <c r="K293" s="88"/>
      <c r="L293" s="89"/>
      <c r="M293" s="90"/>
      <c r="N293" s="57"/>
      <c r="O293" s="57"/>
      <c r="P293" s="91"/>
    </row>
    <row r="294" spans="2:16" s="50" customFormat="1" ht="13.2">
      <c r="B294" s="86"/>
      <c r="C294" s="87"/>
      <c r="D294" s="87"/>
      <c r="E294" s="87"/>
      <c r="F294" s="87"/>
      <c r="G294" s="87"/>
      <c r="H294" s="87"/>
      <c r="I294" s="87"/>
      <c r="J294" s="87"/>
      <c r="K294" s="88"/>
      <c r="L294" s="89"/>
      <c r="M294" s="90"/>
      <c r="N294" s="57"/>
      <c r="O294" s="57"/>
      <c r="P294" s="91"/>
    </row>
    <row r="295" spans="2:16" s="50" customFormat="1" ht="13.2">
      <c r="B295" s="86"/>
      <c r="C295" s="87"/>
      <c r="D295" s="87"/>
      <c r="E295" s="87"/>
      <c r="F295" s="87"/>
      <c r="G295" s="87"/>
      <c r="H295" s="87"/>
      <c r="I295" s="87"/>
      <c r="J295" s="87"/>
      <c r="K295" s="88"/>
      <c r="L295" s="89"/>
      <c r="M295" s="90"/>
      <c r="N295" s="57"/>
      <c r="O295" s="57"/>
      <c r="P295" s="91"/>
    </row>
    <row r="296" spans="2:16" s="50" customFormat="1" ht="13.2">
      <c r="B296" s="86"/>
      <c r="C296" s="87"/>
      <c r="D296" s="87"/>
      <c r="E296" s="87"/>
      <c r="F296" s="87"/>
      <c r="G296" s="87"/>
      <c r="H296" s="87"/>
      <c r="I296" s="87"/>
      <c r="J296" s="87"/>
      <c r="K296" s="88"/>
      <c r="L296" s="89"/>
      <c r="M296" s="90"/>
      <c r="N296" s="57"/>
      <c r="O296" s="57"/>
      <c r="P296" s="91"/>
    </row>
    <row r="297" spans="2:16" s="50" customFormat="1" ht="13.2">
      <c r="B297" s="86"/>
      <c r="C297" s="87"/>
      <c r="D297" s="87"/>
      <c r="E297" s="87"/>
      <c r="F297" s="87"/>
      <c r="G297" s="87"/>
      <c r="H297" s="87"/>
      <c r="I297" s="87"/>
      <c r="J297" s="87"/>
      <c r="K297" s="88"/>
      <c r="L297" s="89"/>
      <c r="M297" s="90"/>
      <c r="N297" s="57"/>
      <c r="O297" s="57"/>
      <c r="P297" s="91"/>
    </row>
    <row r="298" spans="2:16" s="50" customFormat="1" ht="13.2">
      <c r="B298" s="86"/>
      <c r="C298" s="87"/>
      <c r="D298" s="87"/>
      <c r="E298" s="87"/>
      <c r="F298" s="87"/>
      <c r="G298" s="87"/>
      <c r="H298" s="87"/>
      <c r="I298" s="87"/>
      <c r="J298" s="87"/>
      <c r="K298" s="88"/>
      <c r="L298" s="89"/>
      <c r="M298" s="90"/>
      <c r="N298" s="57"/>
      <c r="O298" s="57"/>
      <c r="P298" s="91"/>
    </row>
    <row r="299" spans="2:16" s="50" customFormat="1" ht="13.2">
      <c r="B299" s="86"/>
      <c r="C299" s="87"/>
      <c r="D299" s="87"/>
      <c r="E299" s="87"/>
      <c r="F299" s="87"/>
      <c r="G299" s="87"/>
      <c r="H299" s="87"/>
      <c r="I299" s="87"/>
      <c r="J299" s="87"/>
      <c r="K299" s="88"/>
      <c r="L299" s="89"/>
      <c r="M299" s="90"/>
      <c r="N299" s="57"/>
      <c r="O299" s="57"/>
      <c r="P299" s="91"/>
    </row>
    <row r="300" spans="2:16" s="50" customFormat="1" ht="13.2">
      <c r="B300" s="86"/>
      <c r="C300" s="87"/>
      <c r="D300" s="87"/>
      <c r="E300" s="87"/>
      <c r="F300" s="87"/>
      <c r="G300" s="87"/>
      <c r="H300" s="87"/>
      <c r="I300" s="87"/>
      <c r="J300" s="87"/>
      <c r="K300" s="88"/>
      <c r="L300" s="89"/>
      <c r="M300" s="90"/>
      <c r="N300" s="57"/>
      <c r="O300" s="57"/>
      <c r="P300" s="91"/>
    </row>
    <row r="301" spans="2:16" s="50" customFormat="1" ht="13.2">
      <c r="B301" s="86"/>
      <c r="C301" s="87"/>
      <c r="D301" s="87"/>
      <c r="E301" s="87"/>
      <c r="F301" s="87"/>
      <c r="G301" s="87"/>
      <c r="H301" s="87"/>
      <c r="I301" s="87"/>
      <c r="J301" s="87"/>
      <c r="K301" s="88"/>
      <c r="L301" s="89"/>
      <c r="M301" s="90"/>
      <c r="N301" s="57"/>
      <c r="O301" s="57"/>
      <c r="P301" s="91"/>
    </row>
    <row r="302" spans="2:16" s="50" customFormat="1" ht="13.2">
      <c r="B302" s="86"/>
      <c r="C302" s="87"/>
      <c r="D302" s="87"/>
      <c r="E302" s="87"/>
      <c r="F302" s="87"/>
      <c r="G302" s="87"/>
      <c r="H302" s="87"/>
      <c r="I302" s="87"/>
      <c r="J302" s="87"/>
      <c r="K302" s="88"/>
      <c r="L302" s="89"/>
      <c r="M302" s="90"/>
      <c r="N302" s="57"/>
      <c r="O302" s="57"/>
      <c r="P302" s="91"/>
    </row>
    <row r="303" spans="2:16" s="50" customFormat="1" ht="13.2">
      <c r="B303" s="86"/>
      <c r="C303" s="87"/>
      <c r="D303" s="87"/>
      <c r="E303" s="87"/>
      <c r="F303" s="87"/>
      <c r="G303" s="87"/>
      <c r="H303" s="87"/>
      <c r="I303" s="87"/>
      <c r="J303" s="87"/>
      <c r="K303" s="88"/>
      <c r="L303" s="89"/>
      <c r="M303" s="90"/>
      <c r="N303" s="57"/>
      <c r="O303" s="57"/>
      <c r="P303" s="91"/>
    </row>
    <row r="304" spans="2:16" s="50" customFormat="1" ht="13.2">
      <c r="B304" s="86"/>
      <c r="C304" s="87"/>
      <c r="D304" s="87"/>
      <c r="E304" s="87"/>
      <c r="F304" s="87"/>
      <c r="G304" s="87"/>
      <c r="H304" s="87"/>
      <c r="I304" s="87"/>
      <c r="J304" s="87"/>
      <c r="K304" s="88"/>
      <c r="L304" s="89"/>
      <c r="M304" s="90"/>
      <c r="N304" s="57"/>
      <c r="O304" s="57"/>
      <c r="P304" s="91"/>
    </row>
    <row r="305" spans="2:16" s="50" customFormat="1" ht="13.2">
      <c r="B305" s="86"/>
      <c r="C305" s="87"/>
      <c r="D305" s="87"/>
      <c r="E305" s="87"/>
      <c r="F305" s="87"/>
      <c r="G305" s="87"/>
      <c r="H305" s="87"/>
      <c r="I305" s="87"/>
      <c r="J305" s="87"/>
      <c r="K305" s="88"/>
      <c r="L305" s="89"/>
      <c r="M305" s="90"/>
      <c r="N305" s="57"/>
      <c r="O305" s="57"/>
      <c r="P305" s="91"/>
    </row>
    <row r="306" spans="2:16" s="50" customFormat="1" ht="13.2">
      <c r="B306" s="86"/>
      <c r="C306" s="87"/>
      <c r="D306" s="87"/>
      <c r="E306" s="87"/>
      <c r="F306" s="87"/>
      <c r="G306" s="87"/>
      <c r="H306" s="87"/>
      <c r="I306" s="87"/>
      <c r="J306" s="87"/>
      <c r="K306" s="88"/>
      <c r="L306" s="89"/>
      <c r="M306" s="90"/>
      <c r="N306" s="57"/>
      <c r="O306" s="57"/>
      <c r="P306" s="91"/>
    </row>
    <row r="307" spans="2:16" s="50" customFormat="1" ht="13.2">
      <c r="B307" s="86"/>
      <c r="C307" s="87"/>
      <c r="D307" s="87"/>
      <c r="E307" s="87"/>
      <c r="F307" s="87"/>
      <c r="G307" s="87"/>
      <c r="H307" s="87"/>
      <c r="I307" s="87"/>
      <c r="J307" s="87"/>
      <c r="K307" s="88"/>
      <c r="L307" s="89"/>
      <c r="M307" s="90"/>
      <c r="N307" s="57"/>
      <c r="O307" s="57"/>
      <c r="P307" s="91"/>
    </row>
    <row r="308" spans="2:16" s="50" customFormat="1" ht="13.2">
      <c r="B308" s="86"/>
      <c r="C308" s="87"/>
      <c r="D308" s="87"/>
      <c r="E308" s="87"/>
      <c r="F308" s="87"/>
      <c r="G308" s="87"/>
      <c r="H308" s="87"/>
      <c r="I308" s="87"/>
      <c r="J308" s="87"/>
      <c r="K308" s="88"/>
      <c r="L308" s="89"/>
      <c r="M308" s="90"/>
      <c r="N308" s="57"/>
      <c r="O308" s="57"/>
      <c r="P308" s="91"/>
    </row>
    <row r="309" spans="2:16" s="50" customFormat="1" ht="13.2">
      <c r="B309" s="86"/>
      <c r="C309" s="87"/>
      <c r="D309" s="87"/>
      <c r="E309" s="87"/>
      <c r="F309" s="87"/>
      <c r="G309" s="87"/>
      <c r="H309" s="87"/>
      <c r="I309" s="87"/>
      <c r="J309" s="87"/>
      <c r="K309" s="88"/>
      <c r="L309" s="89"/>
      <c r="M309" s="90"/>
      <c r="N309" s="57"/>
      <c r="O309" s="57"/>
      <c r="P309" s="91"/>
    </row>
    <row r="310" spans="2:16" s="50" customFormat="1" ht="13.2">
      <c r="B310" s="86"/>
      <c r="C310" s="87"/>
      <c r="D310" s="87"/>
      <c r="E310" s="87"/>
      <c r="F310" s="87"/>
      <c r="G310" s="87"/>
      <c r="H310" s="87"/>
      <c r="I310" s="87"/>
      <c r="J310" s="87"/>
      <c r="K310" s="88"/>
      <c r="L310" s="89"/>
      <c r="M310" s="90"/>
      <c r="N310" s="57"/>
      <c r="O310" s="57"/>
      <c r="P310" s="91"/>
    </row>
    <row r="311" spans="2:16" s="50" customFormat="1" ht="13.2">
      <c r="B311" s="86"/>
      <c r="C311" s="87"/>
      <c r="D311" s="87"/>
      <c r="E311" s="87"/>
      <c r="F311" s="87"/>
      <c r="G311" s="87"/>
      <c r="H311" s="87"/>
      <c r="I311" s="87"/>
      <c r="J311" s="87"/>
      <c r="K311" s="88"/>
      <c r="L311" s="89"/>
      <c r="M311" s="90"/>
      <c r="N311" s="57"/>
      <c r="O311" s="57"/>
      <c r="P311" s="91"/>
    </row>
    <row r="312" spans="2:16" s="50" customFormat="1" ht="13.2">
      <c r="B312" s="86"/>
      <c r="C312" s="87"/>
      <c r="D312" s="87"/>
      <c r="E312" s="87"/>
      <c r="F312" s="87"/>
      <c r="G312" s="87"/>
      <c r="H312" s="87"/>
      <c r="I312" s="87"/>
      <c r="J312" s="87"/>
      <c r="K312" s="88"/>
      <c r="L312" s="89"/>
      <c r="M312" s="90"/>
      <c r="N312" s="57"/>
      <c r="O312" s="57"/>
      <c r="P312" s="91"/>
    </row>
    <row r="313" spans="2:16" s="50" customFormat="1" ht="13.2">
      <c r="B313" s="86"/>
      <c r="C313" s="87"/>
      <c r="D313" s="87"/>
      <c r="E313" s="87"/>
      <c r="F313" s="87"/>
      <c r="G313" s="87"/>
      <c r="H313" s="87"/>
      <c r="I313" s="87"/>
      <c r="J313" s="87"/>
      <c r="K313" s="88"/>
      <c r="L313" s="89"/>
      <c r="M313" s="90"/>
      <c r="N313" s="57"/>
      <c r="O313" s="57"/>
      <c r="P313" s="91"/>
    </row>
    <row r="314" spans="2:16" s="50" customFormat="1" ht="13.2">
      <c r="B314" s="86"/>
      <c r="C314" s="87"/>
      <c r="D314" s="87"/>
      <c r="E314" s="87"/>
      <c r="F314" s="87"/>
      <c r="G314" s="87"/>
      <c r="H314" s="87"/>
      <c r="I314" s="87"/>
      <c r="J314" s="87"/>
      <c r="K314" s="88"/>
      <c r="L314" s="89"/>
      <c r="M314" s="90"/>
      <c r="N314" s="57"/>
      <c r="O314" s="57"/>
      <c r="P314" s="91"/>
    </row>
    <row r="315" spans="2:16" s="50" customFormat="1" ht="13.2">
      <c r="B315" s="86"/>
      <c r="C315" s="87"/>
      <c r="D315" s="87"/>
      <c r="E315" s="87"/>
      <c r="F315" s="87"/>
      <c r="G315" s="87"/>
      <c r="H315" s="87"/>
      <c r="I315" s="87"/>
      <c r="J315" s="87"/>
      <c r="K315" s="88"/>
      <c r="L315" s="89"/>
      <c r="M315" s="90"/>
      <c r="N315" s="57"/>
      <c r="O315" s="57"/>
      <c r="P315" s="91"/>
    </row>
    <row r="316" spans="2:16" s="50" customFormat="1" ht="13.2">
      <c r="B316" s="86"/>
      <c r="C316" s="87"/>
      <c r="D316" s="87"/>
      <c r="E316" s="87"/>
      <c r="F316" s="87"/>
      <c r="G316" s="87"/>
      <c r="H316" s="87"/>
      <c r="I316" s="87"/>
      <c r="J316" s="87"/>
      <c r="K316" s="88"/>
      <c r="L316" s="89"/>
      <c r="M316" s="90"/>
      <c r="N316" s="57"/>
      <c r="O316" s="57"/>
      <c r="P316" s="91"/>
    </row>
    <row r="317" spans="2:16" s="50" customFormat="1" ht="13.2">
      <c r="B317" s="86"/>
      <c r="C317" s="87"/>
      <c r="D317" s="87"/>
      <c r="E317" s="87"/>
      <c r="F317" s="87"/>
      <c r="G317" s="87"/>
      <c r="H317" s="87"/>
      <c r="I317" s="87"/>
      <c r="J317" s="87"/>
      <c r="K317" s="88"/>
      <c r="L317" s="89"/>
      <c r="M317" s="90"/>
      <c r="N317" s="57"/>
      <c r="O317" s="57"/>
      <c r="P317" s="91"/>
    </row>
    <row r="318" spans="2:16" s="50" customFormat="1" ht="13.2">
      <c r="B318" s="86"/>
      <c r="C318" s="87"/>
      <c r="D318" s="87"/>
      <c r="E318" s="87"/>
      <c r="F318" s="87"/>
      <c r="G318" s="87"/>
      <c r="H318" s="87"/>
      <c r="I318" s="87"/>
      <c r="J318" s="87"/>
      <c r="K318" s="88"/>
      <c r="L318" s="89"/>
      <c r="M318" s="90"/>
      <c r="N318" s="57"/>
      <c r="O318" s="57"/>
      <c r="P318" s="91"/>
    </row>
    <row r="319" spans="2:16" s="50" customFormat="1" ht="13.2">
      <c r="B319" s="86"/>
      <c r="C319" s="87"/>
      <c r="D319" s="87"/>
      <c r="E319" s="87"/>
      <c r="F319" s="87"/>
      <c r="G319" s="87"/>
      <c r="H319" s="87"/>
      <c r="I319" s="87"/>
      <c r="J319" s="87"/>
      <c r="K319" s="88"/>
      <c r="L319" s="89"/>
      <c r="M319" s="90"/>
      <c r="N319" s="57"/>
      <c r="O319" s="57"/>
      <c r="P319" s="91"/>
    </row>
    <row r="320" spans="2:16" s="50" customFormat="1" ht="13.2">
      <c r="B320" s="86"/>
      <c r="C320" s="87"/>
      <c r="D320" s="87"/>
      <c r="E320" s="87"/>
      <c r="F320" s="87"/>
      <c r="G320" s="87"/>
      <c r="H320" s="87"/>
      <c r="I320" s="87"/>
      <c r="J320" s="87"/>
      <c r="K320" s="88"/>
      <c r="L320" s="89"/>
      <c r="M320" s="90"/>
      <c r="N320" s="57"/>
      <c r="O320" s="57"/>
      <c r="P320" s="91"/>
    </row>
    <row r="321" spans="2:16" s="50" customFormat="1" ht="13.2">
      <c r="B321" s="86"/>
      <c r="C321" s="87"/>
      <c r="D321" s="87"/>
      <c r="E321" s="87"/>
      <c r="F321" s="87"/>
      <c r="G321" s="87"/>
      <c r="H321" s="87"/>
      <c r="I321" s="87"/>
      <c r="J321" s="87"/>
      <c r="K321" s="88"/>
      <c r="L321" s="89"/>
      <c r="M321" s="90"/>
      <c r="N321" s="57"/>
      <c r="O321" s="57"/>
      <c r="P321" s="91"/>
    </row>
    <row r="322" spans="2:16" s="50" customFormat="1" ht="13.2">
      <c r="B322" s="86"/>
      <c r="C322" s="87"/>
      <c r="D322" s="87"/>
      <c r="E322" s="87"/>
      <c r="F322" s="87"/>
      <c r="G322" s="87"/>
      <c r="H322" s="87"/>
      <c r="I322" s="87"/>
      <c r="J322" s="87"/>
      <c r="K322" s="88"/>
      <c r="L322" s="89"/>
      <c r="M322" s="90"/>
      <c r="N322" s="57"/>
      <c r="O322" s="57"/>
      <c r="P322" s="91"/>
    </row>
    <row r="323" spans="2:16" s="50" customFormat="1" ht="13.2">
      <c r="B323" s="86"/>
      <c r="C323" s="87"/>
      <c r="D323" s="87"/>
      <c r="E323" s="87"/>
      <c r="F323" s="87"/>
      <c r="G323" s="87"/>
      <c r="H323" s="87"/>
      <c r="I323" s="87"/>
      <c r="J323" s="87"/>
      <c r="K323" s="88"/>
      <c r="L323" s="89"/>
      <c r="M323" s="90"/>
      <c r="N323" s="57"/>
      <c r="O323" s="57"/>
      <c r="P323" s="91"/>
    </row>
    <row r="324" spans="2:16" s="50" customFormat="1" ht="13.2">
      <c r="B324" s="86"/>
      <c r="C324" s="87"/>
      <c r="D324" s="87"/>
      <c r="E324" s="87"/>
      <c r="F324" s="87"/>
      <c r="G324" s="87"/>
      <c r="H324" s="87"/>
      <c r="I324" s="87"/>
      <c r="J324" s="87"/>
      <c r="K324" s="88"/>
      <c r="L324" s="89"/>
      <c r="M324" s="90"/>
      <c r="N324" s="57"/>
      <c r="O324" s="57"/>
      <c r="P324" s="91"/>
    </row>
    <row r="325" spans="2:16" s="50" customFormat="1" ht="13.2">
      <c r="B325" s="86"/>
      <c r="C325" s="87"/>
      <c r="D325" s="87"/>
      <c r="E325" s="87"/>
      <c r="F325" s="87"/>
      <c r="G325" s="87"/>
      <c r="H325" s="87"/>
      <c r="I325" s="87"/>
      <c r="J325" s="87"/>
      <c r="K325" s="88"/>
      <c r="L325" s="89"/>
      <c r="M325" s="90"/>
      <c r="N325" s="57"/>
      <c r="O325" s="57"/>
      <c r="P325" s="91"/>
    </row>
    <row r="326" spans="2:16" s="50" customFormat="1" ht="13.2">
      <c r="B326" s="86"/>
      <c r="C326" s="87"/>
      <c r="D326" s="87"/>
      <c r="E326" s="87"/>
      <c r="F326" s="87"/>
      <c r="G326" s="87"/>
      <c r="H326" s="87"/>
      <c r="I326" s="87"/>
      <c r="J326" s="87"/>
      <c r="K326" s="88"/>
      <c r="L326" s="89"/>
      <c r="M326" s="90"/>
      <c r="N326" s="57"/>
      <c r="O326" s="57"/>
      <c r="P326" s="91"/>
    </row>
    <row r="327" spans="2:16" s="50" customFormat="1" ht="13.2">
      <c r="B327" s="86"/>
      <c r="C327" s="87"/>
      <c r="D327" s="87"/>
      <c r="E327" s="87"/>
      <c r="F327" s="87"/>
      <c r="G327" s="87"/>
      <c r="H327" s="87"/>
      <c r="I327" s="87"/>
      <c r="J327" s="87"/>
      <c r="K327" s="88"/>
      <c r="L327" s="89"/>
      <c r="M327" s="90"/>
      <c r="N327" s="57"/>
      <c r="O327" s="57"/>
      <c r="P327" s="91"/>
    </row>
    <row r="328" spans="2:16" s="50" customFormat="1" ht="13.2">
      <c r="B328" s="86"/>
      <c r="C328" s="87"/>
      <c r="D328" s="87"/>
      <c r="E328" s="87"/>
      <c r="F328" s="87"/>
      <c r="G328" s="87"/>
      <c r="H328" s="87"/>
      <c r="I328" s="87"/>
      <c r="J328" s="87"/>
      <c r="K328" s="88"/>
      <c r="L328" s="89"/>
      <c r="M328" s="90"/>
      <c r="N328" s="57"/>
      <c r="O328" s="57"/>
      <c r="P328" s="91"/>
    </row>
    <row r="329" spans="2:16" s="50" customFormat="1" ht="13.2">
      <c r="B329" s="86"/>
      <c r="C329" s="87"/>
      <c r="D329" s="87"/>
      <c r="E329" s="87"/>
      <c r="F329" s="87"/>
      <c r="G329" s="87"/>
      <c r="H329" s="87"/>
      <c r="I329" s="87"/>
      <c r="J329" s="87"/>
      <c r="K329" s="88"/>
      <c r="L329" s="89"/>
      <c r="M329" s="90"/>
      <c r="N329" s="57"/>
      <c r="O329" s="57"/>
      <c r="P329" s="91"/>
    </row>
    <row r="330" spans="2:16" s="50" customFormat="1" ht="13.2">
      <c r="B330" s="86"/>
      <c r="C330" s="87"/>
      <c r="D330" s="87"/>
      <c r="E330" s="87"/>
      <c r="F330" s="87"/>
      <c r="G330" s="87"/>
      <c r="H330" s="87"/>
      <c r="I330" s="87"/>
      <c r="J330" s="87"/>
      <c r="K330" s="88"/>
      <c r="L330" s="89"/>
      <c r="M330" s="90"/>
      <c r="N330" s="57"/>
      <c r="O330" s="57"/>
      <c r="P330" s="91"/>
    </row>
    <row r="331" spans="2:16" s="50" customFormat="1" ht="13.2">
      <c r="B331" s="86"/>
      <c r="C331" s="87"/>
      <c r="D331" s="87"/>
      <c r="E331" s="87"/>
      <c r="F331" s="87"/>
      <c r="G331" s="87"/>
      <c r="H331" s="87"/>
      <c r="I331" s="87"/>
      <c r="J331" s="87"/>
      <c r="K331" s="88"/>
      <c r="L331" s="89"/>
      <c r="M331" s="90"/>
      <c r="N331" s="57"/>
      <c r="O331" s="57"/>
      <c r="P331" s="91"/>
    </row>
    <row r="332" spans="2:16" s="50" customFormat="1" ht="13.2">
      <c r="B332" s="86"/>
      <c r="C332" s="87"/>
      <c r="D332" s="87"/>
      <c r="E332" s="87"/>
      <c r="F332" s="87"/>
      <c r="G332" s="87"/>
      <c r="H332" s="87"/>
      <c r="I332" s="87"/>
      <c r="J332" s="87"/>
      <c r="K332" s="88"/>
      <c r="L332" s="89"/>
      <c r="M332" s="90"/>
      <c r="N332" s="57"/>
      <c r="O332" s="57"/>
      <c r="P332" s="91"/>
    </row>
    <row r="333" spans="2:16" s="50" customFormat="1" ht="13.2">
      <c r="B333" s="86"/>
      <c r="C333" s="87"/>
      <c r="D333" s="87"/>
      <c r="E333" s="87"/>
      <c r="F333" s="87"/>
      <c r="G333" s="87"/>
      <c r="H333" s="87"/>
      <c r="I333" s="87"/>
      <c r="J333" s="87"/>
      <c r="K333" s="88"/>
      <c r="L333" s="89"/>
      <c r="M333" s="90"/>
      <c r="N333" s="57"/>
      <c r="O333" s="57"/>
      <c r="P333" s="91"/>
    </row>
    <row r="334" spans="2:16" s="50" customFormat="1" ht="13.2">
      <c r="B334" s="86"/>
      <c r="C334" s="87"/>
      <c r="D334" s="87"/>
      <c r="E334" s="87"/>
      <c r="F334" s="87"/>
      <c r="G334" s="87"/>
      <c r="H334" s="87"/>
      <c r="I334" s="87"/>
      <c r="J334" s="87"/>
      <c r="K334" s="88"/>
      <c r="L334" s="89"/>
      <c r="M334" s="90"/>
      <c r="N334" s="57"/>
      <c r="O334" s="57"/>
      <c r="P334" s="91"/>
    </row>
    <row r="335" spans="2:16" s="50" customFormat="1" ht="13.2">
      <c r="B335" s="86"/>
      <c r="C335" s="87"/>
      <c r="D335" s="87"/>
      <c r="E335" s="87"/>
      <c r="F335" s="87"/>
      <c r="G335" s="87"/>
      <c r="H335" s="87"/>
      <c r="I335" s="87"/>
      <c r="J335" s="87"/>
      <c r="K335" s="88"/>
      <c r="L335" s="89"/>
      <c r="M335" s="90"/>
      <c r="N335" s="57"/>
      <c r="O335" s="57"/>
      <c r="P335" s="91"/>
    </row>
    <row r="336" spans="2:16" s="50" customFormat="1" ht="13.2">
      <c r="B336" s="86"/>
      <c r="C336" s="87"/>
      <c r="D336" s="87"/>
      <c r="E336" s="87"/>
      <c r="F336" s="87"/>
      <c r="G336" s="87"/>
      <c r="H336" s="87"/>
      <c r="I336" s="87"/>
      <c r="J336" s="87"/>
      <c r="K336" s="88"/>
      <c r="L336" s="89"/>
      <c r="M336" s="90"/>
      <c r="N336" s="57"/>
      <c r="O336" s="57"/>
      <c r="P336" s="91"/>
    </row>
    <row r="337" spans="2:16" s="50" customFormat="1" ht="13.2">
      <c r="B337" s="86"/>
      <c r="C337" s="87"/>
      <c r="D337" s="87"/>
      <c r="E337" s="87"/>
      <c r="F337" s="87"/>
      <c r="G337" s="87"/>
      <c r="H337" s="87"/>
      <c r="I337" s="87"/>
      <c r="J337" s="87"/>
      <c r="K337" s="88"/>
      <c r="L337" s="89"/>
      <c r="M337" s="90"/>
      <c r="N337" s="57"/>
      <c r="O337" s="57"/>
      <c r="P337" s="91"/>
    </row>
    <row r="338" spans="2:16" s="50" customFormat="1" ht="13.2">
      <c r="B338" s="86"/>
      <c r="C338" s="87"/>
      <c r="D338" s="87"/>
      <c r="E338" s="87"/>
      <c r="F338" s="87"/>
      <c r="G338" s="87"/>
      <c r="H338" s="87"/>
      <c r="I338" s="87"/>
      <c r="J338" s="87"/>
      <c r="K338" s="88"/>
      <c r="L338" s="89"/>
      <c r="M338" s="90"/>
      <c r="N338" s="57"/>
      <c r="O338" s="57"/>
      <c r="P338" s="91"/>
    </row>
    <row r="339" spans="2:16" s="50" customFormat="1" ht="13.2">
      <c r="B339" s="86"/>
      <c r="C339" s="87"/>
      <c r="D339" s="87"/>
      <c r="E339" s="87"/>
      <c r="F339" s="87"/>
      <c r="G339" s="87"/>
      <c r="H339" s="87"/>
      <c r="I339" s="87"/>
      <c r="J339" s="87"/>
      <c r="K339" s="88"/>
      <c r="L339" s="89"/>
      <c r="M339" s="90"/>
      <c r="N339" s="57"/>
      <c r="O339" s="57"/>
      <c r="P339" s="91"/>
    </row>
    <row r="340" spans="2:16" s="50" customFormat="1" ht="13.2">
      <c r="B340" s="86"/>
      <c r="C340" s="87"/>
      <c r="D340" s="87"/>
      <c r="E340" s="87"/>
      <c r="F340" s="87"/>
      <c r="G340" s="87"/>
      <c r="H340" s="87"/>
      <c r="I340" s="87"/>
      <c r="J340" s="87"/>
      <c r="K340" s="88"/>
      <c r="L340" s="89"/>
      <c r="M340" s="90"/>
      <c r="N340" s="57"/>
      <c r="O340" s="57"/>
      <c r="P340" s="91"/>
    </row>
    <row r="341" spans="2:16" s="50" customFormat="1" ht="13.2">
      <c r="B341" s="86"/>
      <c r="C341" s="87"/>
      <c r="D341" s="87"/>
      <c r="E341" s="87"/>
      <c r="F341" s="87"/>
      <c r="G341" s="87"/>
      <c r="H341" s="87"/>
      <c r="I341" s="87"/>
      <c r="J341" s="87"/>
      <c r="K341" s="88"/>
      <c r="L341" s="89"/>
      <c r="M341" s="90"/>
      <c r="N341" s="57"/>
      <c r="O341" s="57"/>
      <c r="P341" s="91"/>
    </row>
    <row r="342" spans="2:16" s="50" customFormat="1" ht="13.2">
      <c r="B342" s="86"/>
      <c r="C342" s="87"/>
      <c r="D342" s="87"/>
      <c r="E342" s="87"/>
      <c r="F342" s="87"/>
      <c r="G342" s="87"/>
      <c r="H342" s="87"/>
      <c r="I342" s="87"/>
      <c r="J342" s="87"/>
      <c r="K342" s="88"/>
      <c r="L342" s="89"/>
      <c r="M342" s="90"/>
      <c r="N342" s="57"/>
      <c r="O342" s="57"/>
      <c r="P342" s="91"/>
    </row>
    <row r="343" spans="2:16" s="50" customFormat="1" ht="13.2">
      <c r="B343" s="86"/>
      <c r="C343" s="87"/>
      <c r="D343" s="87"/>
      <c r="E343" s="87"/>
      <c r="F343" s="87"/>
      <c r="G343" s="87"/>
      <c r="H343" s="87"/>
      <c r="I343" s="87"/>
      <c r="J343" s="87"/>
      <c r="K343" s="88"/>
      <c r="L343" s="89"/>
      <c r="M343" s="90"/>
      <c r="N343" s="57"/>
      <c r="O343" s="57"/>
      <c r="P343" s="91"/>
    </row>
    <row r="344" spans="2:16" s="50" customFormat="1" ht="13.2">
      <c r="B344" s="86"/>
      <c r="C344" s="87"/>
      <c r="D344" s="87"/>
      <c r="E344" s="87"/>
      <c r="F344" s="87"/>
      <c r="G344" s="87"/>
      <c r="H344" s="87"/>
      <c r="I344" s="87"/>
      <c r="J344" s="87"/>
      <c r="K344" s="88"/>
      <c r="L344" s="89"/>
      <c r="M344" s="90"/>
      <c r="N344" s="57"/>
      <c r="O344" s="57"/>
      <c r="P344" s="91"/>
    </row>
    <row r="345" spans="2:16" s="50" customFormat="1" ht="13.2">
      <c r="B345" s="86"/>
      <c r="C345" s="87"/>
      <c r="D345" s="87"/>
      <c r="E345" s="87"/>
      <c r="F345" s="87"/>
      <c r="G345" s="87"/>
      <c r="H345" s="87"/>
      <c r="I345" s="87"/>
      <c r="J345" s="87"/>
      <c r="K345" s="88"/>
      <c r="L345" s="89"/>
      <c r="M345" s="90"/>
      <c r="N345" s="57"/>
      <c r="O345" s="57"/>
      <c r="P345" s="91"/>
    </row>
    <row r="346" spans="2:16" s="50" customFormat="1" ht="13.2">
      <c r="B346" s="86"/>
      <c r="C346" s="87"/>
      <c r="D346" s="87"/>
      <c r="E346" s="87"/>
      <c r="F346" s="87"/>
      <c r="G346" s="87"/>
      <c r="H346" s="87"/>
      <c r="I346" s="87"/>
      <c r="J346" s="87"/>
      <c r="K346" s="88"/>
      <c r="L346" s="89"/>
      <c r="M346" s="90"/>
      <c r="N346" s="57"/>
      <c r="O346" s="57"/>
      <c r="P346" s="91"/>
    </row>
    <row r="347" spans="2:16" s="50" customFormat="1" ht="13.2">
      <c r="B347" s="86"/>
      <c r="C347" s="87"/>
      <c r="D347" s="87"/>
      <c r="E347" s="87"/>
      <c r="F347" s="87"/>
      <c r="G347" s="87"/>
      <c r="H347" s="87"/>
      <c r="I347" s="87"/>
      <c r="J347" s="87"/>
      <c r="K347" s="88"/>
      <c r="L347" s="89"/>
      <c r="M347" s="90"/>
      <c r="N347" s="57"/>
      <c r="O347" s="57"/>
      <c r="P347" s="91"/>
    </row>
    <row r="348" spans="2:16" s="50" customFormat="1" ht="13.2">
      <c r="B348" s="86"/>
      <c r="C348" s="87"/>
      <c r="D348" s="87"/>
      <c r="E348" s="87"/>
      <c r="F348" s="87"/>
      <c r="G348" s="87"/>
      <c r="H348" s="87"/>
      <c r="I348" s="87"/>
      <c r="J348" s="87"/>
      <c r="K348" s="88"/>
      <c r="L348" s="89"/>
      <c r="M348" s="90"/>
      <c r="N348" s="57"/>
      <c r="O348" s="57"/>
      <c r="P348" s="91"/>
    </row>
    <row r="349" spans="2:16" s="50" customFormat="1" ht="13.2">
      <c r="B349" s="86"/>
      <c r="C349" s="87"/>
      <c r="D349" s="87"/>
      <c r="E349" s="87"/>
      <c r="F349" s="87"/>
      <c r="G349" s="87"/>
      <c r="H349" s="87"/>
      <c r="I349" s="87"/>
      <c r="J349" s="87"/>
      <c r="K349" s="88"/>
      <c r="L349" s="89"/>
      <c r="M349" s="90"/>
      <c r="N349" s="57"/>
      <c r="O349" s="57"/>
      <c r="P349" s="91"/>
    </row>
    <row r="350" spans="2:16" s="50" customFormat="1" ht="13.2">
      <c r="B350" s="86"/>
      <c r="C350" s="87"/>
      <c r="D350" s="87"/>
      <c r="E350" s="87"/>
      <c r="F350" s="87"/>
      <c r="G350" s="87"/>
      <c r="H350" s="87"/>
      <c r="I350" s="87"/>
      <c r="J350" s="87"/>
      <c r="K350" s="88"/>
      <c r="L350" s="89"/>
      <c r="M350" s="90"/>
      <c r="N350" s="57"/>
      <c r="O350" s="57"/>
      <c r="P350" s="91"/>
    </row>
    <row r="351" spans="2:16" s="50" customFormat="1" ht="13.2">
      <c r="B351" s="86"/>
      <c r="C351" s="87"/>
      <c r="D351" s="87"/>
      <c r="E351" s="87"/>
      <c r="F351" s="87"/>
      <c r="G351" s="87"/>
      <c r="H351" s="87"/>
      <c r="I351" s="87"/>
      <c r="J351" s="87"/>
      <c r="K351" s="88"/>
      <c r="L351" s="89"/>
      <c r="M351" s="90"/>
      <c r="N351" s="57"/>
      <c r="O351" s="57"/>
      <c r="P351" s="91"/>
    </row>
    <row r="352" spans="2:16" s="50" customFormat="1" ht="13.2">
      <c r="B352" s="86"/>
      <c r="C352" s="87"/>
      <c r="D352" s="87"/>
      <c r="E352" s="87"/>
      <c r="F352" s="87"/>
      <c r="G352" s="87"/>
      <c r="H352" s="87"/>
      <c r="I352" s="87"/>
      <c r="J352" s="87"/>
      <c r="K352" s="88"/>
      <c r="L352" s="89"/>
      <c r="M352" s="90"/>
      <c r="N352" s="57"/>
      <c r="O352" s="57"/>
      <c r="P352" s="91"/>
    </row>
    <row r="353" spans="2:16" s="50" customFormat="1" ht="13.2">
      <c r="B353" s="86"/>
      <c r="C353" s="87"/>
      <c r="D353" s="87"/>
      <c r="E353" s="87"/>
      <c r="F353" s="87"/>
      <c r="G353" s="87"/>
      <c r="H353" s="87"/>
      <c r="I353" s="87"/>
      <c r="J353" s="87"/>
      <c r="K353" s="88"/>
      <c r="L353" s="89"/>
      <c r="M353" s="90"/>
      <c r="N353" s="57"/>
      <c r="O353" s="57"/>
      <c r="P353" s="91"/>
    </row>
    <row r="354" spans="2:16" s="50" customFormat="1" ht="13.2">
      <c r="B354" s="86"/>
      <c r="C354" s="87"/>
      <c r="D354" s="87"/>
      <c r="E354" s="87"/>
      <c r="F354" s="87"/>
      <c r="G354" s="87"/>
      <c r="H354" s="87"/>
      <c r="I354" s="87"/>
      <c r="J354" s="87"/>
      <c r="K354" s="88"/>
      <c r="L354" s="89"/>
      <c r="M354" s="90"/>
      <c r="N354" s="57"/>
      <c r="O354" s="57"/>
      <c r="P354" s="91"/>
    </row>
    <row r="355" spans="2:16" s="50" customFormat="1" ht="13.2">
      <c r="B355" s="86"/>
      <c r="C355" s="87"/>
      <c r="D355" s="87"/>
      <c r="E355" s="87"/>
      <c r="F355" s="87"/>
      <c r="G355" s="87"/>
      <c r="H355" s="87"/>
      <c r="I355" s="87"/>
      <c r="J355" s="87"/>
      <c r="K355" s="88"/>
      <c r="L355" s="89"/>
      <c r="M355" s="90"/>
      <c r="N355" s="57"/>
      <c r="O355" s="57"/>
      <c r="P355" s="91"/>
    </row>
    <row r="356" spans="2:16" s="50" customFormat="1" ht="13.2">
      <c r="B356" s="86"/>
      <c r="C356" s="87"/>
      <c r="D356" s="87"/>
      <c r="E356" s="87"/>
      <c r="F356" s="87"/>
      <c r="G356" s="87"/>
      <c r="H356" s="87"/>
      <c r="I356" s="87"/>
      <c r="J356" s="87"/>
      <c r="K356" s="88"/>
      <c r="L356" s="89"/>
      <c r="M356" s="90"/>
      <c r="N356" s="57"/>
      <c r="O356" s="57"/>
      <c r="P356" s="91"/>
    </row>
    <row r="357" spans="2:16" s="50" customFormat="1" ht="13.2">
      <c r="B357" s="86"/>
      <c r="C357" s="87"/>
      <c r="D357" s="87"/>
      <c r="E357" s="87"/>
      <c r="F357" s="87"/>
      <c r="G357" s="87"/>
      <c r="H357" s="87"/>
      <c r="I357" s="87"/>
      <c r="J357" s="87"/>
      <c r="K357" s="88"/>
      <c r="L357" s="89"/>
      <c r="M357" s="90"/>
      <c r="N357" s="57"/>
      <c r="O357" s="57"/>
      <c r="P357" s="91"/>
    </row>
    <row r="358" spans="2:16" s="50" customFormat="1" ht="13.2">
      <c r="B358" s="86"/>
      <c r="C358" s="87"/>
      <c r="D358" s="87"/>
      <c r="E358" s="87"/>
      <c r="F358" s="87"/>
      <c r="G358" s="87"/>
      <c r="H358" s="87"/>
      <c r="I358" s="87"/>
      <c r="J358" s="87"/>
      <c r="K358" s="88"/>
      <c r="L358" s="89"/>
      <c r="M358" s="90"/>
      <c r="N358" s="57"/>
      <c r="O358" s="57"/>
      <c r="P358" s="91"/>
    </row>
    <row r="359" spans="2:16" s="50" customFormat="1" ht="13.2">
      <c r="B359" s="86"/>
      <c r="C359" s="87"/>
      <c r="D359" s="87"/>
      <c r="E359" s="87"/>
      <c r="F359" s="87"/>
      <c r="G359" s="87"/>
      <c r="H359" s="87"/>
      <c r="I359" s="87"/>
      <c r="J359" s="87"/>
      <c r="K359" s="88"/>
      <c r="L359" s="89"/>
      <c r="M359" s="90"/>
      <c r="N359" s="57"/>
      <c r="O359" s="57"/>
      <c r="P359" s="91"/>
    </row>
    <row r="360" spans="2:16" s="50" customFormat="1" ht="13.2">
      <c r="B360" s="86"/>
      <c r="C360" s="87"/>
      <c r="D360" s="87"/>
      <c r="E360" s="87"/>
      <c r="F360" s="87"/>
      <c r="G360" s="87"/>
      <c r="H360" s="87"/>
      <c r="I360" s="87"/>
      <c r="J360" s="87"/>
      <c r="K360" s="88"/>
      <c r="L360" s="89"/>
      <c r="M360" s="90"/>
      <c r="N360" s="57"/>
      <c r="O360" s="57"/>
      <c r="P360" s="91"/>
    </row>
    <row r="361" spans="2:16" s="50" customFormat="1" ht="13.2">
      <c r="B361" s="86"/>
      <c r="C361" s="87"/>
      <c r="D361" s="87"/>
      <c r="E361" s="87"/>
      <c r="F361" s="87"/>
      <c r="G361" s="87"/>
      <c r="H361" s="87"/>
      <c r="I361" s="87"/>
      <c r="J361" s="87"/>
      <c r="K361" s="88"/>
      <c r="L361" s="89"/>
      <c r="M361" s="90"/>
      <c r="N361" s="57"/>
      <c r="O361" s="57"/>
      <c r="P361" s="91"/>
    </row>
    <row r="362" spans="2:16" s="50" customFormat="1" ht="13.2">
      <c r="B362" s="86"/>
      <c r="C362" s="87"/>
      <c r="D362" s="87"/>
      <c r="E362" s="87"/>
      <c r="F362" s="87"/>
      <c r="G362" s="87"/>
      <c r="H362" s="87"/>
      <c r="I362" s="87"/>
      <c r="J362" s="87"/>
      <c r="K362" s="88"/>
      <c r="L362" s="89"/>
      <c r="M362" s="90"/>
      <c r="N362" s="57"/>
      <c r="O362" s="57"/>
      <c r="P362" s="91"/>
    </row>
    <row r="363" spans="2:16" s="50" customFormat="1" ht="13.2">
      <c r="B363" s="86"/>
      <c r="C363" s="87"/>
      <c r="D363" s="87"/>
      <c r="E363" s="87"/>
      <c r="F363" s="87"/>
      <c r="G363" s="87"/>
      <c r="H363" s="87"/>
      <c r="I363" s="87"/>
      <c r="J363" s="87"/>
      <c r="K363" s="88"/>
      <c r="L363" s="89"/>
      <c r="M363" s="90"/>
      <c r="N363" s="57"/>
      <c r="O363" s="57"/>
      <c r="P363" s="91"/>
    </row>
    <row r="364" spans="2:16" s="50" customFormat="1" ht="13.2">
      <c r="B364" s="86"/>
      <c r="C364" s="87"/>
      <c r="D364" s="87"/>
      <c r="E364" s="87"/>
      <c r="F364" s="87"/>
      <c r="G364" s="87"/>
      <c r="H364" s="87"/>
      <c r="I364" s="87"/>
      <c r="J364" s="87"/>
      <c r="K364" s="88"/>
      <c r="L364" s="89"/>
      <c r="M364" s="90"/>
      <c r="N364" s="57"/>
      <c r="O364" s="57"/>
      <c r="P364" s="91"/>
    </row>
    <row r="365" spans="2:16" s="50" customFormat="1" ht="13.2">
      <c r="B365" s="86"/>
      <c r="C365" s="87"/>
      <c r="D365" s="87"/>
      <c r="E365" s="87"/>
      <c r="F365" s="87"/>
      <c r="G365" s="87"/>
      <c r="H365" s="87"/>
      <c r="I365" s="87"/>
      <c r="J365" s="87"/>
      <c r="K365" s="88"/>
      <c r="L365" s="89"/>
      <c r="M365" s="90"/>
      <c r="N365" s="57"/>
      <c r="O365" s="57"/>
      <c r="P365" s="91"/>
    </row>
    <row r="366" spans="2:16" s="50" customFormat="1" ht="13.2">
      <c r="B366" s="86"/>
      <c r="C366" s="87"/>
      <c r="D366" s="87"/>
      <c r="E366" s="87"/>
      <c r="F366" s="87"/>
      <c r="G366" s="87"/>
      <c r="H366" s="87"/>
      <c r="I366" s="87"/>
      <c r="J366" s="87"/>
      <c r="K366" s="88"/>
      <c r="L366" s="89"/>
      <c r="M366" s="90"/>
      <c r="N366" s="57"/>
      <c r="O366" s="57"/>
      <c r="P366" s="91"/>
    </row>
    <row r="367" spans="2:16" s="50" customFormat="1" ht="13.2">
      <c r="B367" s="86"/>
      <c r="C367" s="87"/>
      <c r="D367" s="87"/>
      <c r="E367" s="87"/>
      <c r="F367" s="87"/>
      <c r="G367" s="87"/>
      <c r="H367" s="87"/>
      <c r="I367" s="87"/>
      <c r="J367" s="87"/>
      <c r="K367" s="88"/>
      <c r="L367" s="89"/>
      <c r="M367" s="90"/>
      <c r="N367" s="57"/>
      <c r="O367" s="57"/>
      <c r="P367" s="91"/>
    </row>
    <row r="368" spans="2:16" s="50" customFormat="1" ht="13.2">
      <c r="B368" s="86"/>
      <c r="C368" s="87"/>
      <c r="D368" s="87"/>
      <c r="E368" s="87"/>
      <c r="F368" s="87"/>
      <c r="G368" s="87"/>
      <c r="H368" s="87"/>
      <c r="I368" s="87"/>
      <c r="J368" s="87"/>
      <c r="K368" s="88"/>
      <c r="L368" s="89"/>
      <c r="M368" s="90"/>
      <c r="N368" s="57"/>
      <c r="O368" s="57"/>
      <c r="P368" s="91"/>
    </row>
    <row r="369" spans="2:16" s="50" customFormat="1" ht="13.2">
      <c r="B369" s="86"/>
      <c r="C369" s="87"/>
      <c r="D369" s="87"/>
      <c r="E369" s="87"/>
      <c r="F369" s="87"/>
      <c r="G369" s="87"/>
      <c r="H369" s="87"/>
      <c r="I369" s="87"/>
      <c r="J369" s="87"/>
      <c r="K369" s="88"/>
      <c r="L369" s="89"/>
      <c r="M369" s="90"/>
      <c r="N369" s="57"/>
      <c r="O369" s="57"/>
      <c r="P369" s="91"/>
    </row>
    <row r="370" spans="2:16" s="50" customFormat="1" ht="13.2">
      <c r="B370" s="86"/>
      <c r="C370" s="87"/>
      <c r="D370" s="87"/>
      <c r="E370" s="87"/>
      <c r="F370" s="87"/>
      <c r="G370" s="87"/>
      <c r="H370" s="87"/>
      <c r="I370" s="87"/>
      <c r="J370" s="87"/>
      <c r="K370" s="88"/>
      <c r="L370" s="89"/>
      <c r="M370" s="90"/>
      <c r="N370" s="57"/>
      <c r="O370" s="57"/>
      <c r="P370" s="91"/>
    </row>
    <row r="371" spans="2:16" s="50" customFormat="1" ht="13.2">
      <c r="B371" s="86"/>
      <c r="C371" s="87"/>
      <c r="D371" s="87"/>
      <c r="E371" s="87"/>
      <c r="F371" s="87"/>
      <c r="G371" s="87"/>
      <c r="H371" s="87"/>
      <c r="I371" s="87"/>
      <c r="J371" s="87"/>
      <c r="K371" s="88"/>
      <c r="L371" s="89"/>
      <c r="M371" s="90"/>
      <c r="N371" s="57"/>
      <c r="O371" s="57"/>
      <c r="P371" s="91"/>
    </row>
    <row r="372" spans="2:16" s="50" customFormat="1" ht="13.2">
      <c r="B372" s="86"/>
      <c r="C372" s="87"/>
      <c r="D372" s="87"/>
      <c r="E372" s="87"/>
      <c r="F372" s="87"/>
      <c r="G372" s="87"/>
      <c r="H372" s="87"/>
      <c r="I372" s="87"/>
      <c r="J372" s="87"/>
      <c r="K372" s="88"/>
      <c r="L372" s="89"/>
      <c r="M372" s="90"/>
      <c r="N372" s="57"/>
      <c r="O372" s="57"/>
      <c r="P372" s="91"/>
    </row>
    <row r="373" spans="2:16" s="50" customFormat="1" ht="13.2">
      <c r="B373" s="86"/>
      <c r="C373" s="87"/>
      <c r="D373" s="87"/>
      <c r="E373" s="87"/>
      <c r="F373" s="87"/>
      <c r="G373" s="87"/>
      <c r="H373" s="87"/>
      <c r="I373" s="87"/>
      <c r="J373" s="87"/>
      <c r="K373" s="88"/>
      <c r="L373" s="89"/>
      <c r="M373" s="90"/>
      <c r="N373" s="57"/>
      <c r="O373" s="57"/>
      <c r="P373" s="91"/>
    </row>
    <row r="374" spans="2:16" s="50" customFormat="1" ht="13.2">
      <c r="B374" s="86"/>
      <c r="C374" s="87"/>
      <c r="D374" s="87"/>
      <c r="E374" s="87"/>
      <c r="F374" s="87"/>
      <c r="G374" s="87"/>
      <c r="H374" s="87"/>
      <c r="I374" s="87"/>
      <c r="J374" s="87"/>
      <c r="K374" s="88"/>
      <c r="L374" s="89"/>
      <c r="M374" s="90"/>
      <c r="N374" s="57"/>
      <c r="O374" s="57"/>
      <c r="P374" s="91"/>
    </row>
    <row r="375" spans="2:16" s="50" customFormat="1" ht="13.2">
      <c r="B375" s="86"/>
      <c r="C375" s="87"/>
      <c r="D375" s="87"/>
      <c r="E375" s="87"/>
      <c r="F375" s="87"/>
      <c r="G375" s="87"/>
      <c r="H375" s="87"/>
      <c r="I375" s="87"/>
      <c r="J375" s="87"/>
      <c r="K375" s="88"/>
      <c r="L375" s="89"/>
      <c r="M375" s="90"/>
      <c r="N375" s="57"/>
      <c r="O375" s="57"/>
      <c r="P375" s="91"/>
    </row>
    <row r="376" spans="2:16" s="50" customFormat="1" ht="13.2">
      <c r="B376" s="86"/>
      <c r="C376" s="87"/>
      <c r="D376" s="87"/>
      <c r="E376" s="87"/>
      <c r="F376" s="87"/>
      <c r="G376" s="87"/>
      <c r="H376" s="87"/>
      <c r="I376" s="87"/>
      <c r="J376" s="87"/>
      <c r="K376" s="88"/>
      <c r="L376" s="89"/>
      <c r="M376" s="90"/>
      <c r="N376" s="57"/>
      <c r="O376" s="57"/>
      <c r="P376" s="91"/>
    </row>
    <row r="377" spans="2:16" s="50" customFormat="1" ht="13.2">
      <c r="B377" s="86"/>
      <c r="C377" s="87"/>
      <c r="D377" s="87"/>
      <c r="E377" s="87"/>
      <c r="F377" s="87"/>
      <c r="G377" s="87"/>
      <c r="H377" s="87"/>
      <c r="I377" s="87"/>
      <c r="J377" s="87"/>
      <c r="K377" s="88"/>
      <c r="L377" s="89"/>
      <c r="M377" s="90"/>
      <c r="N377" s="57"/>
      <c r="O377" s="57"/>
      <c r="P377" s="91"/>
    </row>
    <row r="378" spans="2:16" s="50" customFormat="1" ht="13.2">
      <c r="B378" s="86"/>
      <c r="C378" s="87"/>
      <c r="D378" s="87"/>
      <c r="E378" s="87"/>
      <c r="F378" s="87"/>
      <c r="G378" s="87"/>
      <c r="H378" s="87"/>
      <c r="I378" s="87"/>
      <c r="J378" s="87"/>
      <c r="K378" s="88"/>
      <c r="L378" s="89"/>
      <c r="M378" s="90"/>
      <c r="N378" s="57"/>
      <c r="O378" s="57"/>
      <c r="P378" s="91"/>
    </row>
    <row r="379" spans="2:16" s="50" customFormat="1" ht="13.2">
      <c r="B379" s="86"/>
      <c r="C379" s="87"/>
      <c r="D379" s="87"/>
      <c r="E379" s="87"/>
      <c r="F379" s="87"/>
      <c r="G379" s="87"/>
      <c r="H379" s="87"/>
      <c r="I379" s="87"/>
      <c r="J379" s="87"/>
      <c r="K379" s="88"/>
      <c r="L379" s="89"/>
      <c r="M379" s="90"/>
      <c r="N379" s="57"/>
      <c r="O379" s="57"/>
      <c r="P379" s="91"/>
    </row>
    <row r="380" spans="2:16" s="50" customFormat="1" ht="13.2">
      <c r="B380" s="86"/>
      <c r="C380" s="87"/>
      <c r="D380" s="87"/>
      <c r="E380" s="87"/>
      <c r="F380" s="87"/>
      <c r="G380" s="87"/>
      <c r="H380" s="87"/>
      <c r="I380" s="87"/>
      <c r="J380" s="87"/>
      <c r="K380" s="88"/>
      <c r="L380" s="89"/>
      <c r="M380" s="90"/>
      <c r="N380" s="57"/>
      <c r="O380" s="57"/>
      <c r="P380" s="91"/>
    </row>
    <row r="381" spans="2:16" s="50" customFormat="1" ht="13.2">
      <c r="B381" s="86"/>
      <c r="C381" s="87"/>
      <c r="D381" s="87"/>
      <c r="E381" s="87"/>
      <c r="F381" s="87"/>
      <c r="G381" s="87"/>
      <c r="H381" s="87"/>
      <c r="I381" s="87"/>
      <c r="J381" s="87"/>
      <c r="K381" s="88"/>
      <c r="L381" s="89"/>
      <c r="M381" s="90"/>
      <c r="N381" s="57"/>
      <c r="O381" s="57"/>
      <c r="P381" s="91"/>
    </row>
    <row r="382" spans="2:16" s="50" customFormat="1" ht="13.2">
      <c r="B382" s="86"/>
      <c r="C382" s="87"/>
      <c r="D382" s="87"/>
      <c r="E382" s="87"/>
      <c r="F382" s="87"/>
      <c r="G382" s="87"/>
      <c r="H382" s="87"/>
      <c r="I382" s="87"/>
      <c r="J382" s="87"/>
      <c r="K382" s="88"/>
      <c r="L382" s="89"/>
      <c r="M382" s="90"/>
      <c r="N382" s="57"/>
      <c r="O382" s="57"/>
      <c r="P382" s="91"/>
    </row>
    <row r="383" spans="2:16" s="50" customFormat="1" ht="13.2">
      <c r="B383" s="86"/>
      <c r="C383" s="87"/>
      <c r="D383" s="87"/>
      <c r="E383" s="87"/>
      <c r="F383" s="87"/>
      <c r="G383" s="87"/>
      <c r="H383" s="87"/>
      <c r="I383" s="87"/>
      <c r="J383" s="87"/>
      <c r="K383" s="88"/>
      <c r="L383" s="89"/>
      <c r="M383" s="90"/>
      <c r="N383" s="57"/>
      <c r="O383" s="57"/>
      <c r="P383" s="91"/>
    </row>
    <row r="384" spans="2:16" s="50" customFormat="1" ht="13.2">
      <c r="B384" s="86"/>
      <c r="C384" s="87"/>
      <c r="D384" s="87"/>
      <c r="E384" s="87"/>
      <c r="F384" s="87"/>
      <c r="G384" s="87"/>
      <c r="H384" s="87"/>
      <c r="I384" s="87"/>
      <c r="J384" s="87"/>
      <c r="K384" s="88"/>
      <c r="L384" s="89"/>
      <c r="M384" s="90"/>
      <c r="N384" s="57"/>
      <c r="O384" s="57"/>
      <c r="P384" s="91"/>
    </row>
    <row r="385" spans="2:16" s="50" customFormat="1" ht="13.2">
      <c r="B385" s="86"/>
      <c r="C385" s="87"/>
      <c r="D385" s="87"/>
      <c r="E385" s="87"/>
      <c r="F385" s="87"/>
      <c r="G385" s="87"/>
      <c r="H385" s="87"/>
      <c r="I385" s="87"/>
      <c r="J385" s="87"/>
      <c r="K385" s="88"/>
      <c r="L385" s="89"/>
      <c r="M385" s="90"/>
      <c r="N385" s="57"/>
      <c r="O385" s="57"/>
      <c r="P385" s="91"/>
    </row>
    <row r="386" spans="2:16" s="50" customFormat="1" ht="13.2">
      <c r="B386" s="86"/>
      <c r="C386" s="87"/>
      <c r="D386" s="87"/>
      <c r="E386" s="87"/>
      <c r="F386" s="87"/>
      <c r="G386" s="87"/>
      <c r="H386" s="87"/>
      <c r="I386" s="87"/>
      <c r="J386" s="87"/>
      <c r="K386" s="88"/>
      <c r="L386" s="89"/>
      <c r="M386" s="90"/>
      <c r="N386" s="57"/>
      <c r="O386" s="57"/>
      <c r="P386" s="91"/>
    </row>
    <row r="387" spans="2:16" s="50" customFormat="1" ht="13.2">
      <c r="B387" s="86"/>
      <c r="C387" s="87"/>
      <c r="D387" s="87"/>
      <c r="E387" s="87"/>
      <c r="F387" s="87"/>
      <c r="G387" s="87"/>
      <c r="H387" s="87"/>
      <c r="I387" s="87"/>
      <c r="J387" s="87"/>
      <c r="K387" s="88"/>
      <c r="L387" s="89"/>
      <c r="M387" s="90"/>
      <c r="N387" s="57"/>
      <c r="O387" s="57"/>
      <c r="P387" s="91"/>
    </row>
    <row r="388" spans="2:16" s="50" customFormat="1" ht="13.2">
      <c r="B388" s="86"/>
      <c r="C388" s="87"/>
      <c r="D388" s="87"/>
      <c r="E388" s="87"/>
      <c r="F388" s="87"/>
      <c r="G388" s="87"/>
      <c r="H388" s="87"/>
      <c r="I388" s="87"/>
      <c r="J388" s="87"/>
      <c r="K388" s="88"/>
      <c r="L388" s="89"/>
      <c r="M388" s="90"/>
      <c r="N388" s="57"/>
      <c r="O388" s="57"/>
      <c r="P388" s="91"/>
    </row>
    <row r="389" spans="2:16" s="50" customFormat="1" ht="13.2">
      <c r="B389" s="86"/>
      <c r="C389" s="87"/>
      <c r="D389" s="87"/>
      <c r="E389" s="87"/>
      <c r="F389" s="87"/>
      <c r="G389" s="87"/>
      <c r="H389" s="87"/>
      <c r="I389" s="87"/>
      <c r="J389" s="87"/>
      <c r="K389" s="88"/>
      <c r="L389" s="89"/>
      <c r="M389" s="90"/>
      <c r="N389" s="57"/>
      <c r="O389" s="57"/>
      <c r="P389" s="91"/>
    </row>
    <row r="390" spans="2:16" s="50" customFormat="1" ht="13.2">
      <c r="B390" s="86"/>
      <c r="C390" s="87"/>
      <c r="D390" s="87"/>
      <c r="E390" s="87"/>
      <c r="F390" s="87"/>
      <c r="G390" s="87"/>
      <c r="H390" s="87"/>
      <c r="I390" s="87"/>
      <c r="J390" s="87"/>
      <c r="K390" s="88"/>
      <c r="L390" s="89"/>
      <c r="M390" s="90"/>
      <c r="N390" s="57"/>
      <c r="O390" s="57"/>
      <c r="P390" s="91"/>
    </row>
    <row r="391" spans="2:16" s="50" customFormat="1" ht="13.2">
      <c r="B391" s="86"/>
      <c r="C391" s="87"/>
      <c r="D391" s="87"/>
      <c r="E391" s="87"/>
      <c r="F391" s="87"/>
      <c r="G391" s="87"/>
      <c r="H391" s="87"/>
      <c r="I391" s="87"/>
      <c r="J391" s="87"/>
      <c r="K391" s="88"/>
      <c r="L391" s="89"/>
      <c r="M391" s="90"/>
      <c r="N391" s="57"/>
      <c r="O391" s="57"/>
      <c r="P391" s="91"/>
    </row>
    <row r="392" spans="2:16" s="50" customFormat="1" ht="13.2">
      <c r="B392" s="86"/>
      <c r="C392" s="87"/>
      <c r="D392" s="87"/>
      <c r="E392" s="87"/>
      <c r="F392" s="87"/>
      <c r="G392" s="87"/>
      <c r="H392" s="87"/>
      <c r="I392" s="87"/>
      <c r="J392" s="87"/>
      <c r="K392" s="88"/>
      <c r="L392" s="89"/>
      <c r="M392" s="90"/>
      <c r="N392" s="57"/>
      <c r="O392" s="57"/>
      <c r="P392" s="91"/>
    </row>
    <row r="393" spans="2:16" s="50" customFormat="1" ht="13.2">
      <c r="B393" s="86"/>
      <c r="C393" s="87"/>
      <c r="D393" s="87"/>
      <c r="E393" s="87"/>
      <c r="F393" s="87"/>
      <c r="G393" s="87"/>
      <c r="H393" s="87"/>
      <c r="I393" s="87"/>
      <c r="J393" s="87"/>
      <c r="K393" s="88"/>
      <c r="L393" s="89"/>
      <c r="M393" s="90"/>
      <c r="N393" s="57"/>
      <c r="O393" s="57"/>
      <c r="P393" s="91"/>
    </row>
    <row r="394" spans="2:16" s="50" customFormat="1" ht="13.2">
      <c r="B394" s="86"/>
      <c r="C394" s="87"/>
      <c r="D394" s="87"/>
      <c r="E394" s="87"/>
      <c r="F394" s="87"/>
      <c r="G394" s="87"/>
      <c r="H394" s="87"/>
      <c r="I394" s="87"/>
      <c r="J394" s="87"/>
      <c r="K394" s="88"/>
      <c r="L394" s="89"/>
      <c r="M394" s="90"/>
      <c r="N394" s="57"/>
      <c r="O394" s="57"/>
      <c r="P394" s="91"/>
    </row>
    <row r="395" spans="2:16" s="50" customFormat="1" ht="13.2">
      <c r="B395" s="86"/>
      <c r="C395" s="87"/>
      <c r="D395" s="87"/>
      <c r="E395" s="87"/>
      <c r="F395" s="87"/>
      <c r="G395" s="87"/>
      <c r="H395" s="87"/>
      <c r="I395" s="87"/>
      <c r="J395" s="87"/>
      <c r="K395" s="88"/>
      <c r="L395" s="89"/>
      <c r="M395" s="90"/>
      <c r="N395" s="57"/>
      <c r="O395" s="57"/>
      <c r="P395" s="91"/>
    </row>
    <row r="396" spans="2:16" s="50" customFormat="1" ht="13.2">
      <c r="B396" s="86"/>
      <c r="C396" s="87"/>
      <c r="D396" s="87"/>
      <c r="E396" s="87"/>
      <c r="F396" s="87"/>
      <c r="G396" s="87"/>
      <c r="H396" s="87"/>
      <c r="I396" s="87"/>
      <c r="J396" s="87"/>
      <c r="K396" s="88"/>
      <c r="L396" s="89"/>
      <c r="M396" s="90"/>
      <c r="N396" s="57"/>
      <c r="O396" s="57"/>
      <c r="P396" s="91"/>
    </row>
    <row r="397" spans="2:16" s="50" customFormat="1" ht="13.2">
      <c r="B397" s="86"/>
      <c r="C397" s="87"/>
      <c r="D397" s="87"/>
      <c r="E397" s="87"/>
      <c r="F397" s="87"/>
      <c r="G397" s="87"/>
      <c r="H397" s="87"/>
      <c r="I397" s="87"/>
      <c r="J397" s="87"/>
      <c r="K397" s="88"/>
      <c r="L397" s="89"/>
      <c r="M397" s="90"/>
      <c r="N397" s="57"/>
      <c r="O397" s="57"/>
      <c r="P397" s="91"/>
    </row>
    <row r="398" spans="2:16" s="50" customFormat="1" ht="13.2">
      <c r="B398" s="86"/>
      <c r="C398" s="87"/>
      <c r="D398" s="87"/>
      <c r="E398" s="87"/>
      <c r="F398" s="87"/>
      <c r="G398" s="87"/>
      <c r="H398" s="87"/>
      <c r="I398" s="87"/>
      <c r="J398" s="87"/>
      <c r="K398" s="88"/>
      <c r="L398" s="89"/>
      <c r="M398" s="90"/>
      <c r="N398" s="57"/>
      <c r="O398" s="57"/>
      <c r="P398" s="91"/>
    </row>
    <row r="399" spans="2:16" s="50" customFormat="1" ht="13.2">
      <c r="B399" s="86"/>
      <c r="C399" s="87"/>
      <c r="D399" s="87"/>
      <c r="E399" s="87"/>
      <c r="F399" s="87"/>
      <c r="G399" s="87"/>
      <c r="H399" s="87"/>
      <c r="I399" s="87"/>
      <c r="J399" s="87"/>
      <c r="K399" s="88"/>
      <c r="L399" s="89"/>
      <c r="M399" s="90"/>
      <c r="N399" s="57"/>
      <c r="O399" s="57"/>
      <c r="P399" s="91"/>
    </row>
    <row r="400" spans="2:16" s="50" customFormat="1" ht="13.2">
      <c r="B400" s="86"/>
      <c r="C400" s="87"/>
      <c r="D400" s="87"/>
      <c r="E400" s="87"/>
      <c r="F400" s="87"/>
      <c r="G400" s="87"/>
      <c r="H400" s="87"/>
      <c r="I400" s="87"/>
      <c r="J400" s="87"/>
      <c r="K400" s="88"/>
      <c r="L400" s="89"/>
      <c r="M400" s="90"/>
      <c r="N400" s="57"/>
      <c r="O400" s="57"/>
      <c r="P400" s="91"/>
    </row>
    <row r="401" spans="2:16" s="50" customFormat="1" ht="13.2">
      <c r="B401" s="86"/>
      <c r="C401" s="87"/>
      <c r="D401" s="87"/>
      <c r="E401" s="87"/>
      <c r="F401" s="87"/>
      <c r="G401" s="87"/>
      <c r="H401" s="87"/>
      <c r="I401" s="87"/>
      <c r="J401" s="87"/>
      <c r="K401" s="88"/>
      <c r="L401" s="89"/>
      <c r="M401" s="90"/>
      <c r="N401" s="57"/>
      <c r="O401" s="57"/>
      <c r="P401" s="91"/>
    </row>
    <row r="402" spans="2:16" s="50" customFormat="1" ht="13.2">
      <c r="B402" s="86"/>
      <c r="C402" s="87"/>
      <c r="D402" s="87"/>
      <c r="E402" s="87"/>
      <c r="F402" s="87"/>
      <c r="G402" s="87"/>
      <c r="H402" s="87"/>
      <c r="I402" s="87"/>
      <c r="J402" s="87"/>
      <c r="K402" s="88"/>
      <c r="L402" s="89"/>
      <c r="M402" s="90"/>
      <c r="N402" s="57"/>
      <c r="O402" s="57"/>
      <c r="P402" s="91"/>
    </row>
    <row r="403" spans="2:16" s="50" customFormat="1" ht="13.2">
      <c r="B403" s="86"/>
      <c r="C403" s="87"/>
      <c r="D403" s="87"/>
      <c r="E403" s="87"/>
      <c r="F403" s="87"/>
      <c r="G403" s="87"/>
      <c r="H403" s="87"/>
      <c r="I403" s="87"/>
      <c r="J403" s="87"/>
      <c r="K403" s="88"/>
      <c r="L403" s="89"/>
      <c r="M403" s="90"/>
      <c r="N403" s="57"/>
      <c r="O403" s="57"/>
      <c r="P403" s="91"/>
    </row>
    <row r="404" spans="2:16" s="50" customFormat="1" ht="13.2">
      <c r="B404" s="86"/>
      <c r="C404" s="87"/>
      <c r="D404" s="87"/>
      <c r="E404" s="87"/>
      <c r="F404" s="87"/>
      <c r="G404" s="87"/>
      <c r="H404" s="87"/>
      <c r="I404" s="87"/>
      <c r="J404" s="87"/>
      <c r="K404" s="88"/>
      <c r="L404" s="89"/>
      <c r="M404" s="90"/>
      <c r="N404" s="57"/>
      <c r="O404" s="57"/>
      <c r="P404" s="91"/>
    </row>
    <row r="405" spans="2:16" s="50" customFormat="1" ht="13.2">
      <c r="B405" s="86"/>
      <c r="C405" s="87"/>
      <c r="D405" s="87"/>
      <c r="E405" s="87"/>
      <c r="F405" s="87"/>
      <c r="G405" s="87"/>
      <c r="H405" s="87"/>
      <c r="I405" s="87"/>
      <c r="J405" s="87"/>
      <c r="K405" s="88"/>
      <c r="L405" s="89"/>
      <c r="M405" s="90"/>
      <c r="N405" s="57"/>
      <c r="O405" s="57"/>
      <c r="P405" s="91"/>
    </row>
    <row r="406" spans="2:16" s="50" customFormat="1" ht="13.2">
      <c r="B406" s="86"/>
      <c r="C406" s="87"/>
      <c r="D406" s="87"/>
      <c r="E406" s="87"/>
      <c r="F406" s="87"/>
      <c r="G406" s="87"/>
      <c r="H406" s="87"/>
      <c r="I406" s="87"/>
      <c r="J406" s="87"/>
      <c r="K406" s="88"/>
      <c r="L406" s="89"/>
      <c r="M406" s="90"/>
      <c r="N406" s="57"/>
      <c r="O406" s="57"/>
      <c r="P406" s="91"/>
    </row>
    <row r="407" spans="2:16" s="50" customFormat="1" ht="13.2">
      <c r="B407" s="86"/>
      <c r="C407" s="87"/>
      <c r="D407" s="87"/>
      <c r="E407" s="87"/>
      <c r="F407" s="87"/>
      <c r="G407" s="87"/>
      <c r="H407" s="87"/>
      <c r="I407" s="87"/>
      <c r="J407" s="87"/>
      <c r="K407" s="88"/>
      <c r="L407" s="89"/>
      <c r="M407" s="90"/>
      <c r="N407" s="57"/>
      <c r="O407" s="57"/>
      <c r="P407" s="91"/>
    </row>
    <row r="408" spans="2:16" s="50" customFormat="1" ht="13.2">
      <c r="B408" s="86"/>
      <c r="C408" s="87"/>
      <c r="D408" s="87"/>
      <c r="E408" s="87"/>
      <c r="F408" s="87"/>
      <c r="G408" s="87"/>
      <c r="H408" s="87"/>
      <c r="I408" s="87"/>
      <c r="J408" s="87"/>
      <c r="K408" s="88"/>
      <c r="L408" s="89"/>
      <c r="M408" s="90"/>
      <c r="N408" s="57"/>
      <c r="O408" s="57"/>
      <c r="P408" s="91"/>
    </row>
    <row r="409" spans="2:16" s="50" customFormat="1" ht="13.2">
      <c r="B409" s="86"/>
      <c r="C409" s="87"/>
      <c r="D409" s="87"/>
      <c r="E409" s="87"/>
      <c r="F409" s="87"/>
      <c r="G409" s="87"/>
      <c r="H409" s="87"/>
      <c r="I409" s="87"/>
      <c r="J409" s="87"/>
      <c r="K409" s="88"/>
      <c r="L409" s="89"/>
      <c r="M409" s="90"/>
      <c r="N409" s="57"/>
      <c r="O409" s="57"/>
      <c r="P409" s="91"/>
    </row>
    <row r="410" spans="2:16" s="50" customFormat="1" ht="13.2">
      <c r="B410" s="86"/>
      <c r="C410" s="87"/>
      <c r="D410" s="87"/>
      <c r="E410" s="87"/>
      <c r="F410" s="87"/>
      <c r="G410" s="87"/>
      <c r="H410" s="87"/>
      <c r="I410" s="87"/>
      <c r="J410" s="87"/>
      <c r="K410" s="88"/>
      <c r="L410" s="89"/>
      <c r="M410" s="90"/>
      <c r="N410" s="57"/>
      <c r="O410" s="57"/>
      <c r="P410" s="91"/>
    </row>
    <row r="411" spans="2:16" s="50" customFormat="1" ht="13.2">
      <c r="B411" s="86"/>
      <c r="C411" s="87"/>
      <c r="D411" s="87"/>
      <c r="E411" s="87"/>
      <c r="F411" s="87"/>
      <c r="G411" s="87"/>
      <c r="H411" s="87"/>
      <c r="I411" s="87"/>
      <c r="J411" s="87"/>
      <c r="K411" s="88"/>
      <c r="L411" s="89"/>
      <c r="M411" s="90"/>
      <c r="N411" s="57"/>
      <c r="O411" s="57"/>
      <c r="P411" s="91"/>
    </row>
    <row r="412" spans="2:16" s="50" customFormat="1" ht="13.2">
      <c r="B412" s="86"/>
      <c r="C412" s="87"/>
      <c r="D412" s="87"/>
      <c r="E412" s="87"/>
      <c r="F412" s="87"/>
      <c r="G412" s="87"/>
      <c r="H412" s="87"/>
      <c r="I412" s="87"/>
      <c r="J412" s="87"/>
      <c r="K412" s="88"/>
      <c r="L412" s="89"/>
      <c r="M412" s="90"/>
      <c r="N412" s="57"/>
      <c r="O412" s="57"/>
      <c r="P412" s="91"/>
    </row>
    <row r="413" spans="2:16" s="50" customFormat="1" ht="13.2">
      <c r="B413" s="86"/>
      <c r="C413" s="87"/>
      <c r="D413" s="87"/>
      <c r="E413" s="87"/>
      <c r="F413" s="87"/>
      <c r="G413" s="87"/>
      <c r="H413" s="87"/>
      <c r="I413" s="87"/>
      <c r="J413" s="87"/>
      <c r="K413" s="88"/>
      <c r="L413" s="89"/>
      <c r="M413" s="90"/>
      <c r="N413" s="57"/>
      <c r="O413" s="57"/>
      <c r="P413" s="91"/>
    </row>
    <row r="414" spans="2:16" s="50" customFormat="1" ht="13.2">
      <c r="B414" s="86"/>
      <c r="C414" s="87"/>
      <c r="D414" s="87"/>
      <c r="E414" s="87"/>
      <c r="F414" s="87"/>
      <c r="G414" s="87"/>
      <c r="H414" s="87"/>
      <c r="I414" s="87"/>
      <c r="J414" s="87"/>
      <c r="K414" s="88"/>
      <c r="L414" s="89"/>
      <c r="M414" s="90"/>
      <c r="N414" s="57"/>
      <c r="O414" s="57"/>
      <c r="P414" s="91"/>
    </row>
    <row r="415" spans="2:16" s="50" customFormat="1" ht="13.2">
      <c r="B415" s="86"/>
      <c r="C415" s="87"/>
      <c r="D415" s="87"/>
      <c r="E415" s="87"/>
      <c r="F415" s="87"/>
      <c r="G415" s="87"/>
      <c r="H415" s="87"/>
      <c r="I415" s="87"/>
      <c r="J415" s="87"/>
      <c r="K415" s="88"/>
      <c r="L415" s="89"/>
      <c r="M415" s="90"/>
      <c r="N415" s="57"/>
      <c r="O415" s="57"/>
      <c r="P415" s="91"/>
    </row>
    <row r="416" spans="2:16" s="50" customFormat="1" ht="13.2">
      <c r="B416" s="86"/>
      <c r="C416" s="87"/>
      <c r="D416" s="87"/>
      <c r="E416" s="87"/>
      <c r="F416" s="87"/>
      <c r="G416" s="87"/>
      <c r="H416" s="87"/>
      <c r="I416" s="87"/>
      <c r="J416" s="87"/>
      <c r="K416" s="88"/>
      <c r="L416" s="89"/>
      <c r="M416" s="90"/>
      <c r="N416" s="57"/>
      <c r="O416" s="57"/>
      <c r="P416" s="91"/>
    </row>
    <row r="417" spans="2:16" s="50" customFormat="1" ht="13.2">
      <c r="B417" s="86"/>
      <c r="C417" s="87"/>
      <c r="D417" s="87"/>
      <c r="E417" s="87"/>
      <c r="F417" s="87"/>
      <c r="G417" s="87"/>
      <c r="H417" s="87"/>
      <c r="I417" s="87"/>
      <c r="J417" s="87"/>
      <c r="K417" s="88"/>
      <c r="L417" s="89"/>
      <c r="M417" s="90"/>
      <c r="N417" s="57"/>
      <c r="O417" s="57"/>
      <c r="P417" s="91"/>
    </row>
    <row r="418" spans="2:16" s="50" customFormat="1" ht="13.2">
      <c r="B418" s="86"/>
      <c r="C418" s="87"/>
      <c r="D418" s="87"/>
      <c r="E418" s="87"/>
      <c r="F418" s="87"/>
      <c r="G418" s="87"/>
      <c r="H418" s="87"/>
      <c r="I418" s="87"/>
      <c r="J418" s="87"/>
      <c r="K418" s="88"/>
      <c r="L418" s="89"/>
      <c r="M418" s="90"/>
      <c r="N418" s="57"/>
      <c r="O418" s="57"/>
      <c r="P418" s="91"/>
    </row>
    <row r="419" spans="2:16" s="50" customFormat="1" ht="13.2">
      <c r="B419" s="86"/>
      <c r="C419" s="87"/>
      <c r="D419" s="87"/>
      <c r="E419" s="87"/>
      <c r="F419" s="87"/>
      <c r="G419" s="87"/>
      <c r="H419" s="87"/>
      <c r="I419" s="87"/>
      <c r="J419" s="87"/>
      <c r="K419" s="88"/>
      <c r="L419" s="89"/>
      <c r="M419" s="90"/>
      <c r="N419" s="57"/>
      <c r="O419" s="57"/>
      <c r="P419" s="91"/>
    </row>
    <row r="420" spans="2:16" s="50" customFormat="1" ht="13.2">
      <c r="B420" s="86"/>
      <c r="C420" s="87"/>
      <c r="D420" s="87"/>
      <c r="E420" s="87"/>
      <c r="F420" s="87"/>
      <c r="G420" s="87"/>
      <c r="H420" s="87"/>
      <c r="I420" s="87"/>
      <c r="J420" s="87"/>
      <c r="K420" s="88"/>
      <c r="L420" s="89"/>
      <c r="M420" s="90"/>
      <c r="N420" s="57"/>
      <c r="O420" s="57"/>
      <c r="P420" s="91"/>
    </row>
    <row r="421" spans="2:16" s="50" customFormat="1" ht="13.2">
      <c r="B421" s="86"/>
      <c r="C421" s="87"/>
      <c r="D421" s="87"/>
      <c r="E421" s="87"/>
      <c r="F421" s="87"/>
      <c r="G421" s="87"/>
      <c r="H421" s="87"/>
      <c r="I421" s="87"/>
      <c r="J421" s="87"/>
      <c r="K421" s="88"/>
      <c r="L421" s="89"/>
      <c r="M421" s="90"/>
      <c r="N421" s="57"/>
      <c r="O421" s="57"/>
      <c r="P421" s="91"/>
    </row>
    <row r="422" spans="2:16" s="50" customFormat="1" ht="13.2">
      <c r="B422" s="86"/>
      <c r="C422" s="87"/>
      <c r="D422" s="87"/>
      <c r="E422" s="87"/>
      <c r="F422" s="87"/>
      <c r="G422" s="87"/>
      <c r="H422" s="87"/>
      <c r="I422" s="87"/>
      <c r="J422" s="87"/>
      <c r="K422" s="88"/>
      <c r="L422" s="89"/>
      <c r="M422" s="90"/>
      <c r="N422" s="57"/>
      <c r="O422" s="57"/>
      <c r="P422" s="91"/>
    </row>
    <row r="423" spans="2:16" s="50" customFormat="1" ht="13.2">
      <c r="B423" s="86"/>
      <c r="C423" s="87"/>
      <c r="D423" s="87"/>
      <c r="E423" s="87"/>
      <c r="F423" s="87"/>
      <c r="G423" s="87"/>
      <c r="H423" s="87"/>
      <c r="I423" s="87"/>
      <c r="J423" s="87"/>
      <c r="K423" s="88"/>
      <c r="L423" s="89"/>
      <c r="M423" s="90"/>
      <c r="N423" s="57"/>
      <c r="O423" s="57"/>
      <c r="P423" s="91"/>
    </row>
    <row r="424" spans="2:16" s="50" customFormat="1" ht="13.2">
      <c r="B424" s="86"/>
      <c r="C424" s="87"/>
      <c r="D424" s="87"/>
      <c r="E424" s="87"/>
      <c r="F424" s="87"/>
      <c r="G424" s="87"/>
      <c r="H424" s="87"/>
      <c r="I424" s="87"/>
      <c r="J424" s="87"/>
      <c r="K424" s="88"/>
      <c r="L424" s="89"/>
      <c r="M424" s="90"/>
      <c r="N424" s="57"/>
      <c r="O424" s="57"/>
      <c r="P424" s="91"/>
    </row>
    <row r="425" spans="2:16" s="50" customFormat="1" ht="13.2">
      <c r="B425" s="86"/>
      <c r="C425" s="87"/>
      <c r="D425" s="87"/>
      <c r="E425" s="87"/>
      <c r="F425" s="87"/>
      <c r="G425" s="87"/>
      <c r="H425" s="87"/>
      <c r="I425" s="87"/>
      <c r="J425" s="87"/>
      <c r="K425" s="88"/>
      <c r="L425" s="89"/>
      <c r="M425" s="90"/>
      <c r="N425" s="57"/>
      <c r="O425" s="57"/>
      <c r="P425" s="91"/>
    </row>
    <row r="426" spans="2:16" s="50" customFormat="1" ht="13.2">
      <c r="B426" s="86"/>
      <c r="C426" s="87"/>
      <c r="D426" s="87"/>
      <c r="E426" s="87"/>
      <c r="F426" s="87"/>
      <c r="G426" s="87"/>
      <c r="H426" s="87"/>
      <c r="I426" s="87"/>
      <c r="J426" s="87"/>
      <c r="K426" s="88"/>
      <c r="L426" s="89"/>
      <c r="M426" s="90"/>
      <c r="N426" s="57"/>
      <c r="O426" s="57"/>
      <c r="P426" s="91"/>
    </row>
    <row r="427" spans="2:16" s="50" customFormat="1" ht="13.2">
      <c r="B427" s="86"/>
      <c r="C427" s="87"/>
      <c r="D427" s="87"/>
      <c r="E427" s="87"/>
      <c r="F427" s="87"/>
      <c r="G427" s="87"/>
      <c r="H427" s="87"/>
      <c r="I427" s="87"/>
      <c r="J427" s="87"/>
      <c r="K427" s="88"/>
      <c r="L427" s="89"/>
      <c r="M427" s="90"/>
      <c r="N427" s="57"/>
      <c r="O427" s="57"/>
      <c r="P427" s="91"/>
    </row>
    <row r="428" spans="2:16" s="50" customFormat="1" ht="13.2">
      <c r="B428" s="86"/>
      <c r="C428" s="87"/>
      <c r="D428" s="87"/>
      <c r="E428" s="87"/>
      <c r="F428" s="87"/>
      <c r="G428" s="87"/>
      <c r="H428" s="87"/>
      <c r="I428" s="87"/>
      <c r="J428" s="87"/>
      <c r="K428" s="88"/>
      <c r="L428" s="89"/>
      <c r="M428" s="90"/>
      <c r="N428" s="57"/>
      <c r="O428" s="57"/>
      <c r="P428" s="91"/>
    </row>
    <row r="429" spans="2:16" s="50" customFormat="1" ht="13.2">
      <c r="B429" s="86"/>
      <c r="C429" s="87"/>
      <c r="D429" s="87"/>
      <c r="E429" s="87"/>
      <c r="F429" s="87"/>
      <c r="G429" s="87"/>
      <c r="H429" s="87"/>
      <c r="I429" s="87"/>
      <c r="J429" s="87"/>
      <c r="K429" s="88"/>
      <c r="L429" s="89"/>
      <c r="M429" s="90"/>
      <c r="N429" s="57"/>
      <c r="O429" s="57"/>
      <c r="P429" s="91"/>
    </row>
    <row r="430" spans="2:16" s="50" customFormat="1" ht="13.2">
      <c r="B430" s="86"/>
      <c r="C430" s="87"/>
      <c r="D430" s="87"/>
      <c r="E430" s="87"/>
      <c r="F430" s="87"/>
      <c r="G430" s="87"/>
      <c r="H430" s="87"/>
      <c r="I430" s="87"/>
      <c r="J430" s="87"/>
      <c r="K430" s="88"/>
      <c r="L430" s="89"/>
      <c r="M430" s="90"/>
      <c r="N430" s="57"/>
      <c r="O430" s="57"/>
      <c r="P430" s="91"/>
    </row>
    <row r="431" spans="2:16" s="50" customFormat="1" ht="13.2">
      <c r="B431" s="86"/>
      <c r="C431" s="87"/>
      <c r="D431" s="87"/>
      <c r="E431" s="87"/>
      <c r="F431" s="87"/>
      <c r="G431" s="87"/>
      <c r="H431" s="87"/>
      <c r="I431" s="87"/>
      <c r="J431" s="87"/>
      <c r="K431" s="88"/>
      <c r="L431" s="89"/>
      <c r="M431" s="90"/>
      <c r="N431" s="57"/>
      <c r="O431" s="57"/>
      <c r="P431" s="91"/>
    </row>
    <row r="432" spans="2:16" s="50" customFormat="1" ht="13.2">
      <c r="B432" s="86"/>
      <c r="C432" s="87"/>
      <c r="D432" s="87"/>
      <c r="E432" s="87"/>
      <c r="F432" s="87"/>
      <c r="G432" s="87"/>
      <c r="H432" s="87"/>
      <c r="I432" s="87"/>
      <c r="J432" s="87"/>
      <c r="K432" s="88"/>
      <c r="L432" s="89"/>
      <c r="M432" s="90"/>
      <c r="N432" s="57"/>
      <c r="O432" s="57"/>
      <c r="P432" s="91"/>
    </row>
    <row r="433" spans="2:16" s="50" customFormat="1" ht="13.2">
      <c r="B433" s="86"/>
      <c r="C433" s="87"/>
      <c r="D433" s="87"/>
      <c r="E433" s="87"/>
      <c r="F433" s="87"/>
      <c r="G433" s="87"/>
      <c r="H433" s="87"/>
      <c r="I433" s="87"/>
      <c r="J433" s="87"/>
      <c r="K433" s="88"/>
      <c r="L433" s="89"/>
      <c r="M433" s="90"/>
      <c r="N433" s="57"/>
      <c r="O433" s="57"/>
      <c r="P433" s="91"/>
    </row>
    <row r="434" spans="2:16" s="50" customFormat="1" ht="13.2">
      <c r="B434" s="86"/>
      <c r="C434" s="87"/>
      <c r="D434" s="87"/>
      <c r="E434" s="87"/>
      <c r="F434" s="87"/>
      <c r="G434" s="87"/>
      <c r="H434" s="87"/>
      <c r="I434" s="87"/>
      <c r="J434" s="87"/>
      <c r="K434" s="88"/>
      <c r="L434" s="89"/>
      <c r="M434" s="90"/>
      <c r="N434" s="57"/>
      <c r="O434" s="57"/>
      <c r="P434" s="91"/>
    </row>
    <row r="435" spans="2:16" s="50" customFormat="1" ht="13.2">
      <c r="B435" s="86"/>
      <c r="C435" s="87"/>
      <c r="D435" s="87"/>
      <c r="E435" s="87"/>
      <c r="F435" s="87"/>
      <c r="G435" s="87"/>
      <c r="H435" s="87"/>
      <c r="I435" s="87"/>
      <c r="J435" s="87"/>
      <c r="K435" s="88"/>
      <c r="L435" s="89"/>
      <c r="M435" s="90"/>
      <c r="N435" s="57"/>
      <c r="O435" s="57"/>
      <c r="P435" s="91"/>
    </row>
    <row r="436" spans="2:16" s="50" customFormat="1" ht="13.2">
      <c r="B436" s="86"/>
      <c r="C436" s="87"/>
      <c r="D436" s="87"/>
      <c r="E436" s="87"/>
      <c r="F436" s="87"/>
      <c r="G436" s="87"/>
      <c r="H436" s="87"/>
      <c r="I436" s="87"/>
      <c r="J436" s="87"/>
      <c r="K436" s="88"/>
      <c r="L436" s="89"/>
      <c r="M436" s="90"/>
      <c r="N436" s="57"/>
      <c r="O436" s="57"/>
      <c r="P436" s="91"/>
    </row>
    <row r="437" spans="2:16" s="50" customFormat="1" ht="13.2">
      <c r="B437" s="86"/>
      <c r="C437" s="87"/>
      <c r="D437" s="87"/>
      <c r="E437" s="87"/>
      <c r="F437" s="87"/>
      <c r="G437" s="87"/>
      <c r="H437" s="87"/>
      <c r="I437" s="87"/>
      <c r="J437" s="87"/>
      <c r="K437" s="88"/>
      <c r="L437" s="89"/>
      <c r="M437" s="90"/>
      <c r="N437" s="57"/>
      <c r="O437" s="57"/>
      <c r="P437" s="91"/>
    </row>
    <row r="438" spans="2:16" s="50" customFormat="1" ht="13.2">
      <c r="B438" s="86"/>
      <c r="C438" s="87"/>
      <c r="D438" s="87"/>
      <c r="E438" s="87"/>
      <c r="F438" s="87"/>
      <c r="G438" s="87"/>
      <c r="H438" s="87"/>
      <c r="I438" s="87"/>
      <c r="J438" s="87"/>
      <c r="K438" s="88"/>
      <c r="L438" s="89"/>
      <c r="M438" s="90"/>
      <c r="N438" s="57"/>
      <c r="O438" s="57"/>
      <c r="P438" s="91"/>
    </row>
    <row r="439" spans="2:16" s="50" customFormat="1" ht="13.2">
      <c r="B439" s="86"/>
      <c r="C439" s="87"/>
      <c r="D439" s="87"/>
      <c r="E439" s="87"/>
      <c r="F439" s="87"/>
      <c r="G439" s="87"/>
      <c r="H439" s="87"/>
      <c r="I439" s="87"/>
      <c r="J439" s="87"/>
      <c r="K439" s="88"/>
      <c r="L439" s="89"/>
      <c r="M439" s="90"/>
      <c r="N439" s="57"/>
      <c r="O439" s="57"/>
      <c r="P439" s="91"/>
    </row>
    <row r="440" spans="2:16" s="50" customFormat="1" ht="13.2">
      <c r="B440" s="86"/>
      <c r="C440" s="87"/>
      <c r="D440" s="87"/>
      <c r="E440" s="87"/>
      <c r="F440" s="87"/>
      <c r="G440" s="87"/>
      <c r="H440" s="87"/>
      <c r="I440" s="87"/>
      <c r="J440" s="87"/>
      <c r="K440" s="88"/>
      <c r="L440" s="89"/>
      <c r="M440" s="90"/>
      <c r="N440" s="57"/>
      <c r="O440" s="57"/>
      <c r="P440" s="91"/>
    </row>
    <row r="441" spans="2:16" s="50" customFormat="1" ht="13.2">
      <c r="B441" s="86"/>
      <c r="C441" s="87"/>
      <c r="D441" s="87"/>
      <c r="E441" s="87"/>
      <c r="F441" s="87"/>
      <c r="G441" s="87"/>
      <c r="H441" s="87"/>
      <c r="I441" s="87"/>
      <c r="J441" s="87"/>
      <c r="K441" s="88"/>
      <c r="L441" s="89"/>
      <c r="M441" s="90"/>
      <c r="N441" s="57"/>
      <c r="O441" s="57"/>
      <c r="P441" s="91"/>
    </row>
    <row r="442" spans="2:16" s="50" customFormat="1" ht="13.2">
      <c r="B442" s="86"/>
      <c r="C442" s="87"/>
      <c r="D442" s="87"/>
      <c r="E442" s="87"/>
      <c r="F442" s="87"/>
      <c r="G442" s="87"/>
      <c r="H442" s="87"/>
      <c r="I442" s="87"/>
      <c r="J442" s="87"/>
      <c r="K442" s="88"/>
      <c r="L442" s="89"/>
      <c r="M442" s="90"/>
      <c r="N442" s="57"/>
      <c r="O442" s="57"/>
      <c r="P442" s="91"/>
    </row>
    <row r="443" spans="2:16" s="50" customFormat="1" ht="13.2">
      <c r="B443" s="86"/>
      <c r="C443" s="87"/>
      <c r="D443" s="87"/>
      <c r="E443" s="87"/>
      <c r="F443" s="87"/>
      <c r="G443" s="87"/>
      <c r="H443" s="87"/>
      <c r="I443" s="87"/>
      <c r="J443" s="87"/>
      <c r="K443" s="88"/>
      <c r="L443" s="89"/>
      <c r="M443" s="90"/>
      <c r="N443" s="57"/>
      <c r="O443" s="57"/>
      <c r="P443" s="91"/>
    </row>
    <row r="444" spans="2:16" s="50" customFormat="1" ht="13.2">
      <c r="B444" s="86"/>
      <c r="C444" s="87"/>
      <c r="D444" s="87"/>
      <c r="E444" s="87"/>
      <c r="F444" s="87"/>
      <c r="G444" s="87"/>
      <c r="H444" s="87"/>
      <c r="I444" s="87"/>
      <c r="J444" s="87"/>
      <c r="K444" s="88"/>
      <c r="L444" s="89"/>
      <c r="M444" s="90"/>
      <c r="N444" s="57"/>
      <c r="O444" s="57"/>
      <c r="P444" s="91"/>
    </row>
    <row r="445" spans="2:16" s="50" customFormat="1" ht="13.2">
      <c r="B445" s="86"/>
      <c r="C445" s="87"/>
      <c r="D445" s="87"/>
      <c r="E445" s="87"/>
      <c r="F445" s="87"/>
      <c r="G445" s="87"/>
      <c r="H445" s="87"/>
      <c r="I445" s="87"/>
      <c r="J445" s="87"/>
      <c r="K445" s="88"/>
      <c r="L445" s="89"/>
      <c r="M445" s="90"/>
      <c r="N445" s="57"/>
      <c r="O445" s="57"/>
      <c r="P445" s="91"/>
    </row>
    <row r="446" spans="2:16" s="50" customFormat="1" ht="13.2">
      <c r="B446" s="86"/>
      <c r="C446" s="87"/>
      <c r="D446" s="87"/>
      <c r="E446" s="87"/>
      <c r="F446" s="87"/>
      <c r="G446" s="87"/>
      <c r="H446" s="87"/>
      <c r="I446" s="87"/>
      <c r="J446" s="87"/>
      <c r="K446" s="88"/>
      <c r="L446" s="89"/>
      <c r="M446" s="90"/>
      <c r="N446" s="57"/>
      <c r="O446" s="57"/>
      <c r="P446" s="91"/>
    </row>
    <row r="447" spans="2:16" s="50" customFormat="1" ht="13.2">
      <c r="B447" s="86"/>
      <c r="C447" s="87"/>
      <c r="D447" s="87"/>
      <c r="E447" s="87"/>
      <c r="F447" s="87"/>
      <c r="G447" s="87"/>
      <c r="H447" s="87"/>
      <c r="I447" s="87"/>
      <c r="J447" s="87"/>
      <c r="K447" s="88"/>
      <c r="L447" s="89"/>
      <c r="M447" s="90"/>
      <c r="N447" s="57"/>
      <c r="O447" s="57"/>
      <c r="P447" s="91"/>
    </row>
    <row r="448" spans="2:16" s="50" customFormat="1" ht="13.2">
      <c r="B448" s="86"/>
      <c r="C448" s="87"/>
      <c r="D448" s="87"/>
      <c r="E448" s="87"/>
      <c r="F448" s="87"/>
      <c r="G448" s="87"/>
      <c r="H448" s="87"/>
      <c r="I448" s="87"/>
      <c r="J448" s="87"/>
      <c r="K448" s="88"/>
      <c r="L448" s="89"/>
      <c r="M448" s="90"/>
      <c r="N448" s="57"/>
      <c r="O448" s="57"/>
      <c r="P448" s="91"/>
    </row>
    <row r="449" spans="2:16" s="50" customFormat="1" ht="13.2">
      <c r="B449" s="86"/>
      <c r="C449" s="87"/>
      <c r="D449" s="87"/>
      <c r="E449" s="87"/>
      <c r="F449" s="87"/>
      <c r="G449" s="87"/>
      <c r="H449" s="87"/>
      <c r="I449" s="87"/>
      <c r="J449" s="87"/>
      <c r="K449" s="88"/>
      <c r="L449" s="89"/>
      <c r="M449" s="90"/>
      <c r="N449" s="57"/>
      <c r="O449" s="57"/>
      <c r="P449" s="91"/>
    </row>
    <row r="450" spans="2:16" s="50" customFormat="1" ht="13.2">
      <c r="B450" s="86"/>
      <c r="C450" s="87"/>
      <c r="D450" s="87"/>
      <c r="E450" s="87"/>
      <c r="F450" s="87"/>
      <c r="G450" s="87"/>
      <c r="H450" s="87"/>
      <c r="I450" s="87"/>
      <c r="J450" s="87"/>
      <c r="K450" s="88"/>
      <c r="L450" s="89"/>
      <c r="M450" s="90"/>
      <c r="N450" s="57"/>
      <c r="O450" s="57"/>
      <c r="P450" s="91"/>
    </row>
    <row r="451" spans="2:16" s="50" customFormat="1" ht="13.2">
      <c r="B451" s="86"/>
      <c r="C451" s="87"/>
      <c r="D451" s="87"/>
      <c r="E451" s="87"/>
      <c r="F451" s="87"/>
      <c r="G451" s="87"/>
      <c r="H451" s="87"/>
      <c r="I451" s="87"/>
      <c r="J451" s="87"/>
      <c r="K451" s="88"/>
      <c r="L451" s="89"/>
      <c r="M451" s="90"/>
      <c r="N451" s="57"/>
      <c r="O451" s="57"/>
      <c r="P451" s="91"/>
    </row>
    <row r="452" spans="2:16" s="50" customFormat="1" ht="13.2">
      <c r="B452" s="86"/>
      <c r="C452" s="87"/>
      <c r="D452" s="87"/>
      <c r="E452" s="87"/>
      <c r="F452" s="87"/>
      <c r="G452" s="87"/>
      <c r="H452" s="87"/>
      <c r="I452" s="87"/>
      <c r="J452" s="87"/>
      <c r="K452" s="88"/>
      <c r="L452" s="89"/>
      <c r="M452" s="90"/>
      <c r="N452" s="57"/>
      <c r="O452" s="57"/>
      <c r="P452" s="91"/>
    </row>
    <row r="453" spans="2:16" s="50" customFormat="1" ht="13.2">
      <c r="B453" s="86"/>
      <c r="C453" s="87"/>
      <c r="D453" s="87"/>
      <c r="E453" s="87"/>
      <c r="F453" s="87"/>
      <c r="G453" s="87"/>
      <c r="H453" s="87"/>
      <c r="I453" s="87"/>
      <c r="J453" s="87"/>
      <c r="K453" s="88"/>
      <c r="L453" s="89"/>
      <c r="M453" s="90"/>
      <c r="N453" s="57"/>
      <c r="O453" s="57"/>
      <c r="P453" s="91"/>
    </row>
    <row r="454" spans="2:16" s="50" customFormat="1" ht="13.2">
      <c r="B454" s="86"/>
      <c r="C454" s="87"/>
      <c r="D454" s="87"/>
      <c r="E454" s="87"/>
      <c r="F454" s="87"/>
      <c r="G454" s="87"/>
      <c r="H454" s="87"/>
      <c r="I454" s="87"/>
      <c r="J454" s="87"/>
      <c r="K454" s="88"/>
      <c r="L454" s="89"/>
      <c r="M454" s="90"/>
      <c r="N454" s="57"/>
      <c r="O454" s="57"/>
      <c r="P454" s="91"/>
    </row>
    <row r="455" spans="2:16" s="50" customFormat="1" ht="13.2">
      <c r="B455" s="86"/>
      <c r="C455" s="87"/>
      <c r="D455" s="87"/>
      <c r="E455" s="87"/>
      <c r="F455" s="87"/>
      <c r="G455" s="87"/>
      <c r="H455" s="87"/>
      <c r="I455" s="87"/>
      <c r="J455" s="87"/>
      <c r="K455" s="88"/>
      <c r="L455" s="89"/>
      <c r="M455" s="90"/>
      <c r="N455" s="57"/>
      <c r="O455" s="57"/>
      <c r="P455" s="91"/>
    </row>
    <row r="456" spans="2:16" s="50" customFormat="1" ht="13.2">
      <c r="B456" s="86"/>
      <c r="C456" s="87"/>
      <c r="D456" s="87"/>
      <c r="E456" s="87"/>
      <c r="F456" s="87"/>
      <c r="G456" s="87"/>
      <c r="H456" s="87"/>
      <c r="I456" s="87"/>
      <c r="J456" s="87"/>
      <c r="K456" s="88"/>
      <c r="L456" s="89"/>
      <c r="M456" s="90"/>
      <c r="N456" s="57"/>
      <c r="O456" s="57"/>
      <c r="P456" s="91"/>
    </row>
    <row r="457" spans="2:16" s="50" customFormat="1" ht="13.2">
      <c r="B457" s="86"/>
      <c r="C457" s="87"/>
      <c r="D457" s="87"/>
      <c r="E457" s="87"/>
      <c r="F457" s="87"/>
      <c r="G457" s="87"/>
      <c r="H457" s="87"/>
      <c r="I457" s="87"/>
      <c r="J457" s="87"/>
      <c r="K457" s="88"/>
      <c r="L457" s="89"/>
      <c r="M457" s="90"/>
      <c r="N457" s="57"/>
      <c r="O457" s="57"/>
      <c r="P457" s="91"/>
    </row>
    <row r="458" spans="2:16" s="50" customFormat="1" ht="13.2">
      <c r="B458" s="86"/>
      <c r="C458" s="87"/>
      <c r="D458" s="87"/>
      <c r="E458" s="87"/>
      <c r="F458" s="87"/>
      <c r="G458" s="87"/>
      <c r="H458" s="87"/>
      <c r="I458" s="87"/>
      <c r="J458" s="87"/>
      <c r="K458" s="88"/>
      <c r="L458" s="89"/>
      <c r="M458" s="90"/>
      <c r="N458" s="57"/>
      <c r="O458" s="57"/>
      <c r="P458" s="91"/>
    </row>
    <row r="459" spans="2:16" s="50" customFormat="1" ht="13.2">
      <c r="B459" s="86"/>
      <c r="C459" s="87"/>
      <c r="D459" s="87"/>
      <c r="E459" s="87"/>
      <c r="F459" s="87"/>
      <c r="G459" s="87"/>
      <c r="H459" s="87"/>
      <c r="I459" s="87"/>
      <c r="J459" s="87"/>
      <c r="K459" s="88"/>
      <c r="L459" s="89"/>
      <c r="M459" s="90"/>
      <c r="N459" s="57"/>
      <c r="O459" s="57"/>
      <c r="P459" s="91"/>
    </row>
    <row r="460" spans="2:16" s="50" customFormat="1" ht="13.2">
      <c r="B460" s="86"/>
      <c r="C460" s="87"/>
      <c r="D460" s="87"/>
      <c r="E460" s="87"/>
      <c r="F460" s="87"/>
      <c r="G460" s="87"/>
      <c r="H460" s="87"/>
      <c r="I460" s="87"/>
      <c r="J460" s="87"/>
      <c r="K460" s="88"/>
      <c r="L460" s="89"/>
      <c r="M460" s="90"/>
      <c r="N460" s="57"/>
      <c r="O460" s="57"/>
      <c r="P460" s="91"/>
    </row>
    <row r="461" spans="2:16" s="50" customFormat="1" ht="13.2">
      <c r="B461" s="86"/>
      <c r="C461" s="87"/>
      <c r="D461" s="87"/>
      <c r="E461" s="87"/>
      <c r="F461" s="87"/>
      <c r="G461" s="87"/>
      <c r="H461" s="87"/>
      <c r="I461" s="87"/>
      <c r="J461" s="87"/>
      <c r="K461" s="88"/>
      <c r="L461" s="89"/>
      <c r="M461" s="90"/>
      <c r="N461" s="57"/>
      <c r="O461" s="57"/>
      <c r="P461" s="91"/>
    </row>
    <row r="462" spans="2:16" s="50" customFormat="1" ht="13.2">
      <c r="B462" s="86"/>
      <c r="C462" s="87"/>
      <c r="D462" s="87"/>
      <c r="E462" s="87"/>
      <c r="F462" s="87"/>
      <c r="G462" s="87"/>
      <c r="H462" s="87"/>
      <c r="I462" s="87"/>
      <c r="J462" s="87"/>
      <c r="K462" s="88"/>
      <c r="L462" s="89"/>
      <c r="M462" s="90"/>
      <c r="N462" s="57"/>
      <c r="O462" s="57"/>
      <c r="P462" s="91"/>
    </row>
    <row r="463" spans="2:16" s="50" customFormat="1" ht="13.2">
      <c r="B463" s="86"/>
      <c r="C463" s="87"/>
      <c r="D463" s="87"/>
      <c r="E463" s="87"/>
      <c r="F463" s="87"/>
      <c r="G463" s="87"/>
      <c r="H463" s="87"/>
      <c r="I463" s="87"/>
      <c r="J463" s="87"/>
      <c r="K463" s="88"/>
      <c r="L463" s="89"/>
      <c r="M463" s="90"/>
      <c r="N463" s="57"/>
      <c r="O463" s="57"/>
      <c r="P463" s="91"/>
    </row>
    <row r="464" spans="2:16" s="50" customFormat="1" ht="13.2">
      <c r="B464" s="86"/>
      <c r="C464" s="87"/>
      <c r="D464" s="87"/>
      <c r="E464" s="87"/>
      <c r="F464" s="87"/>
      <c r="G464" s="87"/>
      <c r="H464" s="87"/>
      <c r="I464" s="87"/>
      <c r="J464" s="87"/>
      <c r="K464" s="88"/>
      <c r="L464" s="89"/>
      <c r="M464" s="90"/>
      <c r="N464" s="57"/>
      <c r="O464" s="57"/>
      <c r="P464" s="91"/>
    </row>
    <row r="465" spans="2:16" s="50" customFormat="1" ht="13.2">
      <c r="B465" s="86"/>
      <c r="C465" s="87"/>
      <c r="D465" s="87"/>
      <c r="E465" s="87"/>
      <c r="F465" s="87"/>
      <c r="G465" s="87"/>
      <c r="H465" s="87"/>
      <c r="I465" s="87"/>
      <c r="J465" s="87"/>
      <c r="K465" s="88"/>
      <c r="L465" s="89"/>
      <c r="M465" s="90"/>
      <c r="N465" s="57"/>
      <c r="O465" s="57"/>
      <c r="P465" s="91"/>
    </row>
    <row r="466" spans="2:16" s="50" customFormat="1" ht="13.2">
      <c r="B466" s="86"/>
      <c r="C466" s="87"/>
      <c r="D466" s="87"/>
      <c r="E466" s="87"/>
      <c r="F466" s="87"/>
      <c r="G466" s="87"/>
      <c r="H466" s="87"/>
      <c r="I466" s="87"/>
      <c r="J466" s="87"/>
      <c r="K466" s="88"/>
      <c r="L466" s="89"/>
      <c r="M466" s="90"/>
      <c r="N466" s="57"/>
      <c r="O466" s="57"/>
      <c r="P466" s="91"/>
    </row>
    <row r="467" spans="2:16" s="50" customFormat="1" ht="13.2">
      <c r="B467" s="86"/>
      <c r="C467" s="87"/>
      <c r="D467" s="87"/>
      <c r="E467" s="87"/>
      <c r="F467" s="87"/>
      <c r="G467" s="87"/>
      <c r="H467" s="87"/>
      <c r="I467" s="87"/>
      <c r="J467" s="87"/>
      <c r="K467" s="88"/>
      <c r="L467" s="89"/>
      <c r="M467" s="90"/>
      <c r="N467" s="57"/>
      <c r="O467" s="57"/>
      <c r="P467" s="91"/>
    </row>
    <row r="468" spans="2:16" s="50" customFormat="1" ht="13.2">
      <c r="B468" s="86"/>
      <c r="C468" s="87"/>
      <c r="D468" s="87"/>
      <c r="E468" s="87"/>
      <c r="F468" s="87"/>
      <c r="G468" s="87"/>
      <c r="H468" s="87"/>
      <c r="I468" s="87"/>
      <c r="J468" s="87"/>
      <c r="K468" s="88"/>
      <c r="L468" s="89"/>
      <c r="M468" s="90"/>
      <c r="N468" s="57"/>
      <c r="O468" s="57"/>
      <c r="P468" s="91"/>
    </row>
    <row r="469" spans="2:16" s="50" customFormat="1" ht="13.2">
      <c r="B469" s="86"/>
      <c r="C469" s="87"/>
      <c r="D469" s="87"/>
      <c r="E469" s="87"/>
      <c r="F469" s="87"/>
      <c r="G469" s="87"/>
      <c r="H469" s="87"/>
      <c r="I469" s="87"/>
      <c r="J469" s="87"/>
      <c r="K469" s="88"/>
      <c r="L469" s="89"/>
      <c r="M469" s="90"/>
      <c r="N469" s="57"/>
      <c r="O469" s="57"/>
      <c r="P469" s="91"/>
    </row>
    <row r="470" spans="2:16" s="50" customFormat="1" ht="13.2">
      <c r="B470" s="86"/>
      <c r="C470" s="87"/>
      <c r="D470" s="87"/>
      <c r="E470" s="87"/>
      <c r="F470" s="87"/>
      <c r="G470" s="87"/>
      <c r="H470" s="87"/>
      <c r="I470" s="87"/>
      <c r="J470" s="87"/>
      <c r="K470" s="88"/>
      <c r="L470" s="89"/>
      <c r="M470" s="90"/>
      <c r="N470" s="57"/>
      <c r="O470" s="57"/>
      <c r="P470" s="91"/>
    </row>
    <row r="471" spans="2:16" s="50" customFormat="1" ht="13.2">
      <c r="B471" s="86"/>
      <c r="C471" s="87"/>
      <c r="D471" s="87"/>
      <c r="E471" s="87"/>
      <c r="F471" s="87"/>
      <c r="G471" s="87"/>
      <c r="H471" s="87"/>
      <c r="I471" s="87"/>
      <c r="J471" s="87"/>
      <c r="K471" s="88"/>
      <c r="L471" s="89"/>
      <c r="M471" s="90"/>
      <c r="N471" s="57"/>
      <c r="O471" s="57"/>
      <c r="P471" s="91"/>
    </row>
    <row r="472" spans="2:16" s="50" customFormat="1" ht="13.2">
      <c r="B472" s="86"/>
      <c r="C472" s="87"/>
      <c r="D472" s="87"/>
      <c r="E472" s="87"/>
      <c r="F472" s="87"/>
      <c r="G472" s="87"/>
      <c r="H472" s="87"/>
      <c r="I472" s="87"/>
      <c r="J472" s="87"/>
      <c r="K472" s="88"/>
      <c r="L472" s="89"/>
      <c r="M472" s="90"/>
      <c r="N472" s="57"/>
      <c r="O472" s="57"/>
      <c r="P472" s="91"/>
    </row>
    <row r="473" spans="2:16" s="50" customFormat="1" ht="13.2">
      <c r="B473" s="86"/>
      <c r="C473" s="87"/>
      <c r="D473" s="87"/>
      <c r="E473" s="87"/>
      <c r="F473" s="87"/>
      <c r="G473" s="87"/>
      <c r="H473" s="87"/>
      <c r="I473" s="87"/>
      <c r="J473" s="87"/>
      <c r="K473" s="88"/>
      <c r="L473" s="89"/>
      <c r="M473" s="90"/>
      <c r="N473" s="57"/>
      <c r="O473" s="57"/>
      <c r="P473" s="91"/>
    </row>
    <row r="474" spans="2:16" s="50" customFormat="1" ht="13.2">
      <c r="B474" s="86"/>
      <c r="C474" s="87"/>
      <c r="D474" s="87"/>
      <c r="E474" s="87"/>
      <c r="F474" s="87"/>
      <c r="G474" s="87"/>
      <c r="H474" s="87"/>
      <c r="I474" s="87"/>
      <c r="J474" s="87"/>
      <c r="K474" s="88"/>
      <c r="L474" s="89"/>
      <c r="M474" s="90"/>
      <c r="N474" s="57"/>
      <c r="O474" s="57"/>
      <c r="P474" s="91"/>
    </row>
    <row r="475" spans="2:16" s="50" customFormat="1" ht="13.2">
      <c r="B475" s="86"/>
      <c r="C475" s="87"/>
      <c r="D475" s="87"/>
      <c r="E475" s="87"/>
      <c r="F475" s="87"/>
      <c r="G475" s="87"/>
      <c r="H475" s="87"/>
      <c r="I475" s="87"/>
      <c r="J475" s="87"/>
      <c r="K475" s="88"/>
      <c r="L475" s="89"/>
      <c r="M475" s="90"/>
      <c r="N475" s="57"/>
      <c r="O475" s="57"/>
      <c r="P475" s="91"/>
    </row>
    <row r="476" spans="2:16" s="50" customFormat="1" ht="13.2">
      <c r="B476" s="86"/>
      <c r="C476" s="87"/>
      <c r="D476" s="87"/>
      <c r="E476" s="87"/>
      <c r="F476" s="87"/>
      <c r="G476" s="87"/>
      <c r="H476" s="87"/>
      <c r="I476" s="87"/>
      <c r="J476" s="87"/>
      <c r="K476" s="88"/>
      <c r="L476" s="89"/>
      <c r="M476" s="90"/>
      <c r="N476" s="57"/>
      <c r="O476" s="57"/>
      <c r="P476" s="91"/>
    </row>
    <row r="477" spans="2:16" s="50" customFormat="1" ht="13.2">
      <c r="B477" s="86"/>
      <c r="C477" s="87"/>
      <c r="D477" s="87"/>
      <c r="E477" s="87"/>
      <c r="F477" s="87"/>
      <c r="G477" s="87"/>
      <c r="H477" s="87"/>
      <c r="I477" s="87"/>
      <c r="J477" s="87"/>
      <c r="K477" s="88"/>
      <c r="L477" s="89"/>
      <c r="M477" s="90"/>
      <c r="N477" s="57"/>
      <c r="O477" s="57"/>
      <c r="P477" s="91"/>
    </row>
    <row r="478" spans="2:16" s="50" customFormat="1" ht="13.2">
      <c r="B478" s="86"/>
      <c r="C478" s="87"/>
      <c r="D478" s="87"/>
      <c r="E478" s="87"/>
      <c r="F478" s="87"/>
      <c r="G478" s="87"/>
      <c r="H478" s="87"/>
      <c r="I478" s="87"/>
      <c r="J478" s="87"/>
      <c r="K478" s="88"/>
      <c r="L478" s="89"/>
      <c r="M478" s="90"/>
      <c r="N478" s="57"/>
      <c r="O478" s="57"/>
      <c r="P478" s="91"/>
    </row>
    <row r="479" spans="2:16" s="50" customFormat="1" ht="13.2">
      <c r="B479" s="86"/>
      <c r="C479" s="87"/>
      <c r="D479" s="87"/>
      <c r="E479" s="87"/>
      <c r="F479" s="87"/>
      <c r="G479" s="87"/>
      <c r="H479" s="87"/>
      <c r="I479" s="87"/>
      <c r="J479" s="87"/>
      <c r="K479" s="88"/>
      <c r="L479" s="89"/>
      <c r="M479" s="90"/>
      <c r="N479" s="57"/>
      <c r="O479" s="57"/>
      <c r="P479" s="91"/>
    </row>
    <row r="480" spans="2:16" s="50" customFormat="1" ht="13.2">
      <c r="B480" s="86"/>
      <c r="C480" s="87"/>
      <c r="D480" s="87"/>
      <c r="E480" s="87"/>
      <c r="F480" s="87"/>
      <c r="G480" s="87"/>
      <c r="H480" s="87"/>
      <c r="I480" s="87"/>
      <c r="J480" s="87"/>
      <c r="K480" s="88"/>
      <c r="L480" s="89"/>
      <c r="M480" s="90"/>
      <c r="N480" s="57"/>
      <c r="O480" s="57"/>
      <c r="P480" s="91"/>
    </row>
    <row r="481" spans="2:16" s="50" customFormat="1" ht="13.2">
      <c r="B481" s="86"/>
      <c r="C481" s="87"/>
      <c r="D481" s="87"/>
      <c r="E481" s="87"/>
      <c r="F481" s="87"/>
      <c r="G481" s="87"/>
      <c r="H481" s="87"/>
      <c r="I481" s="87"/>
      <c r="J481" s="87"/>
      <c r="K481" s="88"/>
      <c r="L481" s="89"/>
      <c r="M481" s="90"/>
      <c r="N481" s="57"/>
      <c r="O481" s="57"/>
      <c r="P481" s="91"/>
    </row>
    <row r="482" spans="2:16" s="50" customFormat="1" ht="13.2">
      <c r="B482" s="86"/>
      <c r="C482" s="87"/>
      <c r="D482" s="87"/>
      <c r="E482" s="87"/>
      <c r="F482" s="87"/>
      <c r="G482" s="87"/>
      <c r="H482" s="87"/>
      <c r="I482" s="87"/>
      <c r="J482" s="87"/>
      <c r="K482" s="88"/>
      <c r="L482" s="89"/>
      <c r="M482" s="90"/>
      <c r="N482" s="57"/>
      <c r="O482" s="57"/>
      <c r="P482" s="91"/>
    </row>
    <row r="483" spans="2:16" s="50" customFormat="1" ht="13.2">
      <c r="B483" s="86"/>
      <c r="C483" s="87"/>
      <c r="D483" s="87"/>
      <c r="E483" s="87"/>
      <c r="F483" s="87"/>
      <c r="G483" s="87"/>
      <c r="H483" s="87"/>
      <c r="I483" s="87"/>
      <c r="J483" s="87"/>
      <c r="K483" s="88"/>
      <c r="L483" s="89"/>
      <c r="M483" s="90"/>
      <c r="N483" s="57"/>
      <c r="O483" s="57"/>
      <c r="P483" s="91"/>
    </row>
    <row r="484" spans="2:16" s="50" customFormat="1" ht="13.2">
      <c r="B484" s="86"/>
      <c r="C484" s="87"/>
      <c r="D484" s="87"/>
      <c r="E484" s="87"/>
      <c r="F484" s="87"/>
      <c r="G484" s="87"/>
      <c r="H484" s="87"/>
      <c r="I484" s="87"/>
      <c r="J484" s="87"/>
      <c r="K484" s="88"/>
      <c r="L484" s="89"/>
      <c r="M484" s="90"/>
      <c r="N484" s="57"/>
      <c r="O484" s="57"/>
      <c r="P484" s="91"/>
    </row>
    <row r="485" spans="2:16" s="50" customFormat="1" ht="13.2">
      <c r="B485" s="86"/>
      <c r="C485" s="87"/>
      <c r="D485" s="87"/>
      <c r="E485" s="87"/>
      <c r="F485" s="87"/>
      <c r="G485" s="87"/>
      <c r="H485" s="87"/>
      <c r="I485" s="87"/>
      <c r="J485" s="87"/>
      <c r="K485" s="88"/>
      <c r="L485" s="89"/>
      <c r="M485" s="90"/>
      <c r="N485" s="57"/>
      <c r="O485" s="57"/>
      <c r="P485" s="91"/>
    </row>
    <row r="486" spans="2:16" s="50" customFormat="1" ht="13.2">
      <c r="B486" s="86"/>
      <c r="C486" s="87"/>
      <c r="D486" s="87"/>
      <c r="E486" s="87"/>
      <c r="F486" s="87"/>
      <c r="G486" s="87"/>
      <c r="H486" s="87"/>
      <c r="I486" s="87"/>
      <c r="J486" s="87"/>
      <c r="K486" s="88"/>
      <c r="L486" s="89"/>
      <c r="M486" s="90"/>
      <c r="N486" s="57"/>
      <c r="O486" s="57"/>
      <c r="P486" s="91"/>
    </row>
    <row r="487" spans="2:16" s="50" customFormat="1" ht="13.2">
      <c r="B487" s="86"/>
      <c r="C487" s="87"/>
      <c r="D487" s="87"/>
      <c r="E487" s="87"/>
      <c r="F487" s="87"/>
      <c r="G487" s="87"/>
      <c r="H487" s="87"/>
      <c r="I487" s="87"/>
      <c r="J487" s="87"/>
      <c r="K487" s="88"/>
      <c r="L487" s="89"/>
      <c r="M487" s="90"/>
      <c r="N487" s="57"/>
      <c r="O487" s="57"/>
      <c r="P487" s="91"/>
    </row>
    <row r="488" spans="2:16" s="50" customFormat="1" ht="13.2">
      <c r="B488" s="86"/>
      <c r="C488" s="87"/>
      <c r="D488" s="87"/>
      <c r="E488" s="87"/>
      <c r="F488" s="87"/>
      <c r="G488" s="87"/>
      <c r="H488" s="87"/>
      <c r="I488" s="87"/>
      <c r="J488" s="87"/>
      <c r="K488" s="88"/>
      <c r="L488" s="89"/>
      <c r="M488" s="90"/>
      <c r="N488" s="57"/>
      <c r="O488" s="57"/>
      <c r="P488" s="91"/>
    </row>
    <row r="489" spans="2:16" s="50" customFormat="1" ht="13.2">
      <c r="B489" s="86"/>
      <c r="C489" s="87"/>
      <c r="D489" s="87"/>
      <c r="E489" s="87"/>
      <c r="F489" s="87"/>
      <c r="G489" s="87"/>
      <c r="H489" s="87"/>
      <c r="I489" s="87"/>
      <c r="J489" s="87"/>
      <c r="K489" s="88"/>
      <c r="L489" s="89"/>
      <c r="M489" s="90"/>
      <c r="N489" s="57"/>
      <c r="O489" s="57"/>
      <c r="P489" s="91"/>
    </row>
    <row r="490" spans="2:16" s="50" customFormat="1" ht="13.2">
      <c r="B490" s="86"/>
      <c r="C490" s="87"/>
      <c r="D490" s="87"/>
      <c r="E490" s="87"/>
      <c r="F490" s="87"/>
      <c r="G490" s="87"/>
      <c r="H490" s="87"/>
      <c r="I490" s="87"/>
      <c r="J490" s="87"/>
      <c r="K490" s="88"/>
      <c r="L490" s="89"/>
      <c r="M490" s="90"/>
      <c r="N490" s="57"/>
      <c r="O490" s="57"/>
      <c r="P490" s="91"/>
    </row>
    <row r="491" spans="2:16" s="50" customFormat="1" ht="13.2">
      <c r="B491" s="86"/>
      <c r="C491" s="87"/>
      <c r="D491" s="87"/>
      <c r="E491" s="87"/>
      <c r="F491" s="87"/>
      <c r="G491" s="87"/>
      <c r="H491" s="87"/>
      <c r="I491" s="87"/>
      <c r="J491" s="87"/>
      <c r="K491" s="88"/>
      <c r="L491" s="89"/>
      <c r="M491" s="90"/>
      <c r="N491" s="57"/>
      <c r="O491" s="57"/>
      <c r="P491" s="91"/>
    </row>
    <row r="492" spans="2:16" s="50" customFormat="1" ht="13.2">
      <c r="B492" s="86"/>
      <c r="C492" s="87"/>
      <c r="D492" s="87"/>
      <c r="E492" s="87"/>
      <c r="F492" s="87"/>
      <c r="G492" s="87"/>
      <c r="H492" s="87"/>
      <c r="I492" s="87"/>
      <c r="J492" s="87"/>
      <c r="K492" s="88"/>
      <c r="L492" s="89"/>
      <c r="M492" s="90"/>
      <c r="N492" s="57"/>
      <c r="O492" s="57"/>
      <c r="P492" s="91"/>
    </row>
    <row r="493" spans="2:16" s="50" customFormat="1" ht="13.2">
      <c r="B493" s="86"/>
      <c r="C493" s="87"/>
      <c r="D493" s="87"/>
      <c r="E493" s="87"/>
      <c r="F493" s="87"/>
      <c r="G493" s="87"/>
      <c r="H493" s="87"/>
      <c r="I493" s="87"/>
      <c r="J493" s="87"/>
      <c r="K493" s="88"/>
      <c r="L493" s="89"/>
      <c r="M493" s="90"/>
      <c r="N493" s="57"/>
      <c r="O493" s="57"/>
      <c r="P493" s="91"/>
    </row>
    <row r="494" spans="2:16" s="50" customFormat="1" ht="13.2">
      <c r="B494" s="86"/>
      <c r="C494" s="87"/>
      <c r="D494" s="87"/>
      <c r="E494" s="87"/>
      <c r="F494" s="87"/>
      <c r="G494" s="87"/>
      <c r="H494" s="87"/>
      <c r="I494" s="87"/>
      <c r="J494" s="87"/>
      <c r="K494" s="88"/>
      <c r="L494" s="89"/>
      <c r="M494" s="90"/>
      <c r="N494" s="57"/>
      <c r="O494" s="57"/>
      <c r="P494" s="91"/>
    </row>
    <row r="495" spans="2:16" s="50" customFormat="1" ht="13.2">
      <c r="B495" s="86"/>
      <c r="C495" s="87"/>
      <c r="D495" s="87"/>
      <c r="E495" s="87"/>
      <c r="F495" s="87"/>
      <c r="G495" s="87"/>
      <c r="H495" s="87"/>
      <c r="I495" s="87"/>
      <c r="J495" s="87"/>
      <c r="K495" s="88"/>
      <c r="L495" s="89"/>
      <c r="M495" s="90"/>
      <c r="N495" s="57"/>
      <c r="O495" s="57"/>
      <c r="P495" s="91"/>
    </row>
    <row r="496" spans="2:16" s="50" customFormat="1" ht="13.2">
      <c r="B496" s="86"/>
      <c r="C496" s="87"/>
      <c r="D496" s="87"/>
      <c r="E496" s="87"/>
      <c r="F496" s="87"/>
      <c r="G496" s="87"/>
      <c r="H496" s="87"/>
      <c r="I496" s="87"/>
      <c r="J496" s="87"/>
      <c r="K496" s="88"/>
      <c r="L496" s="89"/>
      <c r="M496" s="90"/>
      <c r="N496" s="57"/>
      <c r="O496" s="57"/>
      <c r="P496" s="91"/>
    </row>
    <row r="497" spans="2:16" s="50" customFormat="1" ht="13.2">
      <c r="B497" s="86"/>
      <c r="C497" s="87"/>
      <c r="D497" s="87"/>
      <c r="E497" s="87"/>
      <c r="F497" s="87"/>
      <c r="G497" s="87"/>
      <c r="H497" s="87"/>
      <c r="I497" s="87"/>
      <c r="J497" s="87"/>
      <c r="K497" s="88"/>
      <c r="L497" s="89"/>
      <c r="M497" s="90"/>
      <c r="N497" s="57"/>
      <c r="O497" s="57"/>
      <c r="P497" s="91"/>
    </row>
    <row r="498" spans="2:16" s="50" customFormat="1" ht="13.2">
      <c r="B498" s="86"/>
      <c r="C498" s="87"/>
      <c r="D498" s="87"/>
      <c r="E498" s="87"/>
      <c r="F498" s="87"/>
      <c r="G498" s="87"/>
      <c r="H498" s="87"/>
      <c r="I498" s="87"/>
      <c r="J498" s="87"/>
      <c r="K498" s="88"/>
      <c r="L498" s="89"/>
      <c r="M498" s="90"/>
      <c r="N498" s="57"/>
      <c r="O498" s="57"/>
      <c r="P498" s="91"/>
    </row>
    <row r="499" spans="2:16" s="50" customFormat="1" ht="13.2">
      <c r="B499" s="86"/>
      <c r="C499" s="87"/>
      <c r="D499" s="87"/>
      <c r="E499" s="87"/>
      <c r="F499" s="87"/>
      <c r="G499" s="87"/>
      <c r="H499" s="87"/>
      <c r="I499" s="87"/>
      <c r="J499" s="87"/>
      <c r="K499" s="88"/>
      <c r="L499" s="89"/>
      <c r="M499" s="90"/>
      <c r="N499" s="57"/>
      <c r="O499" s="57"/>
      <c r="P499" s="91"/>
    </row>
    <row r="500" spans="2:16" s="50" customFormat="1" ht="13.2">
      <c r="B500" s="86"/>
      <c r="C500" s="87"/>
      <c r="D500" s="87"/>
      <c r="E500" s="87"/>
      <c r="F500" s="87"/>
      <c r="G500" s="87"/>
      <c r="H500" s="87"/>
      <c r="I500" s="87"/>
      <c r="J500" s="87"/>
      <c r="K500" s="88"/>
      <c r="L500" s="89"/>
      <c r="M500" s="90"/>
      <c r="N500" s="57"/>
      <c r="O500" s="57"/>
      <c r="P500" s="91"/>
    </row>
    <row r="501" spans="2:16" s="50" customFormat="1" ht="13.2">
      <c r="B501" s="86"/>
      <c r="C501" s="87"/>
      <c r="D501" s="87"/>
      <c r="E501" s="87"/>
      <c r="F501" s="87"/>
      <c r="G501" s="87"/>
      <c r="H501" s="87"/>
      <c r="I501" s="87"/>
      <c r="J501" s="87"/>
      <c r="K501" s="88"/>
      <c r="L501" s="89"/>
      <c r="M501" s="90"/>
      <c r="N501" s="57"/>
      <c r="O501" s="57"/>
      <c r="P501" s="91"/>
    </row>
    <row r="502" spans="2:16" s="50" customFormat="1" ht="13.2">
      <c r="B502" s="86"/>
      <c r="C502" s="87"/>
      <c r="D502" s="87"/>
      <c r="E502" s="87"/>
      <c r="F502" s="87"/>
      <c r="G502" s="87"/>
      <c r="H502" s="87"/>
      <c r="I502" s="87"/>
      <c r="J502" s="87"/>
      <c r="K502" s="88"/>
      <c r="L502" s="89"/>
      <c r="M502" s="90"/>
      <c r="N502" s="57"/>
      <c r="O502" s="57"/>
      <c r="P502" s="91"/>
    </row>
    <row r="503" spans="2:16" s="50" customFormat="1" ht="13.2">
      <c r="B503" s="86"/>
      <c r="C503" s="87"/>
      <c r="D503" s="87"/>
      <c r="E503" s="87"/>
      <c r="F503" s="87"/>
      <c r="G503" s="87"/>
      <c r="H503" s="87"/>
      <c r="I503" s="87"/>
      <c r="J503" s="87"/>
      <c r="K503" s="88"/>
      <c r="L503" s="89"/>
      <c r="M503" s="90"/>
      <c r="N503" s="57"/>
      <c r="O503" s="57"/>
      <c r="P503" s="91"/>
    </row>
    <row r="504" spans="2:16" s="50" customFormat="1" ht="13.2">
      <c r="B504" s="86"/>
      <c r="C504" s="87"/>
      <c r="D504" s="87"/>
      <c r="E504" s="87"/>
      <c r="F504" s="87"/>
      <c r="G504" s="87"/>
      <c r="H504" s="87"/>
      <c r="I504" s="87"/>
      <c r="J504" s="87"/>
      <c r="K504" s="88"/>
      <c r="L504" s="89"/>
      <c r="M504" s="90"/>
      <c r="N504" s="57"/>
      <c r="O504" s="57"/>
      <c r="P504" s="91"/>
    </row>
    <row r="505" spans="2:16" s="50" customFormat="1" ht="13.2">
      <c r="B505" s="86"/>
      <c r="C505" s="87"/>
      <c r="D505" s="87"/>
      <c r="E505" s="87"/>
      <c r="F505" s="87"/>
      <c r="G505" s="87"/>
      <c r="H505" s="87"/>
      <c r="I505" s="87"/>
      <c r="J505" s="87"/>
      <c r="K505" s="88"/>
      <c r="L505" s="89"/>
      <c r="M505" s="90"/>
      <c r="N505" s="57"/>
      <c r="O505" s="57"/>
      <c r="P505" s="91"/>
    </row>
    <row r="506" spans="2:16" s="50" customFormat="1" ht="13.2">
      <c r="B506" s="86"/>
      <c r="C506" s="87"/>
      <c r="D506" s="87"/>
      <c r="E506" s="87"/>
      <c r="F506" s="87"/>
      <c r="G506" s="87"/>
      <c r="H506" s="87"/>
      <c r="I506" s="87"/>
      <c r="J506" s="87"/>
      <c r="K506" s="88"/>
      <c r="L506" s="89"/>
      <c r="M506" s="90"/>
      <c r="N506" s="57"/>
      <c r="O506" s="57"/>
      <c r="P506" s="91"/>
    </row>
    <row r="507" spans="2:16" s="50" customFormat="1" ht="13.2">
      <c r="B507" s="86"/>
      <c r="C507" s="87"/>
      <c r="D507" s="87"/>
      <c r="E507" s="87"/>
      <c r="F507" s="87"/>
      <c r="G507" s="87"/>
      <c r="H507" s="87"/>
      <c r="I507" s="87"/>
      <c r="J507" s="87"/>
      <c r="K507" s="88"/>
      <c r="L507" s="89"/>
      <c r="M507" s="90"/>
      <c r="N507" s="57"/>
      <c r="O507" s="57"/>
      <c r="P507" s="91"/>
    </row>
    <row r="508" spans="2:16" s="50" customFormat="1" ht="13.2">
      <c r="B508" s="86"/>
      <c r="C508" s="87"/>
      <c r="D508" s="87"/>
      <c r="E508" s="87"/>
      <c r="F508" s="87"/>
      <c r="G508" s="87"/>
      <c r="H508" s="87"/>
      <c r="I508" s="87"/>
      <c r="J508" s="87"/>
      <c r="K508" s="88"/>
      <c r="L508" s="89"/>
      <c r="M508" s="90"/>
      <c r="N508" s="57"/>
      <c r="O508" s="57"/>
      <c r="P508" s="91"/>
    </row>
    <row r="509" spans="2:16" s="50" customFormat="1" ht="13.2">
      <c r="B509" s="86"/>
      <c r="C509" s="87"/>
      <c r="D509" s="87"/>
      <c r="E509" s="87"/>
      <c r="F509" s="87"/>
      <c r="G509" s="87"/>
      <c r="H509" s="87"/>
      <c r="I509" s="87"/>
      <c r="J509" s="87"/>
      <c r="K509" s="88"/>
      <c r="L509" s="89"/>
      <c r="M509" s="90"/>
      <c r="N509" s="57"/>
      <c r="O509" s="57"/>
      <c r="P509" s="91"/>
    </row>
    <row r="510" spans="2:16" s="50" customFormat="1" ht="13.2">
      <c r="B510" s="86"/>
      <c r="C510" s="87"/>
      <c r="D510" s="87"/>
      <c r="E510" s="87"/>
      <c r="F510" s="87"/>
      <c r="G510" s="87"/>
      <c r="H510" s="87"/>
      <c r="I510" s="87"/>
      <c r="J510" s="87"/>
      <c r="K510" s="88"/>
      <c r="L510" s="89"/>
      <c r="M510" s="90"/>
      <c r="N510" s="57"/>
      <c r="O510" s="57"/>
      <c r="P510" s="91"/>
    </row>
    <row r="511" spans="2:16" s="50" customFormat="1" ht="13.2">
      <c r="B511" s="86"/>
      <c r="C511" s="87"/>
      <c r="D511" s="87"/>
      <c r="E511" s="87"/>
      <c r="F511" s="87"/>
      <c r="G511" s="87"/>
      <c r="H511" s="87"/>
      <c r="I511" s="87"/>
      <c r="J511" s="87"/>
      <c r="K511" s="88"/>
      <c r="L511" s="89"/>
      <c r="M511" s="90"/>
      <c r="N511" s="57"/>
      <c r="O511" s="57"/>
      <c r="P511" s="91"/>
    </row>
    <row r="512" spans="2:16" s="50" customFormat="1" ht="13.2">
      <c r="B512" s="86"/>
      <c r="C512" s="87"/>
      <c r="D512" s="87"/>
      <c r="E512" s="87"/>
      <c r="F512" s="87"/>
      <c r="G512" s="87"/>
      <c r="H512" s="87"/>
      <c r="I512" s="87"/>
      <c r="J512" s="87"/>
      <c r="K512" s="88"/>
      <c r="L512" s="89"/>
      <c r="M512" s="90"/>
      <c r="N512" s="57"/>
      <c r="O512" s="57"/>
      <c r="P512" s="91"/>
    </row>
    <row r="513" spans="2:16" s="50" customFormat="1" ht="13.2">
      <c r="B513" s="86"/>
      <c r="C513" s="87"/>
      <c r="D513" s="87"/>
      <c r="E513" s="87"/>
      <c r="F513" s="87"/>
      <c r="G513" s="87"/>
      <c r="H513" s="87"/>
      <c r="I513" s="87"/>
      <c r="J513" s="87"/>
      <c r="K513" s="88"/>
      <c r="L513" s="89"/>
      <c r="M513" s="90"/>
      <c r="N513" s="57"/>
      <c r="O513" s="57"/>
      <c r="P513" s="91"/>
    </row>
    <row r="514" spans="2:16" s="50" customFormat="1" ht="13.2">
      <c r="B514" s="86"/>
      <c r="C514" s="87"/>
      <c r="D514" s="87"/>
      <c r="E514" s="87"/>
      <c r="F514" s="87"/>
      <c r="G514" s="87"/>
      <c r="H514" s="87"/>
      <c r="I514" s="87"/>
      <c r="J514" s="87"/>
      <c r="K514" s="88"/>
      <c r="L514" s="89"/>
      <c r="M514" s="90"/>
      <c r="N514" s="57"/>
      <c r="O514" s="57"/>
      <c r="P514" s="91"/>
    </row>
    <row r="515" spans="2:16" s="50" customFormat="1" ht="13.2">
      <c r="B515" s="86"/>
      <c r="C515" s="87"/>
      <c r="D515" s="87"/>
      <c r="E515" s="87"/>
      <c r="F515" s="87"/>
      <c r="G515" s="87"/>
      <c r="H515" s="87"/>
      <c r="I515" s="87"/>
      <c r="J515" s="87"/>
      <c r="K515" s="88"/>
      <c r="L515" s="89"/>
      <c r="M515" s="90"/>
      <c r="N515" s="57"/>
      <c r="O515" s="57"/>
      <c r="P515" s="91"/>
    </row>
    <row r="516" spans="2:16" s="50" customFormat="1" ht="13.2">
      <c r="B516" s="86"/>
      <c r="C516" s="87"/>
      <c r="D516" s="87"/>
      <c r="E516" s="87"/>
      <c r="F516" s="87"/>
      <c r="G516" s="87"/>
      <c r="H516" s="87"/>
      <c r="I516" s="87"/>
      <c r="J516" s="87"/>
      <c r="K516" s="88"/>
      <c r="L516" s="89"/>
      <c r="M516" s="90"/>
      <c r="N516" s="57"/>
      <c r="O516" s="57"/>
      <c r="P516" s="91"/>
    </row>
    <row r="517" spans="2:16" s="50" customFormat="1" ht="13.2">
      <c r="B517" s="86"/>
      <c r="C517" s="87"/>
      <c r="D517" s="87"/>
      <c r="E517" s="87"/>
      <c r="F517" s="87"/>
      <c r="G517" s="87"/>
      <c r="H517" s="87"/>
      <c r="I517" s="87"/>
      <c r="J517" s="87"/>
      <c r="K517" s="88"/>
      <c r="L517" s="89"/>
      <c r="M517" s="90"/>
      <c r="N517" s="57"/>
      <c r="O517" s="57"/>
      <c r="P517" s="91"/>
    </row>
    <row r="518" spans="2:16" s="50" customFormat="1" ht="13.2">
      <c r="B518" s="86"/>
      <c r="C518" s="87"/>
      <c r="D518" s="87"/>
      <c r="E518" s="87"/>
      <c r="F518" s="87"/>
      <c r="G518" s="87"/>
      <c r="H518" s="87"/>
      <c r="I518" s="87"/>
      <c r="J518" s="87"/>
      <c r="K518" s="88"/>
      <c r="L518" s="89"/>
      <c r="M518" s="90"/>
      <c r="N518" s="57"/>
      <c r="O518" s="57"/>
      <c r="P518" s="91"/>
    </row>
    <row r="519" spans="2:16" s="50" customFormat="1" ht="13.2">
      <c r="B519" s="86"/>
      <c r="C519" s="87"/>
      <c r="D519" s="87"/>
      <c r="E519" s="87"/>
      <c r="F519" s="87"/>
      <c r="G519" s="87"/>
      <c r="H519" s="87"/>
      <c r="I519" s="87"/>
      <c r="J519" s="87"/>
      <c r="K519" s="88"/>
      <c r="L519" s="89"/>
      <c r="M519" s="90"/>
      <c r="N519" s="57"/>
      <c r="O519" s="57"/>
      <c r="P519" s="91"/>
    </row>
    <row r="520" spans="2:16" s="50" customFormat="1" ht="13.2">
      <c r="B520" s="86"/>
      <c r="C520" s="87"/>
      <c r="D520" s="87"/>
      <c r="E520" s="87"/>
      <c r="F520" s="87"/>
      <c r="G520" s="87"/>
      <c r="H520" s="87"/>
      <c r="I520" s="87"/>
      <c r="J520" s="87"/>
      <c r="K520" s="88"/>
      <c r="L520" s="89"/>
      <c r="M520" s="90"/>
      <c r="N520" s="57"/>
      <c r="O520" s="57"/>
      <c r="P520" s="91"/>
    </row>
    <row r="521" spans="2:16" s="50" customFormat="1" ht="13.2">
      <c r="B521" s="86"/>
      <c r="C521" s="87"/>
      <c r="D521" s="87"/>
      <c r="E521" s="87"/>
      <c r="F521" s="87"/>
      <c r="G521" s="87"/>
      <c r="H521" s="87"/>
      <c r="I521" s="87"/>
      <c r="J521" s="87"/>
      <c r="K521" s="88"/>
      <c r="L521" s="89"/>
      <c r="M521" s="90"/>
      <c r="N521" s="57"/>
      <c r="O521" s="57"/>
      <c r="P521" s="91"/>
    </row>
    <row r="522" spans="2:16" s="50" customFormat="1" ht="13.2">
      <c r="B522" s="86"/>
      <c r="C522" s="87"/>
      <c r="D522" s="87"/>
      <c r="E522" s="87"/>
      <c r="F522" s="87"/>
      <c r="G522" s="87"/>
      <c r="H522" s="87"/>
      <c r="I522" s="87"/>
      <c r="J522" s="87"/>
      <c r="K522" s="88"/>
      <c r="L522" s="89"/>
      <c r="M522" s="90"/>
      <c r="N522" s="57"/>
      <c r="O522" s="57"/>
      <c r="P522" s="91"/>
    </row>
    <row r="523" spans="2:16" s="50" customFormat="1" ht="13.2">
      <c r="B523" s="86"/>
      <c r="C523" s="87"/>
      <c r="D523" s="87"/>
      <c r="E523" s="87"/>
      <c r="F523" s="87"/>
      <c r="G523" s="87"/>
      <c r="H523" s="87"/>
      <c r="I523" s="87"/>
      <c r="J523" s="87"/>
      <c r="K523" s="88"/>
      <c r="L523" s="89"/>
      <c r="M523" s="90"/>
      <c r="N523" s="57"/>
      <c r="O523" s="57"/>
      <c r="P523" s="91"/>
    </row>
    <row r="524" spans="2:16" s="50" customFormat="1" ht="13.2">
      <c r="B524" s="86"/>
      <c r="C524" s="87"/>
      <c r="D524" s="87"/>
      <c r="E524" s="87"/>
      <c r="F524" s="87"/>
      <c r="G524" s="87"/>
      <c r="H524" s="87"/>
      <c r="I524" s="87"/>
      <c r="J524" s="87"/>
      <c r="K524" s="88"/>
      <c r="L524" s="89"/>
      <c r="M524" s="90"/>
      <c r="N524" s="57"/>
      <c r="O524" s="57"/>
      <c r="P524" s="91"/>
    </row>
    <row r="525" spans="2:16" s="50" customFormat="1" ht="13.2">
      <c r="B525" s="86"/>
      <c r="C525" s="87"/>
      <c r="D525" s="87"/>
      <c r="E525" s="87"/>
      <c r="F525" s="87"/>
      <c r="G525" s="87"/>
      <c r="H525" s="87"/>
      <c r="I525" s="87"/>
      <c r="J525" s="87"/>
      <c r="K525" s="88"/>
      <c r="L525" s="89"/>
      <c r="M525" s="90"/>
      <c r="N525" s="57"/>
      <c r="O525" s="57"/>
      <c r="P525" s="91"/>
    </row>
    <row r="526" spans="2:16" s="50" customFormat="1" ht="13.2">
      <c r="B526" s="86"/>
      <c r="C526" s="87"/>
      <c r="D526" s="87"/>
      <c r="E526" s="87"/>
      <c r="F526" s="87"/>
      <c r="G526" s="87"/>
      <c r="H526" s="87"/>
      <c r="I526" s="87"/>
      <c r="J526" s="87"/>
      <c r="K526" s="88"/>
      <c r="L526" s="89"/>
      <c r="M526" s="90"/>
      <c r="N526" s="57"/>
      <c r="O526" s="57"/>
      <c r="P526" s="91"/>
    </row>
    <row r="527" spans="2:16" s="50" customFormat="1" ht="13.2">
      <c r="B527" s="86"/>
      <c r="C527" s="87"/>
      <c r="D527" s="87"/>
      <c r="E527" s="87"/>
      <c r="F527" s="87"/>
      <c r="G527" s="87"/>
      <c r="H527" s="87"/>
      <c r="I527" s="87"/>
      <c r="J527" s="87"/>
      <c r="K527" s="88"/>
      <c r="L527" s="89"/>
      <c r="M527" s="90"/>
      <c r="N527" s="57"/>
      <c r="O527" s="57"/>
      <c r="P527" s="91"/>
    </row>
    <row r="528" spans="2:16" s="50" customFormat="1" ht="13.2">
      <c r="B528" s="86"/>
      <c r="C528" s="87"/>
      <c r="D528" s="87"/>
      <c r="E528" s="87"/>
      <c r="F528" s="87"/>
      <c r="G528" s="87"/>
      <c r="H528" s="87"/>
      <c r="I528" s="87"/>
      <c r="J528" s="87"/>
      <c r="K528" s="88"/>
      <c r="L528" s="89"/>
      <c r="M528" s="90"/>
      <c r="N528" s="57"/>
      <c r="O528" s="57"/>
      <c r="P528" s="91"/>
    </row>
    <row r="529" spans="2:16" s="50" customFormat="1" ht="13.2">
      <c r="B529" s="86"/>
      <c r="C529" s="87"/>
      <c r="D529" s="87"/>
      <c r="E529" s="87"/>
      <c r="F529" s="87"/>
      <c r="G529" s="87"/>
      <c r="H529" s="87"/>
      <c r="I529" s="87"/>
      <c r="J529" s="87"/>
      <c r="K529" s="88"/>
      <c r="L529" s="89"/>
      <c r="M529" s="90"/>
      <c r="N529" s="57"/>
      <c r="O529" s="57"/>
      <c r="P529" s="91"/>
    </row>
    <row r="530" spans="2:16" s="50" customFormat="1" ht="13.2">
      <c r="B530" s="86"/>
      <c r="C530" s="87"/>
      <c r="D530" s="87"/>
      <c r="E530" s="87"/>
      <c r="F530" s="87"/>
      <c r="G530" s="87"/>
      <c r="H530" s="87"/>
      <c r="I530" s="87"/>
      <c r="J530" s="87"/>
      <c r="K530" s="88"/>
      <c r="L530" s="89"/>
      <c r="M530" s="90"/>
      <c r="N530" s="57"/>
      <c r="O530" s="57"/>
      <c r="P530" s="91"/>
    </row>
    <row r="531" spans="2:16" s="50" customFormat="1" ht="13.2">
      <c r="B531" s="86"/>
      <c r="C531" s="87"/>
      <c r="D531" s="87"/>
      <c r="E531" s="87"/>
      <c r="F531" s="87"/>
      <c r="G531" s="87"/>
      <c r="H531" s="87"/>
      <c r="I531" s="87"/>
      <c r="J531" s="87"/>
      <c r="K531" s="88"/>
      <c r="L531" s="89"/>
      <c r="M531" s="90"/>
      <c r="N531" s="57"/>
      <c r="O531" s="57"/>
      <c r="P531" s="91"/>
    </row>
    <row r="532" spans="2:16" s="50" customFormat="1" ht="13.2">
      <c r="B532" s="86"/>
      <c r="C532" s="87"/>
      <c r="D532" s="87"/>
      <c r="E532" s="87"/>
      <c r="F532" s="87"/>
      <c r="G532" s="87"/>
      <c r="H532" s="87"/>
      <c r="I532" s="87"/>
      <c r="J532" s="87"/>
      <c r="K532" s="88"/>
      <c r="L532" s="89"/>
      <c r="M532" s="90"/>
      <c r="N532" s="57"/>
      <c r="O532" s="57"/>
      <c r="P532" s="91"/>
    </row>
    <row r="533" spans="2:16" s="50" customFormat="1" ht="13.2">
      <c r="B533" s="86"/>
      <c r="C533" s="87"/>
      <c r="D533" s="87"/>
      <c r="E533" s="87"/>
      <c r="F533" s="87"/>
      <c r="G533" s="87"/>
      <c r="H533" s="87"/>
      <c r="I533" s="87"/>
      <c r="J533" s="87"/>
      <c r="K533" s="88"/>
      <c r="L533" s="89"/>
      <c r="M533" s="90"/>
      <c r="N533" s="57"/>
      <c r="O533" s="57"/>
      <c r="P533" s="91"/>
    </row>
    <row r="534" spans="2:16" s="50" customFormat="1" ht="13.2">
      <c r="B534" s="86"/>
      <c r="C534" s="87"/>
      <c r="D534" s="87"/>
      <c r="E534" s="87"/>
      <c r="F534" s="87"/>
      <c r="G534" s="87"/>
      <c r="H534" s="87"/>
      <c r="I534" s="87"/>
      <c r="J534" s="87"/>
      <c r="K534" s="88"/>
      <c r="L534" s="89"/>
      <c r="M534" s="90"/>
      <c r="N534" s="57"/>
      <c r="O534" s="57"/>
      <c r="P534" s="91"/>
    </row>
    <row r="535" spans="2:16" s="50" customFormat="1" ht="13.2">
      <c r="B535" s="86"/>
      <c r="C535" s="87"/>
      <c r="D535" s="87"/>
      <c r="E535" s="87"/>
      <c r="F535" s="87"/>
      <c r="G535" s="87"/>
      <c r="H535" s="87"/>
      <c r="I535" s="87"/>
      <c r="J535" s="87"/>
      <c r="K535" s="88"/>
      <c r="L535" s="89"/>
      <c r="M535" s="90"/>
      <c r="N535" s="57"/>
      <c r="O535" s="57"/>
      <c r="P535" s="91"/>
    </row>
    <row r="536" spans="2:16" s="50" customFormat="1" ht="13.2">
      <c r="B536" s="86"/>
      <c r="C536" s="87"/>
      <c r="D536" s="87"/>
      <c r="E536" s="87"/>
      <c r="F536" s="87"/>
      <c r="G536" s="87"/>
      <c r="H536" s="87"/>
      <c r="I536" s="87"/>
      <c r="J536" s="87"/>
      <c r="K536" s="88"/>
      <c r="L536" s="89"/>
      <c r="M536" s="90"/>
      <c r="N536" s="57"/>
      <c r="O536" s="57"/>
      <c r="P536" s="91"/>
    </row>
    <row r="537" spans="2:16" s="50" customFormat="1" ht="13.2">
      <c r="B537" s="86"/>
      <c r="C537" s="87"/>
      <c r="D537" s="87"/>
      <c r="E537" s="87"/>
      <c r="F537" s="87"/>
      <c r="G537" s="87"/>
      <c r="H537" s="87"/>
      <c r="I537" s="87"/>
      <c r="J537" s="87"/>
      <c r="K537" s="88"/>
      <c r="L537" s="89"/>
      <c r="M537" s="90"/>
      <c r="N537" s="57"/>
      <c r="O537" s="57"/>
      <c r="P537" s="91"/>
    </row>
    <row r="538" spans="2:16" s="50" customFormat="1" ht="13.2">
      <c r="B538" s="86"/>
      <c r="C538" s="87"/>
      <c r="D538" s="87"/>
      <c r="E538" s="87"/>
      <c r="F538" s="87"/>
      <c r="G538" s="87"/>
      <c r="H538" s="87"/>
      <c r="I538" s="87"/>
      <c r="J538" s="87"/>
      <c r="K538" s="88"/>
      <c r="L538" s="89"/>
      <c r="M538" s="90"/>
      <c r="N538" s="57"/>
      <c r="O538" s="57"/>
      <c r="P538" s="91"/>
    </row>
    <row r="539" spans="2:16" s="50" customFormat="1" ht="13.2">
      <c r="B539" s="86"/>
      <c r="C539" s="87"/>
      <c r="D539" s="87"/>
      <c r="E539" s="87"/>
      <c r="F539" s="87"/>
      <c r="G539" s="87"/>
      <c r="H539" s="87"/>
      <c r="I539" s="87"/>
      <c r="J539" s="87"/>
      <c r="K539" s="88"/>
      <c r="L539" s="89"/>
      <c r="M539" s="90"/>
      <c r="N539" s="57"/>
      <c r="O539" s="57"/>
      <c r="P539" s="91"/>
    </row>
    <row r="540" spans="2:16" s="50" customFormat="1" ht="13.2">
      <c r="B540" s="86"/>
      <c r="C540" s="87"/>
      <c r="D540" s="87"/>
      <c r="E540" s="87"/>
      <c r="F540" s="87"/>
      <c r="G540" s="87"/>
      <c r="H540" s="87"/>
      <c r="I540" s="87"/>
      <c r="J540" s="87"/>
      <c r="K540" s="88"/>
      <c r="L540" s="89"/>
      <c r="M540" s="90"/>
      <c r="N540" s="57"/>
      <c r="O540" s="57"/>
      <c r="P540" s="91"/>
    </row>
    <row r="541" spans="2:16" s="50" customFormat="1" ht="13.2">
      <c r="B541" s="86"/>
      <c r="C541" s="87"/>
      <c r="D541" s="87"/>
      <c r="E541" s="87"/>
      <c r="F541" s="87"/>
      <c r="G541" s="87"/>
      <c r="H541" s="87"/>
      <c r="I541" s="87"/>
      <c r="J541" s="87"/>
      <c r="K541" s="88"/>
      <c r="L541" s="89"/>
      <c r="M541" s="90"/>
      <c r="N541" s="57"/>
      <c r="O541" s="57"/>
      <c r="P541" s="91"/>
    </row>
    <row r="542" spans="2:16" s="50" customFormat="1" ht="13.2">
      <c r="B542" s="86"/>
      <c r="C542" s="87"/>
      <c r="D542" s="87"/>
      <c r="E542" s="87"/>
      <c r="F542" s="87"/>
      <c r="G542" s="87"/>
      <c r="H542" s="87"/>
      <c r="I542" s="87"/>
      <c r="J542" s="87"/>
      <c r="K542" s="88"/>
      <c r="L542" s="89"/>
      <c r="M542" s="90"/>
      <c r="N542" s="57"/>
      <c r="O542" s="57"/>
      <c r="P542" s="91"/>
    </row>
    <row r="543" spans="2:16" s="50" customFormat="1" ht="13.2">
      <c r="B543" s="86"/>
      <c r="C543" s="87"/>
      <c r="D543" s="87"/>
      <c r="E543" s="87"/>
      <c r="F543" s="87"/>
      <c r="G543" s="87"/>
      <c r="H543" s="87"/>
      <c r="I543" s="87"/>
      <c r="J543" s="87"/>
      <c r="K543" s="88"/>
      <c r="L543" s="89"/>
      <c r="M543" s="90"/>
      <c r="N543" s="57"/>
      <c r="O543" s="57"/>
      <c r="P543" s="91"/>
    </row>
    <row r="544" spans="2:16" s="50" customFormat="1" ht="13.2">
      <c r="B544" s="86"/>
      <c r="C544" s="87"/>
      <c r="D544" s="87"/>
      <c r="E544" s="87"/>
      <c r="F544" s="87"/>
      <c r="G544" s="87"/>
      <c r="H544" s="87"/>
      <c r="I544" s="87"/>
      <c r="J544" s="87"/>
      <c r="K544" s="88"/>
      <c r="L544" s="89"/>
      <c r="M544" s="90"/>
      <c r="N544" s="57"/>
      <c r="O544" s="57"/>
      <c r="P544" s="91"/>
    </row>
    <row r="545" spans="2:16" s="50" customFormat="1" ht="13.2">
      <c r="B545" s="86"/>
      <c r="C545" s="87"/>
      <c r="D545" s="87"/>
      <c r="E545" s="87"/>
      <c r="F545" s="87"/>
      <c r="G545" s="87"/>
      <c r="H545" s="87"/>
      <c r="I545" s="87"/>
      <c r="J545" s="87"/>
      <c r="K545" s="88"/>
      <c r="L545" s="89"/>
      <c r="M545" s="90"/>
      <c r="N545" s="57"/>
      <c r="O545" s="57"/>
      <c r="P545" s="91"/>
    </row>
    <row r="546" spans="2:16" s="50" customFormat="1" ht="13.2">
      <c r="B546" s="86"/>
      <c r="C546" s="87"/>
      <c r="D546" s="87"/>
      <c r="E546" s="87"/>
      <c r="F546" s="87"/>
      <c r="G546" s="87"/>
      <c r="H546" s="87"/>
      <c r="I546" s="87"/>
      <c r="J546" s="87"/>
      <c r="K546" s="88"/>
      <c r="L546" s="89"/>
      <c r="M546" s="90"/>
      <c r="N546" s="57"/>
      <c r="O546" s="57"/>
      <c r="P546" s="91"/>
    </row>
    <row r="547" spans="2:16" s="50" customFormat="1" ht="13.2">
      <c r="B547" s="86"/>
      <c r="C547" s="87"/>
      <c r="D547" s="87"/>
      <c r="E547" s="87"/>
      <c r="F547" s="87"/>
      <c r="G547" s="87"/>
      <c r="H547" s="87"/>
      <c r="I547" s="87"/>
      <c r="J547" s="87"/>
      <c r="K547" s="88"/>
      <c r="L547" s="89"/>
      <c r="M547" s="90"/>
      <c r="N547" s="57"/>
      <c r="O547" s="57"/>
      <c r="P547" s="91"/>
    </row>
    <row r="548" spans="2:16" s="50" customFormat="1" ht="13.2">
      <c r="B548" s="86"/>
      <c r="C548" s="87"/>
      <c r="D548" s="87"/>
      <c r="E548" s="87"/>
      <c r="F548" s="87"/>
      <c r="G548" s="87"/>
      <c r="H548" s="87"/>
      <c r="I548" s="87"/>
      <c r="J548" s="87"/>
      <c r="K548" s="88"/>
      <c r="L548" s="89"/>
      <c r="M548" s="90"/>
      <c r="N548" s="57"/>
      <c r="O548" s="57"/>
      <c r="P548" s="91"/>
    </row>
    <row r="549" spans="2:16" s="50" customFormat="1" ht="13.2">
      <c r="B549" s="86"/>
      <c r="C549" s="87"/>
      <c r="D549" s="87"/>
      <c r="E549" s="87"/>
      <c r="F549" s="87"/>
      <c r="G549" s="87"/>
      <c r="H549" s="87"/>
      <c r="I549" s="87"/>
      <c r="J549" s="87"/>
      <c r="K549" s="88"/>
      <c r="L549" s="89"/>
      <c r="M549" s="90"/>
      <c r="N549" s="57"/>
      <c r="O549" s="57"/>
      <c r="P549" s="91"/>
    </row>
    <row r="550" spans="2:16" s="50" customFormat="1" ht="13.2">
      <c r="B550" s="86"/>
      <c r="C550" s="87"/>
      <c r="D550" s="87"/>
      <c r="E550" s="87"/>
      <c r="F550" s="87"/>
      <c r="G550" s="87"/>
      <c r="H550" s="87"/>
      <c r="I550" s="87"/>
      <c r="J550" s="87"/>
      <c r="K550" s="88"/>
      <c r="L550" s="89"/>
      <c r="M550" s="90"/>
      <c r="N550" s="57"/>
      <c r="O550" s="57"/>
      <c r="P550" s="91"/>
    </row>
    <row r="551" spans="2:16" s="50" customFormat="1" ht="13.2">
      <c r="B551" s="86"/>
      <c r="C551" s="87"/>
      <c r="D551" s="87"/>
      <c r="E551" s="87"/>
      <c r="F551" s="87"/>
      <c r="G551" s="87"/>
      <c r="H551" s="87"/>
      <c r="I551" s="87"/>
      <c r="J551" s="87"/>
      <c r="K551" s="88"/>
      <c r="L551" s="89"/>
      <c r="M551" s="90"/>
      <c r="N551" s="57"/>
      <c r="O551" s="57"/>
      <c r="P551" s="91"/>
    </row>
    <row r="552" spans="2:16" s="50" customFormat="1" ht="13.2">
      <c r="B552" s="86"/>
      <c r="C552" s="87"/>
      <c r="D552" s="87"/>
      <c r="E552" s="87"/>
      <c r="F552" s="87"/>
      <c r="G552" s="87"/>
      <c r="H552" s="87"/>
      <c r="I552" s="87"/>
      <c r="J552" s="87"/>
      <c r="K552" s="88"/>
      <c r="L552" s="89"/>
      <c r="M552" s="90"/>
      <c r="N552" s="57"/>
      <c r="O552" s="57"/>
      <c r="P552" s="91"/>
    </row>
    <row r="553" spans="2:16" s="50" customFormat="1" ht="13.2">
      <c r="B553" s="86"/>
      <c r="C553" s="87"/>
      <c r="D553" s="87"/>
      <c r="E553" s="87"/>
      <c r="F553" s="87"/>
      <c r="G553" s="87"/>
      <c r="H553" s="87"/>
      <c r="I553" s="87"/>
      <c r="J553" s="87"/>
      <c r="K553" s="88"/>
      <c r="L553" s="89"/>
      <c r="M553" s="90"/>
      <c r="N553" s="57"/>
      <c r="O553" s="57"/>
      <c r="P553" s="91"/>
    </row>
    <row r="554" spans="2:16" s="50" customFormat="1" ht="13.2">
      <c r="B554" s="86"/>
      <c r="C554" s="87"/>
      <c r="D554" s="87"/>
      <c r="E554" s="87"/>
      <c r="F554" s="87"/>
      <c r="G554" s="87"/>
      <c r="H554" s="87"/>
      <c r="I554" s="87"/>
      <c r="J554" s="87"/>
      <c r="K554" s="88"/>
      <c r="L554" s="89"/>
      <c r="M554" s="90"/>
      <c r="N554" s="57"/>
      <c r="O554" s="57"/>
      <c r="P554" s="91"/>
    </row>
    <row r="555" spans="2:16" s="50" customFormat="1" ht="13.2">
      <c r="B555" s="86"/>
      <c r="C555" s="87"/>
      <c r="D555" s="87"/>
      <c r="E555" s="87"/>
      <c r="F555" s="87"/>
      <c r="G555" s="87"/>
      <c r="H555" s="87"/>
      <c r="I555" s="87"/>
      <c r="J555" s="87"/>
      <c r="K555" s="88"/>
      <c r="L555" s="89"/>
      <c r="M555" s="90"/>
      <c r="N555" s="57"/>
      <c r="O555" s="57"/>
      <c r="P555" s="91"/>
    </row>
    <row r="556" spans="2:16" s="50" customFormat="1" ht="13.2">
      <c r="B556" s="86"/>
      <c r="C556" s="87"/>
      <c r="D556" s="87"/>
      <c r="E556" s="87"/>
      <c r="F556" s="87"/>
      <c r="G556" s="87"/>
      <c r="H556" s="87"/>
      <c r="I556" s="87"/>
      <c r="J556" s="87"/>
      <c r="K556" s="88"/>
      <c r="L556" s="89"/>
      <c r="M556" s="90"/>
      <c r="N556" s="57"/>
      <c r="O556" s="57"/>
      <c r="P556" s="91"/>
    </row>
    <row r="557" spans="2:16" s="50" customFormat="1" ht="13.2">
      <c r="B557" s="86"/>
      <c r="C557" s="87"/>
      <c r="D557" s="87"/>
      <c r="E557" s="87"/>
      <c r="F557" s="87"/>
      <c r="G557" s="87"/>
      <c r="H557" s="87"/>
      <c r="I557" s="87"/>
      <c r="J557" s="87"/>
      <c r="K557" s="88"/>
      <c r="L557" s="89"/>
      <c r="M557" s="90"/>
      <c r="N557" s="57"/>
      <c r="O557" s="57"/>
      <c r="P557" s="91"/>
    </row>
    <row r="558" spans="2:16" s="50" customFormat="1" ht="13.2">
      <c r="B558" s="86"/>
      <c r="C558" s="87"/>
      <c r="D558" s="87"/>
      <c r="E558" s="87"/>
      <c r="F558" s="87"/>
      <c r="G558" s="87"/>
      <c r="H558" s="87"/>
      <c r="I558" s="87"/>
      <c r="J558" s="87"/>
      <c r="K558" s="88"/>
      <c r="L558" s="89"/>
      <c r="M558" s="90"/>
      <c r="N558" s="57"/>
      <c r="O558" s="57"/>
      <c r="P558" s="91"/>
    </row>
    <row r="559" spans="2:16" s="50" customFormat="1" ht="13.2">
      <c r="B559" s="86"/>
      <c r="C559" s="87"/>
      <c r="D559" s="87"/>
      <c r="E559" s="87"/>
      <c r="F559" s="87"/>
      <c r="G559" s="87"/>
      <c r="H559" s="87"/>
      <c r="I559" s="87"/>
      <c r="J559" s="87"/>
      <c r="K559" s="88"/>
      <c r="L559" s="89"/>
      <c r="M559" s="90"/>
      <c r="N559" s="57"/>
      <c r="O559" s="57"/>
      <c r="P559" s="91"/>
    </row>
    <row r="560" spans="2:16" s="50" customFormat="1" ht="13.2">
      <c r="B560" s="86"/>
      <c r="C560" s="87"/>
      <c r="D560" s="87"/>
      <c r="E560" s="87"/>
      <c r="F560" s="87"/>
      <c r="G560" s="87"/>
      <c r="H560" s="87"/>
      <c r="I560" s="87"/>
      <c r="J560" s="87"/>
      <c r="K560" s="88"/>
      <c r="L560" s="89"/>
      <c r="M560" s="90"/>
      <c r="N560" s="57"/>
      <c r="O560" s="57"/>
      <c r="P560" s="91"/>
    </row>
    <row r="561" spans="2:16" s="50" customFormat="1" ht="13.2">
      <c r="B561" s="86"/>
      <c r="C561" s="87"/>
      <c r="D561" s="87"/>
      <c r="E561" s="87"/>
      <c r="F561" s="87"/>
      <c r="G561" s="87"/>
      <c r="H561" s="87"/>
      <c r="I561" s="87"/>
      <c r="J561" s="87"/>
      <c r="K561" s="88"/>
      <c r="L561" s="89"/>
      <c r="M561" s="90"/>
      <c r="N561" s="57"/>
      <c r="O561" s="57"/>
      <c r="P561" s="91"/>
    </row>
    <row r="562" spans="2:16" s="50" customFormat="1" ht="13.2">
      <c r="B562" s="86"/>
      <c r="C562" s="87"/>
      <c r="D562" s="87"/>
      <c r="E562" s="87"/>
      <c r="F562" s="87"/>
      <c r="G562" s="87"/>
      <c r="H562" s="87"/>
      <c r="I562" s="87"/>
      <c r="J562" s="87"/>
      <c r="K562" s="88"/>
      <c r="L562" s="89"/>
      <c r="M562" s="90"/>
      <c r="N562" s="57"/>
      <c r="O562" s="57"/>
      <c r="P562" s="91"/>
    </row>
    <row r="563" spans="2:16" s="50" customFormat="1" ht="13.2">
      <c r="B563" s="86"/>
      <c r="C563" s="87"/>
      <c r="D563" s="87"/>
      <c r="E563" s="87"/>
      <c r="F563" s="87"/>
      <c r="G563" s="87"/>
      <c r="H563" s="87"/>
      <c r="I563" s="87"/>
      <c r="J563" s="87"/>
      <c r="K563" s="88"/>
      <c r="L563" s="89"/>
      <c r="M563" s="90"/>
      <c r="N563" s="57"/>
      <c r="O563" s="57"/>
      <c r="P563" s="91"/>
    </row>
    <row r="564" spans="2:16" s="50" customFormat="1" ht="13.2">
      <c r="B564" s="86"/>
      <c r="C564" s="87"/>
      <c r="D564" s="87"/>
      <c r="E564" s="87"/>
      <c r="F564" s="87"/>
      <c r="G564" s="87"/>
      <c r="H564" s="87"/>
      <c r="I564" s="87"/>
      <c r="J564" s="87"/>
      <c r="K564" s="88"/>
      <c r="L564" s="89"/>
      <c r="M564" s="90"/>
      <c r="N564" s="57"/>
      <c r="O564" s="57"/>
      <c r="P564" s="91"/>
    </row>
    <row r="565" spans="2:16" s="50" customFormat="1" ht="13.2">
      <c r="B565" s="86"/>
      <c r="C565" s="87"/>
      <c r="D565" s="87"/>
      <c r="E565" s="87"/>
      <c r="F565" s="87"/>
      <c r="G565" s="87"/>
      <c r="H565" s="87"/>
      <c r="I565" s="87"/>
      <c r="J565" s="87"/>
      <c r="K565" s="88"/>
      <c r="L565" s="89"/>
      <c r="M565" s="90"/>
      <c r="N565" s="57"/>
      <c r="O565" s="57"/>
      <c r="P565" s="91"/>
    </row>
    <row r="566" spans="2:16" s="50" customFormat="1" ht="13.2">
      <c r="B566" s="86"/>
      <c r="C566" s="87"/>
      <c r="D566" s="87"/>
      <c r="E566" s="87"/>
      <c r="F566" s="87"/>
      <c r="G566" s="87"/>
      <c r="H566" s="87"/>
      <c r="I566" s="87"/>
      <c r="J566" s="87"/>
      <c r="K566" s="88"/>
      <c r="L566" s="89"/>
      <c r="M566" s="90"/>
      <c r="N566" s="57"/>
      <c r="O566" s="57"/>
      <c r="P566" s="91"/>
    </row>
    <row r="567" spans="2:16" s="50" customFormat="1" ht="13.2">
      <c r="B567" s="86"/>
      <c r="C567" s="87"/>
      <c r="D567" s="87"/>
      <c r="E567" s="87"/>
      <c r="F567" s="87"/>
      <c r="G567" s="87"/>
      <c r="H567" s="87"/>
      <c r="I567" s="87"/>
      <c r="J567" s="87"/>
      <c r="K567" s="88"/>
      <c r="L567" s="89"/>
      <c r="M567" s="90"/>
      <c r="N567" s="57"/>
      <c r="O567" s="57"/>
      <c r="P567" s="91"/>
    </row>
    <row r="568" spans="2:16" s="50" customFormat="1" ht="13.2">
      <c r="B568" s="86"/>
      <c r="C568" s="87"/>
      <c r="D568" s="87"/>
      <c r="E568" s="87"/>
      <c r="F568" s="87"/>
      <c r="G568" s="87"/>
      <c r="H568" s="87"/>
      <c r="I568" s="87"/>
      <c r="J568" s="87"/>
      <c r="K568" s="88"/>
      <c r="L568" s="89"/>
      <c r="M568" s="90"/>
      <c r="N568" s="57"/>
      <c r="O568" s="57"/>
      <c r="P568" s="91"/>
    </row>
    <row r="569" spans="2:16" s="50" customFormat="1" ht="13.2">
      <c r="B569" s="86"/>
      <c r="C569" s="87"/>
      <c r="D569" s="87"/>
      <c r="E569" s="87"/>
      <c r="F569" s="87"/>
      <c r="G569" s="87"/>
      <c r="H569" s="87"/>
      <c r="I569" s="87"/>
      <c r="J569" s="87"/>
      <c r="K569" s="88"/>
      <c r="L569" s="89"/>
      <c r="M569" s="90"/>
      <c r="N569" s="57"/>
      <c r="O569" s="57"/>
      <c r="P569" s="91"/>
    </row>
    <row r="570" spans="2:16" s="50" customFormat="1" ht="13.2">
      <c r="B570" s="86"/>
      <c r="C570" s="87"/>
      <c r="D570" s="87"/>
      <c r="E570" s="87"/>
      <c r="F570" s="87"/>
      <c r="G570" s="87"/>
      <c r="H570" s="87"/>
      <c r="I570" s="87"/>
      <c r="J570" s="87"/>
      <c r="K570" s="88"/>
      <c r="L570" s="89"/>
      <c r="M570" s="90"/>
      <c r="N570" s="57"/>
      <c r="O570" s="57"/>
      <c r="P570" s="91"/>
    </row>
    <row r="571" spans="2:16" s="50" customFormat="1" ht="13.2">
      <c r="B571" s="86"/>
      <c r="C571" s="87"/>
      <c r="D571" s="87"/>
      <c r="E571" s="87"/>
      <c r="F571" s="87"/>
      <c r="G571" s="87"/>
      <c r="H571" s="87"/>
      <c r="I571" s="87"/>
      <c r="J571" s="87"/>
      <c r="K571" s="88"/>
      <c r="L571" s="89"/>
      <c r="M571" s="90"/>
      <c r="N571" s="57"/>
      <c r="O571" s="57"/>
      <c r="P571" s="91"/>
    </row>
    <row r="572" spans="2:16" s="50" customFormat="1" ht="13.2">
      <c r="B572" s="86"/>
      <c r="C572" s="87"/>
      <c r="D572" s="87"/>
      <c r="E572" s="87"/>
      <c r="F572" s="87"/>
      <c r="G572" s="87"/>
      <c r="H572" s="87"/>
      <c r="I572" s="87"/>
      <c r="J572" s="87"/>
      <c r="K572" s="88"/>
      <c r="L572" s="89"/>
      <c r="M572" s="90"/>
      <c r="N572" s="57"/>
      <c r="O572" s="57"/>
      <c r="P572" s="91"/>
    </row>
    <row r="573" spans="2:16" s="50" customFormat="1" ht="13.2">
      <c r="B573" s="86"/>
      <c r="C573" s="87"/>
      <c r="D573" s="87"/>
      <c r="E573" s="87"/>
      <c r="F573" s="87"/>
      <c r="G573" s="87"/>
      <c r="H573" s="87"/>
      <c r="I573" s="87"/>
      <c r="J573" s="87"/>
      <c r="K573" s="88"/>
      <c r="L573" s="89"/>
      <c r="M573" s="90"/>
      <c r="N573" s="57"/>
      <c r="O573" s="57"/>
      <c r="P573" s="91"/>
    </row>
    <row r="574" spans="2:16" s="50" customFormat="1" ht="13.2">
      <c r="B574" s="86"/>
      <c r="C574" s="87"/>
      <c r="D574" s="87"/>
      <c r="E574" s="87"/>
      <c r="F574" s="87"/>
      <c r="G574" s="87"/>
      <c r="H574" s="87"/>
      <c r="I574" s="87"/>
      <c r="J574" s="87"/>
      <c r="K574" s="88"/>
      <c r="L574" s="89"/>
      <c r="M574" s="90"/>
      <c r="N574" s="57"/>
      <c r="O574" s="57"/>
      <c r="P574" s="91"/>
    </row>
    <row r="575" spans="2:16" s="50" customFormat="1" ht="13.2">
      <c r="B575" s="86"/>
      <c r="C575" s="87"/>
      <c r="D575" s="87"/>
      <c r="E575" s="87"/>
      <c r="F575" s="87"/>
      <c r="G575" s="87"/>
      <c r="H575" s="87"/>
      <c r="I575" s="87"/>
      <c r="J575" s="87"/>
      <c r="K575" s="88"/>
      <c r="L575" s="89"/>
      <c r="M575" s="90"/>
      <c r="N575" s="57"/>
      <c r="O575" s="57"/>
      <c r="P575" s="91"/>
    </row>
    <row r="576" spans="2:16" s="50" customFormat="1" ht="13.2">
      <c r="B576" s="86"/>
      <c r="C576" s="87"/>
      <c r="D576" s="87"/>
      <c r="E576" s="87"/>
      <c r="F576" s="87"/>
      <c r="G576" s="87"/>
      <c r="H576" s="87"/>
      <c r="I576" s="87"/>
      <c r="J576" s="87"/>
      <c r="K576" s="88"/>
      <c r="L576" s="89"/>
      <c r="M576" s="90"/>
      <c r="N576" s="57"/>
      <c r="O576" s="57"/>
      <c r="P576" s="91"/>
    </row>
    <row r="577" spans="2:16" s="50" customFormat="1" ht="13.2">
      <c r="B577" s="86"/>
      <c r="C577" s="87"/>
      <c r="D577" s="87"/>
      <c r="E577" s="87"/>
      <c r="F577" s="87"/>
      <c r="G577" s="87"/>
      <c r="H577" s="87"/>
      <c r="I577" s="87"/>
      <c r="J577" s="87"/>
      <c r="K577" s="88"/>
      <c r="L577" s="89"/>
      <c r="M577" s="90"/>
      <c r="N577" s="57"/>
      <c r="O577" s="57"/>
      <c r="P577" s="91"/>
    </row>
    <row r="578" spans="2:16" s="50" customFormat="1" ht="13.2">
      <c r="B578" s="86"/>
      <c r="C578" s="87"/>
      <c r="D578" s="87"/>
      <c r="E578" s="87"/>
      <c r="F578" s="87"/>
      <c r="G578" s="87"/>
      <c r="H578" s="87"/>
      <c r="I578" s="87"/>
      <c r="J578" s="87"/>
      <c r="K578" s="88"/>
      <c r="L578" s="89"/>
      <c r="M578" s="90"/>
      <c r="N578" s="57"/>
      <c r="O578" s="57"/>
      <c r="P578" s="91"/>
    </row>
    <row r="579" spans="2:16" s="50" customFormat="1" ht="13.2">
      <c r="B579" s="86"/>
      <c r="C579" s="87"/>
      <c r="D579" s="87"/>
      <c r="E579" s="87"/>
      <c r="F579" s="87"/>
      <c r="G579" s="87"/>
      <c r="H579" s="87"/>
      <c r="I579" s="87"/>
      <c r="J579" s="87"/>
      <c r="K579" s="88"/>
      <c r="L579" s="89"/>
      <c r="M579" s="90"/>
      <c r="N579" s="57"/>
      <c r="O579" s="57"/>
      <c r="P579" s="91"/>
    </row>
    <row r="580" spans="2:16" s="50" customFormat="1" ht="13.2">
      <c r="B580" s="86"/>
      <c r="C580" s="87"/>
      <c r="D580" s="87"/>
      <c r="E580" s="87"/>
      <c r="F580" s="87"/>
      <c r="G580" s="87"/>
      <c r="H580" s="87"/>
      <c r="I580" s="87"/>
      <c r="J580" s="87"/>
      <c r="K580" s="88"/>
      <c r="L580" s="89"/>
      <c r="M580" s="90"/>
      <c r="N580" s="57"/>
      <c r="O580" s="57"/>
      <c r="P580" s="91"/>
    </row>
    <row r="581" spans="2:16" s="50" customFormat="1" ht="13.2">
      <c r="B581" s="86"/>
      <c r="C581" s="87"/>
      <c r="D581" s="87"/>
      <c r="E581" s="87"/>
      <c r="F581" s="87"/>
      <c r="G581" s="87"/>
      <c r="H581" s="87"/>
      <c r="I581" s="87"/>
      <c r="J581" s="87"/>
      <c r="K581" s="88"/>
      <c r="L581" s="89"/>
      <c r="M581" s="90"/>
      <c r="N581" s="57"/>
      <c r="O581" s="57"/>
      <c r="P581" s="91"/>
    </row>
    <row r="582" spans="2:16" s="50" customFormat="1" ht="13.2">
      <c r="B582" s="86"/>
      <c r="C582" s="87"/>
      <c r="D582" s="87"/>
      <c r="E582" s="87"/>
      <c r="F582" s="87"/>
      <c r="G582" s="87"/>
      <c r="H582" s="87"/>
      <c r="I582" s="87"/>
      <c r="J582" s="87"/>
      <c r="K582" s="88"/>
      <c r="L582" s="89"/>
      <c r="M582" s="90"/>
      <c r="N582" s="57"/>
      <c r="O582" s="57"/>
      <c r="P582" s="91"/>
    </row>
    <row r="583" spans="2:16" s="50" customFormat="1" ht="13.2">
      <c r="B583" s="86"/>
      <c r="C583" s="87"/>
      <c r="D583" s="87"/>
      <c r="E583" s="87"/>
      <c r="F583" s="87"/>
      <c r="G583" s="87"/>
      <c r="H583" s="87"/>
      <c r="I583" s="87"/>
      <c r="J583" s="87"/>
      <c r="K583" s="88"/>
      <c r="L583" s="89"/>
      <c r="M583" s="90"/>
      <c r="N583" s="57"/>
      <c r="O583" s="57"/>
      <c r="P583" s="91"/>
    </row>
    <row r="584" spans="2:16" s="50" customFormat="1" ht="13.2">
      <c r="B584" s="86"/>
      <c r="C584" s="87"/>
      <c r="D584" s="87"/>
      <c r="E584" s="87"/>
      <c r="F584" s="87"/>
      <c r="G584" s="87"/>
      <c r="H584" s="87"/>
      <c r="I584" s="87"/>
      <c r="J584" s="87"/>
      <c r="K584" s="88"/>
      <c r="L584" s="89"/>
      <c r="M584" s="90"/>
      <c r="N584" s="57"/>
      <c r="O584" s="57"/>
      <c r="P584" s="91"/>
    </row>
    <row r="585" spans="2:16" s="50" customFormat="1" ht="13.2">
      <c r="B585" s="86"/>
      <c r="C585" s="87"/>
      <c r="D585" s="87"/>
      <c r="E585" s="87"/>
      <c r="F585" s="87"/>
      <c r="G585" s="87"/>
      <c r="H585" s="87"/>
      <c r="I585" s="87"/>
      <c r="J585" s="87"/>
      <c r="K585" s="88"/>
      <c r="L585" s="89"/>
      <c r="M585" s="90"/>
      <c r="N585" s="57"/>
      <c r="O585" s="57"/>
      <c r="P585" s="91"/>
    </row>
    <row r="586" spans="2:16" s="50" customFormat="1" ht="13.2">
      <c r="B586" s="86"/>
      <c r="C586" s="87"/>
      <c r="D586" s="87"/>
      <c r="E586" s="87"/>
      <c r="F586" s="87"/>
      <c r="G586" s="87"/>
      <c r="H586" s="87"/>
      <c r="I586" s="87"/>
      <c r="J586" s="87"/>
      <c r="K586" s="88"/>
      <c r="L586" s="89"/>
      <c r="M586" s="90"/>
      <c r="N586" s="57"/>
      <c r="O586" s="57"/>
      <c r="P586" s="91"/>
    </row>
    <row r="587" spans="2:16" s="50" customFormat="1" ht="13.2">
      <c r="B587" s="86"/>
      <c r="C587" s="87"/>
      <c r="D587" s="87"/>
      <c r="E587" s="87"/>
      <c r="F587" s="87"/>
      <c r="G587" s="87"/>
      <c r="H587" s="87"/>
      <c r="I587" s="87"/>
      <c r="J587" s="87"/>
      <c r="K587" s="88"/>
      <c r="L587" s="89"/>
      <c r="M587" s="90"/>
      <c r="N587" s="57"/>
      <c r="O587" s="57"/>
      <c r="P587" s="91"/>
    </row>
    <row r="588" spans="2:16" s="50" customFormat="1" ht="13.2">
      <c r="B588" s="86"/>
      <c r="C588" s="87"/>
      <c r="D588" s="87"/>
      <c r="E588" s="87"/>
      <c r="F588" s="87"/>
      <c r="G588" s="87"/>
      <c r="H588" s="87"/>
      <c r="I588" s="87"/>
      <c r="J588" s="87"/>
      <c r="K588" s="88"/>
      <c r="L588" s="89"/>
      <c r="M588" s="90"/>
      <c r="N588" s="57"/>
      <c r="O588" s="57"/>
      <c r="P588" s="91"/>
    </row>
    <row r="589" spans="2:16" s="50" customFormat="1" ht="13.2">
      <c r="B589" s="86"/>
      <c r="C589" s="87"/>
      <c r="D589" s="87"/>
      <c r="E589" s="87"/>
      <c r="F589" s="87"/>
      <c r="G589" s="87"/>
      <c r="H589" s="87"/>
      <c r="I589" s="87"/>
      <c r="J589" s="87"/>
      <c r="K589" s="88"/>
      <c r="L589" s="89"/>
      <c r="M589" s="90"/>
      <c r="N589" s="57"/>
      <c r="O589" s="57"/>
      <c r="P589" s="91"/>
    </row>
    <row r="590" spans="2:16" s="50" customFormat="1" ht="13.2">
      <c r="B590" s="86"/>
      <c r="C590" s="87"/>
      <c r="D590" s="87"/>
      <c r="E590" s="87"/>
      <c r="F590" s="87"/>
      <c r="G590" s="87"/>
      <c r="H590" s="87"/>
      <c r="I590" s="87"/>
      <c r="J590" s="87"/>
      <c r="K590" s="88"/>
      <c r="L590" s="89"/>
      <c r="M590" s="90"/>
      <c r="N590" s="57"/>
      <c r="O590" s="57"/>
      <c r="P590" s="91"/>
    </row>
    <row r="591" spans="2:16" s="50" customFormat="1" ht="13.2">
      <c r="B591" s="86"/>
      <c r="C591" s="87"/>
      <c r="D591" s="87"/>
      <c r="E591" s="87"/>
      <c r="F591" s="87"/>
      <c r="G591" s="87"/>
      <c r="H591" s="87"/>
      <c r="I591" s="87"/>
      <c r="J591" s="87"/>
      <c r="K591" s="88"/>
      <c r="L591" s="89"/>
      <c r="M591" s="90"/>
      <c r="N591" s="57"/>
      <c r="O591" s="57"/>
      <c r="P591" s="91"/>
    </row>
    <row r="592" spans="2:16" s="50" customFormat="1" ht="13.2">
      <c r="B592" s="86"/>
      <c r="C592" s="87"/>
      <c r="D592" s="87"/>
      <c r="E592" s="87"/>
      <c r="F592" s="87"/>
      <c r="G592" s="87"/>
      <c r="H592" s="87"/>
      <c r="I592" s="87"/>
      <c r="J592" s="87"/>
      <c r="K592" s="88"/>
      <c r="L592" s="89"/>
      <c r="M592" s="90"/>
      <c r="N592" s="57"/>
      <c r="O592" s="57"/>
      <c r="P592" s="91"/>
    </row>
    <row r="593" spans="2:16" s="50" customFormat="1" ht="13.2">
      <c r="B593" s="86"/>
      <c r="C593" s="87"/>
      <c r="D593" s="87"/>
      <c r="E593" s="87"/>
      <c r="F593" s="87"/>
      <c r="G593" s="87"/>
      <c r="H593" s="87"/>
      <c r="I593" s="87"/>
      <c r="J593" s="87"/>
      <c r="K593" s="88"/>
      <c r="L593" s="89"/>
      <c r="M593" s="90"/>
      <c r="N593" s="57"/>
      <c r="O593" s="57"/>
      <c r="P593" s="91"/>
    </row>
    <row r="594" spans="2:16" s="50" customFormat="1" ht="13.2">
      <c r="B594" s="86"/>
      <c r="C594" s="87"/>
      <c r="D594" s="87"/>
      <c r="E594" s="87"/>
      <c r="F594" s="87"/>
      <c r="G594" s="87"/>
      <c r="H594" s="87"/>
      <c r="I594" s="87"/>
      <c r="J594" s="87"/>
      <c r="K594" s="88"/>
      <c r="L594" s="89"/>
      <c r="M594" s="90"/>
      <c r="N594" s="57"/>
      <c r="O594" s="57"/>
      <c r="P594" s="91"/>
    </row>
    <row r="595" spans="2:16" s="50" customFormat="1" ht="13.2">
      <c r="B595" s="86"/>
      <c r="C595" s="87"/>
      <c r="D595" s="87"/>
      <c r="E595" s="87"/>
      <c r="F595" s="87"/>
      <c r="G595" s="87"/>
      <c r="H595" s="87"/>
      <c r="I595" s="87"/>
      <c r="J595" s="87"/>
      <c r="K595" s="88"/>
      <c r="L595" s="89"/>
      <c r="M595" s="90"/>
      <c r="N595" s="57"/>
      <c r="O595" s="57"/>
      <c r="P595" s="91"/>
    </row>
    <row r="596" spans="2:16" s="50" customFormat="1" ht="13.2">
      <c r="B596" s="86"/>
      <c r="C596" s="87"/>
      <c r="D596" s="87"/>
      <c r="E596" s="87"/>
      <c r="F596" s="87"/>
      <c r="G596" s="87"/>
      <c r="H596" s="87"/>
      <c r="I596" s="87"/>
      <c r="J596" s="87"/>
      <c r="K596" s="88"/>
      <c r="L596" s="89"/>
      <c r="M596" s="90"/>
      <c r="N596" s="57"/>
      <c r="O596" s="57"/>
      <c r="P596" s="91"/>
    </row>
    <row r="597" spans="2:16" s="50" customFormat="1" ht="13.2">
      <c r="B597" s="86"/>
      <c r="C597" s="87"/>
      <c r="D597" s="87"/>
      <c r="E597" s="87"/>
      <c r="F597" s="87"/>
      <c r="G597" s="87"/>
      <c r="H597" s="87"/>
      <c r="I597" s="87"/>
      <c r="J597" s="87"/>
      <c r="K597" s="88"/>
      <c r="L597" s="89"/>
      <c r="M597" s="90"/>
      <c r="N597" s="57"/>
      <c r="O597" s="57"/>
      <c r="P597" s="91"/>
    </row>
    <row r="598" spans="2:16" s="50" customFormat="1" ht="13.2">
      <c r="B598" s="86"/>
      <c r="C598" s="87"/>
      <c r="D598" s="87"/>
      <c r="E598" s="87"/>
      <c r="F598" s="87"/>
      <c r="G598" s="87"/>
      <c r="H598" s="87"/>
      <c r="I598" s="87"/>
      <c r="J598" s="87"/>
      <c r="K598" s="88"/>
      <c r="L598" s="89"/>
      <c r="M598" s="90"/>
      <c r="N598" s="57"/>
      <c r="O598" s="57"/>
      <c r="P598" s="91"/>
    </row>
    <row r="599" spans="2:16" s="50" customFormat="1" ht="13.2">
      <c r="B599" s="86"/>
      <c r="C599" s="87"/>
      <c r="D599" s="87"/>
      <c r="E599" s="87"/>
      <c r="F599" s="87"/>
      <c r="G599" s="87"/>
      <c r="H599" s="87"/>
      <c r="I599" s="87"/>
      <c r="J599" s="87"/>
      <c r="K599" s="88"/>
      <c r="L599" s="89"/>
      <c r="M599" s="90"/>
      <c r="N599" s="57"/>
      <c r="O599" s="57"/>
      <c r="P599" s="91"/>
    </row>
    <row r="600" spans="2:16" s="50" customFormat="1" ht="13.2">
      <c r="B600" s="86"/>
      <c r="C600" s="87"/>
      <c r="D600" s="87"/>
      <c r="E600" s="87"/>
      <c r="F600" s="87"/>
      <c r="G600" s="87"/>
      <c r="H600" s="87"/>
      <c r="I600" s="87"/>
      <c r="J600" s="87"/>
      <c r="K600" s="88"/>
      <c r="L600" s="89"/>
      <c r="M600" s="90"/>
      <c r="N600" s="57"/>
      <c r="O600" s="57"/>
      <c r="P600" s="91"/>
    </row>
    <row r="601" spans="2:16" s="50" customFormat="1" ht="13.2">
      <c r="B601" s="86"/>
      <c r="C601" s="87"/>
      <c r="D601" s="87"/>
      <c r="E601" s="87"/>
      <c r="F601" s="87"/>
      <c r="G601" s="87"/>
      <c r="H601" s="87"/>
      <c r="I601" s="87"/>
      <c r="J601" s="87"/>
      <c r="K601" s="88"/>
      <c r="L601" s="89"/>
      <c r="M601" s="90"/>
      <c r="N601" s="57"/>
      <c r="O601" s="57"/>
      <c r="P601" s="91"/>
    </row>
    <row r="602" spans="2:16" s="50" customFormat="1" ht="13.2">
      <c r="B602" s="86"/>
      <c r="C602" s="87"/>
      <c r="D602" s="87"/>
      <c r="E602" s="87"/>
      <c r="F602" s="87"/>
      <c r="G602" s="87"/>
      <c r="H602" s="87"/>
      <c r="I602" s="87"/>
      <c r="J602" s="87"/>
      <c r="K602" s="88"/>
      <c r="L602" s="89"/>
      <c r="M602" s="90"/>
      <c r="N602" s="57"/>
      <c r="O602" s="57"/>
      <c r="P602" s="91"/>
    </row>
    <row r="603" spans="2:16" s="50" customFormat="1" ht="13.2">
      <c r="B603" s="86"/>
      <c r="C603" s="87"/>
      <c r="D603" s="87"/>
      <c r="E603" s="87"/>
      <c r="F603" s="87"/>
      <c r="G603" s="87"/>
      <c r="H603" s="87"/>
      <c r="I603" s="87"/>
      <c r="J603" s="87"/>
      <c r="K603" s="88"/>
      <c r="L603" s="89"/>
      <c r="M603" s="90"/>
      <c r="N603" s="57"/>
      <c r="O603" s="57"/>
      <c r="P603" s="91"/>
    </row>
    <row r="604" spans="2:16" s="50" customFormat="1" ht="13.2">
      <c r="B604" s="86"/>
      <c r="C604" s="87"/>
      <c r="D604" s="87"/>
      <c r="E604" s="87"/>
      <c r="F604" s="87"/>
      <c r="G604" s="87"/>
      <c r="H604" s="87"/>
      <c r="I604" s="87"/>
      <c r="J604" s="87"/>
      <c r="K604" s="88"/>
      <c r="L604" s="89"/>
      <c r="M604" s="90"/>
      <c r="N604" s="57"/>
      <c r="O604" s="57"/>
      <c r="P604" s="91"/>
    </row>
    <row r="605" spans="2:16" s="50" customFormat="1" ht="13.2">
      <c r="B605" s="86"/>
      <c r="C605" s="87"/>
      <c r="D605" s="87"/>
      <c r="E605" s="87"/>
      <c r="F605" s="87"/>
      <c r="G605" s="87"/>
      <c r="H605" s="87"/>
      <c r="I605" s="87"/>
      <c r="J605" s="87"/>
      <c r="K605" s="88"/>
      <c r="L605" s="89"/>
      <c r="M605" s="90"/>
      <c r="N605" s="57"/>
      <c r="O605" s="57"/>
      <c r="P605" s="91"/>
    </row>
    <row r="606" spans="2:16" s="50" customFormat="1" ht="13.2">
      <c r="B606" s="86"/>
      <c r="C606" s="87"/>
      <c r="D606" s="87"/>
      <c r="E606" s="87"/>
      <c r="F606" s="87"/>
      <c r="G606" s="87"/>
      <c r="H606" s="87"/>
      <c r="I606" s="87"/>
      <c r="J606" s="87"/>
      <c r="K606" s="88"/>
      <c r="L606" s="89"/>
      <c r="M606" s="90"/>
      <c r="N606" s="57"/>
      <c r="O606" s="57"/>
      <c r="P606" s="91"/>
    </row>
    <row r="607" spans="2:16" s="50" customFormat="1" ht="13.2">
      <c r="B607" s="86"/>
      <c r="C607" s="87"/>
      <c r="D607" s="87"/>
      <c r="E607" s="87"/>
      <c r="F607" s="87"/>
      <c r="G607" s="87"/>
      <c r="H607" s="87"/>
      <c r="I607" s="87"/>
      <c r="J607" s="87"/>
      <c r="K607" s="88"/>
      <c r="L607" s="89"/>
      <c r="M607" s="90"/>
      <c r="N607" s="57"/>
      <c r="O607" s="57"/>
      <c r="P607" s="91"/>
    </row>
    <row r="608" spans="2:16" s="50" customFormat="1" ht="13.2">
      <c r="B608" s="86"/>
      <c r="C608" s="87"/>
      <c r="D608" s="87"/>
      <c r="E608" s="87"/>
      <c r="F608" s="87"/>
      <c r="G608" s="87"/>
      <c r="H608" s="87"/>
      <c r="I608" s="87"/>
      <c r="J608" s="87"/>
      <c r="K608" s="88"/>
      <c r="L608" s="89"/>
      <c r="M608" s="90"/>
      <c r="N608" s="57"/>
      <c r="O608" s="57"/>
      <c r="P608" s="91"/>
    </row>
    <row r="609" spans="2:16" s="50" customFormat="1" ht="13.2">
      <c r="B609" s="86"/>
      <c r="C609" s="87"/>
      <c r="D609" s="87"/>
      <c r="E609" s="87"/>
      <c r="F609" s="87"/>
      <c r="G609" s="87"/>
      <c r="H609" s="87"/>
      <c r="I609" s="87"/>
      <c r="J609" s="87"/>
      <c r="K609" s="88"/>
      <c r="L609" s="89"/>
      <c r="M609" s="90"/>
      <c r="N609" s="57"/>
      <c r="O609" s="57"/>
      <c r="P609" s="91"/>
    </row>
    <row r="610" spans="2:16" s="50" customFormat="1" ht="13.2">
      <c r="B610" s="86"/>
      <c r="C610" s="87"/>
      <c r="D610" s="87"/>
      <c r="E610" s="87"/>
      <c r="F610" s="87"/>
      <c r="G610" s="87"/>
      <c r="H610" s="87"/>
      <c r="I610" s="87"/>
      <c r="J610" s="87"/>
      <c r="K610" s="88"/>
      <c r="L610" s="89"/>
      <c r="M610" s="90"/>
      <c r="N610" s="57"/>
      <c r="O610" s="57"/>
      <c r="P610" s="91"/>
    </row>
    <row r="611" spans="2:16" s="50" customFormat="1" ht="13.2">
      <c r="B611" s="86"/>
      <c r="C611" s="87"/>
      <c r="D611" s="87"/>
      <c r="E611" s="87"/>
      <c r="F611" s="87"/>
      <c r="G611" s="87"/>
      <c r="H611" s="87"/>
      <c r="I611" s="87"/>
      <c r="J611" s="87"/>
      <c r="K611" s="88"/>
      <c r="L611" s="89"/>
      <c r="M611" s="90"/>
      <c r="N611" s="57"/>
      <c r="O611" s="57"/>
      <c r="P611" s="91"/>
    </row>
    <row r="612" spans="2:16" s="50" customFormat="1" ht="13.2">
      <c r="B612" s="86"/>
      <c r="C612" s="87"/>
      <c r="D612" s="87"/>
      <c r="E612" s="87"/>
      <c r="F612" s="87"/>
      <c r="G612" s="87"/>
      <c r="H612" s="87"/>
      <c r="I612" s="87"/>
      <c r="J612" s="87"/>
      <c r="K612" s="88"/>
      <c r="L612" s="89"/>
      <c r="M612" s="90"/>
      <c r="N612" s="57"/>
      <c r="O612" s="57"/>
      <c r="P612" s="91"/>
    </row>
    <row r="613" spans="2:16" s="50" customFormat="1" ht="13.2">
      <c r="B613" s="86"/>
      <c r="C613" s="87"/>
      <c r="D613" s="87"/>
      <c r="E613" s="87"/>
      <c r="F613" s="87"/>
      <c r="G613" s="87"/>
      <c r="H613" s="87"/>
      <c r="I613" s="87"/>
      <c r="J613" s="87"/>
      <c r="K613" s="88"/>
      <c r="L613" s="89"/>
      <c r="M613" s="90"/>
      <c r="N613" s="57"/>
      <c r="O613" s="57"/>
      <c r="P613" s="91"/>
    </row>
    <row r="614" spans="2:16" s="50" customFormat="1" ht="13.2">
      <c r="B614" s="86"/>
      <c r="C614" s="87"/>
      <c r="D614" s="87"/>
      <c r="E614" s="87"/>
      <c r="F614" s="87"/>
      <c r="G614" s="87"/>
      <c r="H614" s="87"/>
      <c r="I614" s="87"/>
      <c r="J614" s="87"/>
      <c r="K614" s="88"/>
      <c r="L614" s="89"/>
      <c r="M614" s="90"/>
      <c r="N614" s="57"/>
      <c r="O614" s="57"/>
      <c r="P614" s="91"/>
    </row>
    <row r="615" spans="2:16" s="50" customFormat="1" ht="13.2">
      <c r="B615" s="86"/>
      <c r="C615" s="87"/>
      <c r="D615" s="87"/>
      <c r="E615" s="87"/>
      <c r="F615" s="87"/>
      <c r="G615" s="87"/>
      <c r="H615" s="87"/>
      <c r="I615" s="87"/>
      <c r="J615" s="87"/>
      <c r="K615" s="88"/>
      <c r="L615" s="89"/>
      <c r="M615" s="90"/>
      <c r="N615" s="57"/>
      <c r="O615" s="57"/>
      <c r="P615" s="91"/>
    </row>
    <row r="616" spans="2:16" s="50" customFormat="1" ht="13.2">
      <c r="B616" s="86"/>
      <c r="C616" s="87"/>
      <c r="D616" s="87"/>
      <c r="E616" s="87"/>
      <c r="F616" s="87"/>
      <c r="G616" s="87"/>
      <c r="H616" s="87"/>
      <c r="I616" s="87"/>
      <c r="J616" s="87"/>
      <c r="K616" s="88"/>
      <c r="L616" s="89"/>
      <c r="M616" s="90"/>
      <c r="N616" s="57"/>
      <c r="O616" s="57"/>
      <c r="P616" s="91"/>
    </row>
    <row r="617" spans="2:16" s="50" customFormat="1" ht="13.2">
      <c r="B617" s="86"/>
      <c r="C617" s="87"/>
      <c r="D617" s="87"/>
      <c r="E617" s="87"/>
      <c r="F617" s="87"/>
      <c r="G617" s="87"/>
      <c r="H617" s="87"/>
      <c r="I617" s="87"/>
      <c r="J617" s="87"/>
      <c r="K617" s="88"/>
      <c r="L617" s="89"/>
      <c r="M617" s="90"/>
      <c r="N617" s="57"/>
      <c r="O617" s="57"/>
      <c r="P617" s="91"/>
    </row>
    <row r="618" spans="2:16" s="50" customFormat="1" ht="13.2">
      <c r="B618" s="86"/>
      <c r="C618" s="87"/>
      <c r="D618" s="87"/>
      <c r="E618" s="87"/>
      <c r="F618" s="87"/>
      <c r="G618" s="87"/>
      <c r="H618" s="87"/>
      <c r="I618" s="87"/>
      <c r="J618" s="87"/>
      <c r="K618" s="88"/>
      <c r="L618" s="89"/>
      <c r="M618" s="90"/>
      <c r="N618" s="57"/>
      <c r="O618" s="57"/>
      <c r="P618" s="91"/>
    </row>
    <row r="619" spans="2:16" s="50" customFormat="1" ht="13.2">
      <c r="B619" s="86"/>
      <c r="C619" s="87"/>
      <c r="D619" s="87"/>
      <c r="E619" s="87"/>
      <c r="F619" s="87"/>
      <c r="G619" s="87"/>
      <c r="H619" s="87"/>
      <c r="I619" s="87"/>
      <c r="J619" s="87"/>
      <c r="K619" s="88"/>
      <c r="L619" s="89"/>
      <c r="M619" s="90"/>
      <c r="N619" s="57"/>
      <c r="O619" s="57"/>
      <c r="P619" s="91"/>
    </row>
    <row r="620" spans="2:16" s="50" customFormat="1" ht="13.2">
      <c r="B620" s="86"/>
      <c r="C620" s="87"/>
      <c r="D620" s="87"/>
      <c r="E620" s="87"/>
      <c r="F620" s="87"/>
      <c r="G620" s="87"/>
      <c r="H620" s="87"/>
      <c r="I620" s="87"/>
      <c r="J620" s="87"/>
      <c r="K620" s="88"/>
      <c r="L620" s="89"/>
      <c r="M620" s="90"/>
      <c r="N620" s="57"/>
      <c r="O620" s="57"/>
      <c r="P620" s="91"/>
    </row>
    <row r="621" spans="2:16" s="50" customFormat="1" ht="13.2">
      <c r="B621" s="86"/>
      <c r="C621" s="87"/>
      <c r="D621" s="87"/>
      <c r="E621" s="87"/>
      <c r="F621" s="87"/>
      <c r="G621" s="87"/>
      <c r="H621" s="87"/>
      <c r="I621" s="87"/>
      <c r="J621" s="87"/>
      <c r="K621" s="88"/>
      <c r="L621" s="89"/>
      <c r="M621" s="90"/>
      <c r="N621" s="57"/>
      <c r="O621" s="57"/>
      <c r="P621" s="91"/>
    </row>
    <row r="622" spans="2:16" s="50" customFormat="1" ht="13.2">
      <c r="B622" s="86"/>
      <c r="C622" s="87"/>
      <c r="D622" s="87"/>
      <c r="E622" s="87"/>
      <c r="F622" s="87"/>
      <c r="G622" s="87"/>
      <c r="H622" s="87"/>
      <c r="I622" s="87"/>
      <c r="J622" s="87"/>
      <c r="K622" s="88"/>
      <c r="L622" s="89"/>
      <c r="M622" s="90"/>
      <c r="N622" s="57"/>
      <c r="O622" s="57"/>
      <c r="P622" s="91"/>
    </row>
    <row r="623" spans="2:16" s="50" customFormat="1" ht="13.2">
      <c r="B623" s="86"/>
      <c r="C623" s="87"/>
      <c r="D623" s="87"/>
      <c r="E623" s="87"/>
      <c r="F623" s="87"/>
      <c r="G623" s="87"/>
      <c r="H623" s="87"/>
      <c r="I623" s="87"/>
      <c r="J623" s="87"/>
      <c r="K623" s="88"/>
      <c r="L623" s="89"/>
      <c r="M623" s="90"/>
      <c r="N623" s="57"/>
      <c r="O623" s="57"/>
      <c r="P623" s="91"/>
    </row>
    <row r="624" spans="2:16" s="50" customFormat="1" ht="13.2">
      <c r="B624" s="86"/>
      <c r="C624" s="87"/>
      <c r="D624" s="87"/>
      <c r="E624" s="87"/>
      <c r="F624" s="87"/>
      <c r="G624" s="87"/>
      <c r="H624" s="87"/>
      <c r="I624" s="87"/>
      <c r="J624" s="87"/>
      <c r="K624" s="88"/>
      <c r="L624" s="89"/>
      <c r="M624" s="90"/>
      <c r="N624" s="57"/>
      <c r="O624" s="57"/>
      <c r="P624" s="91"/>
    </row>
    <row r="625" spans="2:16" s="50" customFormat="1" ht="13.2">
      <c r="B625" s="86"/>
      <c r="C625" s="87"/>
      <c r="D625" s="87"/>
      <c r="E625" s="87"/>
      <c r="F625" s="87"/>
      <c r="G625" s="87"/>
      <c r="H625" s="87"/>
      <c r="I625" s="87"/>
      <c r="J625" s="87"/>
      <c r="K625" s="88"/>
      <c r="L625" s="89"/>
      <c r="M625" s="90"/>
      <c r="N625" s="57"/>
      <c r="O625" s="57"/>
      <c r="P625" s="91"/>
    </row>
    <row r="626" spans="2:16" s="50" customFormat="1" ht="13.2">
      <c r="B626" s="86"/>
      <c r="C626" s="87"/>
      <c r="D626" s="87"/>
      <c r="E626" s="87"/>
      <c r="F626" s="87"/>
      <c r="G626" s="87"/>
      <c r="H626" s="87"/>
      <c r="I626" s="87"/>
      <c r="J626" s="87"/>
      <c r="K626" s="88"/>
      <c r="L626" s="89"/>
      <c r="M626" s="90"/>
      <c r="N626" s="57"/>
      <c r="O626" s="57"/>
      <c r="P626" s="91"/>
    </row>
    <row r="627" spans="2:16" s="50" customFormat="1" ht="13.2">
      <c r="B627" s="86"/>
      <c r="C627" s="87"/>
      <c r="D627" s="87"/>
      <c r="E627" s="87"/>
      <c r="F627" s="87"/>
      <c r="G627" s="87"/>
      <c r="H627" s="87"/>
      <c r="I627" s="87"/>
      <c r="J627" s="87"/>
      <c r="K627" s="88"/>
      <c r="L627" s="89"/>
      <c r="M627" s="90"/>
      <c r="N627" s="57"/>
      <c r="O627" s="57"/>
      <c r="P627" s="91"/>
    </row>
    <row r="628" spans="2:16" s="50" customFormat="1" ht="13.2">
      <c r="B628" s="86"/>
      <c r="C628" s="87"/>
      <c r="D628" s="87"/>
      <c r="E628" s="87"/>
      <c r="F628" s="87"/>
      <c r="G628" s="87"/>
      <c r="H628" s="87"/>
      <c r="I628" s="87"/>
      <c r="J628" s="87"/>
      <c r="K628" s="88"/>
      <c r="L628" s="89"/>
      <c r="M628" s="90"/>
      <c r="N628" s="57"/>
      <c r="O628" s="57"/>
      <c r="P628" s="91"/>
    </row>
    <row r="629" spans="2:16" s="50" customFormat="1" ht="13.2">
      <c r="B629" s="86"/>
      <c r="C629" s="87"/>
      <c r="D629" s="87"/>
      <c r="E629" s="87"/>
      <c r="F629" s="87"/>
      <c r="G629" s="87"/>
      <c r="H629" s="87"/>
      <c r="I629" s="87"/>
      <c r="J629" s="87"/>
      <c r="K629" s="88"/>
      <c r="L629" s="89"/>
      <c r="M629" s="90"/>
      <c r="N629" s="57"/>
      <c r="O629" s="57"/>
      <c r="P629" s="91"/>
    </row>
    <row r="630" spans="2:16" s="50" customFormat="1" ht="13.2">
      <c r="B630" s="86"/>
      <c r="C630" s="87"/>
      <c r="D630" s="87"/>
      <c r="E630" s="87"/>
      <c r="F630" s="87"/>
      <c r="G630" s="87"/>
      <c r="H630" s="87"/>
      <c r="I630" s="87"/>
      <c r="J630" s="87"/>
      <c r="K630" s="88"/>
      <c r="L630" s="89"/>
      <c r="M630" s="90"/>
      <c r="N630" s="57"/>
      <c r="O630" s="57"/>
      <c r="P630" s="91"/>
    </row>
    <row r="631" spans="2:16" s="50" customFormat="1" ht="13.2">
      <c r="B631" s="86"/>
      <c r="C631" s="87"/>
      <c r="D631" s="87"/>
      <c r="E631" s="87"/>
      <c r="F631" s="87"/>
      <c r="G631" s="87"/>
      <c r="H631" s="87"/>
      <c r="I631" s="87"/>
      <c r="J631" s="87"/>
      <c r="K631" s="88"/>
      <c r="L631" s="89"/>
      <c r="M631" s="90"/>
      <c r="N631" s="57"/>
      <c r="O631" s="57"/>
      <c r="P631" s="91"/>
    </row>
    <row r="632" spans="2:16" s="50" customFormat="1" ht="13.2">
      <c r="B632" s="86"/>
      <c r="C632" s="87"/>
      <c r="D632" s="87"/>
      <c r="E632" s="87"/>
      <c r="F632" s="87"/>
      <c r="G632" s="87"/>
      <c r="H632" s="87"/>
      <c r="I632" s="87"/>
      <c r="J632" s="87"/>
      <c r="K632" s="88"/>
      <c r="L632" s="89"/>
      <c r="M632" s="90"/>
      <c r="N632" s="57"/>
      <c r="O632" s="57"/>
      <c r="P632" s="91"/>
    </row>
    <row r="633" spans="2:16" s="50" customFormat="1" ht="13.2">
      <c r="B633" s="86"/>
      <c r="C633" s="87"/>
      <c r="D633" s="87"/>
      <c r="E633" s="87"/>
      <c r="F633" s="87"/>
      <c r="G633" s="87"/>
      <c r="H633" s="87"/>
      <c r="I633" s="87"/>
      <c r="J633" s="87"/>
      <c r="K633" s="88"/>
      <c r="L633" s="89"/>
      <c r="M633" s="90"/>
      <c r="N633" s="57"/>
      <c r="O633" s="57"/>
      <c r="P633" s="91"/>
    </row>
    <row r="634" spans="2:16" s="50" customFormat="1" ht="13.2">
      <c r="B634" s="86"/>
      <c r="C634" s="87"/>
      <c r="D634" s="87"/>
      <c r="E634" s="87"/>
      <c r="F634" s="87"/>
      <c r="G634" s="87"/>
      <c r="H634" s="87"/>
      <c r="I634" s="87"/>
      <c r="J634" s="87"/>
      <c r="K634" s="88"/>
      <c r="L634" s="89"/>
      <c r="M634" s="90"/>
      <c r="N634" s="57"/>
      <c r="O634" s="57"/>
      <c r="P634" s="91"/>
    </row>
    <row r="635" spans="2:16" s="50" customFormat="1" ht="13.2">
      <c r="B635" s="86"/>
      <c r="C635" s="87"/>
      <c r="D635" s="87"/>
      <c r="E635" s="87"/>
      <c r="F635" s="87"/>
      <c r="G635" s="87"/>
      <c r="H635" s="87"/>
      <c r="I635" s="87"/>
      <c r="J635" s="87"/>
      <c r="K635" s="88"/>
      <c r="L635" s="89"/>
      <c r="M635" s="90"/>
      <c r="N635" s="57"/>
      <c r="O635" s="57"/>
      <c r="P635" s="91"/>
    </row>
    <row r="636" spans="2:16" s="50" customFormat="1" ht="13.2">
      <c r="B636" s="86"/>
      <c r="C636" s="87"/>
      <c r="D636" s="87"/>
      <c r="E636" s="87"/>
      <c r="F636" s="87"/>
      <c r="G636" s="87"/>
      <c r="H636" s="87"/>
      <c r="I636" s="87"/>
      <c r="J636" s="87"/>
      <c r="K636" s="88"/>
      <c r="L636" s="89"/>
      <c r="M636" s="90"/>
      <c r="N636" s="57"/>
      <c r="O636" s="57"/>
      <c r="P636" s="91"/>
    </row>
    <row r="637" spans="2:16" s="50" customFormat="1" ht="13.2">
      <c r="B637" s="86"/>
      <c r="C637" s="87"/>
      <c r="D637" s="87"/>
      <c r="E637" s="87"/>
      <c r="F637" s="87"/>
      <c r="G637" s="87"/>
      <c r="H637" s="87"/>
      <c r="I637" s="87"/>
      <c r="J637" s="87"/>
      <c r="K637" s="88"/>
      <c r="L637" s="89"/>
      <c r="M637" s="90"/>
      <c r="N637" s="57"/>
      <c r="O637" s="57"/>
      <c r="P637" s="91"/>
    </row>
    <row r="638" spans="2:16" s="50" customFormat="1" ht="13.2">
      <c r="B638" s="86"/>
      <c r="C638" s="87"/>
      <c r="D638" s="87"/>
      <c r="E638" s="87"/>
      <c r="F638" s="87"/>
      <c r="G638" s="87"/>
      <c r="H638" s="87"/>
      <c r="I638" s="87"/>
      <c r="J638" s="87"/>
      <c r="K638" s="88"/>
      <c r="L638" s="89"/>
      <c r="M638" s="90"/>
      <c r="N638" s="57"/>
      <c r="O638" s="57"/>
      <c r="P638" s="91"/>
    </row>
    <row r="639" spans="2:16" s="50" customFormat="1" ht="13.2">
      <c r="B639" s="86"/>
      <c r="C639" s="87"/>
      <c r="D639" s="87"/>
      <c r="E639" s="87"/>
      <c r="F639" s="87"/>
      <c r="G639" s="87"/>
      <c r="H639" s="87"/>
      <c r="I639" s="87"/>
      <c r="J639" s="87"/>
      <c r="K639" s="88"/>
      <c r="L639" s="89"/>
      <c r="M639" s="90"/>
      <c r="N639" s="57"/>
      <c r="O639" s="57"/>
      <c r="P639" s="91"/>
    </row>
    <row r="640" spans="2:16" s="50" customFormat="1" ht="13.2">
      <c r="B640" s="86"/>
      <c r="C640" s="87"/>
      <c r="D640" s="87"/>
      <c r="E640" s="87"/>
      <c r="F640" s="87"/>
      <c r="G640" s="87"/>
      <c r="H640" s="87"/>
      <c r="I640" s="87"/>
      <c r="J640" s="87"/>
      <c r="K640" s="88"/>
      <c r="L640" s="89"/>
      <c r="M640" s="90"/>
      <c r="N640" s="57"/>
      <c r="O640" s="57"/>
      <c r="P640" s="91"/>
    </row>
    <row r="641" spans="2:16" s="50" customFormat="1" ht="13.2">
      <c r="B641" s="86"/>
      <c r="C641" s="87"/>
      <c r="D641" s="87"/>
      <c r="E641" s="87"/>
      <c r="F641" s="87"/>
      <c r="G641" s="87"/>
      <c r="H641" s="87"/>
      <c r="I641" s="87"/>
      <c r="J641" s="87"/>
      <c r="K641" s="88"/>
      <c r="L641" s="89"/>
      <c r="M641" s="90"/>
      <c r="N641" s="57"/>
      <c r="O641" s="57"/>
      <c r="P641" s="91"/>
    </row>
    <row r="642" spans="2:16" s="50" customFormat="1" ht="13.2">
      <c r="B642" s="86"/>
      <c r="C642" s="87"/>
      <c r="D642" s="87"/>
      <c r="E642" s="87"/>
      <c r="F642" s="87"/>
      <c r="G642" s="87"/>
      <c r="H642" s="87"/>
      <c r="I642" s="87"/>
      <c r="J642" s="87"/>
      <c r="K642" s="88"/>
      <c r="L642" s="89"/>
      <c r="M642" s="90"/>
      <c r="N642" s="57"/>
      <c r="O642" s="57"/>
      <c r="P642" s="91"/>
    </row>
    <row r="643" spans="2:16" s="50" customFormat="1" ht="13.2">
      <c r="B643" s="86"/>
      <c r="C643" s="87"/>
      <c r="D643" s="87"/>
      <c r="E643" s="87"/>
      <c r="F643" s="87"/>
      <c r="G643" s="87"/>
      <c r="H643" s="87"/>
      <c r="I643" s="87"/>
      <c r="J643" s="87"/>
      <c r="K643" s="88"/>
      <c r="L643" s="89"/>
      <c r="M643" s="90"/>
      <c r="N643" s="57"/>
      <c r="O643" s="57"/>
      <c r="P643" s="91"/>
    </row>
    <row r="644" spans="2:16" s="50" customFormat="1" ht="13.2">
      <c r="B644" s="86"/>
      <c r="C644" s="87"/>
      <c r="D644" s="87"/>
      <c r="E644" s="87"/>
      <c r="F644" s="87"/>
      <c r="G644" s="87"/>
      <c r="H644" s="87"/>
      <c r="I644" s="87"/>
      <c r="J644" s="87"/>
      <c r="K644" s="88"/>
      <c r="L644" s="89"/>
      <c r="M644" s="90"/>
      <c r="N644" s="57"/>
      <c r="O644" s="57"/>
      <c r="P644" s="91"/>
    </row>
    <row r="645" spans="2:16" s="50" customFormat="1" ht="13.2">
      <c r="B645" s="86"/>
      <c r="C645" s="87"/>
      <c r="D645" s="87"/>
      <c r="E645" s="87"/>
      <c r="F645" s="87"/>
      <c r="G645" s="87"/>
      <c r="H645" s="87"/>
      <c r="I645" s="87"/>
      <c r="J645" s="87"/>
      <c r="K645" s="88"/>
      <c r="L645" s="89"/>
      <c r="M645" s="90"/>
      <c r="N645" s="57"/>
      <c r="O645" s="57"/>
      <c r="P645" s="91"/>
    </row>
    <row r="646" spans="2:16" s="50" customFormat="1" ht="13.2">
      <c r="B646" s="86"/>
      <c r="C646" s="87"/>
      <c r="D646" s="87"/>
      <c r="E646" s="87"/>
      <c r="F646" s="87"/>
      <c r="G646" s="87"/>
      <c r="H646" s="87"/>
      <c r="I646" s="87"/>
      <c r="J646" s="87"/>
      <c r="K646" s="88"/>
      <c r="L646" s="89"/>
      <c r="M646" s="90"/>
      <c r="N646" s="57"/>
      <c r="O646" s="57"/>
      <c r="P646" s="91"/>
    </row>
    <row r="647" spans="2:16" s="50" customFormat="1" ht="13.2">
      <c r="B647" s="86"/>
      <c r="C647" s="87"/>
      <c r="D647" s="87"/>
      <c r="E647" s="87"/>
      <c r="F647" s="87"/>
      <c r="G647" s="87"/>
      <c r="H647" s="87"/>
      <c r="I647" s="87"/>
      <c r="J647" s="87"/>
      <c r="K647" s="88"/>
      <c r="L647" s="89"/>
      <c r="M647" s="90"/>
      <c r="N647" s="57"/>
      <c r="O647" s="57"/>
      <c r="P647" s="91"/>
    </row>
    <row r="648" spans="2:16" s="50" customFormat="1" ht="13.2">
      <c r="B648" s="86"/>
      <c r="C648" s="87"/>
      <c r="D648" s="87"/>
      <c r="E648" s="87"/>
      <c r="F648" s="87"/>
      <c r="G648" s="87"/>
      <c r="H648" s="87"/>
      <c r="I648" s="87"/>
      <c r="J648" s="87"/>
      <c r="K648" s="88"/>
      <c r="L648" s="89"/>
      <c r="M648" s="90"/>
      <c r="N648" s="57"/>
      <c r="O648" s="57"/>
      <c r="P648" s="91"/>
    </row>
    <row r="649" spans="2:16" s="50" customFormat="1" ht="13.2">
      <c r="B649" s="86"/>
      <c r="C649" s="87"/>
      <c r="D649" s="87"/>
      <c r="E649" s="87"/>
      <c r="F649" s="87"/>
      <c r="G649" s="87"/>
      <c r="H649" s="87"/>
      <c r="I649" s="87"/>
      <c r="J649" s="87"/>
      <c r="K649" s="88"/>
      <c r="L649" s="89"/>
      <c r="M649" s="90"/>
      <c r="N649" s="57"/>
      <c r="O649" s="57"/>
      <c r="P649" s="91"/>
    </row>
    <row r="650" spans="2:16" s="50" customFormat="1" ht="13.2">
      <c r="B650" s="86"/>
      <c r="C650" s="87"/>
      <c r="D650" s="87"/>
      <c r="E650" s="87"/>
      <c r="F650" s="87"/>
      <c r="G650" s="87"/>
      <c r="H650" s="87"/>
      <c r="I650" s="87"/>
      <c r="J650" s="87"/>
      <c r="K650" s="88"/>
      <c r="L650" s="89"/>
      <c r="M650" s="90"/>
      <c r="N650" s="57"/>
      <c r="O650" s="57"/>
      <c r="P650" s="91"/>
    </row>
    <row r="651" spans="2:16" s="50" customFormat="1" ht="13.2">
      <c r="B651" s="86"/>
      <c r="C651" s="87"/>
      <c r="D651" s="87"/>
      <c r="E651" s="87"/>
      <c r="F651" s="87"/>
      <c r="G651" s="87"/>
      <c r="H651" s="87"/>
      <c r="I651" s="87"/>
      <c r="J651" s="87"/>
      <c r="K651" s="88"/>
      <c r="L651" s="89"/>
      <c r="M651" s="90"/>
      <c r="N651" s="57"/>
      <c r="O651" s="57"/>
      <c r="P651" s="91"/>
    </row>
    <row r="652" spans="2:16" s="50" customFormat="1" ht="13.2">
      <c r="B652" s="86"/>
      <c r="C652" s="87"/>
      <c r="D652" s="87"/>
      <c r="E652" s="87"/>
      <c r="F652" s="87"/>
      <c r="G652" s="87"/>
      <c r="H652" s="87"/>
      <c r="I652" s="87"/>
      <c r="J652" s="87"/>
      <c r="K652" s="88"/>
      <c r="L652" s="89"/>
      <c r="M652" s="90"/>
      <c r="N652" s="57"/>
      <c r="O652" s="57"/>
      <c r="P652" s="91"/>
    </row>
    <row r="653" spans="2:16" s="50" customFormat="1" ht="13.2">
      <c r="B653" s="86"/>
      <c r="C653" s="87"/>
      <c r="D653" s="87"/>
      <c r="E653" s="87"/>
      <c r="F653" s="87"/>
      <c r="G653" s="87"/>
      <c r="H653" s="87"/>
      <c r="I653" s="87"/>
      <c r="J653" s="87"/>
      <c r="K653" s="88"/>
      <c r="L653" s="89"/>
      <c r="M653" s="90"/>
      <c r="N653" s="57"/>
      <c r="O653" s="57"/>
      <c r="P653" s="91"/>
    </row>
    <row r="654" spans="2:16" s="50" customFormat="1" ht="13.2">
      <c r="B654" s="86"/>
      <c r="C654" s="87"/>
      <c r="D654" s="87"/>
      <c r="E654" s="87"/>
      <c r="F654" s="87"/>
      <c r="G654" s="87"/>
      <c r="H654" s="87"/>
      <c r="I654" s="87"/>
      <c r="J654" s="87"/>
      <c r="K654" s="88"/>
      <c r="L654" s="89"/>
      <c r="M654" s="90"/>
      <c r="N654" s="57"/>
      <c r="O654" s="57"/>
      <c r="P654" s="91"/>
    </row>
    <row r="655" spans="2:16" s="50" customFormat="1" ht="13.2">
      <c r="B655" s="86"/>
      <c r="C655" s="87"/>
      <c r="D655" s="87"/>
      <c r="E655" s="87"/>
      <c r="F655" s="87"/>
      <c r="G655" s="87"/>
      <c r="H655" s="87"/>
      <c r="I655" s="87"/>
      <c r="J655" s="87"/>
      <c r="K655" s="88"/>
      <c r="L655" s="89"/>
      <c r="M655" s="90"/>
      <c r="N655" s="57"/>
      <c r="O655" s="57"/>
      <c r="P655" s="91"/>
    </row>
    <row r="656" spans="2:16" s="50" customFormat="1" ht="13.2">
      <c r="B656" s="86"/>
      <c r="C656" s="87"/>
      <c r="D656" s="87"/>
      <c r="E656" s="87"/>
      <c r="F656" s="87"/>
      <c r="G656" s="87"/>
      <c r="H656" s="87"/>
      <c r="I656" s="87"/>
      <c r="J656" s="87"/>
      <c r="K656" s="88"/>
      <c r="L656" s="89"/>
      <c r="M656" s="90"/>
      <c r="N656" s="57"/>
      <c r="O656" s="57"/>
      <c r="P656" s="91"/>
    </row>
    <row r="657" spans="2:16" s="50" customFormat="1" ht="13.2">
      <c r="B657" s="86"/>
      <c r="C657" s="87"/>
      <c r="D657" s="87"/>
      <c r="E657" s="87"/>
      <c r="F657" s="87"/>
      <c r="G657" s="87"/>
      <c r="H657" s="87"/>
      <c r="I657" s="87"/>
      <c r="J657" s="87"/>
      <c r="K657" s="88"/>
      <c r="L657" s="89"/>
      <c r="M657" s="90"/>
      <c r="N657" s="57"/>
      <c r="O657" s="57"/>
      <c r="P657" s="91"/>
    </row>
    <row r="658" spans="2:16" s="50" customFormat="1" ht="13.2">
      <c r="B658" s="86"/>
      <c r="C658" s="87"/>
      <c r="D658" s="87"/>
      <c r="E658" s="87"/>
      <c r="F658" s="87"/>
      <c r="G658" s="87"/>
      <c r="H658" s="87"/>
      <c r="I658" s="87"/>
      <c r="J658" s="87"/>
      <c r="K658" s="88"/>
      <c r="L658" s="89"/>
      <c r="M658" s="90"/>
      <c r="N658" s="57"/>
      <c r="O658" s="57"/>
      <c r="P658" s="91"/>
    </row>
    <row r="659" spans="2:16" s="50" customFormat="1" ht="13.2">
      <c r="B659" s="86"/>
      <c r="C659" s="87"/>
      <c r="D659" s="87"/>
      <c r="E659" s="87"/>
      <c r="F659" s="87"/>
      <c r="G659" s="87"/>
      <c r="H659" s="87"/>
      <c r="I659" s="87"/>
      <c r="J659" s="87"/>
      <c r="K659" s="88"/>
      <c r="L659" s="89"/>
      <c r="M659" s="90"/>
      <c r="N659" s="57"/>
      <c r="O659" s="57"/>
      <c r="P659" s="91"/>
    </row>
    <row r="660" spans="2:16" s="50" customFormat="1" ht="13.2">
      <c r="B660" s="86"/>
      <c r="C660" s="87"/>
      <c r="D660" s="87"/>
      <c r="E660" s="87"/>
      <c r="F660" s="87"/>
      <c r="G660" s="87"/>
      <c r="H660" s="87"/>
      <c r="I660" s="87"/>
      <c r="J660" s="87"/>
      <c r="K660" s="88"/>
      <c r="L660" s="89"/>
      <c r="M660" s="90"/>
      <c r="N660" s="57"/>
      <c r="O660" s="57"/>
      <c r="P660" s="91"/>
    </row>
    <row r="661" spans="2:16" s="50" customFormat="1" ht="13.2">
      <c r="B661" s="86"/>
      <c r="C661" s="87"/>
      <c r="D661" s="87"/>
      <c r="E661" s="87"/>
      <c r="F661" s="87"/>
      <c r="G661" s="87"/>
      <c r="H661" s="87"/>
      <c r="I661" s="87"/>
      <c r="J661" s="87"/>
      <c r="K661" s="88"/>
      <c r="L661" s="89"/>
      <c r="M661" s="90"/>
      <c r="N661" s="57"/>
      <c r="O661" s="57"/>
      <c r="P661" s="91"/>
    </row>
    <row r="662" spans="2:16" s="50" customFormat="1" ht="13.2">
      <c r="B662" s="86"/>
      <c r="C662" s="87"/>
      <c r="D662" s="87"/>
      <c r="E662" s="87"/>
      <c r="F662" s="87"/>
      <c r="G662" s="87"/>
      <c r="H662" s="87"/>
      <c r="I662" s="87"/>
      <c r="J662" s="87"/>
      <c r="K662" s="88"/>
      <c r="L662" s="89"/>
      <c r="M662" s="90"/>
      <c r="N662" s="57"/>
      <c r="O662" s="57"/>
      <c r="P662" s="91"/>
    </row>
    <row r="663" spans="2:16" s="50" customFormat="1" ht="13.2">
      <c r="B663" s="86"/>
      <c r="C663" s="87"/>
      <c r="D663" s="87"/>
      <c r="E663" s="87"/>
      <c r="F663" s="87"/>
      <c r="G663" s="87"/>
      <c r="H663" s="87"/>
      <c r="I663" s="87"/>
      <c r="J663" s="87"/>
      <c r="K663" s="88"/>
      <c r="L663" s="89"/>
      <c r="M663" s="90"/>
      <c r="N663" s="57"/>
      <c r="O663" s="57"/>
      <c r="P663" s="91"/>
    </row>
    <row r="664" spans="2:16" s="50" customFormat="1" ht="13.2">
      <c r="B664" s="86"/>
      <c r="C664" s="87"/>
      <c r="D664" s="87"/>
      <c r="E664" s="87"/>
      <c r="F664" s="87"/>
      <c r="G664" s="87"/>
      <c r="H664" s="87"/>
      <c r="I664" s="87"/>
      <c r="J664" s="87"/>
      <c r="K664" s="88"/>
      <c r="L664" s="89"/>
      <c r="M664" s="90"/>
      <c r="N664" s="57"/>
      <c r="O664" s="57"/>
      <c r="P664" s="91"/>
    </row>
    <row r="665" spans="2:16" s="50" customFormat="1" ht="13.2">
      <c r="B665" s="86"/>
      <c r="C665" s="87"/>
      <c r="D665" s="87"/>
      <c r="E665" s="87"/>
      <c r="F665" s="87"/>
      <c r="G665" s="87"/>
      <c r="H665" s="87"/>
      <c r="I665" s="87"/>
      <c r="J665" s="87"/>
      <c r="K665" s="88"/>
      <c r="L665" s="89"/>
      <c r="M665" s="90"/>
      <c r="N665" s="57"/>
      <c r="O665" s="57"/>
      <c r="P665" s="91"/>
    </row>
    <row r="666" spans="2:16" s="50" customFormat="1" ht="13.2">
      <c r="B666" s="86"/>
      <c r="C666" s="87"/>
      <c r="D666" s="87"/>
      <c r="E666" s="87"/>
      <c r="F666" s="87"/>
      <c r="G666" s="87"/>
      <c r="H666" s="87"/>
      <c r="I666" s="87"/>
      <c r="J666" s="87"/>
      <c r="K666" s="88"/>
      <c r="L666" s="89"/>
      <c r="M666" s="90"/>
      <c r="N666" s="57"/>
      <c r="O666" s="57"/>
      <c r="P666" s="91"/>
    </row>
    <row r="667" spans="2:16" s="50" customFormat="1" ht="13.2">
      <c r="B667" s="86"/>
      <c r="C667" s="87"/>
      <c r="D667" s="87"/>
      <c r="E667" s="87"/>
      <c r="F667" s="87"/>
      <c r="G667" s="87"/>
      <c r="H667" s="87"/>
      <c r="I667" s="87"/>
      <c r="J667" s="87"/>
      <c r="K667" s="88"/>
      <c r="L667" s="89"/>
      <c r="M667" s="90"/>
      <c r="N667" s="57"/>
      <c r="O667" s="57"/>
      <c r="P667" s="91"/>
    </row>
    <row r="668" spans="2:16" s="50" customFormat="1" ht="13.2">
      <c r="B668" s="86"/>
      <c r="C668" s="87"/>
      <c r="D668" s="87"/>
      <c r="E668" s="87"/>
      <c r="F668" s="87"/>
      <c r="G668" s="87"/>
      <c r="H668" s="87"/>
      <c r="I668" s="87"/>
      <c r="J668" s="87"/>
      <c r="K668" s="88"/>
      <c r="L668" s="89"/>
      <c r="M668" s="90"/>
      <c r="N668" s="57"/>
      <c r="O668" s="57"/>
      <c r="P668" s="91"/>
    </row>
    <row r="669" spans="2:16" s="50" customFormat="1" ht="13.2">
      <c r="B669" s="86"/>
      <c r="C669" s="87"/>
      <c r="D669" s="87"/>
      <c r="E669" s="87"/>
      <c r="F669" s="87"/>
      <c r="G669" s="87"/>
      <c r="H669" s="87"/>
      <c r="I669" s="87"/>
      <c r="J669" s="87"/>
      <c r="K669" s="88"/>
      <c r="L669" s="89"/>
      <c r="M669" s="90"/>
      <c r="N669" s="57"/>
      <c r="O669" s="57"/>
      <c r="P669" s="91"/>
    </row>
    <row r="670" spans="2:16" s="50" customFormat="1" ht="13.2">
      <c r="B670" s="86"/>
      <c r="C670" s="87"/>
      <c r="D670" s="87"/>
      <c r="E670" s="87"/>
      <c r="F670" s="87"/>
      <c r="G670" s="87"/>
      <c r="H670" s="87"/>
      <c r="I670" s="87"/>
      <c r="J670" s="87"/>
      <c r="K670" s="88"/>
      <c r="L670" s="89"/>
      <c r="M670" s="90"/>
      <c r="N670" s="57"/>
      <c r="O670" s="57"/>
      <c r="P670" s="91"/>
    </row>
    <row r="671" spans="2:16" s="50" customFormat="1" ht="13.2">
      <c r="B671" s="86"/>
      <c r="C671" s="87"/>
      <c r="D671" s="87"/>
      <c r="E671" s="87"/>
      <c r="F671" s="87"/>
      <c r="G671" s="87"/>
      <c r="H671" s="87"/>
      <c r="I671" s="87"/>
      <c r="J671" s="87"/>
      <c r="K671" s="88"/>
      <c r="L671" s="89"/>
      <c r="M671" s="90"/>
      <c r="N671" s="57"/>
      <c r="O671" s="57"/>
      <c r="P671" s="91"/>
    </row>
    <row r="672" spans="2:16" s="50" customFormat="1" ht="13.2">
      <c r="B672" s="86"/>
      <c r="C672" s="87"/>
      <c r="D672" s="87"/>
      <c r="E672" s="87"/>
      <c r="F672" s="87"/>
      <c r="G672" s="87"/>
      <c r="H672" s="87"/>
      <c r="I672" s="87"/>
      <c r="J672" s="87"/>
      <c r="K672" s="88"/>
      <c r="L672" s="89"/>
      <c r="M672" s="90"/>
      <c r="N672" s="57"/>
      <c r="O672" s="57"/>
      <c r="P672" s="91"/>
    </row>
    <row r="673" spans="2:16" s="50" customFormat="1" ht="13.2">
      <c r="B673" s="86"/>
      <c r="C673" s="87"/>
      <c r="D673" s="87"/>
      <c r="E673" s="87"/>
      <c r="F673" s="87"/>
      <c r="G673" s="87"/>
      <c r="H673" s="87"/>
      <c r="I673" s="87"/>
      <c r="J673" s="87"/>
      <c r="K673" s="88"/>
      <c r="L673" s="89"/>
      <c r="M673" s="90"/>
      <c r="N673" s="57"/>
      <c r="O673" s="57"/>
      <c r="P673" s="91"/>
    </row>
    <row r="674" spans="2:16" s="50" customFormat="1" ht="13.2">
      <c r="B674" s="86"/>
      <c r="C674" s="87"/>
      <c r="D674" s="87"/>
      <c r="E674" s="87"/>
      <c r="F674" s="87"/>
      <c r="G674" s="87"/>
      <c r="H674" s="87"/>
      <c r="I674" s="87"/>
      <c r="J674" s="87"/>
      <c r="K674" s="88"/>
      <c r="L674" s="89"/>
      <c r="M674" s="90"/>
      <c r="N674" s="57"/>
      <c r="O674" s="57"/>
      <c r="P674" s="91"/>
    </row>
    <row r="675" spans="2:16" s="50" customFormat="1" ht="13.2">
      <c r="B675" s="86"/>
      <c r="C675" s="87"/>
      <c r="D675" s="87"/>
      <c r="E675" s="87"/>
      <c r="F675" s="87"/>
      <c r="G675" s="87"/>
      <c r="H675" s="87"/>
      <c r="I675" s="87"/>
      <c r="J675" s="87"/>
      <c r="K675" s="88"/>
      <c r="L675" s="89"/>
      <c r="M675" s="90"/>
      <c r="N675" s="57"/>
      <c r="O675" s="57"/>
      <c r="P675" s="91"/>
    </row>
    <row r="676" spans="2:16" s="50" customFormat="1" ht="13.2">
      <c r="B676" s="86"/>
      <c r="C676" s="87"/>
      <c r="D676" s="87"/>
      <c r="E676" s="87"/>
      <c r="F676" s="87"/>
      <c r="G676" s="87"/>
      <c r="H676" s="87"/>
      <c r="I676" s="87"/>
      <c r="J676" s="87"/>
      <c r="K676" s="88"/>
      <c r="L676" s="89"/>
      <c r="M676" s="90"/>
      <c r="N676" s="57"/>
      <c r="O676" s="57"/>
      <c r="P676" s="91"/>
    </row>
    <row r="677" spans="2:16" s="50" customFormat="1" ht="13.2">
      <c r="B677" s="86"/>
      <c r="C677" s="87"/>
      <c r="D677" s="87"/>
      <c r="E677" s="87"/>
      <c r="F677" s="87"/>
      <c r="G677" s="87"/>
      <c r="H677" s="87"/>
      <c r="I677" s="87"/>
      <c r="J677" s="87"/>
      <c r="K677" s="88"/>
      <c r="L677" s="89"/>
      <c r="M677" s="90"/>
      <c r="N677" s="57"/>
      <c r="O677" s="57"/>
      <c r="P677" s="91"/>
    </row>
    <row r="678" spans="2:16" s="50" customFormat="1" ht="13.2">
      <c r="B678" s="86"/>
      <c r="C678" s="87"/>
      <c r="D678" s="87"/>
      <c r="E678" s="87"/>
      <c r="F678" s="87"/>
      <c r="G678" s="87"/>
      <c r="H678" s="87"/>
      <c r="I678" s="87"/>
      <c r="J678" s="87"/>
      <c r="K678" s="88"/>
      <c r="L678" s="89"/>
      <c r="M678" s="90"/>
      <c r="N678" s="57"/>
      <c r="O678" s="57"/>
      <c r="P678" s="91"/>
    </row>
    <row r="679" spans="2:16" s="50" customFormat="1" ht="13.2">
      <c r="B679" s="86"/>
      <c r="C679" s="87"/>
      <c r="D679" s="87"/>
      <c r="E679" s="87"/>
      <c r="F679" s="87"/>
      <c r="G679" s="87"/>
      <c r="H679" s="87"/>
      <c r="I679" s="87"/>
      <c r="J679" s="87"/>
      <c r="K679" s="88"/>
      <c r="L679" s="89"/>
      <c r="M679" s="90"/>
      <c r="N679" s="57"/>
      <c r="O679" s="57"/>
      <c r="P679" s="91"/>
    </row>
    <row r="680" spans="2:16" s="50" customFormat="1" ht="13.2">
      <c r="B680" s="86"/>
      <c r="C680" s="87"/>
      <c r="D680" s="87"/>
      <c r="E680" s="87"/>
      <c r="F680" s="87"/>
      <c r="G680" s="87"/>
      <c r="H680" s="87"/>
      <c r="I680" s="87"/>
      <c r="J680" s="87"/>
      <c r="K680" s="88"/>
      <c r="L680" s="89"/>
      <c r="M680" s="90"/>
      <c r="N680" s="57"/>
      <c r="O680" s="57"/>
      <c r="P680" s="91"/>
    </row>
    <row r="681" spans="2:16" s="50" customFormat="1" ht="13.2">
      <c r="B681" s="86"/>
      <c r="C681" s="87"/>
      <c r="D681" s="87"/>
      <c r="E681" s="87"/>
      <c r="F681" s="87"/>
      <c r="G681" s="87"/>
      <c r="H681" s="87"/>
      <c r="I681" s="87"/>
      <c r="J681" s="87"/>
      <c r="K681" s="88"/>
      <c r="L681" s="89"/>
      <c r="M681" s="90"/>
      <c r="N681" s="57"/>
      <c r="O681" s="57"/>
      <c r="P681" s="91"/>
    </row>
    <row r="682" spans="2:16" s="50" customFormat="1" ht="13.2">
      <c r="B682" s="86"/>
      <c r="C682" s="87"/>
      <c r="D682" s="87"/>
      <c r="E682" s="87"/>
      <c r="F682" s="87"/>
      <c r="G682" s="87"/>
      <c r="H682" s="87"/>
      <c r="I682" s="87"/>
      <c r="J682" s="87"/>
      <c r="K682" s="88"/>
      <c r="L682" s="89"/>
      <c r="M682" s="90"/>
      <c r="N682" s="57"/>
      <c r="O682" s="57"/>
      <c r="P682" s="91"/>
    </row>
    <row r="683" spans="2:16" s="50" customFormat="1" ht="13.2">
      <c r="B683" s="86"/>
      <c r="C683" s="87"/>
      <c r="D683" s="87"/>
      <c r="E683" s="87"/>
      <c r="F683" s="87"/>
      <c r="G683" s="87"/>
      <c r="H683" s="87"/>
      <c r="I683" s="87"/>
      <c r="J683" s="87"/>
      <c r="K683" s="88"/>
      <c r="L683" s="89"/>
      <c r="M683" s="90"/>
      <c r="N683" s="57"/>
      <c r="O683" s="57"/>
      <c r="P683" s="91"/>
    </row>
    <row r="684" spans="2:16" s="50" customFormat="1" ht="13.2">
      <c r="B684" s="86"/>
      <c r="C684" s="87"/>
      <c r="D684" s="87"/>
      <c r="E684" s="87"/>
      <c r="F684" s="87"/>
      <c r="G684" s="87"/>
      <c r="H684" s="87"/>
      <c r="I684" s="87"/>
      <c r="J684" s="87"/>
      <c r="K684" s="88"/>
      <c r="L684" s="89"/>
      <c r="M684" s="90"/>
      <c r="N684" s="57"/>
      <c r="O684" s="57"/>
      <c r="P684" s="91"/>
    </row>
    <row r="685" spans="2:16" s="50" customFormat="1" ht="13.2">
      <c r="B685" s="86"/>
      <c r="C685" s="87"/>
      <c r="D685" s="87"/>
      <c r="E685" s="87"/>
      <c r="F685" s="87"/>
      <c r="G685" s="87"/>
      <c r="H685" s="87"/>
      <c r="I685" s="87"/>
      <c r="J685" s="87"/>
      <c r="K685" s="88"/>
      <c r="L685" s="89"/>
      <c r="M685" s="90"/>
      <c r="N685" s="57"/>
      <c r="O685" s="57"/>
      <c r="P685" s="91"/>
    </row>
    <row r="686" spans="2:16" s="50" customFormat="1" ht="13.2">
      <c r="B686" s="86"/>
      <c r="C686" s="87"/>
      <c r="D686" s="87"/>
      <c r="E686" s="87"/>
      <c r="F686" s="87"/>
      <c r="G686" s="87"/>
      <c r="H686" s="87"/>
      <c r="I686" s="87"/>
      <c r="J686" s="87"/>
      <c r="K686" s="88"/>
      <c r="L686" s="89"/>
      <c r="M686" s="90"/>
      <c r="N686" s="57"/>
      <c r="O686" s="57"/>
      <c r="P686" s="91"/>
    </row>
    <row r="687" spans="2:16" s="50" customFormat="1" ht="13.2">
      <c r="B687" s="86"/>
      <c r="C687" s="87"/>
      <c r="D687" s="87"/>
      <c r="E687" s="87"/>
      <c r="F687" s="87"/>
      <c r="G687" s="87"/>
      <c r="H687" s="87"/>
      <c r="I687" s="87"/>
      <c r="J687" s="87"/>
      <c r="K687" s="88"/>
      <c r="L687" s="89"/>
      <c r="M687" s="90"/>
      <c r="N687" s="57"/>
      <c r="O687" s="57"/>
      <c r="P687" s="91"/>
    </row>
    <row r="688" spans="2:16" s="50" customFormat="1" ht="13.2">
      <c r="B688" s="86"/>
      <c r="C688" s="87"/>
      <c r="D688" s="87"/>
      <c r="E688" s="87"/>
      <c r="F688" s="87"/>
      <c r="G688" s="87"/>
      <c r="H688" s="87"/>
      <c r="I688" s="87"/>
      <c r="J688" s="87"/>
      <c r="K688" s="88"/>
      <c r="L688" s="89"/>
      <c r="M688" s="90"/>
      <c r="N688" s="57"/>
      <c r="O688" s="57"/>
      <c r="P688" s="91"/>
    </row>
    <row r="689" spans="2:16" s="50" customFormat="1" ht="13.2">
      <c r="B689" s="86"/>
      <c r="C689" s="87"/>
      <c r="D689" s="87"/>
      <c r="E689" s="87"/>
      <c r="F689" s="87"/>
      <c r="G689" s="87"/>
      <c r="H689" s="87"/>
      <c r="I689" s="87"/>
      <c r="J689" s="87"/>
      <c r="K689" s="88"/>
      <c r="L689" s="89"/>
      <c r="M689" s="90"/>
      <c r="N689" s="57"/>
      <c r="O689" s="57"/>
      <c r="P689" s="91"/>
    </row>
    <row r="690" spans="2:16" s="50" customFormat="1" ht="13.2">
      <c r="B690" s="86"/>
      <c r="C690" s="87"/>
      <c r="D690" s="87"/>
      <c r="E690" s="87"/>
      <c r="F690" s="87"/>
      <c r="G690" s="87"/>
      <c r="H690" s="87"/>
      <c r="I690" s="87"/>
      <c r="J690" s="87"/>
      <c r="K690" s="88"/>
      <c r="L690" s="89"/>
      <c r="M690" s="90"/>
      <c r="N690" s="57"/>
      <c r="O690" s="57"/>
      <c r="P690" s="91"/>
    </row>
    <row r="691" spans="2:16" s="50" customFormat="1" ht="13.2">
      <c r="B691" s="86"/>
      <c r="C691" s="87"/>
      <c r="D691" s="87"/>
      <c r="E691" s="87"/>
      <c r="F691" s="87"/>
      <c r="G691" s="87"/>
      <c r="H691" s="87"/>
      <c r="I691" s="87"/>
      <c r="J691" s="87"/>
      <c r="K691" s="88"/>
      <c r="L691" s="89"/>
      <c r="M691" s="90"/>
      <c r="N691" s="57"/>
      <c r="O691" s="57"/>
      <c r="P691" s="91"/>
    </row>
    <row r="692" spans="2:16" s="50" customFormat="1" ht="13.2">
      <c r="B692" s="86"/>
      <c r="C692" s="87"/>
      <c r="D692" s="87"/>
      <c r="E692" s="87"/>
      <c r="F692" s="87"/>
      <c r="G692" s="87"/>
      <c r="H692" s="87"/>
      <c r="I692" s="87"/>
      <c r="J692" s="87"/>
      <c r="K692" s="88"/>
      <c r="L692" s="89"/>
      <c r="M692" s="90"/>
      <c r="N692" s="57"/>
      <c r="O692" s="57"/>
      <c r="P692" s="91"/>
    </row>
    <row r="693" spans="2:16" s="50" customFormat="1" ht="13.2">
      <c r="B693" s="86"/>
      <c r="C693" s="87"/>
      <c r="D693" s="87"/>
      <c r="E693" s="87"/>
      <c r="F693" s="87"/>
      <c r="G693" s="87"/>
      <c r="H693" s="87"/>
      <c r="I693" s="87"/>
      <c r="J693" s="87"/>
      <c r="K693" s="88"/>
      <c r="L693" s="89"/>
      <c r="M693" s="90"/>
      <c r="N693" s="57"/>
      <c r="O693" s="57"/>
      <c r="P693" s="91"/>
    </row>
    <row r="694" spans="2:16" s="50" customFormat="1" ht="13.2">
      <c r="B694" s="86"/>
      <c r="C694" s="87"/>
      <c r="D694" s="87"/>
      <c r="E694" s="87"/>
      <c r="F694" s="87"/>
      <c r="G694" s="87"/>
      <c r="H694" s="87"/>
      <c r="I694" s="87"/>
      <c r="J694" s="87"/>
      <c r="K694" s="88"/>
      <c r="L694" s="89"/>
      <c r="M694" s="90"/>
      <c r="N694" s="57"/>
      <c r="O694" s="57"/>
      <c r="P694" s="91"/>
    </row>
    <row r="695" spans="2:16" s="50" customFormat="1" ht="13.2">
      <c r="B695" s="86"/>
      <c r="C695" s="87"/>
      <c r="D695" s="87"/>
      <c r="E695" s="87"/>
      <c r="F695" s="87"/>
      <c r="G695" s="87"/>
      <c r="H695" s="87"/>
      <c r="I695" s="87"/>
      <c r="J695" s="87"/>
      <c r="K695" s="88"/>
      <c r="L695" s="89"/>
      <c r="M695" s="90"/>
      <c r="N695" s="57"/>
      <c r="O695" s="57"/>
      <c r="P695" s="91"/>
    </row>
    <row r="696" spans="2:16" s="50" customFormat="1" ht="13.2">
      <c r="B696" s="86"/>
      <c r="C696" s="87"/>
      <c r="D696" s="87"/>
      <c r="E696" s="87"/>
      <c r="F696" s="87"/>
      <c r="G696" s="87"/>
      <c r="H696" s="87"/>
      <c r="I696" s="87"/>
      <c r="J696" s="87"/>
      <c r="K696" s="88"/>
      <c r="L696" s="89"/>
      <c r="M696" s="90"/>
      <c r="N696" s="57"/>
      <c r="O696" s="57"/>
      <c r="P696" s="91"/>
    </row>
    <row r="697" spans="2:16" s="50" customFormat="1" ht="13.2">
      <c r="B697" s="86"/>
      <c r="C697" s="87"/>
      <c r="D697" s="87"/>
      <c r="E697" s="87"/>
      <c r="F697" s="87"/>
      <c r="G697" s="87"/>
      <c r="H697" s="87"/>
      <c r="I697" s="87"/>
      <c r="J697" s="87"/>
      <c r="K697" s="88"/>
      <c r="L697" s="89"/>
      <c r="M697" s="90"/>
      <c r="N697" s="57"/>
      <c r="O697" s="57"/>
      <c r="P697" s="91"/>
    </row>
    <row r="698" spans="2:16" s="50" customFormat="1" ht="13.2">
      <c r="B698" s="86"/>
      <c r="C698" s="87"/>
      <c r="D698" s="87"/>
      <c r="E698" s="87"/>
      <c r="F698" s="87"/>
      <c r="G698" s="87"/>
      <c r="H698" s="87"/>
      <c r="I698" s="87"/>
      <c r="J698" s="87"/>
      <c r="K698" s="88"/>
      <c r="L698" s="89"/>
      <c r="M698" s="90"/>
      <c r="N698" s="57"/>
      <c r="O698" s="57"/>
      <c r="P698" s="91"/>
    </row>
    <row r="699" spans="2:16" s="50" customFormat="1" ht="13.2">
      <c r="B699" s="86"/>
      <c r="C699" s="87"/>
      <c r="D699" s="87"/>
      <c r="E699" s="87"/>
      <c r="F699" s="87"/>
      <c r="G699" s="87"/>
      <c r="H699" s="87"/>
      <c r="I699" s="87"/>
      <c r="J699" s="87"/>
      <c r="K699" s="88"/>
      <c r="L699" s="89"/>
      <c r="M699" s="90"/>
      <c r="N699" s="57"/>
      <c r="O699" s="57"/>
      <c r="P699" s="91"/>
    </row>
    <row r="700" spans="2:16" s="50" customFormat="1" ht="13.2">
      <c r="B700" s="86"/>
      <c r="C700" s="87"/>
      <c r="D700" s="87"/>
      <c r="E700" s="87"/>
      <c r="F700" s="87"/>
      <c r="G700" s="87"/>
      <c r="H700" s="87"/>
      <c r="I700" s="87"/>
      <c r="J700" s="87"/>
      <c r="K700" s="88"/>
      <c r="L700" s="89"/>
      <c r="M700" s="90"/>
      <c r="N700" s="57"/>
      <c r="O700" s="57"/>
      <c r="P700" s="91"/>
    </row>
    <row r="701" spans="2:16" s="50" customFormat="1" ht="13.2">
      <c r="B701" s="86"/>
      <c r="C701" s="87"/>
      <c r="D701" s="87"/>
      <c r="E701" s="87"/>
      <c r="F701" s="87"/>
      <c r="G701" s="87"/>
      <c r="H701" s="87"/>
      <c r="I701" s="87"/>
      <c r="J701" s="87"/>
      <c r="K701" s="88"/>
      <c r="L701" s="89"/>
      <c r="M701" s="90"/>
      <c r="N701" s="57"/>
      <c r="O701" s="57"/>
      <c r="P701" s="91"/>
    </row>
    <row r="702" spans="2:16" s="50" customFormat="1" ht="13.2">
      <c r="B702" s="86"/>
      <c r="C702" s="87"/>
      <c r="D702" s="87"/>
      <c r="E702" s="87"/>
      <c r="F702" s="87"/>
      <c r="G702" s="87"/>
      <c r="H702" s="87"/>
      <c r="I702" s="87"/>
      <c r="J702" s="87"/>
      <c r="K702" s="88"/>
      <c r="L702" s="89"/>
      <c r="M702" s="90"/>
      <c r="N702" s="57"/>
      <c r="O702" s="57"/>
      <c r="P702" s="91"/>
    </row>
    <row r="703" spans="2:16" s="50" customFormat="1" ht="13.2">
      <c r="B703" s="86"/>
      <c r="C703" s="87"/>
      <c r="D703" s="87"/>
      <c r="E703" s="87"/>
      <c r="F703" s="87"/>
      <c r="G703" s="87"/>
      <c r="H703" s="87"/>
      <c r="I703" s="87"/>
      <c r="J703" s="87"/>
      <c r="K703" s="88"/>
      <c r="L703" s="89"/>
      <c r="M703" s="90"/>
      <c r="N703" s="57"/>
      <c r="O703" s="57"/>
      <c r="P703" s="91"/>
    </row>
    <row r="704" spans="2:16" s="50" customFormat="1" ht="13.2">
      <c r="B704" s="86"/>
      <c r="C704" s="87"/>
      <c r="D704" s="87"/>
      <c r="E704" s="87"/>
      <c r="F704" s="87"/>
      <c r="G704" s="87"/>
      <c r="H704" s="87"/>
      <c r="I704" s="87"/>
      <c r="J704" s="87"/>
      <c r="K704" s="88"/>
      <c r="L704" s="89"/>
      <c r="M704" s="90"/>
      <c r="N704" s="57"/>
      <c r="O704" s="57"/>
      <c r="P704" s="91"/>
    </row>
    <row r="705" spans="2:16" s="50" customFormat="1" ht="13.2">
      <c r="B705" s="86"/>
      <c r="C705" s="87"/>
      <c r="D705" s="87"/>
      <c r="E705" s="87"/>
      <c r="F705" s="87"/>
      <c r="G705" s="87"/>
      <c r="H705" s="87"/>
      <c r="I705" s="87"/>
      <c r="J705" s="87"/>
      <c r="K705" s="88"/>
      <c r="L705" s="89"/>
      <c r="M705" s="90"/>
      <c r="N705" s="57"/>
      <c r="O705" s="57"/>
      <c r="P705" s="91"/>
    </row>
    <row r="706" spans="2:16" s="50" customFormat="1" ht="13.2">
      <c r="B706" s="86"/>
      <c r="C706" s="87"/>
      <c r="D706" s="87"/>
      <c r="E706" s="87"/>
      <c r="F706" s="87"/>
      <c r="G706" s="87"/>
      <c r="H706" s="87"/>
      <c r="I706" s="87"/>
      <c r="J706" s="87"/>
      <c r="K706" s="88"/>
      <c r="L706" s="89"/>
      <c r="M706" s="90"/>
      <c r="N706" s="57"/>
      <c r="O706" s="57"/>
      <c r="P706" s="91"/>
    </row>
    <row r="707" spans="2:16" s="50" customFormat="1" ht="13.2">
      <c r="B707" s="86"/>
      <c r="C707" s="87"/>
      <c r="D707" s="87"/>
      <c r="E707" s="87"/>
      <c r="F707" s="87"/>
      <c r="G707" s="87"/>
      <c r="H707" s="87"/>
      <c r="I707" s="87"/>
      <c r="J707" s="87"/>
      <c r="K707" s="88"/>
      <c r="L707" s="89"/>
      <c r="M707" s="90"/>
      <c r="N707" s="57"/>
      <c r="O707" s="57"/>
      <c r="P707" s="91"/>
    </row>
    <row r="708" spans="2:16" s="50" customFormat="1" ht="13.2">
      <c r="B708" s="86"/>
      <c r="C708" s="87"/>
      <c r="D708" s="87"/>
      <c r="E708" s="87"/>
      <c r="F708" s="87"/>
      <c r="G708" s="87"/>
      <c r="H708" s="87"/>
      <c r="I708" s="87"/>
      <c r="J708" s="87"/>
      <c r="K708" s="88"/>
      <c r="L708" s="89"/>
      <c r="M708" s="90"/>
      <c r="N708" s="57"/>
      <c r="O708" s="57"/>
      <c r="P708" s="91"/>
    </row>
    <row r="709" spans="2:16" s="50" customFormat="1" ht="13.2">
      <c r="B709" s="86"/>
      <c r="C709" s="87"/>
      <c r="D709" s="87"/>
      <c r="E709" s="87"/>
      <c r="F709" s="87"/>
      <c r="G709" s="87"/>
      <c r="H709" s="87"/>
      <c r="I709" s="87"/>
      <c r="J709" s="87"/>
      <c r="K709" s="88"/>
      <c r="L709" s="89"/>
      <c r="M709" s="90"/>
      <c r="N709" s="57"/>
      <c r="O709" s="57"/>
      <c r="P709" s="91"/>
    </row>
    <row r="710" spans="2:16" s="50" customFormat="1" ht="13.2">
      <c r="B710" s="86"/>
      <c r="C710" s="87"/>
      <c r="D710" s="87"/>
      <c r="E710" s="87"/>
      <c r="F710" s="87"/>
      <c r="G710" s="87"/>
      <c r="H710" s="87"/>
      <c r="I710" s="87"/>
      <c r="J710" s="87"/>
      <c r="K710" s="88"/>
      <c r="L710" s="89"/>
      <c r="M710" s="90"/>
      <c r="N710" s="57"/>
      <c r="O710" s="57"/>
      <c r="P710" s="91"/>
    </row>
    <row r="711" spans="2:16" s="50" customFormat="1" ht="13.2">
      <c r="B711" s="86"/>
      <c r="C711" s="87"/>
      <c r="D711" s="87"/>
      <c r="E711" s="87"/>
      <c r="F711" s="87"/>
      <c r="G711" s="87"/>
      <c r="H711" s="87"/>
      <c r="I711" s="87"/>
      <c r="J711" s="87"/>
      <c r="K711" s="88"/>
      <c r="L711" s="89"/>
      <c r="M711" s="90"/>
      <c r="N711" s="57"/>
      <c r="O711" s="57"/>
      <c r="P711" s="91"/>
    </row>
    <row r="712" spans="2:16" s="50" customFormat="1" ht="13.2">
      <c r="B712" s="86"/>
      <c r="C712" s="87"/>
      <c r="D712" s="87"/>
      <c r="E712" s="87"/>
      <c r="F712" s="87"/>
      <c r="G712" s="87"/>
      <c r="H712" s="87"/>
      <c r="I712" s="87"/>
      <c r="J712" s="87"/>
      <c r="K712" s="88"/>
      <c r="L712" s="89"/>
      <c r="M712" s="90"/>
      <c r="N712" s="57"/>
      <c r="O712" s="57"/>
      <c r="P712" s="91"/>
    </row>
    <row r="713" spans="2:16" s="50" customFormat="1" ht="13.2">
      <c r="B713" s="86"/>
      <c r="C713" s="87"/>
      <c r="D713" s="87"/>
      <c r="E713" s="87"/>
      <c r="F713" s="87"/>
      <c r="G713" s="87"/>
      <c r="H713" s="87"/>
      <c r="I713" s="87"/>
      <c r="J713" s="87"/>
      <c r="K713" s="88"/>
      <c r="L713" s="89"/>
      <c r="M713" s="90"/>
      <c r="N713" s="57"/>
      <c r="O713" s="57"/>
      <c r="P713" s="91"/>
    </row>
    <row r="714" spans="2:16" s="50" customFormat="1" ht="13.2">
      <c r="B714" s="86"/>
      <c r="C714" s="87"/>
      <c r="D714" s="87"/>
      <c r="E714" s="87"/>
      <c r="F714" s="87"/>
      <c r="G714" s="87"/>
      <c r="H714" s="87"/>
      <c r="I714" s="87"/>
      <c r="J714" s="87"/>
      <c r="K714" s="88"/>
      <c r="L714" s="89"/>
      <c r="M714" s="90"/>
      <c r="N714" s="57"/>
      <c r="O714" s="57"/>
      <c r="P714" s="91"/>
    </row>
    <row r="715" spans="2:16" s="50" customFormat="1" ht="13.2">
      <c r="B715" s="86"/>
      <c r="C715" s="87"/>
      <c r="D715" s="87"/>
      <c r="E715" s="87"/>
      <c r="F715" s="87"/>
      <c r="G715" s="87"/>
      <c r="H715" s="87"/>
      <c r="I715" s="87"/>
      <c r="J715" s="87"/>
      <c r="K715" s="88"/>
      <c r="L715" s="89"/>
      <c r="M715" s="90"/>
      <c r="N715" s="57"/>
      <c r="O715" s="57"/>
      <c r="P715" s="91"/>
    </row>
    <row r="716" spans="2:16" s="50" customFormat="1" ht="13.2">
      <c r="B716" s="86"/>
      <c r="C716" s="87"/>
      <c r="D716" s="87"/>
      <c r="E716" s="87"/>
      <c r="F716" s="87"/>
      <c r="G716" s="87"/>
      <c r="H716" s="87"/>
      <c r="I716" s="87"/>
      <c r="J716" s="87"/>
      <c r="K716" s="88"/>
      <c r="L716" s="89"/>
      <c r="M716" s="90"/>
      <c r="N716" s="57"/>
      <c r="O716" s="57"/>
      <c r="P716" s="91"/>
    </row>
    <row r="717" spans="2:16" s="50" customFormat="1" ht="13.2">
      <c r="B717" s="86"/>
      <c r="C717" s="87"/>
      <c r="D717" s="87"/>
      <c r="E717" s="87"/>
      <c r="F717" s="87"/>
      <c r="G717" s="87"/>
      <c r="H717" s="87"/>
      <c r="I717" s="87"/>
      <c r="J717" s="87"/>
      <c r="K717" s="88"/>
      <c r="L717" s="89"/>
      <c r="M717" s="90"/>
      <c r="N717" s="57"/>
      <c r="O717" s="57"/>
      <c r="P717" s="91"/>
    </row>
    <row r="718" spans="2:16" s="50" customFormat="1" ht="13.2">
      <c r="B718" s="86"/>
      <c r="C718" s="87"/>
      <c r="D718" s="87"/>
      <c r="E718" s="87"/>
      <c r="F718" s="87"/>
      <c r="G718" s="87"/>
      <c r="H718" s="87"/>
      <c r="I718" s="87"/>
      <c r="J718" s="87"/>
      <c r="K718" s="88"/>
      <c r="L718" s="89"/>
      <c r="M718" s="90"/>
      <c r="N718" s="57"/>
      <c r="O718" s="57"/>
      <c r="P718" s="91"/>
    </row>
    <row r="719" spans="2:16" s="50" customFormat="1" ht="13.2">
      <c r="B719" s="86"/>
      <c r="C719" s="87"/>
      <c r="D719" s="87"/>
      <c r="E719" s="87"/>
      <c r="F719" s="87"/>
      <c r="G719" s="87"/>
      <c r="H719" s="87"/>
      <c r="I719" s="87"/>
      <c r="J719" s="87"/>
      <c r="K719" s="88"/>
      <c r="L719" s="89"/>
      <c r="M719" s="90"/>
      <c r="N719" s="57"/>
      <c r="O719" s="57"/>
      <c r="P719" s="91"/>
    </row>
    <row r="720" spans="2:16" s="50" customFormat="1" ht="13.2">
      <c r="B720" s="86"/>
      <c r="C720" s="87"/>
      <c r="D720" s="87"/>
      <c r="E720" s="87"/>
      <c r="F720" s="87"/>
      <c r="G720" s="87"/>
      <c r="H720" s="87"/>
      <c r="I720" s="87"/>
      <c r="J720" s="87"/>
      <c r="K720" s="88"/>
      <c r="L720" s="89"/>
      <c r="M720" s="90"/>
      <c r="N720" s="57"/>
      <c r="O720" s="57"/>
      <c r="P720" s="91"/>
    </row>
    <row r="721" spans="2:16" s="50" customFormat="1" ht="13.2">
      <c r="B721" s="86"/>
      <c r="C721" s="87"/>
      <c r="D721" s="87"/>
      <c r="E721" s="87"/>
      <c r="F721" s="87"/>
      <c r="G721" s="87"/>
      <c r="H721" s="87"/>
      <c r="I721" s="87"/>
      <c r="J721" s="87"/>
      <c r="K721" s="88"/>
      <c r="L721" s="89"/>
      <c r="M721" s="90"/>
      <c r="N721" s="57"/>
      <c r="O721" s="57"/>
      <c r="P721" s="91"/>
    </row>
    <row r="722" spans="2:16" s="50" customFormat="1" ht="13.2">
      <c r="B722" s="86"/>
      <c r="C722" s="87"/>
      <c r="D722" s="87"/>
      <c r="E722" s="87"/>
      <c r="F722" s="87"/>
      <c r="G722" s="87"/>
      <c r="H722" s="87"/>
      <c r="I722" s="87"/>
      <c r="J722" s="87"/>
      <c r="K722" s="88"/>
      <c r="L722" s="89"/>
      <c r="M722" s="90"/>
      <c r="N722" s="57"/>
      <c r="O722" s="57"/>
      <c r="P722" s="91"/>
    </row>
    <row r="723" spans="2:16" s="50" customFormat="1" ht="13.2">
      <c r="B723" s="86"/>
      <c r="C723" s="87"/>
      <c r="D723" s="87"/>
      <c r="E723" s="87"/>
      <c r="F723" s="87"/>
      <c r="G723" s="87"/>
      <c r="H723" s="87"/>
      <c r="I723" s="87"/>
      <c r="J723" s="87"/>
      <c r="K723" s="88"/>
      <c r="L723" s="89"/>
      <c r="M723" s="90"/>
      <c r="N723" s="57"/>
      <c r="O723" s="57"/>
      <c r="P723" s="91"/>
    </row>
    <row r="724" spans="2:16" s="50" customFormat="1" ht="13.2">
      <c r="B724" s="86"/>
      <c r="C724" s="87"/>
      <c r="D724" s="87"/>
      <c r="E724" s="87"/>
      <c r="F724" s="87"/>
      <c r="G724" s="87"/>
      <c r="H724" s="87"/>
      <c r="I724" s="87"/>
      <c r="J724" s="87"/>
      <c r="K724" s="88"/>
      <c r="L724" s="89"/>
      <c r="M724" s="90"/>
      <c r="N724" s="57"/>
      <c r="O724" s="57"/>
      <c r="P724" s="91"/>
    </row>
    <row r="725" spans="2:16" s="50" customFormat="1" ht="13.2">
      <c r="B725" s="86"/>
      <c r="C725" s="87"/>
      <c r="D725" s="87"/>
      <c r="E725" s="87"/>
      <c r="F725" s="87"/>
      <c r="G725" s="87"/>
      <c r="H725" s="87"/>
      <c r="I725" s="87"/>
      <c r="J725" s="87"/>
      <c r="K725" s="88"/>
      <c r="L725" s="89"/>
      <c r="M725" s="90"/>
      <c r="N725" s="57"/>
      <c r="O725" s="57"/>
      <c r="P725" s="91"/>
    </row>
    <row r="726" spans="2:16" s="50" customFormat="1" ht="13.2">
      <c r="B726" s="86"/>
      <c r="C726" s="87"/>
      <c r="D726" s="87"/>
      <c r="E726" s="87"/>
      <c r="F726" s="87"/>
      <c r="G726" s="87"/>
      <c r="H726" s="87"/>
      <c r="I726" s="87"/>
      <c r="J726" s="87"/>
      <c r="K726" s="88"/>
      <c r="L726" s="89"/>
      <c r="M726" s="90"/>
      <c r="N726" s="57"/>
      <c r="O726" s="57"/>
      <c r="P726" s="91"/>
    </row>
    <row r="727" spans="2:16" s="50" customFormat="1" ht="13.2">
      <c r="B727" s="86"/>
      <c r="C727" s="87"/>
      <c r="D727" s="87"/>
      <c r="E727" s="87"/>
      <c r="F727" s="87"/>
      <c r="G727" s="87"/>
      <c r="H727" s="87"/>
      <c r="I727" s="87"/>
      <c r="J727" s="87"/>
      <c r="K727" s="88"/>
      <c r="L727" s="89"/>
      <c r="M727" s="90"/>
      <c r="N727" s="57"/>
      <c r="O727" s="57"/>
      <c r="P727" s="91"/>
    </row>
    <row r="728" spans="2:16" s="50" customFormat="1" ht="13.2">
      <c r="B728" s="86"/>
      <c r="C728" s="87"/>
      <c r="D728" s="87"/>
      <c r="E728" s="87"/>
      <c r="F728" s="87"/>
      <c r="G728" s="87"/>
      <c r="H728" s="87"/>
      <c r="I728" s="87"/>
      <c r="J728" s="87"/>
      <c r="K728" s="88"/>
      <c r="L728" s="89"/>
      <c r="M728" s="90"/>
      <c r="N728" s="57"/>
      <c r="O728" s="57"/>
      <c r="P728" s="91"/>
    </row>
    <row r="729" spans="2:16" s="50" customFormat="1" ht="13.2">
      <c r="B729" s="86"/>
      <c r="C729" s="87"/>
      <c r="D729" s="87"/>
      <c r="E729" s="87"/>
      <c r="F729" s="87"/>
      <c r="G729" s="87"/>
      <c r="H729" s="87"/>
      <c r="I729" s="87"/>
      <c r="J729" s="87"/>
      <c r="K729" s="88"/>
      <c r="L729" s="89"/>
      <c r="M729" s="90"/>
      <c r="N729" s="57"/>
      <c r="O729" s="57"/>
      <c r="P729" s="91"/>
    </row>
    <row r="730" spans="2:16" s="50" customFormat="1" ht="13.2">
      <c r="B730" s="86"/>
      <c r="C730" s="87"/>
      <c r="D730" s="87"/>
      <c r="E730" s="87"/>
      <c r="F730" s="87"/>
      <c r="G730" s="87"/>
      <c r="H730" s="87"/>
      <c r="I730" s="87"/>
      <c r="J730" s="87"/>
      <c r="K730" s="88"/>
      <c r="L730" s="89"/>
      <c r="M730" s="90"/>
      <c r="N730" s="57"/>
      <c r="O730" s="57"/>
      <c r="P730" s="91"/>
    </row>
    <row r="731" spans="2:16" s="50" customFormat="1" ht="13.2">
      <c r="B731" s="86"/>
      <c r="C731" s="87"/>
      <c r="D731" s="87"/>
      <c r="E731" s="87"/>
      <c r="F731" s="87"/>
      <c r="G731" s="87"/>
      <c r="H731" s="87"/>
      <c r="I731" s="87"/>
      <c r="J731" s="87"/>
      <c r="K731" s="88"/>
      <c r="L731" s="89"/>
      <c r="M731" s="90"/>
      <c r="N731" s="57"/>
      <c r="O731" s="57"/>
      <c r="P731" s="91"/>
    </row>
    <row r="732" spans="2:16" s="50" customFormat="1" ht="13.2">
      <c r="B732" s="86"/>
      <c r="C732" s="87"/>
      <c r="D732" s="87"/>
      <c r="E732" s="87"/>
      <c r="F732" s="87"/>
      <c r="G732" s="87"/>
      <c r="H732" s="87"/>
      <c r="I732" s="87"/>
      <c r="J732" s="87"/>
      <c r="K732" s="88"/>
      <c r="L732" s="89"/>
      <c r="M732" s="90"/>
      <c r="N732" s="57"/>
      <c r="O732" s="57"/>
      <c r="P732" s="91"/>
    </row>
    <row r="733" spans="2:16" s="50" customFormat="1" ht="13.2">
      <c r="B733" s="86"/>
      <c r="C733" s="87"/>
      <c r="D733" s="87"/>
      <c r="E733" s="87"/>
      <c r="F733" s="87"/>
      <c r="G733" s="87"/>
      <c r="H733" s="87"/>
      <c r="I733" s="87"/>
      <c r="J733" s="87"/>
      <c r="K733" s="88"/>
      <c r="L733" s="89"/>
      <c r="M733" s="90"/>
      <c r="N733" s="57"/>
      <c r="O733" s="57"/>
      <c r="P733" s="91"/>
    </row>
    <row r="734" spans="2:16" s="50" customFormat="1" ht="13.2">
      <c r="B734" s="86"/>
      <c r="C734" s="87"/>
      <c r="D734" s="87"/>
      <c r="E734" s="87"/>
      <c r="F734" s="87"/>
      <c r="G734" s="87"/>
      <c r="H734" s="87"/>
      <c r="I734" s="87"/>
      <c r="J734" s="87"/>
      <c r="K734" s="88"/>
      <c r="L734" s="89"/>
      <c r="M734" s="90"/>
      <c r="N734" s="57"/>
      <c r="O734" s="57"/>
      <c r="P734" s="91"/>
    </row>
    <row r="735" spans="2:16" s="50" customFormat="1" ht="13.2">
      <c r="B735" s="86"/>
      <c r="C735" s="87"/>
      <c r="D735" s="87"/>
      <c r="E735" s="87"/>
      <c r="F735" s="87"/>
      <c r="G735" s="87"/>
      <c r="H735" s="87"/>
      <c r="I735" s="87"/>
      <c r="J735" s="87"/>
      <c r="K735" s="88"/>
      <c r="L735" s="89"/>
      <c r="M735" s="90"/>
      <c r="N735" s="57"/>
      <c r="O735" s="57"/>
      <c r="P735" s="91"/>
    </row>
    <row r="736" spans="2:16" s="50" customFormat="1" ht="13.2">
      <c r="B736" s="86"/>
      <c r="C736" s="87"/>
      <c r="D736" s="87"/>
      <c r="E736" s="87"/>
      <c r="F736" s="87"/>
      <c r="G736" s="87"/>
      <c r="H736" s="87"/>
      <c r="I736" s="87"/>
      <c r="J736" s="87"/>
      <c r="K736" s="88"/>
      <c r="L736" s="89"/>
      <c r="M736" s="90"/>
      <c r="N736" s="57"/>
      <c r="O736" s="57"/>
      <c r="P736" s="91"/>
    </row>
    <row r="737" spans="2:16" s="50" customFormat="1" ht="13.2">
      <c r="B737" s="86"/>
      <c r="C737" s="87"/>
      <c r="D737" s="87"/>
      <c r="E737" s="87"/>
      <c r="F737" s="87"/>
      <c r="G737" s="87"/>
      <c r="H737" s="87"/>
      <c r="I737" s="87"/>
      <c r="J737" s="87"/>
      <c r="K737" s="88"/>
      <c r="L737" s="89"/>
      <c r="M737" s="90"/>
      <c r="N737" s="57"/>
      <c r="O737" s="57"/>
      <c r="P737" s="91"/>
    </row>
    <row r="738" spans="2:16" s="50" customFormat="1" ht="13.2">
      <c r="B738" s="86"/>
      <c r="C738" s="87"/>
      <c r="D738" s="87"/>
      <c r="E738" s="87"/>
      <c r="F738" s="87"/>
      <c r="G738" s="87"/>
      <c r="H738" s="87"/>
      <c r="I738" s="87"/>
      <c r="J738" s="87"/>
      <c r="K738" s="88"/>
      <c r="L738" s="89"/>
      <c r="M738" s="90"/>
      <c r="N738" s="57"/>
      <c r="O738" s="57"/>
      <c r="P738" s="91"/>
    </row>
    <row r="739" spans="2:16" s="50" customFormat="1" ht="13.2">
      <c r="B739" s="86"/>
      <c r="C739" s="87"/>
      <c r="D739" s="87"/>
      <c r="E739" s="87"/>
      <c r="F739" s="87"/>
      <c r="G739" s="87"/>
      <c r="H739" s="87"/>
      <c r="I739" s="87"/>
      <c r="J739" s="87"/>
      <c r="K739" s="88"/>
      <c r="L739" s="89"/>
      <c r="M739" s="90"/>
      <c r="N739" s="57"/>
      <c r="O739" s="57"/>
      <c r="P739" s="91"/>
    </row>
    <row r="740" spans="2:16" s="50" customFormat="1" ht="13.2">
      <c r="B740" s="86"/>
      <c r="C740" s="87"/>
      <c r="D740" s="87"/>
      <c r="E740" s="87"/>
      <c r="F740" s="87"/>
      <c r="G740" s="87"/>
      <c r="H740" s="87"/>
      <c r="I740" s="87"/>
      <c r="J740" s="87"/>
      <c r="K740" s="88"/>
      <c r="L740" s="89"/>
      <c r="M740" s="90"/>
      <c r="N740" s="57"/>
      <c r="O740" s="57"/>
      <c r="P740" s="91"/>
    </row>
    <row r="741" spans="2:16" s="50" customFormat="1" ht="13.2">
      <c r="B741" s="86"/>
      <c r="C741" s="87"/>
      <c r="D741" s="87"/>
      <c r="E741" s="87"/>
      <c r="F741" s="87"/>
      <c r="G741" s="87"/>
      <c r="H741" s="87"/>
      <c r="I741" s="87"/>
      <c r="J741" s="87"/>
      <c r="K741" s="88"/>
      <c r="L741" s="89"/>
      <c r="M741" s="90"/>
      <c r="N741" s="57"/>
      <c r="O741" s="57"/>
      <c r="P741" s="91"/>
    </row>
    <row r="742" spans="2:16" s="50" customFormat="1" ht="13.2">
      <c r="B742" s="86"/>
      <c r="C742" s="87"/>
      <c r="D742" s="87"/>
      <c r="E742" s="87"/>
      <c r="F742" s="87"/>
      <c r="G742" s="87"/>
      <c r="H742" s="87"/>
      <c r="I742" s="87"/>
      <c r="J742" s="87"/>
      <c r="K742" s="88"/>
      <c r="L742" s="89"/>
      <c r="M742" s="90"/>
      <c r="N742" s="57"/>
      <c r="O742" s="57"/>
      <c r="P742" s="91"/>
    </row>
    <row r="743" spans="2:16" s="50" customFormat="1" ht="13.2">
      <c r="B743" s="86"/>
      <c r="C743" s="87"/>
      <c r="D743" s="87"/>
      <c r="E743" s="87"/>
      <c r="F743" s="87"/>
      <c r="G743" s="87"/>
      <c r="H743" s="87"/>
      <c r="I743" s="87"/>
      <c r="J743" s="87"/>
      <c r="K743" s="88"/>
      <c r="L743" s="89"/>
      <c r="M743" s="90"/>
      <c r="N743" s="57"/>
      <c r="O743" s="57"/>
      <c r="P743" s="91"/>
    </row>
    <row r="744" spans="2:16" s="50" customFormat="1" ht="13.2">
      <c r="B744" s="86"/>
      <c r="C744" s="87"/>
      <c r="D744" s="87"/>
      <c r="E744" s="87"/>
      <c r="F744" s="87"/>
      <c r="G744" s="87"/>
      <c r="H744" s="87"/>
      <c r="I744" s="87"/>
      <c r="J744" s="87"/>
      <c r="K744" s="88"/>
      <c r="L744" s="89"/>
      <c r="M744" s="90"/>
      <c r="N744" s="57"/>
      <c r="O744" s="57"/>
      <c r="P744" s="91"/>
    </row>
    <row r="745" spans="2:16" s="50" customFormat="1" ht="13.2">
      <c r="B745" s="86"/>
      <c r="C745" s="87"/>
      <c r="D745" s="87"/>
      <c r="E745" s="87"/>
      <c r="F745" s="87"/>
      <c r="G745" s="87"/>
      <c r="H745" s="87"/>
      <c r="I745" s="87"/>
      <c r="J745" s="87"/>
      <c r="K745" s="88"/>
      <c r="L745" s="89"/>
      <c r="M745" s="90"/>
      <c r="N745" s="57"/>
      <c r="O745" s="57"/>
      <c r="P745" s="91"/>
    </row>
    <row r="746" spans="2:16" s="50" customFormat="1" ht="13.2">
      <c r="B746" s="86"/>
      <c r="C746" s="87"/>
      <c r="D746" s="87"/>
      <c r="E746" s="87"/>
      <c r="F746" s="87"/>
      <c r="G746" s="87"/>
      <c r="H746" s="87"/>
      <c r="I746" s="87"/>
      <c r="J746" s="87"/>
      <c r="K746" s="88"/>
      <c r="L746" s="89"/>
      <c r="M746" s="90"/>
      <c r="N746" s="57"/>
      <c r="O746" s="57"/>
      <c r="P746" s="91"/>
    </row>
    <row r="747" spans="2:16" s="50" customFormat="1" ht="13.2">
      <c r="B747" s="86"/>
      <c r="C747" s="87"/>
      <c r="D747" s="87"/>
      <c r="E747" s="87"/>
      <c r="F747" s="87"/>
      <c r="G747" s="87"/>
      <c r="H747" s="87"/>
      <c r="I747" s="87"/>
      <c r="J747" s="87"/>
      <c r="K747" s="88"/>
      <c r="L747" s="89"/>
      <c r="M747" s="90"/>
      <c r="N747" s="57"/>
      <c r="O747" s="57"/>
      <c r="P747" s="91"/>
    </row>
    <row r="748" spans="2:16" s="50" customFormat="1" ht="13.2">
      <c r="B748" s="86"/>
      <c r="C748" s="87"/>
      <c r="D748" s="87"/>
      <c r="E748" s="87"/>
      <c r="F748" s="87"/>
      <c r="G748" s="87"/>
      <c r="H748" s="87"/>
      <c r="I748" s="87"/>
      <c r="J748" s="87"/>
      <c r="K748" s="88"/>
      <c r="L748" s="89"/>
      <c r="M748" s="90"/>
      <c r="N748" s="57"/>
      <c r="O748" s="57"/>
      <c r="P748" s="91"/>
    </row>
    <row r="749" spans="2:16" s="50" customFormat="1" ht="13.2">
      <c r="B749" s="86"/>
      <c r="C749" s="87"/>
      <c r="D749" s="87"/>
      <c r="E749" s="87"/>
      <c r="F749" s="87"/>
      <c r="G749" s="87"/>
      <c r="H749" s="87"/>
      <c r="I749" s="87"/>
      <c r="J749" s="87"/>
      <c r="K749" s="88"/>
      <c r="L749" s="89"/>
      <c r="M749" s="90"/>
      <c r="N749" s="57"/>
      <c r="O749" s="57"/>
      <c r="P749" s="91"/>
    </row>
    <row r="750" spans="2:16" s="50" customFormat="1" ht="13.2">
      <c r="B750" s="86"/>
      <c r="C750" s="87"/>
      <c r="D750" s="87"/>
      <c r="E750" s="87"/>
      <c r="F750" s="87"/>
      <c r="G750" s="87"/>
      <c r="H750" s="87"/>
      <c r="I750" s="87"/>
      <c r="J750" s="87"/>
      <c r="K750" s="88"/>
      <c r="L750" s="89"/>
      <c r="M750" s="90"/>
      <c r="N750" s="57"/>
      <c r="O750" s="57"/>
      <c r="P750" s="91"/>
    </row>
    <row r="751" spans="2:16" s="50" customFormat="1" ht="13.2">
      <c r="B751" s="86"/>
      <c r="C751" s="87"/>
      <c r="D751" s="87"/>
      <c r="E751" s="87"/>
      <c r="F751" s="87"/>
      <c r="G751" s="87"/>
      <c r="H751" s="87"/>
      <c r="I751" s="87"/>
      <c r="J751" s="87"/>
      <c r="K751" s="88"/>
      <c r="L751" s="89"/>
      <c r="M751" s="90"/>
      <c r="N751" s="57"/>
      <c r="O751" s="57"/>
      <c r="P751" s="91"/>
    </row>
    <row r="752" spans="2:16" s="50" customFormat="1" ht="13.2">
      <c r="B752" s="86"/>
      <c r="C752" s="87"/>
      <c r="D752" s="87"/>
      <c r="E752" s="87"/>
      <c r="F752" s="87"/>
      <c r="G752" s="87"/>
      <c r="H752" s="87"/>
      <c r="I752" s="87"/>
      <c r="J752" s="87"/>
      <c r="K752" s="88"/>
      <c r="L752" s="89"/>
      <c r="M752" s="90"/>
      <c r="N752" s="57"/>
      <c r="O752" s="57"/>
      <c r="P752" s="91"/>
    </row>
    <row r="753" spans="2:16" s="50" customFormat="1" ht="13.2">
      <c r="B753" s="86"/>
      <c r="C753" s="87"/>
      <c r="D753" s="87"/>
      <c r="E753" s="87"/>
      <c r="F753" s="87"/>
      <c r="G753" s="87"/>
      <c r="H753" s="87"/>
      <c r="I753" s="87"/>
      <c r="J753" s="87"/>
      <c r="K753" s="88"/>
      <c r="L753" s="89"/>
      <c r="M753" s="90"/>
      <c r="N753" s="57"/>
      <c r="O753" s="57"/>
      <c r="P753" s="91"/>
    </row>
    <row r="754" spans="2:16" s="50" customFormat="1" ht="13.2">
      <c r="B754" s="86"/>
      <c r="C754" s="87"/>
      <c r="D754" s="87"/>
      <c r="E754" s="87"/>
      <c r="F754" s="87"/>
      <c r="G754" s="87"/>
      <c r="H754" s="87"/>
      <c r="I754" s="87"/>
      <c r="J754" s="87"/>
      <c r="K754" s="88"/>
      <c r="L754" s="89"/>
      <c r="M754" s="90"/>
      <c r="N754" s="57"/>
      <c r="O754" s="57"/>
      <c r="P754" s="91"/>
    </row>
    <row r="755" spans="2:16" s="50" customFormat="1" ht="13.2">
      <c r="B755" s="86"/>
      <c r="C755" s="87"/>
      <c r="D755" s="87"/>
      <c r="E755" s="87"/>
      <c r="F755" s="87"/>
      <c r="G755" s="87"/>
      <c r="H755" s="87"/>
      <c r="I755" s="87"/>
      <c r="J755" s="87"/>
      <c r="K755" s="88"/>
      <c r="L755" s="89"/>
      <c r="M755" s="90"/>
      <c r="N755" s="57"/>
      <c r="O755" s="57"/>
      <c r="P755" s="91"/>
    </row>
    <row r="756" spans="2:16" s="50" customFormat="1" ht="13.2">
      <c r="B756" s="86"/>
      <c r="C756" s="87"/>
      <c r="D756" s="87"/>
      <c r="E756" s="87"/>
      <c r="F756" s="87"/>
      <c r="G756" s="87"/>
      <c r="H756" s="87"/>
      <c r="I756" s="87"/>
      <c r="J756" s="87"/>
      <c r="K756" s="88"/>
      <c r="L756" s="89"/>
      <c r="M756" s="90"/>
      <c r="N756" s="57"/>
      <c r="O756" s="57"/>
      <c r="P756" s="91"/>
    </row>
    <row r="757" spans="2:16" s="50" customFormat="1" ht="13.2">
      <c r="B757" s="86"/>
      <c r="C757" s="87"/>
      <c r="D757" s="87"/>
      <c r="E757" s="87"/>
      <c r="F757" s="87"/>
      <c r="G757" s="87"/>
      <c r="H757" s="87"/>
      <c r="I757" s="87"/>
      <c r="J757" s="87"/>
      <c r="K757" s="88"/>
      <c r="L757" s="89"/>
      <c r="M757" s="90"/>
      <c r="N757" s="57"/>
      <c r="O757" s="57"/>
      <c r="P757" s="91"/>
    </row>
    <row r="758" spans="2:16" s="50" customFormat="1" ht="13.2">
      <c r="B758" s="86"/>
      <c r="C758" s="87"/>
      <c r="D758" s="87"/>
      <c r="E758" s="87"/>
      <c r="F758" s="87"/>
      <c r="G758" s="87"/>
      <c r="H758" s="87"/>
      <c r="I758" s="87"/>
      <c r="J758" s="87"/>
      <c r="K758" s="88"/>
      <c r="L758" s="89"/>
      <c r="M758" s="90"/>
      <c r="N758" s="57"/>
      <c r="O758" s="57"/>
      <c r="P758" s="91"/>
    </row>
    <row r="759" spans="2:16" s="50" customFormat="1" ht="13.2">
      <c r="B759" s="86"/>
      <c r="C759" s="87"/>
      <c r="D759" s="87"/>
      <c r="E759" s="87"/>
      <c r="F759" s="87"/>
      <c r="G759" s="87"/>
      <c r="H759" s="87"/>
      <c r="I759" s="87"/>
      <c r="J759" s="87"/>
      <c r="K759" s="88"/>
      <c r="L759" s="89"/>
      <c r="M759" s="90"/>
      <c r="N759" s="57"/>
      <c r="O759" s="57"/>
      <c r="P759" s="91"/>
    </row>
    <row r="760" spans="2:16" s="50" customFormat="1" ht="13.2">
      <c r="B760" s="86"/>
      <c r="C760" s="87"/>
      <c r="D760" s="87"/>
      <c r="E760" s="87"/>
      <c r="F760" s="87"/>
      <c r="G760" s="87"/>
      <c r="H760" s="87"/>
      <c r="I760" s="87"/>
      <c r="J760" s="87"/>
      <c r="K760" s="88"/>
      <c r="L760" s="89"/>
      <c r="M760" s="90"/>
      <c r="N760" s="57"/>
      <c r="O760" s="57"/>
      <c r="P760" s="91"/>
    </row>
    <row r="761" spans="2:16" s="50" customFormat="1" ht="13.2">
      <c r="B761" s="86"/>
      <c r="C761" s="87"/>
      <c r="D761" s="87"/>
      <c r="E761" s="87"/>
      <c r="F761" s="87"/>
      <c r="G761" s="87"/>
      <c r="H761" s="87"/>
      <c r="I761" s="87"/>
      <c r="J761" s="87"/>
      <c r="K761" s="88"/>
      <c r="L761" s="89"/>
      <c r="M761" s="90"/>
      <c r="N761" s="57"/>
      <c r="O761" s="57"/>
      <c r="P761" s="91"/>
    </row>
    <row r="762" spans="2:16" s="50" customFormat="1" ht="13.2">
      <c r="B762" s="86"/>
      <c r="C762" s="87"/>
      <c r="D762" s="87"/>
      <c r="E762" s="87"/>
      <c r="F762" s="87"/>
      <c r="G762" s="87"/>
      <c r="H762" s="87"/>
      <c r="I762" s="87"/>
      <c r="J762" s="87"/>
      <c r="K762" s="88"/>
      <c r="L762" s="89"/>
      <c r="M762" s="90"/>
      <c r="N762" s="57"/>
      <c r="O762" s="57"/>
      <c r="P762" s="91"/>
    </row>
    <row r="763" spans="2:16" s="50" customFormat="1" ht="13.2">
      <c r="B763" s="86"/>
      <c r="C763" s="87"/>
      <c r="D763" s="87"/>
      <c r="E763" s="87"/>
      <c r="F763" s="87"/>
      <c r="G763" s="87"/>
      <c r="H763" s="87"/>
      <c r="I763" s="87"/>
      <c r="J763" s="87"/>
      <c r="K763" s="88"/>
      <c r="L763" s="89"/>
      <c r="M763" s="90"/>
      <c r="N763" s="57"/>
      <c r="O763" s="57"/>
      <c r="P763" s="91"/>
    </row>
    <row r="764" spans="2:16" s="50" customFormat="1" ht="13.2">
      <c r="B764" s="86"/>
      <c r="C764" s="87"/>
      <c r="D764" s="87"/>
      <c r="E764" s="87"/>
      <c r="F764" s="87"/>
      <c r="G764" s="87"/>
      <c r="H764" s="87"/>
      <c r="I764" s="87"/>
      <c r="J764" s="87"/>
      <c r="K764" s="88"/>
      <c r="L764" s="89"/>
      <c r="M764" s="90"/>
      <c r="N764" s="57"/>
      <c r="O764" s="57"/>
      <c r="P764" s="91"/>
    </row>
    <row r="765" spans="2:16" s="50" customFormat="1" ht="13.2">
      <c r="B765" s="86"/>
      <c r="C765" s="87"/>
      <c r="D765" s="87"/>
      <c r="E765" s="87"/>
      <c r="F765" s="87"/>
      <c r="G765" s="87"/>
      <c r="H765" s="87"/>
      <c r="I765" s="87"/>
      <c r="J765" s="87"/>
      <c r="K765" s="88"/>
      <c r="L765" s="89"/>
      <c r="M765" s="90"/>
      <c r="N765" s="57"/>
      <c r="O765" s="57"/>
      <c r="P765" s="91"/>
    </row>
    <row r="766" spans="2:16" s="50" customFormat="1" ht="13.2">
      <c r="B766" s="86"/>
      <c r="C766" s="87"/>
      <c r="D766" s="87"/>
      <c r="E766" s="87"/>
      <c r="F766" s="87"/>
      <c r="G766" s="87"/>
      <c r="H766" s="87"/>
      <c r="I766" s="87"/>
      <c r="J766" s="87"/>
      <c r="K766" s="88"/>
      <c r="L766" s="89"/>
      <c r="M766" s="90"/>
      <c r="N766" s="57"/>
      <c r="O766" s="57"/>
      <c r="P766" s="91"/>
    </row>
    <row r="767" spans="2:16" s="50" customFormat="1" ht="13.2">
      <c r="B767" s="86"/>
      <c r="C767" s="87"/>
      <c r="D767" s="87"/>
      <c r="E767" s="87"/>
      <c r="F767" s="87"/>
      <c r="G767" s="87"/>
      <c r="H767" s="87"/>
      <c r="I767" s="87"/>
      <c r="J767" s="87"/>
      <c r="K767" s="88"/>
      <c r="L767" s="89"/>
      <c r="M767" s="90"/>
      <c r="N767" s="57"/>
      <c r="O767" s="57"/>
      <c r="P767" s="91"/>
    </row>
    <row r="768" spans="2:16" s="50" customFormat="1" ht="13.2">
      <c r="B768" s="86"/>
      <c r="C768" s="87"/>
      <c r="D768" s="87"/>
      <c r="E768" s="87"/>
      <c r="F768" s="87"/>
      <c r="G768" s="87"/>
      <c r="H768" s="87"/>
      <c r="I768" s="87"/>
      <c r="J768" s="87"/>
      <c r="K768" s="88"/>
      <c r="L768" s="89"/>
      <c r="M768" s="90"/>
      <c r="N768" s="57"/>
      <c r="O768" s="57"/>
      <c r="P768" s="91"/>
    </row>
    <row r="769" spans="2:16" s="50" customFormat="1" ht="13.2">
      <c r="B769" s="86"/>
      <c r="C769" s="87"/>
      <c r="D769" s="87"/>
      <c r="E769" s="87"/>
      <c r="F769" s="87"/>
      <c r="G769" s="87"/>
      <c r="H769" s="87"/>
      <c r="I769" s="87"/>
      <c r="J769" s="87"/>
      <c r="K769" s="88"/>
      <c r="L769" s="89"/>
      <c r="M769" s="90"/>
      <c r="N769" s="57"/>
      <c r="O769" s="57"/>
      <c r="P769" s="91"/>
    </row>
    <row r="770" spans="2:16" s="50" customFormat="1" ht="13.2">
      <c r="B770" s="86"/>
      <c r="C770" s="87"/>
      <c r="D770" s="87"/>
      <c r="E770" s="87"/>
      <c r="F770" s="87"/>
      <c r="G770" s="87"/>
      <c r="H770" s="87"/>
      <c r="I770" s="87"/>
      <c r="J770" s="87"/>
      <c r="K770" s="88"/>
      <c r="L770" s="89"/>
      <c r="M770" s="90"/>
      <c r="N770" s="57"/>
      <c r="O770" s="57"/>
      <c r="P770" s="91"/>
    </row>
    <row r="771" spans="2:16" s="50" customFormat="1" ht="13.2">
      <c r="B771" s="86"/>
      <c r="C771" s="87"/>
      <c r="D771" s="87"/>
      <c r="E771" s="87"/>
      <c r="F771" s="87"/>
      <c r="G771" s="87"/>
      <c r="H771" s="87"/>
      <c r="I771" s="87"/>
      <c r="J771" s="87"/>
      <c r="K771" s="88"/>
      <c r="L771" s="89"/>
      <c r="M771" s="90"/>
      <c r="N771" s="57"/>
      <c r="O771" s="57"/>
      <c r="P771" s="91"/>
    </row>
    <row r="772" spans="2:16" s="50" customFormat="1" ht="13.2">
      <c r="B772" s="86"/>
      <c r="C772" s="87"/>
      <c r="D772" s="87"/>
      <c r="E772" s="87"/>
      <c r="F772" s="87"/>
      <c r="G772" s="87"/>
      <c r="H772" s="87"/>
      <c r="I772" s="87"/>
      <c r="J772" s="87"/>
      <c r="K772" s="88"/>
      <c r="L772" s="89"/>
      <c r="M772" s="90"/>
      <c r="N772" s="57"/>
      <c r="O772" s="57"/>
      <c r="P772" s="91"/>
    </row>
    <row r="773" spans="2:16" s="50" customFormat="1" ht="13.2">
      <c r="B773" s="86"/>
      <c r="C773" s="87"/>
      <c r="D773" s="87"/>
      <c r="E773" s="87"/>
      <c r="F773" s="87"/>
      <c r="G773" s="87"/>
      <c r="H773" s="87"/>
      <c r="I773" s="87"/>
      <c r="J773" s="87"/>
      <c r="K773" s="88"/>
      <c r="L773" s="89"/>
      <c r="M773" s="90"/>
      <c r="N773" s="57"/>
      <c r="O773" s="57"/>
      <c r="P773" s="91"/>
    </row>
    <row r="774" spans="2:16" s="50" customFormat="1" ht="13.2">
      <c r="B774" s="86"/>
      <c r="C774" s="87"/>
      <c r="D774" s="87"/>
      <c r="E774" s="87"/>
      <c r="F774" s="87"/>
      <c r="G774" s="87"/>
      <c r="H774" s="87"/>
      <c r="I774" s="87"/>
      <c r="J774" s="87"/>
      <c r="K774" s="88"/>
      <c r="L774" s="89"/>
      <c r="M774" s="90"/>
      <c r="N774" s="57"/>
      <c r="O774" s="57"/>
      <c r="P774" s="91"/>
    </row>
    <row r="775" spans="2:16" s="50" customFormat="1" ht="13.2">
      <c r="B775" s="86"/>
      <c r="C775" s="87"/>
      <c r="D775" s="87"/>
      <c r="E775" s="87"/>
      <c r="F775" s="87"/>
      <c r="G775" s="87"/>
      <c r="H775" s="87"/>
      <c r="I775" s="87"/>
      <c r="J775" s="87"/>
      <c r="K775" s="88"/>
      <c r="L775" s="89"/>
      <c r="M775" s="90"/>
      <c r="N775" s="57"/>
      <c r="O775" s="57"/>
      <c r="P775" s="91"/>
    </row>
    <row r="776" spans="2:16" s="50" customFormat="1" ht="13.2">
      <c r="B776" s="86"/>
      <c r="C776" s="87"/>
      <c r="D776" s="87"/>
      <c r="E776" s="87"/>
      <c r="F776" s="87"/>
      <c r="G776" s="87"/>
      <c r="H776" s="87"/>
      <c r="I776" s="87"/>
      <c r="J776" s="87"/>
      <c r="K776" s="88"/>
      <c r="L776" s="89"/>
      <c r="M776" s="90"/>
      <c r="N776" s="57"/>
      <c r="O776" s="57"/>
      <c r="P776" s="91"/>
    </row>
    <row r="777" spans="2:16" s="50" customFormat="1" ht="13.2">
      <c r="B777" s="86"/>
      <c r="C777" s="87"/>
      <c r="D777" s="87"/>
      <c r="E777" s="87"/>
      <c r="F777" s="87"/>
      <c r="G777" s="87"/>
      <c r="H777" s="87"/>
      <c r="I777" s="87"/>
      <c r="J777" s="87"/>
      <c r="K777" s="88"/>
      <c r="L777" s="89"/>
      <c r="M777" s="90"/>
      <c r="N777" s="57"/>
      <c r="O777" s="57"/>
      <c r="P777" s="91"/>
    </row>
    <row r="778" spans="2:16" s="50" customFormat="1" ht="13.2">
      <c r="B778" s="86"/>
      <c r="C778" s="87"/>
      <c r="D778" s="87"/>
      <c r="E778" s="87"/>
      <c r="F778" s="87"/>
      <c r="G778" s="87"/>
      <c r="H778" s="87"/>
      <c r="I778" s="87"/>
      <c r="J778" s="87"/>
      <c r="K778" s="88"/>
      <c r="L778" s="89"/>
      <c r="M778" s="90"/>
      <c r="N778" s="57"/>
      <c r="O778" s="57"/>
      <c r="P778" s="91"/>
    </row>
    <row r="779" spans="2:16" s="50" customFormat="1" ht="13.2">
      <c r="B779" s="86"/>
      <c r="C779" s="87"/>
      <c r="D779" s="87"/>
      <c r="E779" s="87"/>
      <c r="F779" s="87"/>
      <c r="G779" s="87"/>
      <c r="H779" s="87"/>
      <c r="I779" s="87"/>
      <c r="J779" s="87"/>
      <c r="K779" s="88"/>
      <c r="L779" s="89"/>
      <c r="M779" s="90"/>
      <c r="N779" s="57"/>
      <c r="O779" s="57"/>
      <c r="P779" s="91"/>
    </row>
    <row r="780" spans="2:16" s="50" customFormat="1" ht="13.2">
      <c r="B780" s="86"/>
      <c r="C780" s="87"/>
      <c r="D780" s="87"/>
      <c r="E780" s="87"/>
      <c r="F780" s="87"/>
      <c r="G780" s="87"/>
      <c r="H780" s="87"/>
      <c r="I780" s="87"/>
      <c r="J780" s="87"/>
      <c r="K780" s="88"/>
      <c r="L780" s="89"/>
      <c r="M780" s="90"/>
      <c r="N780" s="57"/>
      <c r="O780" s="57"/>
      <c r="P780" s="91"/>
    </row>
    <row r="781" spans="2:16" s="50" customFormat="1" ht="13.2">
      <c r="B781" s="86"/>
      <c r="C781" s="87"/>
      <c r="D781" s="87"/>
      <c r="E781" s="87"/>
      <c r="F781" s="87"/>
      <c r="G781" s="87"/>
      <c r="H781" s="87"/>
      <c r="I781" s="87"/>
      <c r="J781" s="87"/>
      <c r="K781" s="88"/>
      <c r="L781" s="89"/>
      <c r="M781" s="90"/>
      <c r="N781" s="57"/>
      <c r="O781" s="57"/>
      <c r="P781" s="91"/>
    </row>
    <row r="782" spans="2:16" s="50" customFormat="1" ht="13.2">
      <c r="B782" s="86"/>
      <c r="C782" s="87"/>
      <c r="D782" s="87"/>
      <c r="E782" s="87"/>
      <c r="F782" s="87"/>
      <c r="G782" s="87"/>
      <c r="H782" s="87"/>
      <c r="I782" s="87"/>
      <c r="J782" s="87"/>
      <c r="K782" s="88"/>
      <c r="L782" s="89"/>
      <c r="M782" s="90"/>
      <c r="N782" s="57"/>
      <c r="O782" s="57"/>
      <c r="P782" s="91"/>
    </row>
    <row r="783" spans="2:16" s="50" customFormat="1" ht="13.2">
      <c r="B783" s="86"/>
      <c r="C783" s="87"/>
      <c r="D783" s="87"/>
      <c r="E783" s="87"/>
      <c r="F783" s="87"/>
      <c r="G783" s="87"/>
      <c r="H783" s="87"/>
      <c r="I783" s="87"/>
      <c r="J783" s="87"/>
      <c r="K783" s="88"/>
      <c r="L783" s="89"/>
      <c r="M783" s="90"/>
      <c r="N783" s="57"/>
      <c r="O783" s="57"/>
      <c r="P783" s="91"/>
    </row>
    <row r="784" spans="2:16" s="50" customFormat="1" ht="13.2">
      <c r="B784" s="86"/>
      <c r="C784" s="87"/>
      <c r="D784" s="87"/>
      <c r="E784" s="87"/>
      <c r="F784" s="87"/>
      <c r="G784" s="87"/>
      <c r="H784" s="87"/>
      <c r="I784" s="87"/>
      <c r="J784" s="87"/>
      <c r="K784" s="88"/>
      <c r="L784" s="89"/>
      <c r="M784" s="90"/>
      <c r="N784" s="57"/>
      <c r="O784" s="57"/>
      <c r="P784" s="91"/>
    </row>
    <row r="785" spans="2:16" s="50" customFormat="1" ht="13.2">
      <c r="B785" s="86"/>
      <c r="C785" s="87"/>
      <c r="D785" s="87"/>
      <c r="E785" s="87"/>
      <c r="F785" s="87"/>
      <c r="G785" s="87"/>
      <c r="H785" s="87"/>
      <c r="I785" s="87"/>
      <c r="J785" s="87"/>
      <c r="K785" s="88"/>
      <c r="L785" s="89"/>
      <c r="M785" s="90"/>
      <c r="N785" s="57"/>
      <c r="O785" s="57"/>
      <c r="P785" s="91"/>
    </row>
    <row r="786" spans="2:16" s="50" customFormat="1" ht="13.2">
      <c r="B786" s="86"/>
      <c r="C786" s="87"/>
      <c r="D786" s="87"/>
      <c r="E786" s="87"/>
      <c r="F786" s="87"/>
      <c r="G786" s="87"/>
      <c r="H786" s="87"/>
      <c r="I786" s="87"/>
      <c r="J786" s="87"/>
      <c r="K786" s="88"/>
      <c r="L786" s="89"/>
      <c r="M786" s="90"/>
      <c r="N786" s="57"/>
      <c r="O786" s="57"/>
      <c r="P786" s="91"/>
    </row>
    <row r="787" spans="2:16" s="50" customFormat="1" ht="13.2">
      <c r="B787" s="86"/>
      <c r="C787" s="87"/>
      <c r="D787" s="87"/>
      <c r="E787" s="87"/>
      <c r="F787" s="87"/>
      <c r="G787" s="87"/>
      <c r="H787" s="87"/>
      <c r="I787" s="87"/>
      <c r="J787" s="87"/>
      <c r="K787" s="88"/>
      <c r="L787" s="89"/>
      <c r="M787" s="90"/>
      <c r="N787" s="57"/>
      <c r="O787" s="57"/>
      <c r="P787" s="91"/>
    </row>
    <row r="788" spans="2:16" s="50" customFormat="1" ht="13.2">
      <c r="B788" s="86"/>
      <c r="C788" s="87"/>
      <c r="D788" s="87"/>
      <c r="E788" s="87"/>
      <c r="F788" s="87"/>
      <c r="G788" s="87"/>
      <c r="H788" s="87"/>
      <c r="I788" s="87"/>
      <c r="J788" s="87"/>
      <c r="K788" s="88"/>
      <c r="L788" s="89"/>
      <c r="M788" s="90"/>
      <c r="N788" s="57"/>
      <c r="O788" s="57"/>
      <c r="P788" s="91"/>
    </row>
    <row r="789" spans="2:16" s="50" customFormat="1" ht="13.2">
      <c r="B789" s="86"/>
      <c r="C789" s="87"/>
      <c r="D789" s="87"/>
      <c r="E789" s="87"/>
      <c r="F789" s="87"/>
      <c r="G789" s="87"/>
      <c r="H789" s="87"/>
      <c r="I789" s="87"/>
      <c r="J789" s="87"/>
      <c r="K789" s="88"/>
      <c r="L789" s="89"/>
      <c r="M789" s="90"/>
      <c r="N789" s="57"/>
      <c r="O789" s="57"/>
      <c r="P789" s="91"/>
    </row>
    <row r="790" spans="2:16" s="50" customFormat="1" ht="13.2">
      <c r="B790" s="86"/>
      <c r="C790" s="87"/>
      <c r="D790" s="87"/>
      <c r="E790" s="87"/>
      <c r="F790" s="87"/>
      <c r="G790" s="87"/>
      <c r="H790" s="87"/>
      <c r="I790" s="87"/>
      <c r="J790" s="87"/>
      <c r="K790" s="88"/>
      <c r="L790" s="89"/>
      <c r="M790" s="90"/>
      <c r="N790" s="57"/>
      <c r="O790" s="57"/>
      <c r="P790" s="91"/>
    </row>
    <row r="791" spans="2:16" s="50" customFormat="1" ht="13.2">
      <c r="B791" s="86"/>
      <c r="C791" s="87"/>
      <c r="D791" s="87"/>
      <c r="E791" s="87"/>
      <c r="F791" s="87"/>
      <c r="G791" s="87"/>
      <c r="H791" s="87"/>
      <c r="I791" s="87"/>
      <c r="J791" s="87"/>
      <c r="K791" s="88"/>
      <c r="L791" s="89"/>
      <c r="M791" s="90"/>
      <c r="N791" s="57"/>
      <c r="O791" s="57"/>
      <c r="P791" s="91"/>
    </row>
    <row r="792" spans="2:16" s="50" customFormat="1" ht="13.2">
      <c r="B792" s="86"/>
      <c r="C792" s="87"/>
      <c r="D792" s="87"/>
      <c r="E792" s="87"/>
      <c r="F792" s="87"/>
      <c r="G792" s="87"/>
      <c r="H792" s="87"/>
      <c r="I792" s="87"/>
      <c r="J792" s="87"/>
      <c r="K792" s="88"/>
      <c r="L792" s="89"/>
      <c r="M792" s="90"/>
      <c r="N792" s="57"/>
      <c r="O792" s="57"/>
      <c r="P792" s="91"/>
    </row>
    <row r="793" spans="2:16" s="50" customFormat="1" ht="13.2">
      <c r="B793" s="86"/>
      <c r="C793" s="87"/>
      <c r="D793" s="87"/>
      <c r="E793" s="87"/>
      <c r="F793" s="87"/>
      <c r="G793" s="87"/>
      <c r="H793" s="87"/>
      <c r="I793" s="87"/>
      <c r="J793" s="87"/>
      <c r="K793" s="88"/>
      <c r="L793" s="89"/>
      <c r="M793" s="90"/>
      <c r="N793" s="57"/>
      <c r="O793" s="57"/>
      <c r="P793" s="91"/>
    </row>
    <row r="794" spans="2:16" s="50" customFormat="1" ht="13.2">
      <c r="B794" s="86"/>
      <c r="C794" s="87"/>
      <c r="D794" s="87"/>
      <c r="E794" s="87"/>
      <c r="F794" s="87"/>
      <c r="G794" s="87"/>
      <c r="H794" s="87"/>
      <c r="I794" s="87"/>
      <c r="J794" s="87"/>
      <c r="K794" s="88"/>
      <c r="L794" s="89"/>
      <c r="M794" s="90"/>
      <c r="N794" s="57"/>
      <c r="O794" s="57"/>
      <c r="P794" s="91"/>
    </row>
    <row r="795" spans="2:16" s="50" customFormat="1" ht="13.2">
      <c r="B795" s="86"/>
      <c r="C795" s="87"/>
      <c r="D795" s="87"/>
      <c r="E795" s="87"/>
      <c r="F795" s="87"/>
      <c r="G795" s="87"/>
      <c r="H795" s="87"/>
      <c r="I795" s="87"/>
      <c r="J795" s="87"/>
      <c r="K795" s="88"/>
      <c r="L795" s="89"/>
      <c r="M795" s="90"/>
      <c r="N795" s="57"/>
      <c r="O795" s="57"/>
      <c r="P795" s="91"/>
    </row>
    <row r="796" spans="2:16" s="50" customFormat="1" ht="13.2">
      <c r="B796" s="86"/>
      <c r="C796" s="87"/>
      <c r="D796" s="87"/>
      <c r="E796" s="87"/>
      <c r="F796" s="87"/>
      <c r="G796" s="87"/>
      <c r="H796" s="87"/>
      <c r="I796" s="87"/>
      <c r="J796" s="87"/>
      <c r="K796" s="88"/>
      <c r="L796" s="89"/>
      <c r="M796" s="90"/>
      <c r="N796" s="57"/>
      <c r="O796" s="57"/>
      <c r="P796" s="91"/>
    </row>
    <row r="797" spans="2:16" s="50" customFormat="1" ht="13.2">
      <c r="B797" s="86"/>
      <c r="C797" s="87"/>
      <c r="D797" s="87"/>
      <c r="E797" s="87"/>
      <c r="F797" s="87"/>
      <c r="G797" s="87"/>
      <c r="H797" s="87"/>
      <c r="I797" s="87"/>
      <c r="J797" s="87"/>
      <c r="K797" s="88"/>
      <c r="L797" s="89"/>
      <c r="M797" s="90"/>
      <c r="N797" s="57"/>
      <c r="O797" s="57"/>
      <c r="P797" s="91"/>
    </row>
    <row r="798" spans="2:16" s="50" customFormat="1" ht="13.2">
      <c r="B798" s="86"/>
      <c r="C798" s="87"/>
      <c r="D798" s="87"/>
      <c r="E798" s="87"/>
      <c r="F798" s="87"/>
      <c r="G798" s="87"/>
      <c r="H798" s="87"/>
      <c r="I798" s="87"/>
      <c r="J798" s="87"/>
      <c r="K798" s="88"/>
      <c r="L798" s="89"/>
      <c r="M798" s="90"/>
      <c r="N798" s="57"/>
      <c r="O798" s="57"/>
      <c r="P798" s="91"/>
    </row>
    <row r="799" spans="2:16" s="50" customFormat="1" ht="13.2">
      <c r="B799" s="86"/>
      <c r="C799" s="87"/>
      <c r="D799" s="87"/>
      <c r="E799" s="87"/>
      <c r="F799" s="87"/>
      <c r="G799" s="87"/>
      <c r="H799" s="87"/>
      <c r="I799" s="87"/>
      <c r="J799" s="87"/>
      <c r="K799" s="88"/>
      <c r="L799" s="89"/>
      <c r="M799" s="90"/>
      <c r="N799" s="57"/>
      <c r="O799" s="57"/>
      <c r="P799" s="91"/>
    </row>
    <row r="800" spans="2:16" s="50" customFormat="1" ht="13.2">
      <c r="B800" s="86"/>
      <c r="C800" s="87"/>
      <c r="D800" s="87"/>
      <c r="E800" s="87"/>
      <c r="F800" s="87"/>
      <c r="G800" s="87"/>
      <c r="H800" s="87"/>
      <c r="I800" s="87"/>
      <c r="J800" s="87"/>
      <c r="K800" s="88"/>
      <c r="L800" s="89"/>
      <c r="M800" s="90"/>
      <c r="N800" s="57"/>
      <c r="O800" s="57"/>
      <c r="P800" s="91"/>
    </row>
    <row r="801" spans="2:16" s="50" customFormat="1" ht="13.2">
      <c r="B801" s="86"/>
      <c r="C801" s="87"/>
      <c r="D801" s="87"/>
      <c r="E801" s="87"/>
      <c r="F801" s="87"/>
      <c r="G801" s="87"/>
      <c r="H801" s="87"/>
      <c r="I801" s="87"/>
      <c r="J801" s="87"/>
      <c r="K801" s="88"/>
      <c r="L801" s="89"/>
      <c r="M801" s="90"/>
      <c r="N801" s="57"/>
      <c r="O801" s="57"/>
      <c r="P801" s="91"/>
    </row>
    <row r="802" spans="2:16" s="50" customFormat="1" ht="13.2">
      <c r="B802" s="86"/>
      <c r="C802" s="87"/>
      <c r="D802" s="87"/>
      <c r="E802" s="87"/>
      <c r="F802" s="87"/>
      <c r="G802" s="87"/>
      <c r="H802" s="87"/>
      <c r="I802" s="87"/>
      <c r="J802" s="87"/>
      <c r="K802" s="88"/>
      <c r="L802" s="89"/>
      <c r="M802" s="90"/>
      <c r="N802" s="57"/>
      <c r="O802" s="57"/>
      <c r="P802" s="91"/>
    </row>
    <row r="803" spans="2:16" s="50" customFormat="1" ht="13.2">
      <c r="B803" s="86"/>
      <c r="C803" s="87"/>
      <c r="D803" s="87"/>
      <c r="E803" s="87"/>
      <c r="F803" s="87"/>
      <c r="G803" s="87"/>
      <c r="H803" s="87"/>
      <c r="I803" s="87"/>
      <c r="J803" s="87"/>
      <c r="K803" s="88"/>
      <c r="L803" s="89"/>
      <c r="M803" s="90"/>
      <c r="N803" s="57"/>
      <c r="O803" s="57"/>
      <c r="P803" s="91"/>
    </row>
    <row r="804" spans="2:16" s="50" customFormat="1" ht="13.2">
      <c r="B804" s="86"/>
      <c r="C804" s="87"/>
      <c r="D804" s="87"/>
      <c r="E804" s="87"/>
      <c r="F804" s="87"/>
      <c r="G804" s="87"/>
      <c r="H804" s="87"/>
      <c r="I804" s="87"/>
      <c r="J804" s="87"/>
      <c r="K804" s="88"/>
      <c r="L804" s="89"/>
      <c r="M804" s="90"/>
      <c r="N804" s="57"/>
      <c r="O804" s="57"/>
      <c r="P804" s="91"/>
    </row>
    <row r="805" spans="2:16" s="50" customFormat="1" ht="13.2">
      <c r="B805" s="86"/>
      <c r="C805" s="87"/>
      <c r="D805" s="87"/>
      <c r="E805" s="87"/>
      <c r="F805" s="87"/>
      <c r="G805" s="87"/>
      <c r="H805" s="87"/>
      <c r="I805" s="87"/>
      <c r="J805" s="87"/>
      <c r="K805" s="88"/>
      <c r="L805" s="89"/>
      <c r="M805" s="90"/>
      <c r="N805" s="57"/>
      <c r="O805" s="57"/>
      <c r="P805" s="91"/>
    </row>
    <row r="806" spans="2:16" s="50" customFormat="1" ht="13.2">
      <c r="B806" s="86"/>
      <c r="C806" s="87"/>
      <c r="D806" s="87"/>
      <c r="E806" s="87"/>
      <c r="F806" s="87"/>
      <c r="G806" s="87"/>
      <c r="H806" s="87"/>
      <c r="I806" s="87"/>
      <c r="J806" s="87"/>
      <c r="K806" s="88"/>
      <c r="L806" s="89"/>
      <c r="M806" s="90"/>
      <c r="N806" s="57"/>
      <c r="O806" s="57"/>
      <c r="P806" s="91"/>
    </row>
    <row r="807" spans="2:16" s="50" customFormat="1" ht="13.2">
      <c r="B807" s="86"/>
      <c r="C807" s="87"/>
      <c r="D807" s="87"/>
      <c r="E807" s="87"/>
      <c r="F807" s="87"/>
      <c r="G807" s="87"/>
      <c r="H807" s="87"/>
      <c r="I807" s="87"/>
      <c r="J807" s="87"/>
      <c r="K807" s="88"/>
      <c r="L807" s="89"/>
      <c r="M807" s="90"/>
      <c r="N807" s="57"/>
      <c r="O807" s="57"/>
      <c r="P807" s="91"/>
    </row>
    <row r="808" spans="2:16" s="50" customFormat="1" ht="13.2">
      <c r="B808" s="86"/>
      <c r="C808" s="87"/>
      <c r="D808" s="87"/>
      <c r="E808" s="87"/>
      <c r="F808" s="87"/>
      <c r="G808" s="87"/>
      <c r="H808" s="87"/>
      <c r="I808" s="87"/>
      <c r="J808" s="87"/>
      <c r="K808" s="88"/>
      <c r="L808" s="89"/>
      <c r="M808" s="90"/>
      <c r="N808" s="57"/>
      <c r="O808" s="57"/>
      <c r="P808" s="91"/>
    </row>
    <row r="809" spans="2:16" s="50" customFormat="1" ht="13.2">
      <c r="B809" s="86"/>
      <c r="C809" s="87"/>
      <c r="D809" s="87"/>
      <c r="E809" s="87"/>
      <c r="F809" s="87"/>
      <c r="G809" s="87"/>
      <c r="H809" s="87"/>
      <c r="I809" s="87"/>
      <c r="J809" s="87"/>
      <c r="K809" s="88"/>
      <c r="L809" s="89"/>
      <c r="M809" s="90"/>
      <c r="N809" s="57"/>
      <c r="O809" s="57"/>
      <c r="P809" s="91"/>
    </row>
    <row r="810" spans="2:16" s="50" customFormat="1" ht="13.2">
      <c r="B810" s="86"/>
      <c r="C810" s="87"/>
      <c r="D810" s="87"/>
      <c r="E810" s="87"/>
      <c r="F810" s="87"/>
      <c r="G810" s="87"/>
      <c r="H810" s="87"/>
      <c r="I810" s="87"/>
      <c r="J810" s="87"/>
      <c r="K810" s="88"/>
      <c r="L810" s="89"/>
      <c r="M810" s="90"/>
      <c r="N810" s="57"/>
      <c r="O810" s="57"/>
      <c r="P810" s="91"/>
    </row>
    <row r="811" spans="2:16" s="50" customFormat="1" ht="13.2">
      <c r="B811" s="86"/>
      <c r="C811" s="87"/>
      <c r="D811" s="87"/>
      <c r="E811" s="87"/>
      <c r="F811" s="87"/>
      <c r="G811" s="87"/>
      <c r="H811" s="87"/>
      <c r="I811" s="87"/>
      <c r="J811" s="87"/>
      <c r="K811" s="88"/>
      <c r="L811" s="89"/>
      <c r="M811" s="90"/>
      <c r="N811" s="57"/>
      <c r="O811" s="57"/>
      <c r="P811" s="91"/>
    </row>
    <row r="812" spans="2:16" s="50" customFormat="1" ht="13.2">
      <c r="B812" s="86"/>
      <c r="C812" s="87"/>
      <c r="D812" s="87"/>
      <c r="E812" s="87"/>
      <c r="F812" s="87"/>
      <c r="G812" s="87"/>
      <c r="H812" s="87"/>
      <c r="I812" s="87"/>
      <c r="J812" s="87"/>
      <c r="K812" s="88"/>
      <c r="L812" s="89"/>
      <c r="M812" s="90"/>
      <c r="N812" s="57"/>
      <c r="O812" s="57"/>
      <c r="P812" s="91"/>
    </row>
    <row r="813" spans="2:16" s="50" customFormat="1" ht="13.2">
      <c r="B813" s="86"/>
      <c r="C813" s="87"/>
      <c r="D813" s="87"/>
      <c r="E813" s="87"/>
      <c r="F813" s="87"/>
      <c r="G813" s="87"/>
      <c r="H813" s="87"/>
      <c r="I813" s="87"/>
      <c r="J813" s="87"/>
      <c r="K813" s="88"/>
      <c r="L813" s="89"/>
      <c r="M813" s="90"/>
      <c r="N813" s="57"/>
      <c r="O813" s="57"/>
      <c r="P813" s="91"/>
    </row>
    <row r="814" spans="2:16" s="50" customFormat="1" ht="13.2">
      <c r="B814" s="86"/>
      <c r="C814" s="87"/>
      <c r="D814" s="87"/>
      <c r="E814" s="87"/>
      <c r="F814" s="87"/>
      <c r="G814" s="87"/>
      <c r="H814" s="87"/>
      <c r="I814" s="87"/>
      <c r="J814" s="87"/>
      <c r="K814" s="88"/>
      <c r="L814" s="89"/>
      <c r="M814" s="90"/>
      <c r="N814" s="57"/>
      <c r="O814" s="57"/>
      <c r="P814" s="91"/>
    </row>
    <row r="815" spans="2:16" s="50" customFormat="1" ht="13.2">
      <c r="B815" s="86"/>
      <c r="C815" s="87"/>
      <c r="D815" s="87"/>
      <c r="E815" s="87"/>
      <c r="F815" s="87"/>
      <c r="G815" s="87"/>
      <c r="H815" s="87"/>
      <c r="I815" s="87"/>
      <c r="J815" s="87"/>
      <c r="K815" s="88"/>
      <c r="L815" s="89"/>
      <c r="M815" s="90"/>
      <c r="N815" s="57"/>
      <c r="O815" s="57"/>
      <c r="P815" s="91"/>
    </row>
    <row r="816" spans="2:16" s="50" customFormat="1" ht="13.2">
      <c r="B816" s="86"/>
      <c r="C816" s="87"/>
      <c r="D816" s="87"/>
      <c r="E816" s="87"/>
      <c r="F816" s="87"/>
      <c r="G816" s="87"/>
      <c r="H816" s="87"/>
      <c r="I816" s="87"/>
      <c r="J816" s="87"/>
      <c r="K816" s="88"/>
      <c r="L816" s="89"/>
      <c r="M816" s="90"/>
      <c r="N816" s="57"/>
      <c r="O816" s="57"/>
      <c r="P816" s="91"/>
    </row>
    <row r="817" spans="2:16" s="50" customFormat="1" ht="13.2">
      <c r="B817" s="86"/>
      <c r="C817" s="87"/>
      <c r="D817" s="87"/>
      <c r="E817" s="87"/>
      <c r="F817" s="87"/>
      <c r="G817" s="87"/>
      <c r="H817" s="87"/>
      <c r="I817" s="87"/>
      <c r="J817" s="87"/>
      <c r="K817" s="88"/>
      <c r="L817" s="89"/>
      <c r="M817" s="90"/>
      <c r="N817" s="57"/>
      <c r="O817" s="57"/>
      <c r="P817" s="91"/>
    </row>
    <row r="818" spans="2:16" s="50" customFormat="1" ht="13.2">
      <c r="B818" s="86"/>
      <c r="C818" s="87"/>
      <c r="D818" s="87"/>
      <c r="E818" s="87"/>
      <c r="F818" s="87"/>
      <c r="G818" s="87"/>
      <c r="H818" s="87"/>
      <c r="I818" s="87"/>
      <c r="J818" s="87"/>
      <c r="K818" s="88"/>
      <c r="L818" s="89"/>
      <c r="M818" s="90"/>
      <c r="N818" s="57"/>
      <c r="O818" s="57"/>
      <c r="P818" s="91"/>
    </row>
    <row r="819" spans="2:16" s="50" customFormat="1" ht="13.2">
      <c r="B819" s="86"/>
      <c r="C819" s="87"/>
      <c r="D819" s="87"/>
      <c r="E819" s="87"/>
      <c r="F819" s="87"/>
      <c r="G819" s="87"/>
      <c r="H819" s="87"/>
      <c r="I819" s="87"/>
      <c r="J819" s="87"/>
      <c r="K819" s="88"/>
      <c r="L819" s="89"/>
      <c r="M819" s="90"/>
      <c r="N819" s="57"/>
      <c r="O819" s="57"/>
      <c r="P819" s="91"/>
    </row>
    <row r="820" spans="2:16" s="50" customFormat="1" ht="13.2">
      <c r="B820" s="86"/>
      <c r="C820" s="87"/>
      <c r="D820" s="87"/>
      <c r="E820" s="87"/>
      <c r="F820" s="87"/>
      <c r="G820" s="87"/>
      <c r="H820" s="87"/>
      <c r="I820" s="87"/>
      <c r="J820" s="87"/>
      <c r="K820" s="88"/>
      <c r="L820" s="89"/>
      <c r="M820" s="90"/>
      <c r="N820" s="57"/>
      <c r="O820" s="57"/>
      <c r="P820" s="91"/>
    </row>
    <row r="821" spans="2:16" s="50" customFormat="1" ht="13.2">
      <c r="B821" s="86"/>
      <c r="C821" s="87"/>
      <c r="D821" s="87"/>
      <c r="E821" s="87"/>
      <c r="F821" s="87"/>
      <c r="G821" s="87"/>
      <c r="H821" s="87"/>
      <c r="I821" s="87"/>
      <c r="J821" s="87"/>
      <c r="K821" s="88"/>
      <c r="L821" s="89"/>
      <c r="M821" s="90"/>
      <c r="N821" s="57"/>
      <c r="O821" s="57"/>
      <c r="P821" s="91"/>
    </row>
    <row r="822" spans="2:16" s="50" customFormat="1" ht="13.2">
      <c r="B822" s="86"/>
      <c r="C822" s="87"/>
      <c r="D822" s="87"/>
      <c r="E822" s="87"/>
      <c r="F822" s="87"/>
      <c r="G822" s="87"/>
      <c r="H822" s="87"/>
      <c r="I822" s="87"/>
      <c r="J822" s="87"/>
      <c r="K822" s="88"/>
      <c r="L822" s="89"/>
      <c r="M822" s="90"/>
      <c r="N822" s="57"/>
      <c r="O822" s="57"/>
      <c r="P822" s="91"/>
    </row>
    <row r="823" spans="2:16" s="50" customFormat="1" ht="13.2">
      <c r="B823" s="86"/>
      <c r="C823" s="87"/>
      <c r="D823" s="87"/>
      <c r="E823" s="87"/>
      <c r="F823" s="87"/>
      <c r="G823" s="87"/>
      <c r="H823" s="87"/>
      <c r="I823" s="87"/>
      <c r="J823" s="87"/>
      <c r="K823" s="88"/>
      <c r="L823" s="89"/>
      <c r="M823" s="90"/>
      <c r="N823" s="57"/>
      <c r="O823" s="57"/>
      <c r="P823" s="91"/>
    </row>
    <row r="824" spans="2:16" s="50" customFormat="1" ht="13.2">
      <c r="B824" s="86"/>
      <c r="C824" s="87"/>
      <c r="D824" s="87"/>
      <c r="E824" s="87"/>
      <c r="F824" s="87"/>
      <c r="G824" s="87"/>
      <c r="H824" s="87"/>
      <c r="I824" s="87"/>
      <c r="J824" s="87"/>
      <c r="K824" s="88"/>
      <c r="L824" s="89"/>
      <c r="M824" s="90"/>
      <c r="N824" s="57"/>
      <c r="O824" s="57"/>
      <c r="P824" s="91"/>
    </row>
    <row r="825" spans="2:16" s="50" customFormat="1" ht="13.2">
      <c r="B825" s="86"/>
      <c r="C825" s="87"/>
      <c r="D825" s="87"/>
      <c r="E825" s="87"/>
      <c r="F825" s="87"/>
      <c r="G825" s="87"/>
      <c r="H825" s="87"/>
      <c r="I825" s="87"/>
      <c r="J825" s="87"/>
      <c r="K825" s="88"/>
      <c r="L825" s="89"/>
      <c r="M825" s="90"/>
      <c r="N825" s="57"/>
      <c r="O825" s="57"/>
      <c r="P825" s="91"/>
    </row>
    <row r="826" spans="2:16" s="50" customFormat="1" ht="13.2">
      <c r="B826" s="86"/>
      <c r="C826" s="87"/>
      <c r="D826" s="87"/>
      <c r="E826" s="87"/>
      <c r="F826" s="87"/>
      <c r="G826" s="87"/>
      <c r="H826" s="87"/>
      <c r="I826" s="87"/>
      <c r="J826" s="87"/>
      <c r="K826" s="88"/>
      <c r="L826" s="89"/>
      <c r="M826" s="90"/>
      <c r="N826" s="57"/>
      <c r="O826" s="57"/>
      <c r="P826" s="91"/>
    </row>
    <row r="827" spans="2:16" s="50" customFormat="1" ht="13.2">
      <c r="B827" s="86"/>
      <c r="C827" s="87"/>
      <c r="D827" s="87"/>
      <c r="E827" s="87"/>
      <c r="F827" s="87"/>
      <c r="G827" s="87"/>
      <c r="H827" s="87"/>
      <c r="I827" s="87"/>
      <c r="J827" s="87"/>
      <c r="K827" s="88"/>
      <c r="L827" s="89"/>
      <c r="M827" s="90"/>
      <c r="N827" s="57"/>
      <c r="O827" s="57"/>
      <c r="P827" s="91"/>
    </row>
    <row r="828" spans="2:16" s="50" customFormat="1" ht="13.2">
      <c r="B828" s="86"/>
      <c r="C828" s="87"/>
      <c r="D828" s="87"/>
      <c r="E828" s="87"/>
      <c r="F828" s="87"/>
      <c r="G828" s="87"/>
      <c r="H828" s="87"/>
      <c r="I828" s="87"/>
      <c r="J828" s="87"/>
      <c r="K828" s="88"/>
      <c r="L828" s="89"/>
      <c r="M828" s="90"/>
      <c r="N828" s="57"/>
      <c r="O828" s="57"/>
      <c r="P828" s="91"/>
    </row>
    <row r="829" spans="2:16" s="50" customFormat="1" ht="13.2">
      <c r="B829" s="86"/>
      <c r="C829" s="87"/>
      <c r="D829" s="87"/>
      <c r="E829" s="87"/>
      <c r="F829" s="87"/>
      <c r="G829" s="87"/>
      <c r="H829" s="87"/>
      <c r="I829" s="87"/>
      <c r="J829" s="87"/>
      <c r="K829" s="88"/>
      <c r="L829" s="89"/>
      <c r="M829" s="90"/>
      <c r="N829" s="57"/>
      <c r="O829" s="57"/>
      <c r="P829" s="91"/>
    </row>
    <row r="830" spans="2:16" s="50" customFormat="1" ht="13.2">
      <c r="B830" s="86"/>
      <c r="C830" s="87"/>
      <c r="D830" s="87"/>
      <c r="E830" s="87"/>
      <c r="F830" s="87"/>
      <c r="G830" s="87"/>
      <c r="H830" s="87"/>
      <c r="I830" s="87"/>
      <c r="J830" s="87"/>
      <c r="K830" s="88"/>
      <c r="L830" s="89"/>
      <c r="M830" s="90"/>
      <c r="N830" s="57"/>
      <c r="O830" s="57"/>
      <c r="P830" s="91"/>
    </row>
    <row r="831" spans="2:16" s="50" customFormat="1" ht="13.2">
      <c r="B831" s="86"/>
      <c r="C831" s="87"/>
      <c r="D831" s="87"/>
      <c r="E831" s="87"/>
      <c r="F831" s="87"/>
      <c r="G831" s="87"/>
      <c r="H831" s="87"/>
      <c r="I831" s="87"/>
      <c r="J831" s="87"/>
      <c r="K831" s="88"/>
      <c r="L831" s="89"/>
      <c r="M831" s="90"/>
      <c r="N831" s="57"/>
      <c r="O831" s="57"/>
      <c r="P831" s="91"/>
    </row>
    <row r="832" spans="2:16" s="50" customFormat="1" ht="13.2">
      <c r="B832" s="86"/>
      <c r="C832" s="87"/>
      <c r="D832" s="87"/>
      <c r="E832" s="87"/>
      <c r="F832" s="87"/>
      <c r="G832" s="87"/>
      <c r="H832" s="87"/>
      <c r="I832" s="87"/>
      <c r="J832" s="87"/>
      <c r="K832" s="88"/>
      <c r="L832" s="89"/>
      <c r="M832" s="90"/>
      <c r="N832" s="57"/>
      <c r="O832" s="57"/>
      <c r="P832" s="91"/>
    </row>
    <row r="833" spans="2:16" s="50" customFormat="1" ht="13.2">
      <c r="B833" s="86"/>
      <c r="C833" s="87"/>
      <c r="D833" s="87"/>
      <c r="E833" s="87"/>
      <c r="F833" s="87"/>
      <c r="G833" s="87"/>
      <c r="H833" s="87"/>
      <c r="I833" s="87"/>
      <c r="J833" s="87"/>
      <c r="K833" s="88"/>
      <c r="L833" s="89"/>
      <c r="M833" s="90"/>
      <c r="N833" s="57"/>
      <c r="O833" s="57"/>
      <c r="P833" s="91"/>
    </row>
    <row r="834" spans="2:16" s="50" customFormat="1" ht="13.2">
      <c r="B834" s="86"/>
      <c r="C834" s="87"/>
      <c r="D834" s="87"/>
      <c r="E834" s="87"/>
      <c r="F834" s="87"/>
      <c r="G834" s="87"/>
      <c r="H834" s="87"/>
      <c r="I834" s="87"/>
      <c r="J834" s="87"/>
      <c r="K834" s="88"/>
      <c r="L834" s="89"/>
      <c r="M834" s="90"/>
      <c r="N834" s="57"/>
      <c r="O834" s="57"/>
      <c r="P834" s="91"/>
    </row>
    <row r="835" spans="2:16" s="50" customFormat="1" ht="13.2">
      <c r="B835" s="86"/>
      <c r="C835" s="87"/>
      <c r="D835" s="87"/>
      <c r="E835" s="87"/>
      <c r="F835" s="87"/>
      <c r="G835" s="87"/>
      <c r="H835" s="87"/>
      <c r="I835" s="87"/>
      <c r="J835" s="87"/>
      <c r="K835" s="88"/>
      <c r="L835" s="89"/>
      <c r="M835" s="90"/>
      <c r="N835" s="57"/>
      <c r="O835" s="57"/>
      <c r="P835" s="91"/>
    </row>
    <row r="836" spans="2:16" s="50" customFormat="1" ht="13.2">
      <c r="B836" s="86"/>
      <c r="C836" s="87"/>
      <c r="D836" s="87"/>
      <c r="E836" s="87"/>
      <c r="F836" s="87"/>
      <c r="G836" s="87"/>
      <c r="H836" s="87"/>
      <c r="I836" s="87"/>
      <c r="J836" s="87"/>
      <c r="K836" s="88"/>
      <c r="L836" s="89"/>
      <c r="M836" s="90"/>
      <c r="N836" s="57"/>
      <c r="O836" s="57"/>
      <c r="P836" s="91"/>
    </row>
    <row r="837" spans="2:16" s="50" customFormat="1" ht="13.2">
      <c r="B837" s="86"/>
      <c r="C837" s="87"/>
      <c r="D837" s="87"/>
      <c r="E837" s="87"/>
      <c r="F837" s="87"/>
      <c r="G837" s="87"/>
      <c r="H837" s="87"/>
      <c r="I837" s="87"/>
      <c r="J837" s="87"/>
      <c r="K837" s="88"/>
      <c r="L837" s="89"/>
      <c r="M837" s="90"/>
      <c r="N837" s="57"/>
      <c r="O837" s="57"/>
      <c r="P837" s="91"/>
    </row>
    <row r="838" spans="2:16" s="50" customFormat="1" ht="13.2">
      <c r="B838" s="86"/>
      <c r="C838" s="87"/>
      <c r="D838" s="87"/>
      <c r="E838" s="87"/>
      <c r="F838" s="87"/>
      <c r="G838" s="87"/>
      <c r="H838" s="87"/>
      <c r="I838" s="87"/>
      <c r="J838" s="87"/>
      <c r="K838" s="88"/>
      <c r="L838" s="89"/>
      <c r="M838" s="90"/>
      <c r="N838" s="57"/>
      <c r="O838" s="57"/>
      <c r="P838" s="91"/>
    </row>
    <row r="839" spans="2:16" s="50" customFormat="1" ht="13.2">
      <c r="B839" s="86"/>
      <c r="C839" s="87"/>
      <c r="D839" s="87"/>
      <c r="E839" s="87"/>
      <c r="F839" s="87"/>
      <c r="G839" s="87"/>
      <c r="H839" s="87"/>
      <c r="I839" s="87"/>
      <c r="J839" s="87"/>
      <c r="K839" s="88"/>
      <c r="L839" s="89"/>
      <c r="M839" s="90"/>
      <c r="N839" s="57"/>
      <c r="O839" s="57"/>
      <c r="P839" s="91"/>
    </row>
    <row r="840" spans="2:16" s="50" customFormat="1" ht="13.2">
      <c r="B840" s="86"/>
      <c r="C840" s="87"/>
      <c r="D840" s="87"/>
      <c r="E840" s="87"/>
      <c r="F840" s="87"/>
      <c r="G840" s="87"/>
      <c r="H840" s="87"/>
      <c r="I840" s="87"/>
      <c r="J840" s="87"/>
      <c r="K840" s="88"/>
      <c r="L840" s="89"/>
      <c r="M840" s="90"/>
      <c r="N840" s="57"/>
      <c r="O840" s="57"/>
      <c r="P840" s="91"/>
    </row>
    <row r="841" spans="2:16" s="50" customFormat="1" ht="13.2">
      <c r="B841" s="86"/>
      <c r="C841" s="87"/>
      <c r="D841" s="87"/>
      <c r="E841" s="87"/>
      <c r="F841" s="87"/>
      <c r="G841" s="87"/>
      <c r="H841" s="87"/>
      <c r="I841" s="87"/>
      <c r="J841" s="87"/>
      <c r="K841" s="88"/>
      <c r="L841" s="89"/>
      <c r="M841" s="90"/>
      <c r="N841" s="57"/>
      <c r="O841" s="57"/>
      <c r="P841" s="91"/>
    </row>
    <row r="842" spans="2:16" s="50" customFormat="1" ht="13.2">
      <c r="B842" s="86"/>
      <c r="C842" s="87"/>
      <c r="D842" s="87"/>
      <c r="E842" s="87"/>
      <c r="F842" s="87"/>
      <c r="G842" s="87"/>
      <c r="H842" s="87"/>
      <c r="I842" s="87"/>
      <c r="J842" s="87"/>
      <c r="K842" s="88"/>
      <c r="L842" s="89"/>
      <c r="M842" s="90"/>
      <c r="N842" s="57"/>
      <c r="O842" s="57"/>
      <c r="P842" s="91"/>
    </row>
    <row r="843" spans="2:16" s="50" customFormat="1" ht="13.2">
      <c r="B843" s="86"/>
      <c r="C843" s="87"/>
      <c r="D843" s="87"/>
      <c r="E843" s="87"/>
      <c r="F843" s="87"/>
      <c r="G843" s="87"/>
      <c r="H843" s="87"/>
      <c r="I843" s="87"/>
      <c r="J843" s="87"/>
      <c r="K843" s="88"/>
      <c r="L843" s="89"/>
      <c r="M843" s="90"/>
      <c r="N843" s="57"/>
      <c r="O843" s="57"/>
      <c r="P843" s="91"/>
    </row>
    <row r="844" spans="2:16" s="50" customFormat="1" ht="13.2">
      <c r="B844" s="86"/>
      <c r="C844" s="87"/>
      <c r="D844" s="87"/>
      <c r="E844" s="87"/>
      <c r="F844" s="87"/>
      <c r="G844" s="87"/>
      <c r="H844" s="87"/>
      <c r="I844" s="87"/>
      <c r="J844" s="87"/>
      <c r="K844" s="88"/>
      <c r="L844" s="89"/>
      <c r="M844" s="90"/>
      <c r="N844" s="57"/>
      <c r="O844" s="57"/>
      <c r="P844" s="91"/>
    </row>
    <row r="845" spans="2:16" s="50" customFormat="1" ht="13.2">
      <c r="B845" s="86"/>
      <c r="C845" s="87"/>
      <c r="D845" s="87"/>
      <c r="E845" s="87"/>
      <c r="F845" s="87"/>
      <c r="G845" s="87"/>
      <c r="H845" s="87"/>
      <c r="I845" s="87"/>
      <c r="J845" s="87"/>
      <c r="K845" s="88"/>
      <c r="L845" s="89"/>
      <c r="M845" s="90"/>
      <c r="N845" s="57"/>
      <c r="O845" s="57"/>
      <c r="P845" s="91"/>
    </row>
    <row r="846" spans="2:16" s="50" customFormat="1" ht="13.2">
      <c r="B846" s="86"/>
      <c r="C846" s="87"/>
      <c r="D846" s="87"/>
      <c r="E846" s="87"/>
      <c r="F846" s="87"/>
      <c r="G846" s="87"/>
      <c r="H846" s="87"/>
      <c r="I846" s="87"/>
      <c r="J846" s="87"/>
      <c r="K846" s="88"/>
      <c r="L846" s="89"/>
      <c r="M846" s="90"/>
      <c r="N846" s="57"/>
      <c r="O846" s="57"/>
      <c r="P846" s="91"/>
    </row>
    <row r="847" spans="2:16" s="50" customFormat="1" ht="13.2">
      <c r="B847" s="86"/>
      <c r="C847" s="87"/>
      <c r="D847" s="87"/>
      <c r="E847" s="87"/>
      <c r="F847" s="87"/>
      <c r="G847" s="87"/>
      <c r="H847" s="87"/>
      <c r="I847" s="87"/>
      <c r="J847" s="87"/>
      <c r="K847" s="88"/>
      <c r="L847" s="89"/>
      <c r="M847" s="90"/>
      <c r="N847" s="57"/>
      <c r="O847" s="57"/>
      <c r="P847" s="91"/>
    </row>
    <row r="848" spans="2:16" s="50" customFormat="1" ht="13.2">
      <c r="B848" s="86"/>
      <c r="C848" s="87"/>
      <c r="D848" s="87"/>
      <c r="E848" s="87"/>
      <c r="F848" s="87"/>
      <c r="G848" s="87"/>
      <c r="H848" s="87"/>
      <c r="I848" s="87"/>
      <c r="J848" s="87"/>
      <c r="K848" s="88"/>
      <c r="L848" s="89"/>
      <c r="M848" s="90"/>
      <c r="N848" s="57"/>
      <c r="O848" s="57"/>
      <c r="P848" s="91"/>
    </row>
    <row r="849" spans="2:16" s="50" customFormat="1" ht="13.2">
      <c r="B849" s="86"/>
      <c r="C849" s="87"/>
      <c r="D849" s="87"/>
      <c r="E849" s="87"/>
      <c r="F849" s="87"/>
      <c r="G849" s="87"/>
      <c r="H849" s="87"/>
      <c r="I849" s="87"/>
      <c r="J849" s="87"/>
      <c r="K849" s="88"/>
      <c r="L849" s="89"/>
      <c r="M849" s="90"/>
      <c r="N849" s="57"/>
      <c r="O849" s="57"/>
      <c r="P849" s="91"/>
    </row>
    <row r="850" spans="2:16" s="50" customFormat="1" ht="13.2">
      <c r="B850" s="86"/>
      <c r="C850" s="87"/>
      <c r="D850" s="87"/>
      <c r="E850" s="87"/>
      <c r="F850" s="87"/>
      <c r="G850" s="87"/>
      <c r="H850" s="87"/>
      <c r="I850" s="87"/>
      <c r="J850" s="87"/>
      <c r="K850" s="88"/>
      <c r="L850" s="89"/>
      <c r="M850" s="90"/>
      <c r="N850" s="57"/>
      <c r="O850" s="57"/>
      <c r="P850" s="91"/>
    </row>
    <row r="851" spans="2:16" s="50" customFormat="1" ht="13.2">
      <c r="B851" s="86"/>
      <c r="C851" s="87"/>
      <c r="D851" s="87"/>
      <c r="E851" s="87"/>
      <c r="F851" s="87"/>
      <c r="G851" s="87"/>
      <c r="H851" s="87"/>
      <c r="I851" s="87"/>
      <c r="J851" s="87"/>
      <c r="K851" s="88"/>
      <c r="L851" s="89"/>
      <c r="M851" s="90"/>
      <c r="N851" s="57"/>
      <c r="O851" s="57"/>
      <c r="P851" s="91"/>
    </row>
    <row r="852" spans="2:16" s="50" customFormat="1" ht="13.2">
      <c r="B852" s="86"/>
      <c r="C852" s="87"/>
      <c r="D852" s="87"/>
      <c r="E852" s="87"/>
      <c r="F852" s="87"/>
      <c r="G852" s="87"/>
      <c r="H852" s="87"/>
      <c r="I852" s="87"/>
      <c r="J852" s="87"/>
      <c r="K852" s="88"/>
      <c r="L852" s="89"/>
      <c r="M852" s="90"/>
      <c r="N852" s="57"/>
      <c r="O852" s="57"/>
      <c r="P852" s="91"/>
    </row>
    <row r="853" spans="2:16" s="50" customFormat="1" ht="13.2">
      <c r="B853" s="86"/>
      <c r="C853" s="87"/>
      <c r="D853" s="87"/>
      <c r="E853" s="87"/>
      <c r="F853" s="87"/>
      <c r="G853" s="87"/>
      <c r="H853" s="87"/>
      <c r="I853" s="87"/>
      <c r="J853" s="87"/>
      <c r="K853" s="88"/>
      <c r="L853" s="89"/>
      <c r="M853" s="90"/>
      <c r="N853" s="57"/>
      <c r="O853" s="57"/>
      <c r="P853" s="91"/>
    </row>
    <row r="854" spans="2:16" s="50" customFormat="1" ht="13.2">
      <c r="B854" s="86"/>
      <c r="C854" s="87"/>
      <c r="D854" s="87"/>
      <c r="E854" s="87"/>
      <c r="F854" s="87"/>
      <c r="G854" s="87"/>
      <c r="H854" s="87"/>
      <c r="I854" s="87"/>
      <c r="J854" s="87"/>
      <c r="K854" s="88"/>
      <c r="L854" s="89"/>
      <c r="M854" s="90"/>
      <c r="N854" s="57"/>
      <c r="O854" s="57"/>
      <c r="P854" s="91"/>
    </row>
    <row r="855" spans="2:16" s="50" customFormat="1" ht="13.2">
      <c r="B855" s="86"/>
      <c r="C855" s="87"/>
      <c r="D855" s="87"/>
      <c r="E855" s="87"/>
      <c r="F855" s="87"/>
      <c r="G855" s="87"/>
      <c r="H855" s="87"/>
      <c r="I855" s="87"/>
      <c r="J855" s="87"/>
      <c r="K855" s="88"/>
      <c r="L855" s="89"/>
      <c r="M855" s="90"/>
      <c r="N855" s="57"/>
      <c r="O855" s="57"/>
      <c r="P855" s="91"/>
    </row>
    <row r="856" spans="2:16" s="50" customFormat="1" ht="13.2">
      <c r="B856" s="86"/>
      <c r="C856" s="87"/>
      <c r="D856" s="87"/>
      <c r="E856" s="87"/>
      <c r="F856" s="87"/>
      <c r="G856" s="87"/>
      <c r="H856" s="87"/>
      <c r="I856" s="87"/>
      <c r="J856" s="87"/>
      <c r="K856" s="88"/>
      <c r="L856" s="89"/>
      <c r="M856" s="90"/>
      <c r="N856" s="57"/>
      <c r="O856" s="57"/>
      <c r="P856" s="91"/>
    </row>
    <row r="857" spans="2:16" s="50" customFormat="1" ht="13.2">
      <c r="B857" s="86"/>
      <c r="C857" s="87"/>
      <c r="D857" s="87"/>
      <c r="E857" s="87"/>
      <c r="F857" s="87"/>
      <c r="G857" s="87"/>
      <c r="H857" s="87"/>
      <c r="I857" s="87"/>
      <c r="J857" s="87"/>
      <c r="K857" s="88"/>
      <c r="L857" s="89"/>
      <c r="M857" s="90"/>
      <c r="N857" s="57"/>
      <c r="O857" s="57"/>
      <c r="P857" s="91"/>
    </row>
    <row r="858" spans="2:16" s="50" customFormat="1" ht="13.2">
      <c r="B858" s="86"/>
      <c r="C858" s="87"/>
      <c r="D858" s="87"/>
      <c r="E858" s="87"/>
      <c r="F858" s="87"/>
      <c r="G858" s="87"/>
      <c r="H858" s="87"/>
      <c r="I858" s="87"/>
      <c r="J858" s="87"/>
      <c r="K858" s="88"/>
      <c r="L858" s="89"/>
      <c r="M858" s="90"/>
      <c r="N858" s="57"/>
      <c r="O858" s="57"/>
      <c r="P858" s="91"/>
    </row>
    <row r="859" spans="2:16" s="50" customFormat="1" ht="13.2">
      <c r="B859" s="86"/>
      <c r="C859" s="87"/>
      <c r="D859" s="87"/>
      <c r="E859" s="87"/>
      <c r="F859" s="87"/>
      <c r="G859" s="87"/>
      <c r="H859" s="87"/>
      <c r="I859" s="87"/>
      <c r="J859" s="87"/>
      <c r="K859" s="88"/>
      <c r="L859" s="89"/>
      <c r="M859" s="90"/>
      <c r="N859" s="57"/>
      <c r="O859" s="57"/>
      <c r="P859" s="91"/>
    </row>
    <row r="860" spans="2:16" s="50" customFormat="1" ht="13.2">
      <c r="B860" s="86"/>
      <c r="C860" s="87"/>
      <c r="D860" s="87"/>
      <c r="E860" s="87"/>
      <c r="F860" s="87"/>
      <c r="G860" s="87"/>
      <c r="H860" s="87"/>
      <c r="I860" s="87"/>
      <c r="J860" s="87"/>
      <c r="K860" s="88"/>
      <c r="L860" s="89"/>
      <c r="M860" s="90"/>
      <c r="N860" s="57"/>
      <c r="O860" s="57"/>
      <c r="P860" s="91"/>
    </row>
    <row r="861" spans="2:16" s="50" customFormat="1" ht="13.2">
      <c r="B861" s="86"/>
      <c r="C861" s="87"/>
      <c r="D861" s="87"/>
      <c r="E861" s="87"/>
      <c r="F861" s="87"/>
      <c r="G861" s="87"/>
      <c r="H861" s="87"/>
      <c r="I861" s="87"/>
      <c r="J861" s="87"/>
      <c r="K861" s="88"/>
      <c r="L861" s="89"/>
      <c r="M861" s="90"/>
      <c r="N861" s="57"/>
      <c r="O861" s="57"/>
      <c r="P861" s="91"/>
    </row>
    <row r="862" spans="2:16" s="50" customFormat="1" ht="13.2">
      <c r="B862" s="86"/>
      <c r="C862" s="87"/>
      <c r="D862" s="87"/>
      <c r="E862" s="87"/>
      <c r="F862" s="87"/>
      <c r="G862" s="87"/>
      <c r="H862" s="87"/>
      <c r="I862" s="87"/>
      <c r="J862" s="87"/>
      <c r="K862" s="88"/>
      <c r="L862" s="89"/>
      <c r="M862" s="90"/>
      <c r="N862" s="57"/>
      <c r="O862" s="57"/>
      <c r="P862" s="91"/>
    </row>
    <row r="863" spans="2:16" s="50" customFormat="1" ht="13.2">
      <c r="B863" s="86"/>
      <c r="C863" s="87"/>
      <c r="D863" s="87"/>
      <c r="E863" s="87"/>
      <c r="F863" s="87"/>
      <c r="G863" s="87"/>
      <c r="H863" s="87"/>
      <c r="I863" s="87"/>
      <c r="J863" s="87"/>
      <c r="K863" s="88"/>
      <c r="L863" s="89"/>
      <c r="M863" s="90"/>
      <c r="N863" s="57"/>
      <c r="O863" s="57"/>
      <c r="P863" s="91"/>
    </row>
    <row r="864" spans="2:16" s="50" customFormat="1" ht="13.2">
      <c r="B864" s="86"/>
      <c r="C864" s="87"/>
      <c r="D864" s="87"/>
      <c r="E864" s="87"/>
      <c r="F864" s="87"/>
      <c r="G864" s="87"/>
      <c r="H864" s="87"/>
      <c r="I864" s="87"/>
      <c r="J864" s="87"/>
      <c r="K864" s="88"/>
      <c r="L864" s="89"/>
      <c r="M864" s="90"/>
      <c r="N864" s="57"/>
      <c r="O864" s="57"/>
      <c r="P864" s="91"/>
    </row>
    <row r="865" spans="2:16" s="50" customFormat="1" ht="13.2">
      <c r="B865" s="86"/>
      <c r="C865" s="87"/>
      <c r="D865" s="87"/>
      <c r="E865" s="87"/>
      <c r="F865" s="87"/>
      <c r="G865" s="87"/>
      <c r="H865" s="87"/>
      <c r="I865" s="87"/>
      <c r="J865" s="87"/>
      <c r="K865" s="88"/>
      <c r="L865" s="89"/>
      <c r="M865" s="90"/>
      <c r="N865" s="57"/>
      <c r="O865" s="57"/>
      <c r="P865" s="91"/>
    </row>
    <row r="866" spans="2:16" s="50" customFormat="1" ht="13.2">
      <c r="B866" s="86"/>
      <c r="C866" s="87"/>
      <c r="D866" s="87"/>
      <c r="E866" s="87"/>
      <c r="F866" s="87"/>
      <c r="G866" s="87"/>
      <c r="H866" s="87"/>
      <c r="I866" s="87"/>
      <c r="J866" s="87"/>
      <c r="K866" s="88"/>
      <c r="L866" s="89"/>
      <c r="M866" s="90"/>
      <c r="N866" s="57"/>
      <c r="O866" s="57"/>
      <c r="P866" s="91"/>
    </row>
    <row r="867" spans="2:16" s="50" customFormat="1" ht="13.2">
      <c r="B867" s="86"/>
      <c r="C867" s="87"/>
      <c r="D867" s="87"/>
      <c r="E867" s="87"/>
      <c r="F867" s="87"/>
      <c r="G867" s="87"/>
      <c r="H867" s="87"/>
      <c r="I867" s="87"/>
      <c r="J867" s="87"/>
      <c r="K867" s="88"/>
      <c r="L867" s="89"/>
      <c r="M867" s="90"/>
      <c r="N867" s="57"/>
      <c r="O867" s="57"/>
      <c r="P867" s="91"/>
    </row>
    <row r="868" spans="2:16" s="50" customFormat="1" ht="13.2">
      <c r="B868" s="86"/>
      <c r="C868" s="87"/>
      <c r="D868" s="87"/>
      <c r="E868" s="87"/>
      <c r="F868" s="87"/>
      <c r="G868" s="87"/>
      <c r="H868" s="87"/>
      <c r="I868" s="87"/>
      <c r="J868" s="87"/>
      <c r="K868" s="88"/>
      <c r="L868" s="89"/>
      <c r="M868" s="90"/>
      <c r="N868" s="57"/>
      <c r="O868" s="57"/>
      <c r="P868" s="91"/>
    </row>
    <row r="869" spans="2:16" s="50" customFormat="1" ht="13.2">
      <c r="B869" s="86"/>
      <c r="C869" s="87"/>
      <c r="D869" s="87"/>
      <c r="E869" s="87"/>
      <c r="F869" s="87"/>
      <c r="G869" s="87"/>
      <c r="H869" s="87"/>
      <c r="I869" s="87"/>
      <c r="J869" s="87"/>
      <c r="K869" s="88"/>
      <c r="L869" s="89"/>
      <c r="M869" s="90"/>
      <c r="N869" s="57"/>
      <c r="O869" s="57"/>
      <c r="P869" s="91"/>
    </row>
    <row r="870" spans="2:16" s="50" customFormat="1" ht="13.2">
      <c r="B870" s="86"/>
      <c r="C870" s="87"/>
      <c r="D870" s="87"/>
      <c r="E870" s="87"/>
      <c r="F870" s="87"/>
      <c r="G870" s="87"/>
      <c r="H870" s="87"/>
      <c r="I870" s="87"/>
      <c r="J870" s="87"/>
      <c r="K870" s="88"/>
      <c r="L870" s="89"/>
      <c r="M870" s="90"/>
      <c r="N870" s="57"/>
      <c r="O870" s="57"/>
      <c r="P870" s="91"/>
    </row>
    <row r="871" spans="2:16" s="50" customFormat="1" ht="13.2">
      <c r="B871" s="86"/>
      <c r="C871" s="87"/>
      <c r="D871" s="87"/>
      <c r="E871" s="87"/>
      <c r="F871" s="87"/>
      <c r="G871" s="87"/>
      <c r="H871" s="87"/>
      <c r="I871" s="87"/>
      <c r="J871" s="87"/>
      <c r="K871" s="88"/>
      <c r="L871" s="89"/>
      <c r="M871" s="90"/>
      <c r="N871" s="57"/>
      <c r="O871" s="57"/>
      <c r="P871" s="91"/>
    </row>
    <row r="872" spans="2:16" s="50" customFormat="1" ht="13.2">
      <c r="B872" s="86"/>
      <c r="C872" s="87"/>
      <c r="D872" s="87"/>
      <c r="E872" s="87"/>
      <c r="F872" s="87"/>
      <c r="G872" s="87"/>
      <c r="H872" s="87"/>
      <c r="I872" s="87"/>
      <c r="J872" s="87"/>
      <c r="K872" s="88"/>
      <c r="L872" s="89"/>
      <c r="M872" s="90"/>
      <c r="N872" s="57"/>
      <c r="O872" s="57"/>
      <c r="P872" s="91"/>
    </row>
    <row r="873" spans="2:16" s="50" customFormat="1" ht="13.2">
      <c r="B873" s="86"/>
      <c r="C873" s="87"/>
      <c r="D873" s="87"/>
      <c r="E873" s="87"/>
      <c r="F873" s="87"/>
      <c r="G873" s="87"/>
      <c r="H873" s="87"/>
      <c r="I873" s="87"/>
      <c r="J873" s="87"/>
      <c r="K873" s="88"/>
      <c r="L873" s="89"/>
      <c r="M873" s="90"/>
      <c r="N873" s="57"/>
      <c r="O873" s="57"/>
      <c r="P873" s="91"/>
    </row>
    <row r="874" spans="2:16" s="50" customFormat="1" ht="13.2">
      <c r="B874" s="86"/>
      <c r="C874" s="87"/>
      <c r="D874" s="87"/>
      <c r="E874" s="87"/>
      <c r="F874" s="87"/>
      <c r="G874" s="87"/>
      <c r="H874" s="87"/>
      <c r="I874" s="87"/>
      <c r="J874" s="87"/>
      <c r="K874" s="88"/>
      <c r="L874" s="89"/>
      <c r="M874" s="90"/>
      <c r="N874" s="57"/>
      <c r="O874" s="57"/>
      <c r="P874" s="91"/>
    </row>
    <row r="875" spans="2:16" s="50" customFormat="1" ht="13.2">
      <c r="B875" s="86"/>
      <c r="C875" s="87"/>
      <c r="D875" s="87"/>
      <c r="E875" s="87"/>
      <c r="F875" s="87"/>
      <c r="G875" s="87"/>
      <c r="H875" s="87"/>
      <c r="I875" s="87"/>
      <c r="J875" s="87"/>
      <c r="K875" s="88"/>
      <c r="L875" s="89"/>
      <c r="M875" s="90"/>
      <c r="N875" s="57"/>
      <c r="O875" s="57"/>
      <c r="P875" s="91"/>
    </row>
    <row r="876" spans="2:16" s="50" customFormat="1" ht="13.2">
      <c r="B876" s="86"/>
      <c r="C876" s="87"/>
      <c r="D876" s="87"/>
      <c r="E876" s="87"/>
      <c r="F876" s="87"/>
      <c r="G876" s="87"/>
      <c r="H876" s="87"/>
      <c r="I876" s="87"/>
      <c r="J876" s="87"/>
      <c r="K876" s="88"/>
      <c r="L876" s="89"/>
      <c r="M876" s="90"/>
      <c r="N876" s="57"/>
      <c r="O876" s="57"/>
      <c r="P876" s="91"/>
    </row>
    <row r="877" spans="2:16" s="50" customFormat="1" ht="13.2">
      <c r="B877" s="86"/>
      <c r="C877" s="87"/>
      <c r="D877" s="87"/>
      <c r="E877" s="87"/>
      <c r="F877" s="87"/>
      <c r="G877" s="87"/>
      <c r="H877" s="87"/>
      <c r="I877" s="87"/>
      <c r="J877" s="87"/>
      <c r="K877" s="88"/>
      <c r="L877" s="89"/>
      <c r="M877" s="90"/>
      <c r="N877" s="57"/>
      <c r="O877" s="57"/>
      <c r="P877" s="91"/>
    </row>
    <row r="878" spans="2:16" s="50" customFormat="1" ht="13.2">
      <c r="B878" s="86"/>
      <c r="C878" s="87"/>
      <c r="D878" s="87"/>
      <c r="E878" s="87"/>
      <c r="F878" s="87"/>
      <c r="G878" s="87"/>
      <c r="H878" s="87"/>
      <c r="I878" s="87"/>
      <c r="J878" s="87"/>
      <c r="K878" s="88"/>
      <c r="L878" s="89"/>
      <c r="M878" s="90"/>
      <c r="N878" s="57"/>
      <c r="O878" s="57"/>
      <c r="P878" s="91"/>
    </row>
    <row r="879" spans="2:16" s="50" customFormat="1" ht="13.2">
      <c r="B879" s="86"/>
      <c r="C879" s="87"/>
      <c r="D879" s="87"/>
      <c r="E879" s="87"/>
      <c r="F879" s="87"/>
      <c r="G879" s="87"/>
      <c r="H879" s="87"/>
      <c r="I879" s="87"/>
      <c r="J879" s="87"/>
      <c r="K879" s="88"/>
      <c r="L879" s="89"/>
      <c r="M879" s="90"/>
      <c r="N879" s="57"/>
      <c r="O879" s="57"/>
      <c r="P879" s="91"/>
    </row>
    <row r="880" spans="2:16" s="50" customFormat="1" ht="13.2">
      <c r="B880" s="86"/>
      <c r="C880" s="87"/>
      <c r="D880" s="87"/>
      <c r="E880" s="87"/>
      <c r="F880" s="87"/>
      <c r="G880" s="87"/>
      <c r="H880" s="87"/>
      <c r="I880" s="87"/>
      <c r="J880" s="87"/>
      <c r="K880" s="88"/>
      <c r="L880" s="89"/>
      <c r="M880" s="90"/>
      <c r="N880" s="57"/>
      <c r="O880" s="57"/>
      <c r="P880" s="91"/>
    </row>
    <row r="881" spans="2:16" s="50" customFormat="1" ht="13.2">
      <c r="B881" s="86"/>
      <c r="C881" s="87"/>
      <c r="D881" s="87"/>
      <c r="E881" s="87"/>
      <c r="F881" s="87"/>
      <c r="G881" s="87"/>
      <c r="H881" s="87"/>
      <c r="I881" s="87"/>
      <c r="J881" s="87"/>
      <c r="K881" s="88"/>
      <c r="L881" s="89"/>
      <c r="M881" s="90"/>
      <c r="N881" s="57"/>
      <c r="O881" s="57"/>
      <c r="P881" s="91"/>
    </row>
    <row r="882" spans="2:16" s="50" customFormat="1" ht="13.2">
      <c r="B882" s="86"/>
      <c r="C882" s="87"/>
      <c r="D882" s="87"/>
      <c r="E882" s="87"/>
      <c r="F882" s="87"/>
      <c r="G882" s="87"/>
      <c r="H882" s="87"/>
      <c r="I882" s="87"/>
      <c r="J882" s="87"/>
      <c r="K882" s="88"/>
      <c r="L882" s="89"/>
      <c r="M882" s="90"/>
      <c r="N882" s="57"/>
      <c r="O882" s="57"/>
      <c r="P882" s="91"/>
    </row>
    <row r="883" spans="2:16" s="50" customFormat="1" ht="13.2">
      <c r="B883" s="86"/>
      <c r="C883" s="87"/>
      <c r="D883" s="87"/>
      <c r="E883" s="87"/>
      <c r="F883" s="87"/>
      <c r="G883" s="87"/>
      <c r="H883" s="87"/>
      <c r="I883" s="87"/>
      <c r="J883" s="87"/>
      <c r="K883" s="88"/>
      <c r="L883" s="89"/>
      <c r="M883" s="90"/>
      <c r="N883" s="57"/>
      <c r="O883" s="57"/>
      <c r="P883" s="91"/>
    </row>
    <row r="884" spans="2:16" s="50" customFormat="1" ht="13.2">
      <c r="B884" s="86"/>
      <c r="C884" s="87"/>
      <c r="D884" s="87"/>
      <c r="E884" s="87"/>
      <c r="F884" s="87"/>
      <c r="G884" s="87"/>
      <c r="H884" s="87"/>
      <c r="I884" s="87"/>
      <c r="J884" s="87"/>
      <c r="K884" s="88"/>
      <c r="L884" s="89"/>
      <c r="M884" s="90"/>
      <c r="N884" s="57"/>
      <c r="O884" s="57"/>
      <c r="P884" s="91"/>
    </row>
    <row r="885" spans="2:16" s="50" customFormat="1" ht="13.2">
      <c r="B885" s="86"/>
      <c r="C885" s="87"/>
      <c r="D885" s="87"/>
      <c r="E885" s="87"/>
      <c r="F885" s="87"/>
      <c r="G885" s="87"/>
      <c r="H885" s="87"/>
      <c r="I885" s="87"/>
      <c r="J885" s="87"/>
      <c r="K885" s="88"/>
      <c r="L885" s="89"/>
      <c r="M885" s="90"/>
      <c r="N885" s="57"/>
      <c r="O885" s="57"/>
      <c r="P885" s="91"/>
    </row>
    <row r="886" spans="2:16" s="50" customFormat="1" ht="13.2">
      <c r="B886" s="86"/>
      <c r="C886" s="87"/>
      <c r="D886" s="87"/>
      <c r="E886" s="87"/>
      <c r="F886" s="87"/>
      <c r="G886" s="87"/>
      <c r="H886" s="87"/>
      <c r="I886" s="87"/>
      <c r="J886" s="87"/>
      <c r="K886" s="88"/>
      <c r="L886" s="89"/>
      <c r="M886" s="90"/>
      <c r="N886" s="57"/>
      <c r="O886" s="57"/>
      <c r="P886" s="91"/>
    </row>
    <row r="887" spans="2:16" s="50" customFormat="1" ht="13.2">
      <c r="B887" s="86"/>
      <c r="C887" s="87"/>
      <c r="D887" s="87"/>
      <c r="E887" s="87"/>
      <c r="F887" s="87"/>
      <c r="G887" s="87"/>
      <c r="H887" s="87"/>
      <c r="I887" s="87"/>
      <c r="J887" s="87"/>
      <c r="K887" s="88"/>
      <c r="L887" s="89"/>
      <c r="M887" s="90"/>
      <c r="N887" s="57"/>
      <c r="O887" s="57"/>
      <c r="P887" s="91"/>
    </row>
    <row r="888" spans="2:16" s="50" customFormat="1" ht="13.2">
      <c r="B888" s="86"/>
      <c r="C888" s="87"/>
      <c r="D888" s="87"/>
      <c r="E888" s="87"/>
      <c r="F888" s="87"/>
      <c r="G888" s="87"/>
      <c r="H888" s="87"/>
      <c r="I888" s="87"/>
      <c r="J888" s="87"/>
      <c r="K888" s="88"/>
      <c r="L888" s="89"/>
      <c r="M888" s="90"/>
      <c r="N888" s="57"/>
      <c r="O888" s="57"/>
      <c r="P888" s="91"/>
    </row>
    <row r="889" spans="2:16" s="50" customFormat="1" ht="13.2">
      <c r="B889" s="86"/>
      <c r="C889" s="87"/>
      <c r="D889" s="87"/>
      <c r="E889" s="87"/>
      <c r="F889" s="87"/>
      <c r="G889" s="87"/>
      <c r="H889" s="87"/>
      <c r="I889" s="87"/>
      <c r="J889" s="87"/>
      <c r="K889" s="88"/>
      <c r="L889" s="89"/>
      <c r="M889" s="90"/>
      <c r="N889" s="57"/>
      <c r="O889" s="57"/>
      <c r="P889" s="91"/>
    </row>
    <row r="890" spans="2:16" s="50" customFormat="1" ht="13.2">
      <c r="B890" s="86"/>
      <c r="C890" s="87"/>
      <c r="D890" s="87"/>
      <c r="E890" s="87"/>
      <c r="F890" s="87"/>
      <c r="G890" s="87"/>
      <c r="H890" s="87"/>
      <c r="I890" s="87"/>
      <c r="J890" s="87"/>
      <c r="K890" s="88"/>
      <c r="L890" s="89"/>
      <c r="M890" s="90"/>
      <c r="N890" s="57"/>
      <c r="O890" s="57"/>
      <c r="P890" s="91"/>
    </row>
    <row r="891" spans="2:16" s="50" customFormat="1" ht="13.2">
      <c r="B891" s="86"/>
      <c r="C891" s="87"/>
      <c r="D891" s="87"/>
      <c r="E891" s="87"/>
      <c r="F891" s="87"/>
      <c r="G891" s="87"/>
      <c r="H891" s="87"/>
      <c r="I891" s="87"/>
      <c r="J891" s="87"/>
      <c r="K891" s="88"/>
      <c r="L891" s="89"/>
      <c r="M891" s="90"/>
      <c r="N891" s="57"/>
      <c r="O891" s="57"/>
      <c r="P891" s="91"/>
    </row>
    <row r="892" spans="2:16" s="50" customFormat="1" ht="13.2">
      <c r="B892" s="86"/>
      <c r="C892" s="87"/>
      <c r="D892" s="87"/>
      <c r="E892" s="87"/>
      <c r="F892" s="87"/>
      <c r="G892" s="87"/>
      <c r="H892" s="87"/>
      <c r="I892" s="87"/>
      <c r="J892" s="87"/>
      <c r="K892" s="88"/>
      <c r="L892" s="89"/>
      <c r="M892" s="90"/>
      <c r="N892" s="57"/>
      <c r="O892" s="57"/>
      <c r="P892" s="91"/>
    </row>
    <row r="893" spans="2:16" s="50" customFormat="1" ht="13.2">
      <c r="B893" s="86"/>
      <c r="C893" s="87"/>
      <c r="D893" s="87"/>
      <c r="E893" s="87"/>
      <c r="F893" s="87"/>
      <c r="G893" s="87"/>
      <c r="H893" s="87"/>
      <c r="I893" s="87"/>
      <c r="J893" s="87"/>
      <c r="K893" s="88"/>
      <c r="L893" s="89"/>
      <c r="M893" s="90"/>
      <c r="N893" s="57"/>
      <c r="O893" s="57"/>
      <c r="P893" s="91"/>
    </row>
    <row r="894" spans="2:16" s="50" customFormat="1" ht="13.2">
      <c r="B894" s="86"/>
      <c r="C894" s="87"/>
      <c r="D894" s="87"/>
      <c r="E894" s="87"/>
      <c r="F894" s="87"/>
      <c r="G894" s="87"/>
      <c r="H894" s="87"/>
      <c r="I894" s="87"/>
      <c r="J894" s="87"/>
      <c r="K894" s="88"/>
      <c r="L894" s="89"/>
      <c r="M894" s="90"/>
      <c r="N894" s="57"/>
      <c r="O894" s="57"/>
      <c r="P894" s="91"/>
    </row>
    <row r="895" spans="2:16" s="50" customFormat="1" ht="13.2">
      <c r="B895" s="86"/>
      <c r="C895" s="87"/>
      <c r="D895" s="87"/>
      <c r="E895" s="87"/>
      <c r="F895" s="87"/>
      <c r="G895" s="87"/>
      <c r="H895" s="87"/>
      <c r="I895" s="87"/>
      <c r="J895" s="87"/>
      <c r="K895" s="88"/>
      <c r="L895" s="89"/>
      <c r="M895" s="90"/>
      <c r="N895" s="57"/>
      <c r="O895" s="57"/>
      <c r="P895" s="91"/>
    </row>
    <row r="896" spans="2:16" s="50" customFormat="1" ht="13.2">
      <c r="B896" s="86"/>
      <c r="C896" s="87"/>
      <c r="D896" s="87"/>
      <c r="E896" s="87"/>
      <c r="F896" s="87"/>
      <c r="G896" s="87"/>
      <c r="H896" s="87"/>
      <c r="I896" s="87"/>
      <c r="J896" s="87"/>
      <c r="K896" s="88"/>
      <c r="L896" s="89"/>
      <c r="M896" s="90"/>
      <c r="N896" s="57"/>
      <c r="O896" s="57"/>
      <c r="P896" s="91"/>
    </row>
    <row r="897" spans="2:16" s="50" customFormat="1" ht="13.2">
      <c r="B897" s="86"/>
      <c r="C897" s="87"/>
      <c r="D897" s="87"/>
      <c r="E897" s="87"/>
      <c r="F897" s="87"/>
      <c r="G897" s="87"/>
      <c r="H897" s="87"/>
      <c r="I897" s="87"/>
      <c r="J897" s="87"/>
      <c r="K897" s="88"/>
      <c r="L897" s="89"/>
      <c r="M897" s="90"/>
      <c r="N897" s="57"/>
      <c r="O897" s="57"/>
      <c r="P897" s="91"/>
    </row>
    <row r="898" spans="2:16" s="50" customFormat="1" ht="13.2">
      <c r="B898" s="86"/>
      <c r="C898" s="87"/>
      <c r="D898" s="87"/>
      <c r="E898" s="87"/>
      <c r="F898" s="87"/>
      <c r="G898" s="87"/>
      <c r="H898" s="87"/>
      <c r="I898" s="87"/>
      <c r="J898" s="87"/>
      <c r="K898" s="88"/>
      <c r="L898" s="89"/>
      <c r="M898" s="90"/>
      <c r="N898" s="57"/>
      <c r="O898" s="57"/>
      <c r="P898" s="91"/>
    </row>
    <row r="899" spans="2:16" s="50" customFormat="1" ht="13.2">
      <c r="B899" s="86"/>
      <c r="C899" s="87"/>
      <c r="D899" s="87"/>
      <c r="E899" s="87"/>
      <c r="F899" s="87"/>
      <c r="G899" s="87"/>
      <c r="H899" s="87"/>
      <c r="I899" s="87"/>
      <c r="J899" s="87"/>
      <c r="K899" s="88"/>
      <c r="L899" s="89"/>
      <c r="M899" s="90"/>
      <c r="N899" s="57"/>
      <c r="O899" s="57"/>
      <c r="P899" s="91"/>
    </row>
    <row r="900" spans="2:16" s="50" customFormat="1" ht="13.2">
      <c r="B900" s="86"/>
      <c r="C900" s="87"/>
      <c r="D900" s="87"/>
      <c r="E900" s="87"/>
      <c r="F900" s="87"/>
      <c r="G900" s="87"/>
      <c r="H900" s="87"/>
      <c r="I900" s="87"/>
      <c r="J900" s="87"/>
      <c r="K900" s="88"/>
      <c r="L900" s="89"/>
      <c r="M900" s="90"/>
      <c r="N900" s="57"/>
      <c r="O900" s="57"/>
      <c r="P900" s="91"/>
    </row>
    <row r="901" spans="2:16" s="50" customFormat="1" ht="13.2">
      <c r="B901" s="86"/>
      <c r="C901" s="87"/>
      <c r="D901" s="87"/>
      <c r="E901" s="87"/>
      <c r="F901" s="87"/>
      <c r="G901" s="87"/>
      <c r="H901" s="87"/>
      <c r="I901" s="87"/>
      <c r="J901" s="87"/>
      <c r="K901" s="88"/>
      <c r="L901" s="89"/>
      <c r="M901" s="90"/>
      <c r="N901" s="57"/>
      <c r="O901" s="57"/>
      <c r="P901" s="91"/>
    </row>
    <row r="902" spans="2:16" s="50" customFormat="1" ht="13.2">
      <c r="B902" s="86"/>
      <c r="C902" s="87"/>
      <c r="D902" s="87"/>
      <c r="E902" s="87"/>
      <c r="F902" s="87"/>
      <c r="G902" s="87"/>
      <c r="H902" s="87"/>
      <c r="I902" s="87"/>
      <c r="J902" s="87"/>
      <c r="K902" s="88"/>
      <c r="L902" s="89"/>
      <c r="M902" s="90"/>
      <c r="N902" s="57"/>
      <c r="O902" s="57"/>
      <c r="P902" s="91"/>
    </row>
    <row r="903" spans="2:16" s="50" customFormat="1" ht="13.2">
      <c r="B903" s="86"/>
      <c r="C903" s="87"/>
      <c r="D903" s="87"/>
      <c r="E903" s="87"/>
      <c r="F903" s="87"/>
      <c r="G903" s="87"/>
      <c r="H903" s="87"/>
      <c r="I903" s="87"/>
      <c r="J903" s="87"/>
      <c r="K903" s="88"/>
      <c r="L903" s="89"/>
      <c r="M903" s="90"/>
      <c r="N903" s="57"/>
      <c r="O903" s="57"/>
      <c r="P903" s="91"/>
    </row>
    <row r="904" spans="2:16" s="50" customFormat="1" ht="13.2">
      <c r="B904" s="86"/>
      <c r="C904" s="87"/>
      <c r="D904" s="87"/>
      <c r="E904" s="87"/>
      <c r="F904" s="87"/>
      <c r="G904" s="87"/>
      <c r="H904" s="87"/>
      <c r="I904" s="87"/>
      <c r="J904" s="87"/>
      <c r="K904" s="88"/>
      <c r="L904" s="89"/>
      <c r="M904" s="90"/>
      <c r="N904" s="57"/>
      <c r="O904" s="57"/>
      <c r="P904" s="91"/>
    </row>
    <row r="905" spans="2:16" s="50" customFormat="1" ht="13.2">
      <c r="B905" s="86"/>
      <c r="C905" s="87"/>
      <c r="D905" s="87"/>
      <c r="E905" s="87"/>
      <c r="F905" s="87"/>
      <c r="G905" s="87"/>
      <c r="H905" s="87"/>
      <c r="I905" s="87"/>
      <c r="J905" s="87"/>
      <c r="K905" s="88"/>
      <c r="L905" s="89"/>
      <c r="M905" s="90"/>
      <c r="N905" s="57"/>
      <c r="O905" s="57"/>
      <c r="P905" s="91"/>
    </row>
    <row r="906" spans="2:16" s="50" customFormat="1" ht="13.2">
      <c r="B906" s="86"/>
      <c r="C906" s="87"/>
      <c r="D906" s="87"/>
      <c r="E906" s="87"/>
      <c r="F906" s="87"/>
      <c r="G906" s="87"/>
      <c r="H906" s="87"/>
      <c r="I906" s="87"/>
      <c r="J906" s="87"/>
      <c r="K906" s="88"/>
      <c r="L906" s="89"/>
      <c r="M906" s="90"/>
      <c r="N906" s="57"/>
      <c r="O906" s="57"/>
      <c r="P906" s="91"/>
    </row>
    <row r="907" spans="2:16" s="50" customFormat="1" ht="13.2">
      <c r="B907" s="86"/>
      <c r="C907" s="87"/>
      <c r="D907" s="87"/>
      <c r="E907" s="87"/>
      <c r="F907" s="87"/>
      <c r="G907" s="87"/>
      <c r="H907" s="87"/>
      <c r="I907" s="87"/>
      <c r="J907" s="87"/>
      <c r="K907" s="88"/>
      <c r="L907" s="89"/>
      <c r="M907" s="90"/>
      <c r="N907" s="57"/>
      <c r="O907" s="57"/>
      <c r="P907" s="91"/>
    </row>
    <row r="908" spans="2:16" s="50" customFormat="1" ht="13.2">
      <c r="B908" s="86"/>
      <c r="C908" s="87"/>
      <c r="D908" s="87"/>
      <c r="E908" s="87"/>
      <c r="F908" s="87"/>
      <c r="G908" s="87"/>
      <c r="H908" s="87"/>
      <c r="I908" s="87"/>
      <c r="J908" s="87"/>
      <c r="K908" s="88"/>
      <c r="L908" s="89"/>
      <c r="M908" s="90"/>
      <c r="N908" s="57"/>
      <c r="O908" s="57"/>
      <c r="P908" s="91"/>
    </row>
    <row r="909" spans="2:16" s="50" customFormat="1" ht="13.2">
      <c r="B909" s="86"/>
      <c r="C909" s="87"/>
      <c r="D909" s="87"/>
      <c r="E909" s="87"/>
      <c r="F909" s="87"/>
      <c r="G909" s="87"/>
      <c r="H909" s="87"/>
      <c r="I909" s="87"/>
      <c r="J909" s="87"/>
      <c r="K909" s="88"/>
      <c r="L909" s="89"/>
      <c r="M909" s="90"/>
      <c r="N909" s="57"/>
      <c r="O909" s="57"/>
      <c r="P909" s="91"/>
    </row>
    <row r="910" spans="2:16" s="50" customFormat="1" ht="13.2">
      <c r="B910" s="86"/>
      <c r="C910" s="87"/>
      <c r="D910" s="87"/>
      <c r="E910" s="87"/>
      <c r="F910" s="87"/>
      <c r="G910" s="87"/>
      <c r="H910" s="87"/>
      <c r="I910" s="87"/>
      <c r="J910" s="87"/>
      <c r="K910" s="88"/>
      <c r="L910" s="89"/>
      <c r="M910" s="90"/>
      <c r="N910" s="57"/>
      <c r="O910" s="57"/>
      <c r="P910" s="91"/>
    </row>
    <row r="911" spans="2:16" s="50" customFormat="1" ht="13.2">
      <c r="B911" s="86"/>
      <c r="C911" s="87"/>
      <c r="D911" s="87"/>
      <c r="E911" s="87"/>
      <c r="F911" s="87"/>
      <c r="G911" s="87"/>
      <c r="H911" s="87"/>
      <c r="I911" s="87"/>
      <c r="J911" s="87"/>
      <c r="K911" s="88"/>
      <c r="L911" s="89"/>
      <c r="M911" s="90"/>
      <c r="N911" s="57"/>
      <c r="O911" s="57"/>
      <c r="P911" s="91"/>
    </row>
    <row r="912" spans="2:16" s="50" customFormat="1" ht="13.2">
      <c r="B912" s="86"/>
      <c r="C912" s="87"/>
      <c r="D912" s="87"/>
      <c r="E912" s="87"/>
      <c r="F912" s="87"/>
      <c r="G912" s="87"/>
      <c r="H912" s="87"/>
      <c r="I912" s="87"/>
      <c r="J912" s="87"/>
      <c r="K912" s="88"/>
      <c r="L912" s="89"/>
      <c r="M912" s="90"/>
      <c r="N912" s="57"/>
      <c r="O912" s="57"/>
      <c r="P912" s="91"/>
    </row>
    <row r="913" spans="2:16" s="50" customFormat="1" ht="13.2">
      <c r="B913" s="86"/>
      <c r="C913" s="87"/>
      <c r="D913" s="87"/>
      <c r="E913" s="87"/>
      <c r="F913" s="87"/>
      <c r="G913" s="87"/>
      <c r="H913" s="87"/>
      <c r="I913" s="87"/>
      <c r="J913" s="87"/>
      <c r="K913" s="88"/>
      <c r="L913" s="89"/>
      <c r="M913" s="90"/>
      <c r="N913" s="57"/>
      <c r="O913" s="57"/>
      <c r="P913" s="91"/>
    </row>
    <row r="914" spans="2:16" s="50" customFormat="1" ht="13.2">
      <c r="B914" s="86"/>
      <c r="C914" s="87"/>
      <c r="D914" s="87"/>
      <c r="E914" s="87"/>
      <c r="F914" s="87"/>
      <c r="G914" s="87"/>
      <c r="H914" s="87"/>
      <c r="I914" s="87"/>
      <c r="J914" s="87"/>
      <c r="K914" s="88"/>
      <c r="L914" s="89"/>
      <c r="M914" s="90"/>
      <c r="N914" s="57"/>
      <c r="O914" s="57"/>
      <c r="P914" s="91"/>
    </row>
    <row r="915" spans="2:16" s="50" customFormat="1" ht="13.2">
      <c r="B915" s="86"/>
      <c r="C915" s="87"/>
      <c r="D915" s="87"/>
      <c r="E915" s="87"/>
      <c r="F915" s="87"/>
      <c r="G915" s="87"/>
      <c r="H915" s="87"/>
      <c r="I915" s="87"/>
      <c r="J915" s="87"/>
      <c r="K915" s="88"/>
      <c r="L915" s="89"/>
      <c r="M915" s="90"/>
      <c r="N915" s="57"/>
      <c r="O915" s="57"/>
      <c r="P915" s="91"/>
    </row>
    <row r="916" spans="2:16" s="50" customFormat="1" ht="13.2">
      <c r="B916" s="86"/>
      <c r="C916" s="87"/>
      <c r="D916" s="87"/>
      <c r="E916" s="87"/>
      <c r="F916" s="87"/>
      <c r="G916" s="87"/>
      <c r="H916" s="87"/>
      <c r="I916" s="87"/>
      <c r="J916" s="87"/>
      <c r="K916" s="88"/>
      <c r="L916" s="89"/>
      <c r="M916" s="90"/>
      <c r="N916" s="57"/>
      <c r="O916" s="57"/>
      <c r="P916" s="91"/>
    </row>
    <row r="917" spans="2:16" s="50" customFormat="1" ht="13.2">
      <c r="B917" s="86"/>
      <c r="C917" s="87"/>
      <c r="D917" s="87"/>
      <c r="E917" s="87"/>
      <c r="F917" s="87"/>
      <c r="G917" s="87"/>
      <c r="H917" s="87"/>
      <c r="I917" s="87"/>
      <c r="J917" s="87"/>
      <c r="K917" s="88"/>
      <c r="L917" s="89"/>
      <c r="M917" s="90"/>
      <c r="N917" s="57"/>
      <c r="O917" s="57"/>
      <c r="P917" s="91"/>
    </row>
    <row r="918" spans="2:16" s="50" customFormat="1" ht="13.2">
      <c r="B918" s="86"/>
      <c r="C918" s="87"/>
      <c r="D918" s="87"/>
      <c r="E918" s="87"/>
      <c r="F918" s="87"/>
      <c r="G918" s="87"/>
      <c r="H918" s="87"/>
      <c r="I918" s="87"/>
      <c r="J918" s="87"/>
      <c r="K918" s="88"/>
      <c r="L918" s="89"/>
      <c r="M918" s="90"/>
      <c r="N918" s="57"/>
      <c r="O918" s="57"/>
      <c r="P918" s="91"/>
    </row>
    <row r="919" spans="2:16" s="50" customFormat="1" ht="13.2">
      <c r="B919" s="86"/>
      <c r="C919" s="87"/>
      <c r="D919" s="87"/>
      <c r="E919" s="87"/>
      <c r="F919" s="87"/>
      <c r="G919" s="87"/>
      <c r="H919" s="87"/>
      <c r="I919" s="87"/>
      <c r="J919" s="87"/>
      <c r="K919" s="88"/>
      <c r="L919" s="89"/>
      <c r="M919" s="90"/>
      <c r="N919" s="57"/>
      <c r="O919" s="57"/>
      <c r="P919" s="91"/>
    </row>
    <row r="920" spans="2:16" s="50" customFormat="1" ht="13.2">
      <c r="B920" s="86"/>
      <c r="C920" s="87"/>
      <c r="D920" s="87"/>
      <c r="E920" s="87"/>
      <c r="F920" s="87"/>
      <c r="G920" s="87"/>
      <c r="H920" s="87"/>
      <c r="I920" s="87"/>
      <c r="J920" s="87"/>
      <c r="K920" s="88"/>
      <c r="L920" s="89"/>
      <c r="M920" s="90"/>
      <c r="N920" s="57"/>
      <c r="O920" s="57"/>
      <c r="P920" s="91"/>
    </row>
    <row r="921" spans="2:16" s="50" customFormat="1" ht="13.2">
      <c r="B921" s="86"/>
      <c r="C921" s="87"/>
      <c r="D921" s="87"/>
      <c r="E921" s="87"/>
      <c r="F921" s="87"/>
      <c r="G921" s="87"/>
      <c r="H921" s="87"/>
      <c r="I921" s="87"/>
      <c r="J921" s="87"/>
      <c r="K921" s="88"/>
      <c r="L921" s="89"/>
      <c r="M921" s="90"/>
      <c r="N921" s="57"/>
      <c r="O921" s="57"/>
      <c r="P921" s="91"/>
    </row>
    <row r="922" spans="2:16" s="50" customFormat="1" ht="13.2">
      <c r="B922" s="86"/>
      <c r="C922" s="87"/>
      <c r="D922" s="87"/>
      <c r="E922" s="87"/>
      <c r="F922" s="87"/>
      <c r="G922" s="87"/>
      <c r="H922" s="87"/>
      <c r="I922" s="87"/>
      <c r="J922" s="87"/>
      <c r="K922" s="88"/>
      <c r="L922" s="89"/>
      <c r="M922" s="90"/>
      <c r="N922" s="57"/>
      <c r="O922" s="57"/>
      <c r="P922" s="91"/>
    </row>
    <row r="923" spans="2:16" s="50" customFormat="1" ht="13.2">
      <c r="B923" s="86"/>
      <c r="C923" s="87"/>
      <c r="D923" s="87"/>
      <c r="E923" s="87"/>
      <c r="F923" s="87"/>
      <c r="G923" s="87"/>
      <c r="H923" s="87"/>
      <c r="I923" s="87"/>
      <c r="J923" s="87"/>
      <c r="K923" s="88"/>
      <c r="L923" s="89"/>
      <c r="M923" s="90"/>
      <c r="N923" s="57"/>
      <c r="O923" s="57"/>
      <c r="P923" s="91"/>
    </row>
    <row r="924" spans="2:16" s="50" customFormat="1" ht="13.2">
      <c r="B924" s="86"/>
      <c r="C924" s="87"/>
      <c r="D924" s="87"/>
      <c r="E924" s="87"/>
      <c r="F924" s="87"/>
      <c r="G924" s="87"/>
      <c r="H924" s="87"/>
      <c r="I924" s="87"/>
      <c r="J924" s="87"/>
      <c r="K924" s="88"/>
      <c r="L924" s="89"/>
      <c r="M924" s="90"/>
      <c r="N924" s="57"/>
      <c r="O924" s="57"/>
      <c r="P924" s="91"/>
    </row>
    <row r="925" spans="2:16" s="50" customFormat="1" ht="13.2">
      <c r="B925" s="86"/>
      <c r="C925" s="87"/>
      <c r="D925" s="87"/>
      <c r="E925" s="87"/>
      <c r="F925" s="87"/>
      <c r="G925" s="87"/>
      <c r="H925" s="87"/>
      <c r="I925" s="87"/>
      <c r="J925" s="87"/>
      <c r="K925" s="88"/>
      <c r="L925" s="89"/>
      <c r="M925" s="90"/>
      <c r="N925" s="57"/>
      <c r="O925" s="57"/>
      <c r="P925" s="91"/>
    </row>
    <row r="926" spans="2:16" s="50" customFormat="1" ht="13.2">
      <c r="B926" s="86"/>
      <c r="C926" s="87"/>
      <c r="D926" s="87"/>
      <c r="E926" s="87"/>
      <c r="F926" s="87"/>
      <c r="G926" s="87"/>
      <c r="H926" s="87"/>
      <c r="I926" s="87"/>
      <c r="J926" s="87"/>
      <c r="K926" s="88"/>
      <c r="L926" s="89"/>
      <c r="M926" s="90"/>
      <c r="N926" s="57"/>
      <c r="O926" s="57"/>
      <c r="P926" s="91"/>
    </row>
    <row r="927" spans="2:16" s="50" customFormat="1" ht="13.2">
      <c r="B927" s="86"/>
      <c r="C927" s="87"/>
      <c r="D927" s="87"/>
      <c r="E927" s="87"/>
      <c r="F927" s="87"/>
      <c r="G927" s="87"/>
      <c r="H927" s="87"/>
      <c r="I927" s="87"/>
      <c r="J927" s="87"/>
      <c r="K927" s="88"/>
      <c r="L927" s="89"/>
      <c r="M927" s="90"/>
      <c r="N927" s="57"/>
      <c r="O927" s="57"/>
      <c r="P927" s="91"/>
    </row>
    <row r="928" spans="2:16" s="50" customFormat="1" ht="13.2">
      <c r="B928" s="86"/>
      <c r="C928" s="87"/>
      <c r="D928" s="87"/>
      <c r="E928" s="87"/>
      <c r="F928" s="87"/>
      <c r="G928" s="87"/>
      <c r="H928" s="87"/>
      <c r="I928" s="87"/>
      <c r="J928" s="87"/>
      <c r="K928" s="88"/>
      <c r="L928" s="89"/>
      <c r="M928" s="90"/>
      <c r="N928" s="57"/>
      <c r="O928" s="57"/>
      <c r="P928" s="91"/>
    </row>
    <row r="929" spans="2:16" s="50" customFormat="1" ht="13.2">
      <c r="B929" s="86"/>
      <c r="C929" s="87"/>
      <c r="D929" s="87"/>
      <c r="E929" s="87"/>
      <c r="F929" s="87"/>
      <c r="G929" s="87"/>
      <c r="H929" s="87"/>
      <c r="I929" s="87"/>
      <c r="J929" s="87"/>
      <c r="K929" s="88"/>
      <c r="L929" s="89"/>
      <c r="M929" s="90"/>
      <c r="N929" s="57"/>
      <c r="O929" s="57"/>
      <c r="P929" s="91"/>
    </row>
    <row r="930" spans="2:16" s="50" customFormat="1" ht="13.2">
      <c r="B930" s="86"/>
      <c r="C930" s="87"/>
      <c r="D930" s="87"/>
      <c r="E930" s="87"/>
      <c r="F930" s="87"/>
      <c r="G930" s="87"/>
      <c r="H930" s="87"/>
      <c r="I930" s="87"/>
      <c r="J930" s="87"/>
      <c r="K930" s="88"/>
      <c r="L930" s="89"/>
      <c r="M930" s="90"/>
      <c r="N930" s="57"/>
      <c r="O930" s="57"/>
      <c r="P930" s="91"/>
    </row>
    <row r="931" spans="2:16" s="50" customFormat="1" ht="13.2">
      <c r="B931" s="86"/>
      <c r="C931" s="87"/>
      <c r="D931" s="87"/>
      <c r="E931" s="87"/>
      <c r="F931" s="87"/>
      <c r="G931" s="87"/>
      <c r="H931" s="87"/>
      <c r="I931" s="87"/>
      <c r="J931" s="87"/>
      <c r="K931" s="88"/>
      <c r="L931" s="89"/>
      <c r="M931" s="90"/>
      <c r="N931" s="57"/>
      <c r="O931" s="57"/>
      <c r="P931" s="91"/>
    </row>
    <row r="932" spans="2:16" s="50" customFormat="1" ht="13.2">
      <c r="B932" s="86"/>
      <c r="C932" s="87"/>
      <c r="D932" s="87"/>
      <c r="E932" s="87"/>
      <c r="F932" s="87"/>
      <c r="G932" s="87"/>
      <c r="H932" s="87"/>
      <c r="I932" s="87"/>
      <c r="J932" s="87"/>
      <c r="K932" s="88"/>
      <c r="L932" s="89"/>
      <c r="M932" s="90"/>
      <c r="N932" s="57"/>
      <c r="O932" s="57"/>
      <c r="P932" s="91"/>
    </row>
    <row r="933" spans="2:16" s="50" customFormat="1" ht="13.2">
      <c r="B933" s="86"/>
      <c r="C933" s="87"/>
      <c r="D933" s="87"/>
      <c r="E933" s="87"/>
      <c r="F933" s="87"/>
      <c r="G933" s="87"/>
      <c r="H933" s="87"/>
      <c r="I933" s="87"/>
      <c r="J933" s="87"/>
      <c r="K933" s="88"/>
      <c r="L933" s="89"/>
      <c r="M933" s="90"/>
      <c r="N933" s="57"/>
      <c r="O933" s="57"/>
      <c r="P933" s="91"/>
    </row>
    <row r="934" spans="2:16" s="50" customFormat="1" ht="13.2">
      <c r="B934" s="86"/>
      <c r="C934" s="87"/>
      <c r="D934" s="87"/>
      <c r="E934" s="87"/>
      <c r="F934" s="87"/>
      <c r="G934" s="87"/>
      <c r="H934" s="87"/>
      <c r="I934" s="87"/>
      <c r="J934" s="87"/>
      <c r="K934" s="88"/>
      <c r="L934" s="89"/>
      <c r="M934" s="90"/>
      <c r="N934" s="57"/>
      <c r="O934" s="57"/>
      <c r="P934" s="91"/>
    </row>
    <row r="935" spans="2:16" s="50" customFormat="1" ht="13.2">
      <c r="B935" s="86"/>
      <c r="C935" s="87"/>
      <c r="D935" s="87"/>
      <c r="E935" s="87"/>
      <c r="F935" s="87"/>
      <c r="G935" s="87"/>
      <c r="H935" s="87"/>
      <c r="I935" s="87"/>
      <c r="J935" s="87"/>
      <c r="K935" s="88"/>
      <c r="L935" s="89"/>
      <c r="M935" s="90"/>
      <c r="N935" s="57"/>
      <c r="O935" s="57"/>
      <c r="P935" s="91"/>
    </row>
    <row r="936" spans="2:16" s="50" customFormat="1" ht="13.2">
      <c r="B936" s="86"/>
      <c r="C936" s="87"/>
      <c r="D936" s="87"/>
      <c r="E936" s="87"/>
      <c r="F936" s="87"/>
      <c r="G936" s="87"/>
      <c r="H936" s="87"/>
      <c r="I936" s="87"/>
      <c r="J936" s="87"/>
      <c r="K936" s="88"/>
      <c r="L936" s="89"/>
      <c r="M936" s="90"/>
      <c r="N936" s="57"/>
      <c r="O936" s="57"/>
      <c r="P936" s="91"/>
    </row>
    <row r="937" spans="2:16" s="50" customFormat="1" ht="13.2">
      <c r="B937" s="86"/>
      <c r="C937" s="87"/>
      <c r="D937" s="87"/>
      <c r="E937" s="87"/>
      <c r="F937" s="87"/>
      <c r="G937" s="87"/>
      <c r="H937" s="87"/>
      <c r="I937" s="87"/>
      <c r="J937" s="87"/>
      <c r="K937" s="88"/>
      <c r="L937" s="89"/>
      <c r="M937" s="90"/>
      <c r="N937" s="57"/>
      <c r="O937" s="57"/>
      <c r="P937" s="91"/>
    </row>
    <row r="938" spans="2:16" s="50" customFormat="1" ht="13.2">
      <c r="B938" s="86"/>
      <c r="C938" s="87"/>
      <c r="D938" s="87"/>
      <c r="E938" s="87"/>
      <c r="F938" s="87"/>
      <c r="G938" s="87"/>
      <c r="H938" s="87"/>
      <c r="I938" s="87"/>
      <c r="J938" s="87"/>
      <c r="K938" s="88"/>
      <c r="L938" s="89"/>
      <c r="M938" s="90"/>
      <c r="N938" s="57"/>
      <c r="O938" s="57"/>
      <c r="P938" s="91"/>
    </row>
    <row r="939" spans="2:16" s="50" customFormat="1" ht="13.2">
      <c r="B939" s="86"/>
      <c r="C939" s="87"/>
      <c r="D939" s="87"/>
      <c r="E939" s="87"/>
      <c r="F939" s="87"/>
      <c r="G939" s="87"/>
      <c r="H939" s="87"/>
      <c r="I939" s="87"/>
      <c r="J939" s="87"/>
      <c r="K939" s="88"/>
      <c r="L939" s="89"/>
      <c r="M939" s="90"/>
      <c r="N939" s="57"/>
      <c r="O939" s="57"/>
      <c r="P939" s="91"/>
    </row>
    <row r="940" spans="2:16" s="50" customFormat="1" ht="13.2">
      <c r="B940" s="86"/>
      <c r="C940" s="87"/>
      <c r="D940" s="87"/>
      <c r="E940" s="87"/>
      <c r="F940" s="87"/>
      <c r="G940" s="87"/>
      <c r="H940" s="87"/>
      <c r="I940" s="87"/>
      <c r="J940" s="87"/>
      <c r="K940" s="88"/>
      <c r="L940" s="89"/>
      <c r="M940" s="90"/>
      <c r="N940" s="57"/>
      <c r="O940" s="57"/>
      <c r="P940" s="91"/>
    </row>
    <row r="941" spans="2:16" s="50" customFormat="1" ht="13.2">
      <c r="B941" s="86"/>
      <c r="C941" s="87"/>
      <c r="D941" s="87"/>
      <c r="E941" s="87"/>
      <c r="F941" s="87"/>
      <c r="G941" s="87"/>
      <c r="H941" s="87"/>
      <c r="I941" s="87"/>
      <c r="J941" s="87"/>
      <c r="K941" s="88"/>
      <c r="L941" s="89"/>
      <c r="M941" s="90"/>
      <c r="N941" s="57"/>
      <c r="O941" s="57"/>
      <c r="P941" s="91"/>
    </row>
    <row r="942" spans="2:16" s="50" customFormat="1" ht="13.2">
      <c r="B942" s="86"/>
      <c r="C942" s="87"/>
      <c r="D942" s="87"/>
      <c r="E942" s="87"/>
      <c r="F942" s="87"/>
      <c r="G942" s="87"/>
      <c r="H942" s="87"/>
      <c r="I942" s="87"/>
      <c r="J942" s="87"/>
      <c r="K942" s="88"/>
      <c r="L942" s="89"/>
      <c r="M942" s="90"/>
      <c r="N942" s="57"/>
      <c r="O942" s="57"/>
      <c r="P942" s="91"/>
    </row>
    <row r="943" spans="2:16" s="50" customFormat="1" ht="13.2">
      <c r="B943" s="86"/>
      <c r="C943" s="87"/>
      <c r="D943" s="87"/>
      <c r="E943" s="87"/>
      <c r="F943" s="87"/>
      <c r="G943" s="87"/>
      <c r="H943" s="87"/>
      <c r="I943" s="87"/>
      <c r="J943" s="87"/>
      <c r="K943" s="88"/>
      <c r="L943" s="89"/>
      <c r="M943" s="90"/>
      <c r="N943" s="57"/>
      <c r="O943" s="57"/>
      <c r="P943" s="91"/>
    </row>
    <row r="944" spans="2:16" s="50" customFormat="1" ht="13.2">
      <c r="B944" s="86"/>
      <c r="C944" s="87"/>
      <c r="D944" s="87"/>
      <c r="E944" s="87"/>
      <c r="F944" s="87"/>
      <c r="G944" s="87"/>
      <c r="H944" s="87"/>
      <c r="I944" s="87"/>
      <c r="J944" s="87"/>
      <c r="K944" s="88"/>
      <c r="L944" s="89"/>
      <c r="M944" s="90"/>
      <c r="N944" s="57"/>
      <c r="O944" s="57"/>
      <c r="P944" s="91"/>
    </row>
    <row r="945" spans="2:16" s="50" customFormat="1" ht="13.2">
      <c r="B945" s="86"/>
      <c r="C945" s="87"/>
      <c r="D945" s="87"/>
      <c r="E945" s="87"/>
      <c r="F945" s="87"/>
      <c r="G945" s="87"/>
      <c r="H945" s="87"/>
      <c r="I945" s="87"/>
      <c r="J945" s="87"/>
      <c r="K945" s="88"/>
      <c r="L945" s="89"/>
      <c r="M945" s="90"/>
      <c r="N945" s="57"/>
      <c r="O945" s="57"/>
      <c r="P945" s="91"/>
    </row>
    <row r="946" spans="2:16" s="50" customFormat="1" ht="13.2">
      <c r="B946" s="86"/>
      <c r="C946" s="87"/>
      <c r="D946" s="87"/>
      <c r="E946" s="87"/>
      <c r="F946" s="87"/>
      <c r="G946" s="87"/>
      <c r="H946" s="87"/>
      <c r="I946" s="87"/>
      <c r="J946" s="87"/>
      <c r="K946" s="88"/>
      <c r="L946" s="89"/>
      <c r="M946" s="90"/>
      <c r="N946" s="57"/>
      <c r="O946" s="57"/>
      <c r="P946" s="91"/>
    </row>
    <row r="947" spans="2:16" s="50" customFormat="1" ht="13.2">
      <c r="B947" s="86"/>
      <c r="C947" s="87"/>
      <c r="D947" s="87"/>
      <c r="E947" s="87"/>
      <c r="F947" s="87"/>
      <c r="G947" s="87"/>
      <c r="H947" s="87"/>
      <c r="I947" s="87"/>
      <c r="J947" s="87"/>
      <c r="K947" s="88"/>
      <c r="L947" s="89"/>
      <c r="M947" s="90"/>
      <c r="N947" s="57"/>
      <c r="O947" s="57"/>
      <c r="P947" s="91"/>
    </row>
    <row r="948" spans="2:16" s="50" customFormat="1" ht="13.2">
      <c r="B948" s="86"/>
      <c r="C948" s="87"/>
      <c r="D948" s="87"/>
      <c r="E948" s="87"/>
      <c r="F948" s="87"/>
      <c r="G948" s="87"/>
      <c r="H948" s="87"/>
      <c r="I948" s="87"/>
      <c r="J948" s="87"/>
      <c r="K948" s="88"/>
      <c r="L948" s="89"/>
      <c r="M948" s="90"/>
      <c r="N948" s="57"/>
      <c r="O948" s="57"/>
      <c r="P948" s="91"/>
    </row>
    <row r="949" spans="2:16" s="50" customFormat="1" ht="13.2">
      <c r="B949" s="86"/>
      <c r="C949" s="87"/>
      <c r="D949" s="87"/>
      <c r="E949" s="87"/>
      <c r="F949" s="87"/>
      <c r="G949" s="87"/>
      <c r="H949" s="87"/>
      <c r="I949" s="87"/>
      <c r="J949" s="87"/>
      <c r="K949" s="88"/>
      <c r="L949" s="89"/>
      <c r="M949" s="90"/>
      <c r="N949" s="57"/>
      <c r="O949" s="57"/>
      <c r="P949" s="91"/>
    </row>
    <row r="950" spans="2:16" s="50" customFormat="1" ht="13.2">
      <c r="B950" s="86"/>
      <c r="C950" s="87"/>
      <c r="D950" s="87"/>
      <c r="E950" s="87"/>
      <c r="F950" s="87"/>
      <c r="G950" s="87"/>
      <c r="H950" s="87"/>
      <c r="I950" s="87"/>
      <c r="J950" s="87"/>
      <c r="K950" s="88"/>
      <c r="L950" s="89"/>
      <c r="M950" s="90"/>
      <c r="N950" s="57"/>
      <c r="O950" s="57"/>
      <c r="P950" s="91"/>
    </row>
    <row r="951" spans="2:16" s="50" customFormat="1" ht="13.2">
      <c r="B951" s="86"/>
      <c r="C951" s="87"/>
      <c r="D951" s="87"/>
      <c r="E951" s="87"/>
      <c r="F951" s="87"/>
      <c r="G951" s="87"/>
      <c r="H951" s="87"/>
      <c r="I951" s="87"/>
      <c r="J951" s="87"/>
      <c r="K951" s="88"/>
      <c r="L951" s="89"/>
      <c r="M951" s="90"/>
      <c r="N951" s="57"/>
      <c r="O951" s="57"/>
      <c r="P951" s="91"/>
    </row>
    <row r="952" spans="2:16" s="50" customFormat="1" ht="13.2">
      <c r="B952" s="86"/>
      <c r="C952" s="87"/>
      <c r="D952" s="87"/>
      <c r="E952" s="87"/>
      <c r="F952" s="87"/>
      <c r="G952" s="87"/>
      <c r="H952" s="87"/>
      <c r="I952" s="87"/>
      <c r="J952" s="87"/>
      <c r="K952" s="88"/>
      <c r="L952" s="89"/>
      <c r="M952" s="90"/>
      <c r="N952" s="57"/>
      <c r="O952" s="57"/>
      <c r="P952" s="91"/>
    </row>
    <row r="953" spans="2:16" s="50" customFormat="1" ht="13.2">
      <c r="B953" s="86"/>
      <c r="C953" s="87"/>
      <c r="D953" s="87"/>
      <c r="E953" s="87"/>
      <c r="F953" s="87"/>
      <c r="G953" s="87"/>
      <c r="H953" s="87"/>
      <c r="I953" s="87"/>
      <c r="J953" s="87"/>
      <c r="K953" s="88"/>
      <c r="L953" s="89"/>
      <c r="M953" s="90"/>
      <c r="N953" s="57"/>
      <c r="O953" s="57"/>
      <c r="P953" s="91"/>
    </row>
    <row r="954" spans="2:16" s="50" customFormat="1" ht="13.2">
      <c r="B954" s="86"/>
      <c r="C954" s="87"/>
      <c r="D954" s="87"/>
      <c r="E954" s="87"/>
      <c r="F954" s="87"/>
      <c r="G954" s="87"/>
      <c r="H954" s="87"/>
      <c r="I954" s="87"/>
      <c r="J954" s="87"/>
      <c r="K954" s="88"/>
      <c r="L954" s="89"/>
      <c r="M954" s="90"/>
      <c r="N954" s="57"/>
      <c r="O954" s="57"/>
      <c r="P954" s="91"/>
    </row>
    <row r="955" spans="2:16" s="50" customFormat="1" ht="13.2">
      <c r="B955" s="86"/>
      <c r="C955" s="87"/>
      <c r="D955" s="87"/>
      <c r="E955" s="87"/>
      <c r="F955" s="87"/>
      <c r="G955" s="87"/>
      <c r="H955" s="87"/>
      <c r="I955" s="87"/>
      <c r="J955" s="87"/>
      <c r="K955" s="88"/>
      <c r="L955" s="89"/>
      <c r="M955" s="90"/>
      <c r="N955" s="57"/>
      <c r="O955" s="57"/>
      <c r="P955" s="91"/>
    </row>
    <row r="956" spans="2:16" s="50" customFormat="1" ht="13.2">
      <c r="B956" s="86"/>
      <c r="C956" s="87"/>
      <c r="D956" s="87"/>
      <c r="E956" s="87"/>
      <c r="F956" s="87"/>
      <c r="G956" s="87"/>
      <c r="H956" s="87"/>
      <c r="I956" s="87"/>
      <c r="J956" s="87"/>
      <c r="K956" s="88"/>
      <c r="L956" s="89"/>
      <c r="M956" s="90"/>
      <c r="N956" s="57"/>
      <c r="O956" s="57"/>
      <c r="P956" s="91"/>
    </row>
    <row r="957" spans="2:16" s="50" customFormat="1" ht="13.2">
      <c r="B957" s="86"/>
      <c r="C957" s="87"/>
      <c r="D957" s="87"/>
      <c r="E957" s="87"/>
      <c r="F957" s="87"/>
      <c r="G957" s="87"/>
      <c r="H957" s="87"/>
      <c r="I957" s="87"/>
      <c r="J957" s="87"/>
      <c r="K957" s="88"/>
      <c r="L957" s="89"/>
      <c r="M957" s="90"/>
      <c r="N957" s="57"/>
      <c r="O957" s="57"/>
      <c r="P957" s="91"/>
    </row>
    <row r="958" spans="2:16" s="50" customFormat="1" ht="13.2">
      <c r="B958" s="86"/>
      <c r="C958" s="87"/>
      <c r="D958" s="87"/>
      <c r="E958" s="87"/>
      <c r="F958" s="87"/>
      <c r="G958" s="87"/>
      <c r="H958" s="87"/>
      <c r="I958" s="87"/>
      <c r="J958" s="87"/>
      <c r="K958" s="88"/>
      <c r="L958" s="89"/>
      <c r="M958" s="90"/>
      <c r="N958" s="57"/>
      <c r="O958" s="57"/>
      <c r="P958" s="91"/>
    </row>
    <row r="959" spans="2:16" s="50" customFormat="1" ht="13.2">
      <c r="B959" s="86"/>
      <c r="C959" s="87"/>
      <c r="D959" s="87"/>
      <c r="E959" s="87"/>
      <c r="F959" s="87"/>
      <c r="G959" s="87"/>
      <c r="H959" s="87"/>
      <c r="I959" s="87"/>
      <c r="J959" s="87"/>
      <c r="K959" s="88"/>
      <c r="L959" s="89"/>
      <c r="M959" s="90"/>
      <c r="N959" s="57"/>
      <c r="O959" s="57"/>
      <c r="P959" s="91"/>
    </row>
    <row r="960" spans="2:16" s="50" customFormat="1" ht="13.2">
      <c r="B960" s="86"/>
      <c r="C960" s="87"/>
      <c r="D960" s="87"/>
      <c r="E960" s="87"/>
      <c r="F960" s="87"/>
      <c r="G960" s="87"/>
      <c r="H960" s="87"/>
      <c r="I960" s="87"/>
      <c r="J960" s="87"/>
      <c r="K960" s="88"/>
      <c r="L960" s="89"/>
      <c r="M960" s="90"/>
      <c r="N960" s="57"/>
      <c r="O960" s="57"/>
      <c r="P960" s="91"/>
    </row>
    <row r="961" spans="2:16" s="50" customFormat="1" ht="13.2">
      <c r="B961" s="86"/>
      <c r="C961" s="87"/>
      <c r="D961" s="87"/>
      <c r="E961" s="87"/>
      <c r="F961" s="87"/>
      <c r="G961" s="87"/>
      <c r="H961" s="87"/>
      <c r="I961" s="87"/>
      <c r="J961" s="87"/>
      <c r="K961" s="88"/>
      <c r="L961" s="89"/>
      <c r="M961" s="90"/>
      <c r="N961" s="57"/>
      <c r="O961" s="57"/>
      <c r="P961" s="91"/>
    </row>
    <row r="962" spans="2:16" s="50" customFormat="1" ht="13.2">
      <c r="B962" s="86"/>
      <c r="C962" s="87"/>
      <c r="D962" s="87"/>
      <c r="E962" s="87"/>
      <c r="F962" s="87"/>
      <c r="G962" s="87"/>
      <c r="H962" s="87"/>
      <c r="I962" s="87"/>
      <c r="J962" s="87"/>
      <c r="K962" s="88"/>
      <c r="L962" s="89"/>
      <c r="M962" s="90"/>
      <c r="N962" s="57"/>
      <c r="O962" s="57"/>
      <c r="P962" s="91"/>
    </row>
    <row r="963" spans="2:16" s="50" customFormat="1" ht="13.2">
      <c r="B963" s="86"/>
      <c r="C963" s="87"/>
      <c r="D963" s="87"/>
      <c r="E963" s="87"/>
      <c r="F963" s="87"/>
      <c r="G963" s="87"/>
      <c r="H963" s="87"/>
      <c r="I963" s="87"/>
      <c r="J963" s="87"/>
      <c r="K963" s="88"/>
      <c r="L963" s="89"/>
      <c r="M963" s="90"/>
      <c r="N963" s="57"/>
      <c r="O963" s="57"/>
      <c r="P963" s="91"/>
    </row>
    <row r="964" spans="2:16" s="50" customFormat="1" ht="13.2">
      <c r="B964" s="86"/>
      <c r="C964" s="87"/>
      <c r="D964" s="87"/>
      <c r="E964" s="87"/>
      <c r="F964" s="87"/>
      <c r="G964" s="87"/>
      <c r="H964" s="87"/>
      <c r="I964" s="87"/>
      <c r="J964" s="87"/>
      <c r="K964" s="88"/>
      <c r="L964" s="89"/>
      <c r="M964" s="90"/>
      <c r="N964" s="57"/>
      <c r="O964" s="57"/>
      <c r="P964" s="91"/>
    </row>
    <row r="965" spans="2:16" s="50" customFormat="1" ht="13.2">
      <c r="B965" s="86"/>
      <c r="C965" s="87"/>
      <c r="D965" s="87"/>
      <c r="E965" s="87"/>
      <c r="F965" s="87"/>
      <c r="G965" s="87"/>
      <c r="H965" s="87"/>
      <c r="I965" s="87"/>
      <c r="J965" s="87"/>
      <c r="K965" s="88"/>
      <c r="L965" s="89"/>
      <c r="M965" s="90"/>
      <c r="N965" s="57"/>
      <c r="O965" s="57"/>
      <c r="P965" s="91"/>
    </row>
    <row r="966" spans="2:16" s="50" customFormat="1" ht="13.2">
      <c r="B966" s="86"/>
      <c r="C966" s="87"/>
      <c r="D966" s="87"/>
      <c r="E966" s="87"/>
      <c r="F966" s="87"/>
      <c r="G966" s="87"/>
      <c r="H966" s="87"/>
      <c r="I966" s="87"/>
      <c r="J966" s="87"/>
      <c r="K966" s="88"/>
      <c r="L966" s="89"/>
      <c r="M966" s="90"/>
      <c r="N966" s="57"/>
      <c r="O966" s="57"/>
      <c r="P966" s="91"/>
    </row>
    <row r="967" spans="2:16" s="50" customFormat="1" ht="13.2">
      <c r="B967" s="86"/>
      <c r="C967" s="87"/>
      <c r="D967" s="87"/>
      <c r="E967" s="87"/>
      <c r="F967" s="87"/>
      <c r="G967" s="87"/>
      <c r="H967" s="87"/>
      <c r="I967" s="87"/>
      <c r="J967" s="87"/>
      <c r="K967" s="88"/>
      <c r="L967" s="89"/>
      <c r="M967" s="90"/>
      <c r="N967" s="57"/>
      <c r="O967" s="57"/>
      <c r="P967" s="91"/>
    </row>
    <row r="968" spans="2:16" s="50" customFormat="1" ht="13.2">
      <c r="B968" s="86"/>
      <c r="C968" s="87"/>
      <c r="D968" s="87"/>
      <c r="E968" s="87"/>
      <c r="F968" s="87"/>
      <c r="G968" s="87"/>
      <c r="H968" s="87"/>
      <c r="I968" s="87"/>
      <c r="J968" s="87"/>
      <c r="K968" s="88"/>
      <c r="L968" s="89"/>
      <c r="M968" s="90"/>
      <c r="N968" s="57"/>
      <c r="O968" s="57"/>
      <c r="P968" s="91"/>
    </row>
    <row r="969" spans="2:16" s="50" customFormat="1" ht="13.2">
      <c r="B969" s="86"/>
      <c r="C969" s="87"/>
      <c r="D969" s="87"/>
      <c r="E969" s="87"/>
      <c r="F969" s="87"/>
      <c r="G969" s="87"/>
      <c r="H969" s="87"/>
      <c r="I969" s="87"/>
      <c r="J969" s="87"/>
      <c r="K969" s="88"/>
      <c r="L969" s="89"/>
      <c r="M969" s="90"/>
      <c r="N969" s="57"/>
      <c r="O969" s="57"/>
      <c r="P969" s="91"/>
    </row>
    <row r="970" spans="2:16" s="50" customFormat="1" ht="13.2">
      <c r="B970" s="86"/>
      <c r="C970" s="87"/>
      <c r="D970" s="87"/>
      <c r="E970" s="87"/>
      <c r="F970" s="87"/>
      <c r="G970" s="87"/>
      <c r="H970" s="87"/>
      <c r="I970" s="87"/>
      <c r="J970" s="87"/>
      <c r="K970" s="88"/>
      <c r="L970" s="89"/>
      <c r="M970" s="90"/>
      <c r="N970" s="57"/>
      <c r="O970" s="57"/>
      <c r="P970" s="91"/>
    </row>
    <row r="971" spans="2:16" s="50" customFormat="1" ht="13.2">
      <c r="B971" s="86"/>
      <c r="C971" s="87"/>
      <c r="D971" s="87"/>
      <c r="E971" s="87"/>
      <c r="F971" s="87"/>
      <c r="G971" s="87"/>
      <c r="H971" s="87"/>
      <c r="I971" s="87"/>
      <c r="J971" s="87"/>
      <c r="K971" s="88"/>
      <c r="L971" s="89"/>
      <c r="M971" s="90"/>
      <c r="N971" s="57"/>
      <c r="O971" s="57"/>
      <c r="P971" s="91"/>
    </row>
    <row r="972" spans="2:16" s="50" customFormat="1" ht="13.2">
      <c r="B972" s="86"/>
      <c r="C972" s="87"/>
      <c r="D972" s="87"/>
      <c r="E972" s="87"/>
      <c r="F972" s="87"/>
      <c r="G972" s="87"/>
      <c r="H972" s="87"/>
      <c r="I972" s="87"/>
      <c r="J972" s="87"/>
      <c r="K972" s="88"/>
      <c r="L972" s="89"/>
      <c r="M972" s="90"/>
      <c r="N972" s="57"/>
      <c r="O972" s="57"/>
      <c r="P972" s="91"/>
    </row>
    <row r="973" spans="2:16" s="50" customFormat="1" ht="13.2">
      <c r="B973" s="86"/>
      <c r="C973" s="87"/>
      <c r="D973" s="87"/>
      <c r="E973" s="87"/>
      <c r="F973" s="87"/>
      <c r="G973" s="87"/>
      <c r="H973" s="87"/>
      <c r="I973" s="87"/>
      <c r="J973" s="87"/>
      <c r="K973" s="88"/>
      <c r="L973" s="89"/>
      <c r="M973" s="90"/>
      <c r="N973" s="57"/>
      <c r="O973" s="57"/>
      <c r="P973" s="91"/>
    </row>
    <row r="974" spans="2:16" s="50" customFormat="1" ht="13.2">
      <c r="B974" s="86"/>
      <c r="C974" s="87"/>
      <c r="D974" s="87"/>
      <c r="E974" s="87"/>
      <c r="F974" s="87"/>
      <c r="G974" s="87"/>
      <c r="H974" s="87"/>
      <c r="I974" s="87"/>
      <c r="J974" s="87"/>
      <c r="K974" s="88"/>
      <c r="L974" s="89"/>
      <c r="M974" s="90"/>
      <c r="N974" s="57"/>
      <c r="O974" s="57"/>
      <c r="P974" s="91"/>
    </row>
    <row r="975" spans="2:16" s="50" customFormat="1" ht="13.2">
      <c r="B975" s="86"/>
      <c r="C975" s="87"/>
      <c r="D975" s="87"/>
      <c r="E975" s="87"/>
      <c r="F975" s="87"/>
      <c r="G975" s="87"/>
      <c r="H975" s="87"/>
      <c r="I975" s="87"/>
      <c r="J975" s="87"/>
      <c r="K975" s="88"/>
      <c r="L975" s="89"/>
      <c r="M975" s="90"/>
      <c r="N975" s="57"/>
      <c r="O975" s="57"/>
      <c r="P975" s="91"/>
    </row>
    <row r="976" spans="2:16" s="50" customFormat="1" ht="13.2">
      <c r="B976" s="86"/>
      <c r="C976" s="87"/>
      <c r="D976" s="87"/>
      <c r="E976" s="87"/>
      <c r="F976" s="87"/>
      <c r="G976" s="87"/>
      <c r="H976" s="87"/>
      <c r="I976" s="87"/>
      <c r="J976" s="87"/>
      <c r="K976" s="88"/>
      <c r="L976" s="89"/>
      <c r="M976" s="90"/>
      <c r="N976" s="57"/>
      <c r="O976" s="57"/>
      <c r="P976" s="91"/>
    </row>
    <row r="977" spans="2:16" s="50" customFormat="1" ht="13.2">
      <c r="B977" s="86"/>
      <c r="C977" s="87"/>
      <c r="D977" s="87"/>
      <c r="E977" s="87"/>
      <c r="F977" s="87"/>
      <c r="G977" s="87"/>
      <c r="H977" s="87"/>
      <c r="I977" s="87"/>
      <c r="J977" s="87"/>
      <c r="K977" s="88"/>
      <c r="L977" s="89"/>
      <c r="M977" s="90"/>
      <c r="N977" s="57"/>
      <c r="O977" s="57"/>
      <c r="P977" s="91"/>
    </row>
    <row r="978" spans="2:16" s="50" customFormat="1" ht="13.2">
      <c r="B978" s="86"/>
      <c r="C978" s="87"/>
      <c r="D978" s="87"/>
      <c r="E978" s="87"/>
      <c r="F978" s="87"/>
      <c r="G978" s="87"/>
      <c r="H978" s="87"/>
      <c r="I978" s="87"/>
      <c r="J978" s="87"/>
      <c r="K978" s="88"/>
      <c r="L978" s="89"/>
      <c r="M978" s="90"/>
      <c r="N978" s="57"/>
      <c r="O978" s="57"/>
      <c r="P978" s="91"/>
    </row>
    <row r="979" spans="2:16" s="50" customFormat="1" ht="13.2">
      <c r="B979" s="86"/>
      <c r="C979" s="87"/>
      <c r="D979" s="87"/>
      <c r="E979" s="87"/>
      <c r="F979" s="87"/>
      <c r="G979" s="87"/>
      <c r="H979" s="87"/>
      <c r="I979" s="87"/>
      <c r="J979" s="87"/>
      <c r="K979" s="88"/>
      <c r="L979" s="89"/>
      <c r="M979" s="90"/>
      <c r="N979" s="57"/>
      <c r="O979" s="57"/>
      <c r="P979" s="91"/>
    </row>
    <row r="980" spans="2:16" s="50" customFormat="1" ht="13.2">
      <c r="B980" s="86"/>
      <c r="C980" s="87"/>
      <c r="D980" s="87"/>
      <c r="E980" s="87"/>
      <c r="F980" s="87"/>
      <c r="G980" s="87"/>
      <c r="H980" s="87"/>
      <c r="I980" s="87"/>
      <c r="J980" s="87"/>
      <c r="K980" s="88"/>
      <c r="L980" s="89"/>
      <c r="M980" s="90"/>
      <c r="N980" s="57"/>
      <c r="O980" s="57"/>
      <c r="P980" s="91"/>
    </row>
    <row r="981" spans="2:16" s="50" customFormat="1" ht="13.2">
      <c r="B981" s="86"/>
      <c r="C981" s="87"/>
      <c r="D981" s="87"/>
      <c r="E981" s="87"/>
      <c r="F981" s="87"/>
      <c r="G981" s="87"/>
      <c r="H981" s="87"/>
      <c r="I981" s="87"/>
      <c r="J981" s="87"/>
      <c r="K981" s="88"/>
      <c r="L981" s="89"/>
      <c r="M981" s="90"/>
      <c r="N981" s="57"/>
      <c r="O981" s="57"/>
      <c r="P981" s="91"/>
    </row>
    <row r="982" spans="2:16" s="50" customFormat="1" ht="13.2">
      <c r="B982" s="86"/>
      <c r="C982" s="87"/>
      <c r="D982" s="87"/>
      <c r="E982" s="87"/>
      <c r="F982" s="87"/>
      <c r="G982" s="87"/>
      <c r="H982" s="87"/>
      <c r="I982" s="87"/>
      <c r="J982" s="87"/>
      <c r="K982" s="88"/>
      <c r="L982" s="89"/>
      <c r="M982" s="90"/>
      <c r="N982" s="57"/>
      <c r="O982" s="57"/>
      <c r="P982" s="91"/>
    </row>
    <row r="983" spans="2:16" s="50" customFormat="1" ht="13.2">
      <c r="B983" s="86"/>
      <c r="C983" s="87"/>
      <c r="D983" s="87"/>
      <c r="E983" s="87"/>
      <c r="F983" s="87"/>
      <c r="G983" s="87"/>
      <c r="H983" s="87"/>
      <c r="I983" s="87"/>
      <c r="J983" s="87"/>
      <c r="K983" s="88"/>
      <c r="L983" s="89"/>
      <c r="M983" s="90"/>
      <c r="N983" s="57"/>
      <c r="O983" s="57"/>
      <c r="P983" s="91"/>
    </row>
    <row r="984" spans="2:16" s="50" customFormat="1" ht="13.2">
      <c r="B984" s="86"/>
      <c r="C984" s="87"/>
      <c r="D984" s="87"/>
      <c r="E984" s="87"/>
      <c r="F984" s="87"/>
      <c r="G984" s="87"/>
      <c r="H984" s="87"/>
      <c r="I984" s="87"/>
      <c r="J984" s="87"/>
      <c r="K984" s="88"/>
      <c r="L984" s="89"/>
      <c r="M984" s="90"/>
      <c r="N984" s="57"/>
      <c r="O984" s="57"/>
      <c r="P984" s="91"/>
    </row>
    <row r="985" spans="2:16" s="50" customFormat="1" ht="13.2">
      <c r="B985" s="86"/>
      <c r="C985" s="87"/>
      <c r="D985" s="87"/>
      <c r="E985" s="87"/>
      <c r="F985" s="87"/>
      <c r="G985" s="87"/>
      <c r="H985" s="87"/>
      <c r="I985" s="87"/>
      <c r="J985" s="87"/>
      <c r="K985" s="88"/>
      <c r="L985" s="89"/>
      <c r="M985" s="90"/>
      <c r="N985" s="57"/>
      <c r="O985" s="57"/>
      <c r="P985" s="91"/>
    </row>
    <row r="986" spans="2:16" s="50" customFormat="1" ht="13.2">
      <c r="B986" s="86"/>
      <c r="C986" s="87"/>
      <c r="D986" s="87"/>
      <c r="E986" s="87"/>
      <c r="F986" s="87"/>
      <c r="G986" s="87"/>
      <c r="H986" s="87"/>
      <c r="I986" s="87"/>
      <c r="J986" s="87"/>
      <c r="K986" s="88"/>
      <c r="L986" s="89"/>
      <c r="M986" s="90"/>
      <c r="N986" s="57"/>
      <c r="O986" s="57"/>
      <c r="P986" s="91"/>
    </row>
    <row r="987" spans="2:16" s="50" customFormat="1" ht="13.2">
      <c r="B987" s="86"/>
      <c r="C987" s="87"/>
      <c r="D987" s="87"/>
      <c r="E987" s="87"/>
      <c r="F987" s="87"/>
      <c r="G987" s="87"/>
      <c r="H987" s="87"/>
      <c r="I987" s="87"/>
      <c r="J987" s="87"/>
      <c r="K987" s="88"/>
      <c r="L987" s="89"/>
      <c r="M987" s="90"/>
      <c r="N987" s="57"/>
      <c r="O987" s="57"/>
      <c r="P987" s="91"/>
    </row>
    <row r="988" spans="2:16" s="50" customFormat="1" ht="13.2">
      <c r="B988" s="86"/>
      <c r="C988" s="87"/>
      <c r="D988" s="87"/>
      <c r="E988" s="87"/>
      <c r="F988" s="87"/>
      <c r="G988" s="87"/>
      <c r="H988" s="87"/>
      <c r="I988" s="87"/>
      <c r="J988" s="87"/>
      <c r="K988" s="88"/>
      <c r="L988" s="89"/>
      <c r="M988" s="90"/>
      <c r="N988" s="57"/>
      <c r="O988" s="57"/>
      <c r="P988" s="91"/>
    </row>
    <row r="989" spans="2:16" s="50" customFormat="1" ht="13.2">
      <c r="B989" s="86"/>
      <c r="C989" s="87"/>
      <c r="D989" s="87"/>
      <c r="E989" s="87"/>
      <c r="F989" s="87"/>
      <c r="G989" s="87"/>
      <c r="H989" s="87"/>
      <c r="I989" s="87"/>
      <c r="J989" s="87"/>
      <c r="K989" s="88"/>
      <c r="L989" s="89"/>
      <c r="M989" s="90"/>
      <c r="N989" s="57"/>
      <c r="O989" s="57"/>
      <c r="P989" s="91"/>
    </row>
    <row r="990" spans="2:16" s="50" customFormat="1" ht="13.2">
      <c r="B990" s="86"/>
      <c r="C990" s="87"/>
      <c r="D990" s="87"/>
      <c r="E990" s="87"/>
      <c r="F990" s="87"/>
      <c r="G990" s="87"/>
      <c r="H990" s="87"/>
      <c r="I990" s="87"/>
      <c r="J990" s="87"/>
      <c r="K990" s="88"/>
      <c r="L990" s="89"/>
      <c r="M990" s="90"/>
      <c r="N990" s="57"/>
      <c r="O990" s="57"/>
      <c r="P990" s="91"/>
    </row>
    <row r="991" spans="2:16" s="50" customFormat="1" ht="13.2">
      <c r="B991" s="86"/>
      <c r="C991" s="87"/>
      <c r="D991" s="87"/>
      <c r="E991" s="87"/>
      <c r="F991" s="87"/>
      <c r="G991" s="87"/>
      <c r="H991" s="87"/>
      <c r="I991" s="87"/>
      <c r="J991" s="87"/>
      <c r="K991" s="88"/>
      <c r="L991" s="89"/>
      <c r="M991" s="90"/>
      <c r="N991" s="57"/>
      <c r="O991" s="57"/>
      <c r="P991" s="91"/>
    </row>
    <row r="992" spans="2:16" s="50" customFormat="1" ht="13.2">
      <c r="B992" s="86"/>
      <c r="C992" s="87"/>
      <c r="D992" s="87"/>
      <c r="E992" s="87"/>
      <c r="F992" s="87"/>
      <c r="G992" s="87"/>
      <c r="H992" s="87"/>
      <c r="I992" s="87"/>
      <c r="J992" s="87"/>
      <c r="K992" s="88"/>
      <c r="L992" s="89"/>
      <c r="M992" s="90"/>
      <c r="N992" s="57"/>
      <c r="O992" s="57"/>
      <c r="P992" s="91"/>
    </row>
    <row r="993" spans="2:16" s="50" customFormat="1" ht="13.2">
      <c r="B993" s="86"/>
      <c r="C993" s="87"/>
      <c r="D993" s="87"/>
      <c r="E993" s="87"/>
      <c r="F993" s="87"/>
      <c r="G993" s="87"/>
      <c r="H993" s="87"/>
      <c r="I993" s="87"/>
      <c r="J993" s="87"/>
      <c r="K993" s="88"/>
      <c r="L993" s="89"/>
      <c r="M993" s="90"/>
      <c r="N993" s="57"/>
      <c r="O993" s="57"/>
      <c r="P993" s="91"/>
    </row>
    <row r="994" spans="2:16" s="50" customFormat="1" ht="13.2">
      <c r="B994" s="86"/>
      <c r="C994" s="87"/>
      <c r="D994" s="87"/>
      <c r="E994" s="87"/>
      <c r="F994" s="87"/>
      <c r="G994" s="87"/>
      <c r="H994" s="87"/>
      <c r="I994" s="87"/>
      <c r="J994" s="87"/>
      <c r="K994" s="88"/>
      <c r="L994" s="89"/>
      <c r="M994" s="90"/>
      <c r="N994" s="57"/>
      <c r="O994" s="57"/>
      <c r="P994" s="91"/>
    </row>
    <row r="995" spans="2:16" s="50" customFormat="1" ht="13.2">
      <c r="B995" s="86"/>
      <c r="C995" s="87"/>
      <c r="D995" s="87"/>
      <c r="E995" s="87"/>
      <c r="F995" s="87"/>
      <c r="G995" s="87"/>
      <c r="H995" s="87"/>
      <c r="I995" s="87"/>
      <c r="J995" s="87"/>
      <c r="K995" s="88"/>
      <c r="L995" s="89"/>
      <c r="M995" s="90"/>
      <c r="N995" s="57"/>
      <c r="O995" s="57"/>
      <c r="P995" s="91"/>
    </row>
    <row r="996" spans="2:16" s="50" customFormat="1" ht="13.2">
      <c r="B996" s="86"/>
      <c r="C996" s="87"/>
      <c r="D996" s="87"/>
      <c r="E996" s="87"/>
      <c r="F996" s="87"/>
      <c r="G996" s="87"/>
      <c r="H996" s="87"/>
      <c r="I996" s="87"/>
      <c r="J996" s="87"/>
      <c r="K996" s="88"/>
      <c r="L996" s="89"/>
      <c r="M996" s="90"/>
      <c r="N996" s="57"/>
      <c r="O996" s="57"/>
      <c r="P996" s="91"/>
    </row>
    <row r="997" spans="2:16" s="50" customFormat="1" ht="13.2">
      <c r="B997" s="86"/>
      <c r="C997" s="87"/>
      <c r="D997" s="87"/>
      <c r="E997" s="87"/>
      <c r="F997" s="87"/>
      <c r="G997" s="87"/>
      <c r="H997" s="87"/>
      <c r="I997" s="87"/>
      <c r="J997" s="87"/>
      <c r="K997" s="88"/>
      <c r="L997" s="89"/>
      <c r="M997" s="90"/>
      <c r="N997" s="57"/>
      <c r="O997" s="57"/>
      <c r="P997" s="91"/>
    </row>
    <row r="998" spans="2:16" s="50" customFormat="1" ht="13.2">
      <c r="B998" s="86"/>
      <c r="C998" s="87"/>
      <c r="D998" s="87"/>
      <c r="E998" s="87"/>
      <c r="F998" s="87"/>
      <c r="G998" s="87"/>
      <c r="H998" s="87"/>
      <c r="I998" s="87"/>
      <c r="J998" s="87"/>
      <c r="K998" s="88"/>
      <c r="L998" s="89"/>
      <c r="M998" s="90"/>
      <c r="N998" s="57"/>
      <c r="O998" s="57"/>
      <c r="P998" s="91"/>
    </row>
    <row r="999" spans="2:16" s="50" customFormat="1" ht="13.2">
      <c r="B999" s="86"/>
      <c r="C999" s="87"/>
      <c r="D999" s="87"/>
      <c r="E999" s="87"/>
      <c r="F999" s="87"/>
      <c r="G999" s="87"/>
      <c r="H999" s="87"/>
      <c r="I999" s="87"/>
      <c r="J999" s="87"/>
      <c r="K999" s="88"/>
      <c r="L999" s="89"/>
      <c r="M999" s="90"/>
      <c r="N999" s="57"/>
      <c r="O999" s="57"/>
      <c r="P999" s="91"/>
    </row>
    <row r="1000" spans="2:16" s="50" customFormat="1" ht="13.2">
      <c r="B1000" s="86"/>
      <c r="C1000" s="87"/>
      <c r="D1000" s="87"/>
      <c r="E1000" s="87"/>
      <c r="F1000" s="87"/>
      <c r="G1000" s="87"/>
      <c r="H1000" s="87"/>
      <c r="I1000" s="87"/>
      <c r="J1000" s="87"/>
      <c r="K1000" s="88"/>
      <c r="L1000" s="89"/>
      <c r="M1000" s="90"/>
      <c r="N1000" s="57"/>
      <c r="O1000" s="57"/>
      <c r="P1000" s="91"/>
    </row>
    <row r="1001" spans="2:16" s="50" customFormat="1" ht="13.2">
      <c r="B1001" s="86"/>
      <c r="C1001" s="87"/>
      <c r="D1001" s="87"/>
      <c r="E1001" s="87"/>
      <c r="F1001" s="87"/>
      <c r="G1001" s="87"/>
      <c r="H1001" s="87"/>
      <c r="I1001" s="87"/>
      <c r="J1001" s="87"/>
      <c r="K1001" s="88"/>
      <c r="L1001" s="89"/>
      <c r="M1001" s="90"/>
      <c r="N1001" s="57"/>
      <c r="O1001" s="57"/>
      <c r="P1001" s="91"/>
    </row>
    <row r="1002" spans="2:16" s="50" customFormat="1" ht="13.2">
      <c r="B1002" s="86"/>
      <c r="C1002" s="87"/>
      <c r="D1002" s="87"/>
      <c r="E1002" s="87"/>
      <c r="F1002" s="87"/>
      <c r="G1002" s="87"/>
      <c r="H1002" s="87"/>
      <c r="I1002" s="87"/>
      <c r="J1002" s="87"/>
      <c r="K1002" s="88"/>
      <c r="L1002" s="89"/>
      <c r="M1002" s="90"/>
      <c r="N1002" s="57"/>
      <c r="O1002" s="57"/>
      <c r="P1002" s="91"/>
    </row>
    <row r="1003" spans="2:16" s="50" customFormat="1" ht="13.2">
      <c r="B1003" s="86"/>
      <c r="C1003" s="87"/>
      <c r="D1003" s="87"/>
      <c r="E1003" s="87"/>
      <c r="F1003" s="87"/>
      <c r="G1003" s="87"/>
      <c r="H1003" s="87"/>
      <c r="I1003" s="87"/>
      <c r="J1003" s="87"/>
      <c r="K1003" s="88"/>
      <c r="L1003" s="89"/>
      <c r="M1003" s="90"/>
      <c r="N1003" s="57"/>
      <c r="O1003" s="57"/>
      <c r="P1003" s="91"/>
    </row>
    <row r="1004" spans="2:16" s="50" customFormat="1" ht="13.2">
      <c r="B1004" s="86"/>
      <c r="C1004" s="87"/>
      <c r="D1004" s="87"/>
      <c r="E1004" s="87"/>
      <c r="F1004" s="87"/>
      <c r="G1004" s="87"/>
      <c r="H1004" s="87"/>
      <c r="I1004" s="87"/>
      <c r="J1004" s="87"/>
      <c r="K1004" s="88"/>
      <c r="L1004" s="89"/>
      <c r="M1004" s="90"/>
      <c r="N1004" s="57"/>
      <c r="O1004" s="57"/>
      <c r="P1004" s="91"/>
    </row>
    <row r="1005" spans="2:16" s="50" customFormat="1" ht="13.2">
      <c r="B1005" s="86"/>
      <c r="C1005" s="87"/>
      <c r="D1005" s="87"/>
      <c r="E1005" s="87"/>
      <c r="F1005" s="87"/>
      <c r="G1005" s="87"/>
      <c r="H1005" s="87"/>
      <c r="I1005" s="87"/>
      <c r="J1005" s="87"/>
      <c r="K1005" s="88"/>
      <c r="L1005" s="89"/>
      <c r="M1005" s="90"/>
      <c r="N1005" s="57"/>
      <c r="O1005" s="57"/>
      <c r="P1005" s="91"/>
    </row>
    <row r="1006" spans="2:16" s="50" customFormat="1" ht="13.2">
      <c r="B1006" s="86"/>
      <c r="C1006" s="87"/>
      <c r="D1006" s="87"/>
      <c r="E1006" s="87"/>
      <c r="F1006" s="87"/>
      <c r="G1006" s="87"/>
      <c r="H1006" s="87"/>
      <c r="I1006" s="87"/>
      <c r="J1006" s="87"/>
      <c r="K1006" s="88"/>
      <c r="L1006" s="89"/>
      <c r="M1006" s="90"/>
      <c r="N1006" s="57"/>
      <c r="O1006" s="57"/>
      <c r="P1006" s="91"/>
    </row>
    <row r="1007" spans="2:16" s="50" customFormat="1" ht="13.2">
      <c r="B1007" s="86"/>
      <c r="C1007" s="87"/>
      <c r="D1007" s="87"/>
      <c r="E1007" s="87"/>
      <c r="F1007" s="87"/>
      <c r="G1007" s="87"/>
      <c r="H1007" s="87"/>
      <c r="I1007" s="87"/>
      <c r="J1007" s="87"/>
      <c r="K1007" s="88"/>
      <c r="L1007" s="89"/>
      <c r="M1007" s="90"/>
      <c r="N1007" s="57"/>
      <c r="O1007" s="57"/>
      <c r="P1007" s="91"/>
    </row>
    <row r="1008" spans="2:16" s="50" customFormat="1" ht="13.2">
      <c r="B1008" s="86"/>
      <c r="C1008" s="87"/>
      <c r="D1008" s="87"/>
      <c r="E1008" s="87"/>
      <c r="F1008" s="87"/>
      <c r="G1008" s="87"/>
      <c r="H1008" s="87"/>
      <c r="I1008" s="87"/>
      <c r="J1008" s="87"/>
      <c r="K1008" s="88"/>
      <c r="L1008" s="89"/>
      <c r="M1008" s="90"/>
      <c r="N1008" s="57"/>
      <c r="O1008" s="57"/>
      <c r="P1008" s="91"/>
    </row>
    <row r="1009" spans="2:16" s="50" customFormat="1" ht="13.2">
      <c r="B1009" s="86"/>
      <c r="C1009" s="87"/>
      <c r="D1009" s="87"/>
      <c r="E1009" s="87"/>
      <c r="F1009" s="87"/>
      <c r="G1009" s="87"/>
      <c r="H1009" s="87"/>
      <c r="I1009" s="87"/>
      <c r="J1009" s="87"/>
      <c r="K1009" s="88"/>
      <c r="L1009" s="89"/>
      <c r="M1009" s="90"/>
      <c r="N1009" s="57"/>
      <c r="O1009" s="57"/>
      <c r="P1009" s="91"/>
    </row>
    <row r="1010" spans="2:16" s="50" customFormat="1" ht="13.2">
      <c r="B1010" s="86"/>
      <c r="C1010" s="87"/>
      <c r="D1010" s="87"/>
      <c r="E1010" s="87"/>
      <c r="F1010" s="87"/>
      <c r="G1010" s="87"/>
      <c r="H1010" s="87"/>
      <c r="I1010" s="87"/>
      <c r="J1010" s="87"/>
      <c r="K1010" s="88"/>
      <c r="L1010" s="89"/>
      <c r="M1010" s="90"/>
      <c r="N1010" s="57"/>
      <c r="O1010" s="57"/>
      <c r="P1010" s="91"/>
    </row>
    <row r="1011" spans="2:16" s="50" customFormat="1" ht="13.2">
      <c r="B1011" s="86"/>
      <c r="C1011" s="87"/>
      <c r="D1011" s="87"/>
      <c r="E1011" s="87"/>
      <c r="F1011" s="87"/>
      <c r="G1011" s="87"/>
      <c r="H1011" s="87"/>
      <c r="I1011" s="87"/>
      <c r="J1011" s="87"/>
      <c r="K1011" s="88"/>
      <c r="L1011" s="89"/>
      <c r="M1011" s="90"/>
      <c r="N1011" s="57"/>
      <c r="O1011" s="57"/>
      <c r="P1011" s="91"/>
    </row>
    <row r="1012" spans="2:16" s="50" customFormat="1" ht="13.2">
      <c r="B1012" s="86"/>
      <c r="C1012" s="87"/>
      <c r="D1012" s="87"/>
      <c r="E1012" s="87"/>
      <c r="F1012" s="87"/>
      <c r="G1012" s="87"/>
      <c r="H1012" s="87"/>
      <c r="I1012" s="87"/>
      <c r="J1012" s="87"/>
      <c r="K1012" s="88"/>
      <c r="L1012" s="89"/>
      <c r="M1012" s="90"/>
      <c r="N1012" s="57"/>
      <c r="O1012" s="57"/>
      <c r="P1012" s="91"/>
    </row>
    <row r="1013" spans="2:16" s="50" customFormat="1" ht="13.2">
      <c r="B1013" s="86"/>
      <c r="C1013" s="87"/>
      <c r="D1013" s="87"/>
      <c r="E1013" s="87"/>
      <c r="F1013" s="87"/>
      <c r="G1013" s="87"/>
      <c r="H1013" s="87"/>
      <c r="I1013" s="87"/>
      <c r="J1013" s="87"/>
      <c r="K1013" s="88"/>
      <c r="L1013" s="89"/>
      <c r="M1013" s="90"/>
      <c r="N1013" s="57"/>
      <c r="O1013" s="57"/>
      <c r="P1013" s="91"/>
    </row>
    <row r="1014" spans="2:16" s="50" customFormat="1" ht="13.2">
      <c r="B1014" s="86"/>
      <c r="C1014" s="87"/>
      <c r="D1014" s="87"/>
      <c r="E1014" s="87"/>
      <c r="F1014" s="87"/>
      <c r="G1014" s="87"/>
      <c r="H1014" s="87"/>
      <c r="I1014" s="87"/>
      <c r="J1014" s="87"/>
      <c r="K1014" s="88"/>
      <c r="L1014" s="89"/>
      <c r="M1014" s="90"/>
      <c r="N1014" s="57"/>
      <c r="O1014" s="57"/>
      <c r="P1014" s="91"/>
    </row>
    <row r="1015" spans="2:16" s="50" customFormat="1" ht="13.2">
      <c r="B1015" s="86"/>
      <c r="C1015" s="87"/>
      <c r="D1015" s="87"/>
      <c r="E1015" s="87"/>
      <c r="F1015" s="87"/>
      <c r="G1015" s="87"/>
      <c r="H1015" s="87"/>
      <c r="I1015" s="87"/>
      <c r="J1015" s="87"/>
      <c r="K1015" s="88"/>
      <c r="L1015" s="89"/>
      <c r="M1015" s="90"/>
      <c r="N1015" s="57"/>
      <c r="O1015" s="57"/>
      <c r="P1015" s="91"/>
    </row>
    <row r="1016" spans="2:16" s="50" customFormat="1" ht="13.2">
      <c r="B1016" s="86"/>
      <c r="C1016" s="87"/>
      <c r="D1016" s="87"/>
      <c r="E1016" s="87"/>
      <c r="F1016" s="87"/>
      <c r="G1016" s="87"/>
      <c r="H1016" s="87"/>
      <c r="I1016" s="87"/>
      <c r="J1016" s="87"/>
      <c r="K1016" s="88"/>
      <c r="L1016" s="89"/>
      <c r="M1016" s="90"/>
      <c r="N1016" s="57"/>
      <c r="O1016" s="57"/>
      <c r="P1016" s="91"/>
    </row>
    <row r="1017" spans="2:16" s="50" customFormat="1" ht="13.2">
      <c r="B1017" s="86"/>
      <c r="C1017" s="87"/>
      <c r="D1017" s="87"/>
      <c r="E1017" s="87"/>
      <c r="F1017" s="87"/>
      <c r="G1017" s="87"/>
      <c r="H1017" s="87"/>
      <c r="I1017" s="87"/>
      <c r="J1017" s="87"/>
      <c r="K1017" s="88"/>
      <c r="L1017" s="89"/>
      <c r="M1017" s="90"/>
      <c r="N1017" s="57"/>
      <c r="O1017" s="57"/>
      <c r="P1017" s="91"/>
    </row>
    <row r="1018" spans="2:16" s="50" customFormat="1" ht="13.2">
      <c r="B1018" s="86"/>
      <c r="C1018" s="87"/>
      <c r="D1018" s="87"/>
      <c r="E1018" s="87"/>
      <c r="F1018" s="87"/>
      <c r="G1018" s="87"/>
      <c r="H1018" s="87"/>
      <c r="I1018" s="87"/>
      <c r="J1018" s="87"/>
      <c r="K1018" s="88"/>
      <c r="L1018" s="89"/>
      <c r="M1018" s="90"/>
      <c r="N1018" s="57"/>
      <c r="O1018" s="57"/>
      <c r="P1018" s="91"/>
    </row>
    <row r="1019" spans="2:16" s="50" customFormat="1" ht="13.2">
      <c r="B1019" s="86"/>
      <c r="C1019" s="87"/>
      <c r="D1019" s="87"/>
      <c r="E1019" s="87"/>
      <c r="F1019" s="87"/>
      <c r="G1019" s="87"/>
      <c r="H1019" s="87"/>
      <c r="I1019" s="87"/>
      <c r="J1019" s="87"/>
      <c r="K1019" s="88"/>
      <c r="L1019" s="89"/>
      <c r="M1019" s="90"/>
      <c r="N1019" s="57"/>
      <c r="O1019" s="57"/>
      <c r="P1019" s="91"/>
    </row>
    <row r="1020" spans="2:16" s="50" customFormat="1" ht="13.2">
      <c r="B1020" s="86"/>
      <c r="C1020" s="87"/>
      <c r="D1020" s="87"/>
      <c r="E1020" s="87"/>
      <c r="F1020" s="87"/>
      <c r="G1020" s="87"/>
      <c r="H1020" s="87"/>
      <c r="I1020" s="87"/>
      <c r="J1020" s="87"/>
      <c r="K1020" s="88"/>
      <c r="L1020" s="89"/>
      <c r="M1020" s="90"/>
      <c r="N1020" s="57"/>
      <c r="O1020" s="57"/>
      <c r="P1020" s="91"/>
    </row>
    <row r="1021" spans="2:16" s="50" customFormat="1" ht="13.2">
      <c r="B1021" s="86"/>
      <c r="C1021" s="87"/>
      <c r="D1021" s="87"/>
      <c r="E1021" s="87"/>
      <c r="F1021" s="87"/>
      <c r="G1021" s="87"/>
      <c r="H1021" s="87"/>
      <c r="I1021" s="87"/>
      <c r="J1021" s="87"/>
      <c r="K1021" s="88"/>
      <c r="L1021" s="89"/>
      <c r="M1021" s="90"/>
      <c r="N1021" s="57"/>
      <c r="O1021" s="57"/>
      <c r="P1021" s="91"/>
    </row>
    <row r="1022" spans="2:16" s="50" customFormat="1" ht="13.2">
      <c r="B1022" s="86"/>
      <c r="C1022" s="87"/>
      <c r="D1022" s="87"/>
      <c r="E1022" s="87"/>
      <c r="F1022" s="87"/>
      <c r="G1022" s="87"/>
      <c r="H1022" s="87"/>
      <c r="I1022" s="87"/>
      <c r="J1022" s="87"/>
      <c r="K1022" s="88"/>
      <c r="L1022" s="89"/>
      <c r="M1022" s="90"/>
      <c r="N1022" s="57"/>
      <c r="O1022" s="57"/>
      <c r="P1022" s="91"/>
    </row>
    <row r="1023" spans="2:16" s="50" customFormat="1" ht="13.2">
      <c r="B1023" s="86"/>
      <c r="C1023" s="87"/>
      <c r="D1023" s="87"/>
      <c r="E1023" s="87"/>
      <c r="F1023" s="87"/>
      <c r="G1023" s="87"/>
      <c r="H1023" s="87"/>
      <c r="I1023" s="87"/>
      <c r="J1023" s="87"/>
      <c r="K1023" s="88"/>
      <c r="L1023" s="89"/>
      <c r="M1023" s="90"/>
      <c r="N1023" s="57"/>
      <c r="O1023" s="57"/>
      <c r="P1023" s="91"/>
    </row>
    <row r="1024" spans="2:16" s="50" customFormat="1" ht="13.2">
      <c r="B1024" s="86"/>
      <c r="C1024" s="87"/>
      <c r="D1024" s="87"/>
      <c r="E1024" s="87"/>
      <c r="F1024" s="87"/>
      <c r="G1024" s="87"/>
      <c r="H1024" s="87"/>
      <c r="I1024" s="87"/>
      <c r="J1024" s="87"/>
      <c r="K1024" s="88"/>
      <c r="L1024" s="89"/>
      <c r="M1024" s="90"/>
      <c r="N1024" s="57"/>
      <c r="O1024" s="57"/>
      <c r="P1024" s="91"/>
    </row>
    <row r="1025" spans="2:16" s="50" customFormat="1" ht="13.2">
      <c r="B1025" s="86"/>
      <c r="C1025" s="87"/>
      <c r="D1025" s="87"/>
      <c r="E1025" s="87"/>
      <c r="F1025" s="87"/>
      <c r="G1025" s="87"/>
      <c r="H1025" s="87"/>
      <c r="I1025" s="87"/>
      <c r="J1025" s="87"/>
      <c r="K1025" s="88"/>
      <c r="L1025" s="89"/>
      <c r="M1025" s="90"/>
      <c r="N1025" s="57"/>
      <c r="O1025" s="57"/>
      <c r="P1025" s="91"/>
    </row>
    <row r="1026" spans="2:16" s="50" customFormat="1" ht="13.2">
      <c r="B1026" s="86"/>
      <c r="C1026" s="87"/>
      <c r="D1026" s="87"/>
      <c r="E1026" s="87"/>
      <c r="F1026" s="87"/>
      <c r="G1026" s="87"/>
      <c r="H1026" s="87"/>
      <c r="I1026" s="87"/>
      <c r="J1026" s="87"/>
      <c r="K1026" s="88"/>
      <c r="L1026" s="89"/>
      <c r="M1026" s="90"/>
      <c r="N1026" s="57"/>
      <c r="O1026" s="57"/>
      <c r="P1026" s="91"/>
    </row>
    <row r="1027" spans="2:16" s="50" customFormat="1" ht="13.2">
      <c r="B1027" s="86"/>
      <c r="C1027" s="87"/>
      <c r="D1027" s="87"/>
      <c r="E1027" s="87"/>
      <c r="F1027" s="87"/>
      <c r="G1027" s="87"/>
      <c r="H1027" s="87"/>
      <c r="I1027" s="87"/>
      <c r="J1027" s="87"/>
      <c r="K1027" s="88"/>
      <c r="L1027" s="89"/>
      <c r="M1027" s="90"/>
      <c r="N1027" s="57"/>
      <c r="O1027" s="57"/>
      <c r="P1027" s="91"/>
    </row>
    <row r="1028" spans="2:16" s="50" customFormat="1" ht="13.2">
      <c r="B1028" s="86"/>
      <c r="C1028" s="87"/>
      <c r="D1028" s="87"/>
      <c r="E1028" s="87"/>
      <c r="F1028" s="87"/>
      <c r="G1028" s="87"/>
      <c r="H1028" s="87"/>
      <c r="I1028" s="87"/>
      <c r="J1028" s="87"/>
      <c r="K1028" s="88"/>
      <c r="L1028" s="89"/>
      <c r="M1028" s="90"/>
      <c r="N1028" s="57"/>
      <c r="O1028" s="57"/>
      <c r="P1028" s="91"/>
    </row>
    <row r="1029" spans="2:16" s="50" customFormat="1" ht="13.2">
      <c r="B1029" s="86"/>
      <c r="C1029" s="87"/>
      <c r="D1029" s="87"/>
      <c r="E1029" s="87"/>
      <c r="F1029" s="87"/>
      <c r="G1029" s="87"/>
      <c r="H1029" s="87"/>
      <c r="I1029" s="87"/>
      <c r="J1029" s="87"/>
      <c r="K1029" s="88"/>
      <c r="L1029" s="89"/>
      <c r="M1029" s="90"/>
      <c r="N1029" s="57"/>
      <c r="O1029" s="57"/>
      <c r="P1029" s="91"/>
    </row>
    <row r="1030" spans="2:16" s="50" customFormat="1" ht="13.2">
      <c r="B1030" s="86"/>
      <c r="C1030" s="87"/>
      <c r="D1030" s="87"/>
      <c r="E1030" s="87"/>
      <c r="F1030" s="87"/>
      <c r="G1030" s="87"/>
      <c r="H1030" s="87"/>
      <c r="I1030" s="87"/>
      <c r="J1030" s="87"/>
      <c r="K1030" s="88"/>
      <c r="L1030" s="89"/>
      <c r="M1030" s="90"/>
      <c r="N1030" s="57"/>
      <c r="O1030" s="57"/>
      <c r="P1030" s="91"/>
    </row>
    <row r="1031" spans="2:16" s="50" customFormat="1" ht="13.2">
      <c r="B1031" s="86"/>
      <c r="C1031" s="87"/>
      <c r="D1031" s="87"/>
      <c r="E1031" s="87"/>
      <c r="F1031" s="87"/>
      <c r="G1031" s="87"/>
      <c r="H1031" s="87"/>
      <c r="I1031" s="87"/>
      <c r="J1031" s="87"/>
      <c r="K1031" s="88"/>
      <c r="L1031" s="89"/>
      <c r="M1031" s="90"/>
      <c r="N1031" s="57"/>
      <c r="O1031" s="57"/>
      <c r="P1031" s="91"/>
    </row>
    <row r="1032" spans="2:16" s="50" customFormat="1" ht="13.2">
      <c r="B1032" s="86"/>
      <c r="C1032" s="87"/>
      <c r="D1032" s="87"/>
      <c r="E1032" s="87"/>
      <c r="F1032" s="87"/>
      <c r="G1032" s="87"/>
      <c r="H1032" s="87"/>
      <c r="I1032" s="87"/>
      <c r="J1032" s="87"/>
      <c r="K1032" s="88"/>
      <c r="L1032" s="89"/>
      <c r="M1032" s="90"/>
      <c r="N1032" s="57"/>
      <c r="O1032" s="57"/>
      <c r="P1032" s="91"/>
    </row>
    <row r="1033" spans="2:16" s="50" customFormat="1" ht="13.2">
      <c r="B1033" s="86"/>
      <c r="C1033" s="87"/>
      <c r="D1033" s="87"/>
      <c r="E1033" s="87"/>
      <c r="F1033" s="87"/>
      <c r="G1033" s="87"/>
      <c r="H1033" s="87"/>
      <c r="I1033" s="87"/>
      <c r="J1033" s="87"/>
      <c r="K1033" s="88"/>
      <c r="L1033" s="89"/>
      <c r="M1033" s="90"/>
      <c r="N1033" s="57"/>
      <c r="O1033" s="57"/>
      <c r="P1033" s="91"/>
    </row>
    <row r="1034" spans="2:16" s="50" customFormat="1" ht="13.2">
      <c r="B1034" s="86"/>
      <c r="C1034" s="87"/>
      <c r="D1034" s="87"/>
      <c r="E1034" s="87"/>
      <c r="F1034" s="87"/>
      <c r="G1034" s="87"/>
      <c r="H1034" s="87"/>
      <c r="I1034" s="87"/>
      <c r="J1034" s="87"/>
      <c r="K1034" s="88"/>
      <c r="L1034" s="89"/>
      <c r="M1034" s="90"/>
      <c r="N1034" s="57"/>
      <c r="O1034" s="57"/>
      <c r="P1034" s="91"/>
    </row>
    <row r="1035" spans="2:16" s="50" customFormat="1" ht="13.2">
      <c r="B1035" s="86"/>
      <c r="C1035" s="87"/>
      <c r="D1035" s="87"/>
      <c r="E1035" s="87"/>
      <c r="F1035" s="87"/>
      <c r="G1035" s="87"/>
      <c r="H1035" s="87"/>
      <c r="I1035" s="87"/>
      <c r="J1035" s="87"/>
      <c r="K1035" s="88"/>
      <c r="L1035" s="89"/>
      <c r="M1035" s="90"/>
      <c r="N1035" s="57"/>
      <c r="O1035" s="57"/>
      <c r="P1035" s="91"/>
    </row>
    <row r="1036" spans="2:16" s="50" customFormat="1" ht="13.2">
      <c r="B1036" s="86"/>
      <c r="C1036" s="87"/>
      <c r="D1036" s="87"/>
      <c r="E1036" s="87"/>
      <c r="F1036" s="87"/>
      <c r="G1036" s="87"/>
      <c r="H1036" s="87"/>
      <c r="I1036" s="87"/>
      <c r="J1036" s="87"/>
      <c r="K1036" s="88"/>
      <c r="L1036" s="89"/>
      <c r="M1036" s="90"/>
      <c r="N1036" s="57"/>
      <c r="O1036" s="57"/>
      <c r="P1036" s="91"/>
    </row>
    <row r="1037" spans="2:16" s="50" customFormat="1" ht="13.2">
      <c r="B1037" s="86"/>
      <c r="C1037" s="87"/>
      <c r="D1037" s="87"/>
      <c r="E1037" s="87"/>
      <c r="F1037" s="87"/>
      <c r="G1037" s="87"/>
      <c r="H1037" s="87"/>
      <c r="I1037" s="87"/>
      <c r="J1037" s="87"/>
      <c r="K1037" s="88"/>
      <c r="L1037" s="89"/>
      <c r="M1037" s="90"/>
      <c r="N1037" s="57"/>
      <c r="O1037" s="57"/>
      <c r="P1037" s="91"/>
    </row>
    <row r="1038" spans="2:16" s="50" customFormat="1" ht="13.2">
      <c r="B1038" s="86"/>
      <c r="C1038" s="87"/>
      <c r="D1038" s="87"/>
      <c r="E1038" s="87"/>
      <c r="F1038" s="87"/>
      <c r="G1038" s="87"/>
      <c r="H1038" s="87"/>
      <c r="I1038" s="87"/>
      <c r="J1038" s="87"/>
      <c r="K1038" s="88"/>
      <c r="L1038" s="89"/>
      <c r="M1038" s="90"/>
      <c r="N1038" s="57"/>
      <c r="O1038" s="57"/>
      <c r="P1038" s="91"/>
    </row>
    <row r="1039" spans="2:16" s="50" customFormat="1" ht="13.2">
      <c r="B1039" s="86"/>
      <c r="C1039" s="87"/>
      <c r="D1039" s="87"/>
      <c r="E1039" s="87"/>
      <c r="F1039" s="87"/>
      <c r="G1039" s="87"/>
      <c r="H1039" s="87"/>
      <c r="I1039" s="87"/>
      <c r="J1039" s="87"/>
      <c r="K1039" s="88"/>
      <c r="L1039" s="89"/>
      <c r="M1039" s="90"/>
      <c r="N1039" s="57"/>
      <c r="O1039" s="57"/>
      <c r="P1039" s="91"/>
    </row>
    <row r="1040" spans="2:16" s="50" customFormat="1" ht="13.2">
      <c r="B1040" s="86"/>
      <c r="C1040" s="87"/>
      <c r="D1040" s="87"/>
      <c r="E1040" s="87"/>
      <c r="F1040" s="87"/>
      <c r="G1040" s="87"/>
      <c r="H1040" s="87"/>
      <c r="I1040" s="87"/>
      <c r="J1040" s="87"/>
      <c r="K1040" s="88"/>
      <c r="L1040" s="89"/>
      <c r="M1040" s="90"/>
      <c r="N1040" s="57"/>
      <c r="O1040" s="57"/>
      <c r="P1040" s="91"/>
    </row>
    <row r="1041" spans="2:16" s="50" customFormat="1" ht="13.2">
      <c r="B1041" s="86"/>
      <c r="C1041" s="87"/>
      <c r="D1041" s="87"/>
      <c r="E1041" s="87"/>
      <c r="F1041" s="87"/>
      <c r="G1041" s="87"/>
      <c r="H1041" s="87"/>
      <c r="I1041" s="87"/>
      <c r="J1041" s="87"/>
      <c r="K1041" s="88"/>
      <c r="L1041" s="89"/>
      <c r="M1041" s="90"/>
      <c r="N1041" s="57"/>
      <c r="O1041" s="57"/>
      <c r="P1041" s="91"/>
    </row>
    <row r="1042" spans="2:16" s="50" customFormat="1" ht="13.2">
      <c r="B1042" s="86"/>
      <c r="C1042" s="87"/>
      <c r="D1042" s="87"/>
      <c r="E1042" s="87"/>
      <c r="F1042" s="87"/>
      <c r="G1042" s="87"/>
      <c r="H1042" s="87"/>
      <c r="I1042" s="87"/>
      <c r="J1042" s="87"/>
      <c r="K1042" s="88"/>
      <c r="L1042" s="89"/>
      <c r="M1042" s="90"/>
      <c r="N1042" s="57"/>
      <c r="O1042" s="57"/>
      <c r="P1042" s="91"/>
    </row>
    <row r="1043" spans="2:16" s="50" customFormat="1" ht="13.2">
      <c r="B1043" s="86"/>
      <c r="C1043" s="87"/>
      <c r="D1043" s="87"/>
      <c r="E1043" s="87"/>
      <c r="F1043" s="87"/>
      <c r="G1043" s="87"/>
      <c r="H1043" s="87"/>
      <c r="I1043" s="87"/>
      <c r="J1043" s="87"/>
      <c r="K1043" s="88"/>
      <c r="L1043" s="89"/>
      <c r="M1043" s="90"/>
      <c r="N1043" s="57"/>
      <c r="O1043" s="57"/>
      <c r="P1043" s="91"/>
    </row>
    <row r="1044" spans="2:16" s="50" customFormat="1" ht="13.2">
      <c r="B1044" s="86"/>
      <c r="C1044" s="87"/>
      <c r="D1044" s="87"/>
      <c r="E1044" s="87"/>
      <c r="F1044" s="87"/>
      <c r="G1044" s="87"/>
      <c r="H1044" s="87"/>
      <c r="I1044" s="87"/>
      <c r="J1044" s="87"/>
      <c r="K1044" s="88"/>
      <c r="L1044" s="89"/>
      <c r="M1044" s="90"/>
      <c r="N1044" s="57"/>
      <c r="O1044" s="57"/>
      <c r="P1044" s="91"/>
    </row>
    <row r="1045" spans="2:16" s="50" customFormat="1" ht="13.2">
      <c r="B1045" s="86"/>
      <c r="C1045" s="87"/>
      <c r="D1045" s="87"/>
      <c r="E1045" s="87"/>
      <c r="F1045" s="87"/>
      <c r="G1045" s="87"/>
      <c r="H1045" s="87"/>
      <c r="I1045" s="87"/>
      <c r="J1045" s="87"/>
      <c r="K1045" s="88"/>
      <c r="L1045" s="89"/>
      <c r="M1045" s="90"/>
      <c r="N1045" s="57"/>
      <c r="O1045" s="57"/>
      <c r="P1045" s="91"/>
    </row>
    <row r="1046" spans="2:16" s="50" customFormat="1" ht="13.2">
      <c r="B1046" s="86"/>
      <c r="C1046" s="87"/>
      <c r="D1046" s="87"/>
      <c r="E1046" s="87"/>
      <c r="F1046" s="87"/>
      <c r="G1046" s="87"/>
      <c r="H1046" s="87"/>
      <c r="I1046" s="87"/>
      <c r="J1046" s="87"/>
      <c r="K1046" s="88"/>
      <c r="L1046" s="89"/>
      <c r="M1046" s="90"/>
      <c r="N1046" s="57"/>
      <c r="O1046" s="57"/>
      <c r="P1046" s="91"/>
    </row>
    <row r="1047" spans="2:16" s="50" customFormat="1" ht="13.2">
      <c r="B1047" s="86"/>
      <c r="C1047" s="87"/>
      <c r="D1047" s="87"/>
      <c r="E1047" s="87"/>
      <c r="F1047" s="87"/>
      <c r="G1047" s="87"/>
      <c r="H1047" s="87"/>
      <c r="I1047" s="87"/>
      <c r="J1047" s="87"/>
      <c r="K1047" s="88"/>
      <c r="L1047" s="89"/>
      <c r="M1047" s="90"/>
      <c r="N1047" s="57"/>
      <c r="O1047" s="57"/>
      <c r="P1047" s="91"/>
    </row>
    <row r="1048" spans="2:16" s="50" customFormat="1" ht="13.2">
      <c r="B1048" s="86"/>
      <c r="C1048" s="87"/>
      <c r="D1048" s="87"/>
      <c r="E1048" s="87"/>
      <c r="F1048" s="87"/>
      <c r="G1048" s="87"/>
      <c r="H1048" s="87"/>
      <c r="I1048" s="87"/>
      <c r="J1048" s="87"/>
      <c r="K1048" s="88"/>
      <c r="L1048" s="89"/>
      <c r="M1048" s="90"/>
      <c r="N1048" s="57"/>
      <c r="O1048" s="57"/>
      <c r="P1048" s="91"/>
    </row>
    <row r="1049" spans="2:16" s="50" customFormat="1" ht="13.2">
      <c r="B1049" s="86"/>
      <c r="C1049" s="87"/>
      <c r="D1049" s="87"/>
      <c r="E1049" s="87"/>
      <c r="F1049" s="87"/>
      <c r="G1049" s="87"/>
      <c r="H1049" s="87"/>
      <c r="I1049" s="87"/>
      <c r="J1049" s="87"/>
      <c r="K1049" s="88"/>
      <c r="L1049" s="89"/>
      <c r="M1049" s="90"/>
      <c r="N1049" s="57"/>
      <c r="O1049" s="57"/>
      <c r="P1049" s="91"/>
    </row>
    <row r="1050" spans="2:16" s="50" customFormat="1" ht="13.2">
      <c r="B1050" s="86"/>
      <c r="C1050" s="87"/>
      <c r="D1050" s="87"/>
      <c r="E1050" s="87"/>
      <c r="F1050" s="87"/>
      <c r="G1050" s="87"/>
      <c r="H1050" s="87"/>
      <c r="I1050" s="87"/>
      <c r="J1050" s="87"/>
      <c r="K1050" s="88"/>
      <c r="L1050" s="89"/>
      <c r="M1050" s="90"/>
      <c r="N1050" s="57"/>
      <c r="O1050" s="57"/>
      <c r="P1050" s="91"/>
    </row>
    <row r="1051" spans="2:16" s="50" customFormat="1" ht="13.2">
      <c r="B1051" s="86"/>
      <c r="C1051" s="87"/>
      <c r="D1051" s="87"/>
      <c r="E1051" s="87"/>
      <c r="F1051" s="87"/>
      <c r="G1051" s="87"/>
      <c r="H1051" s="87"/>
      <c r="I1051" s="87"/>
      <c r="J1051" s="87"/>
      <c r="K1051" s="88"/>
      <c r="L1051" s="89"/>
      <c r="M1051" s="90"/>
      <c r="N1051" s="57"/>
      <c r="O1051" s="57"/>
      <c r="P1051" s="91"/>
    </row>
    <row r="1052" spans="2:16" s="50" customFormat="1" ht="13.2">
      <c r="B1052" s="86"/>
      <c r="C1052" s="87"/>
      <c r="D1052" s="87"/>
      <c r="E1052" s="87"/>
      <c r="F1052" s="87"/>
      <c r="G1052" s="87"/>
      <c r="H1052" s="87"/>
      <c r="I1052" s="87"/>
      <c r="J1052" s="87"/>
      <c r="K1052" s="88"/>
      <c r="L1052" s="89"/>
      <c r="M1052" s="90"/>
      <c r="N1052" s="57"/>
      <c r="O1052" s="57"/>
      <c r="P1052" s="91"/>
    </row>
    <row r="1053" spans="2:16" s="50" customFormat="1" ht="13.2">
      <c r="B1053" s="86"/>
      <c r="C1053" s="87"/>
      <c r="D1053" s="87"/>
      <c r="E1053" s="87"/>
      <c r="F1053" s="87"/>
      <c r="G1053" s="87"/>
      <c r="H1053" s="87"/>
      <c r="I1053" s="87"/>
      <c r="J1053" s="87"/>
      <c r="K1053" s="88"/>
      <c r="L1053" s="89"/>
      <c r="M1053" s="90"/>
      <c r="N1053" s="57"/>
      <c r="O1053" s="57"/>
      <c r="P1053" s="91"/>
    </row>
    <row r="1054" spans="2:16" s="50" customFormat="1" ht="13.2">
      <c r="B1054" s="86"/>
      <c r="C1054" s="87"/>
      <c r="D1054" s="87"/>
      <c r="E1054" s="87"/>
      <c r="F1054" s="87"/>
      <c r="G1054" s="87"/>
      <c r="H1054" s="87"/>
      <c r="I1054" s="87"/>
      <c r="J1054" s="87"/>
      <c r="K1054" s="88"/>
      <c r="L1054" s="89"/>
      <c r="M1054" s="90"/>
      <c r="N1054" s="57"/>
      <c r="O1054" s="57"/>
      <c r="P1054" s="91"/>
    </row>
    <row r="1055" spans="2:16" s="50" customFormat="1" ht="13.2">
      <c r="B1055" s="86"/>
      <c r="C1055" s="87"/>
      <c r="D1055" s="87"/>
      <c r="E1055" s="87"/>
      <c r="F1055" s="87"/>
      <c r="G1055" s="87"/>
      <c r="H1055" s="87"/>
      <c r="I1055" s="87"/>
      <c r="J1055" s="87"/>
      <c r="K1055" s="88"/>
      <c r="L1055" s="89"/>
      <c r="M1055" s="90"/>
      <c r="N1055" s="57"/>
      <c r="O1055" s="57"/>
      <c r="P1055" s="91"/>
    </row>
    <row r="1056" spans="2:16" s="50" customFormat="1" ht="13.2">
      <c r="B1056" s="86"/>
      <c r="C1056" s="87"/>
      <c r="D1056" s="87"/>
      <c r="E1056" s="87"/>
      <c r="F1056" s="87"/>
      <c r="G1056" s="87"/>
      <c r="H1056" s="87"/>
      <c r="I1056" s="87"/>
      <c r="J1056" s="87"/>
      <c r="K1056" s="88"/>
      <c r="L1056" s="89"/>
      <c r="M1056" s="90"/>
      <c r="N1056" s="57"/>
      <c r="O1056" s="57"/>
      <c r="P1056" s="91"/>
    </row>
    <row r="1057" spans="2:16" s="50" customFormat="1" ht="13.2">
      <c r="B1057" s="86"/>
      <c r="C1057" s="87"/>
      <c r="D1057" s="87"/>
      <c r="E1057" s="87"/>
      <c r="F1057" s="87"/>
      <c r="G1057" s="87"/>
      <c r="H1057" s="87"/>
      <c r="I1057" s="87"/>
      <c r="J1057" s="87"/>
      <c r="K1057" s="88"/>
      <c r="L1057" s="89"/>
      <c r="M1057" s="90"/>
      <c r="N1057" s="57"/>
      <c r="O1057" s="57"/>
      <c r="P1057" s="91"/>
    </row>
    <row r="1058" spans="2:16" s="50" customFormat="1" ht="13.2">
      <c r="B1058" s="86"/>
      <c r="C1058" s="87"/>
      <c r="D1058" s="87"/>
      <c r="E1058" s="87"/>
      <c r="F1058" s="87"/>
      <c r="G1058" s="87"/>
      <c r="H1058" s="87"/>
      <c r="I1058" s="87"/>
      <c r="J1058" s="87"/>
      <c r="K1058" s="88"/>
      <c r="L1058" s="89"/>
      <c r="M1058" s="90"/>
      <c r="N1058" s="57"/>
      <c r="O1058" s="57"/>
      <c r="P1058" s="91"/>
    </row>
    <row r="1059" spans="2:16" s="50" customFormat="1" ht="13.2">
      <c r="B1059" s="86"/>
      <c r="C1059" s="87"/>
      <c r="D1059" s="87"/>
      <c r="E1059" s="87"/>
      <c r="F1059" s="87"/>
      <c r="G1059" s="87"/>
      <c r="H1059" s="87"/>
      <c r="I1059" s="87"/>
      <c r="J1059" s="87"/>
      <c r="K1059" s="88"/>
      <c r="L1059" s="89"/>
      <c r="M1059" s="90"/>
      <c r="N1059" s="57"/>
      <c r="O1059" s="57"/>
      <c r="P1059" s="91"/>
    </row>
    <row r="1060" spans="2:16" s="50" customFormat="1" ht="13.2">
      <c r="B1060" s="86"/>
      <c r="C1060" s="87"/>
      <c r="D1060" s="87"/>
      <c r="E1060" s="87"/>
      <c r="F1060" s="87"/>
      <c r="G1060" s="87"/>
      <c r="H1060" s="87"/>
      <c r="I1060" s="87"/>
      <c r="J1060" s="87"/>
      <c r="K1060" s="88"/>
      <c r="L1060" s="89"/>
      <c r="M1060" s="90"/>
      <c r="N1060" s="57"/>
      <c r="O1060" s="57"/>
      <c r="P1060" s="91"/>
    </row>
    <row r="1061" spans="2:16" s="50" customFormat="1" ht="13.2">
      <c r="B1061" s="86"/>
      <c r="C1061" s="87"/>
      <c r="D1061" s="87"/>
      <c r="E1061" s="87"/>
      <c r="F1061" s="87"/>
      <c r="G1061" s="87"/>
      <c r="H1061" s="87"/>
      <c r="I1061" s="87"/>
      <c r="J1061" s="87"/>
      <c r="K1061" s="88"/>
      <c r="L1061" s="89"/>
      <c r="M1061" s="90"/>
      <c r="N1061" s="57"/>
      <c r="O1061" s="57"/>
      <c r="P1061" s="91"/>
    </row>
    <row r="1062" spans="2:16" s="50" customFormat="1" ht="13.2">
      <c r="B1062" s="86"/>
      <c r="C1062" s="87"/>
      <c r="D1062" s="87"/>
      <c r="E1062" s="87"/>
      <c r="F1062" s="87"/>
      <c r="G1062" s="87"/>
      <c r="H1062" s="87"/>
      <c r="I1062" s="87"/>
      <c r="J1062" s="87"/>
      <c r="K1062" s="88"/>
      <c r="L1062" s="89"/>
      <c r="M1062" s="90"/>
      <c r="N1062" s="57"/>
      <c r="O1062" s="57"/>
      <c r="P1062" s="91"/>
    </row>
    <row r="1063" spans="2:16" s="50" customFormat="1" ht="13.2">
      <c r="B1063" s="86"/>
      <c r="C1063" s="87"/>
      <c r="D1063" s="87"/>
      <c r="E1063" s="87"/>
      <c r="F1063" s="87"/>
      <c r="G1063" s="87"/>
      <c r="H1063" s="87"/>
      <c r="I1063" s="87"/>
      <c r="J1063" s="87"/>
      <c r="K1063" s="88"/>
      <c r="L1063" s="89"/>
      <c r="M1063" s="90"/>
      <c r="N1063" s="57"/>
      <c r="O1063" s="57"/>
      <c r="P1063" s="91"/>
    </row>
    <row r="1064" spans="2:16" s="50" customFormat="1" ht="13.2">
      <c r="B1064" s="86"/>
      <c r="C1064" s="87"/>
      <c r="D1064" s="87"/>
      <c r="E1064" s="87"/>
      <c r="F1064" s="87"/>
      <c r="G1064" s="87"/>
      <c r="H1064" s="87"/>
      <c r="I1064" s="87"/>
      <c r="J1064" s="87"/>
      <c r="K1064" s="88"/>
      <c r="L1064" s="89"/>
      <c r="M1064" s="90"/>
      <c r="N1064" s="57"/>
      <c r="O1064" s="57"/>
      <c r="P1064" s="91"/>
    </row>
    <row r="1065" spans="2:16" s="50" customFormat="1" ht="13.2">
      <c r="B1065" s="86"/>
      <c r="C1065" s="87"/>
      <c r="D1065" s="87"/>
      <c r="E1065" s="87"/>
      <c r="F1065" s="87"/>
      <c r="G1065" s="87"/>
      <c r="H1065" s="87"/>
      <c r="I1065" s="87"/>
      <c r="J1065" s="87"/>
      <c r="K1065" s="88"/>
      <c r="L1065" s="89"/>
      <c r="M1065" s="90"/>
      <c r="N1065" s="57"/>
      <c r="O1065" s="57"/>
      <c r="P1065" s="91"/>
    </row>
    <row r="1066" spans="2:16" s="50" customFormat="1" ht="13.2">
      <c r="B1066" s="86"/>
      <c r="C1066" s="87"/>
      <c r="D1066" s="87"/>
      <c r="E1066" s="87"/>
      <c r="F1066" s="87"/>
      <c r="G1066" s="87"/>
      <c r="H1066" s="87"/>
      <c r="I1066" s="87"/>
      <c r="J1066" s="87"/>
      <c r="K1066" s="88"/>
      <c r="L1066" s="89"/>
      <c r="M1066" s="90"/>
      <c r="N1066" s="57"/>
      <c r="O1066" s="57"/>
      <c r="P1066" s="91"/>
    </row>
    <row r="1067" spans="2:16" s="50" customFormat="1" ht="13.2">
      <c r="B1067" s="86"/>
      <c r="C1067" s="87"/>
      <c r="D1067" s="87"/>
      <c r="E1067" s="87"/>
      <c r="F1067" s="87"/>
      <c r="G1067" s="87"/>
      <c r="H1067" s="87"/>
      <c r="I1067" s="87"/>
      <c r="J1067" s="87"/>
      <c r="K1067" s="88"/>
      <c r="L1067" s="89"/>
      <c r="M1067" s="90"/>
      <c r="N1067" s="57"/>
      <c r="O1067" s="57"/>
      <c r="P1067" s="91"/>
    </row>
    <row r="1068" spans="2:16" s="50" customFormat="1" ht="13.2">
      <c r="B1068" s="86"/>
      <c r="C1068" s="87"/>
      <c r="D1068" s="87"/>
      <c r="E1068" s="87"/>
      <c r="F1068" s="87"/>
      <c r="G1068" s="87"/>
      <c r="H1068" s="87"/>
      <c r="I1068" s="87"/>
      <c r="J1068" s="87"/>
      <c r="K1068" s="88"/>
      <c r="L1068" s="89"/>
      <c r="M1068" s="90"/>
      <c r="N1068" s="57"/>
      <c r="O1068" s="57"/>
      <c r="P1068" s="91"/>
    </row>
    <row r="1069" spans="2:16" s="50" customFormat="1" ht="13.2">
      <c r="B1069" s="86"/>
      <c r="C1069" s="87"/>
      <c r="D1069" s="87"/>
      <c r="E1069" s="87"/>
      <c r="F1069" s="87"/>
      <c r="G1069" s="87"/>
      <c r="H1069" s="87"/>
      <c r="I1069" s="87"/>
      <c r="J1069" s="87"/>
      <c r="K1069" s="88"/>
      <c r="L1069" s="89"/>
      <c r="M1069" s="90"/>
      <c r="N1069" s="57"/>
      <c r="O1069" s="57"/>
      <c r="P1069" s="91"/>
    </row>
    <row r="1070" spans="2:16" s="50" customFormat="1" ht="13.2">
      <c r="B1070" s="86"/>
      <c r="C1070" s="87"/>
      <c r="D1070" s="87"/>
      <c r="E1070" s="87"/>
      <c r="F1070" s="87"/>
      <c r="G1070" s="87"/>
      <c r="H1070" s="87"/>
      <c r="I1070" s="87"/>
      <c r="J1070" s="87"/>
      <c r="K1070" s="88"/>
      <c r="L1070" s="89"/>
      <c r="M1070" s="90"/>
      <c r="N1070" s="57"/>
      <c r="O1070" s="57"/>
      <c r="P1070" s="91"/>
    </row>
    <row r="1071" spans="2:16" s="50" customFormat="1" ht="13.2">
      <c r="B1071" s="86"/>
      <c r="C1071" s="87"/>
      <c r="D1071" s="87"/>
      <c r="E1071" s="87"/>
      <c r="F1071" s="87"/>
      <c r="G1071" s="87"/>
      <c r="H1071" s="87"/>
      <c r="I1071" s="87"/>
      <c r="J1071" s="87"/>
      <c r="K1071" s="88"/>
      <c r="L1071" s="89"/>
      <c r="M1071" s="90"/>
      <c r="N1071" s="57"/>
      <c r="O1071" s="57"/>
      <c r="P1071" s="91"/>
    </row>
    <row r="1072" spans="2:16" s="50" customFormat="1" ht="13.2">
      <c r="B1072" s="86"/>
      <c r="C1072" s="87"/>
      <c r="D1072" s="87"/>
      <c r="E1072" s="87"/>
      <c r="F1072" s="87"/>
      <c r="G1072" s="87"/>
      <c r="H1072" s="87"/>
      <c r="I1072" s="87"/>
      <c r="J1072" s="87"/>
      <c r="K1072" s="88"/>
      <c r="L1072" s="89"/>
      <c r="M1072" s="90"/>
      <c r="N1072" s="57"/>
      <c r="O1072" s="57"/>
      <c r="P1072" s="91"/>
    </row>
    <row r="1073" spans="2:16" s="50" customFormat="1" ht="13.2">
      <c r="B1073" s="86"/>
      <c r="C1073" s="87"/>
      <c r="D1073" s="87"/>
      <c r="E1073" s="87"/>
      <c r="F1073" s="87"/>
      <c r="G1073" s="87"/>
      <c r="H1073" s="87"/>
      <c r="I1073" s="87"/>
      <c r="J1073" s="87"/>
      <c r="K1073" s="88"/>
      <c r="L1073" s="89"/>
      <c r="M1073" s="90"/>
      <c r="N1073" s="57"/>
      <c r="O1073" s="57"/>
      <c r="P1073" s="91"/>
    </row>
    <row r="1074" spans="2:16" s="50" customFormat="1" ht="13.2">
      <c r="B1074" s="86"/>
      <c r="C1074" s="87"/>
      <c r="D1074" s="87"/>
      <c r="E1074" s="87"/>
      <c r="F1074" s="87"/>
      <c r="G1074" s="87"/>
      <c r="H1074" s="87"/>
      <c r="I1074" s="87"/>
      <c r="J1074" s="87"/>
      <c r="K1074" s="88"/>
      <c r="L1074" s="89"/>
      <c r="M1074" s="90"/>
      <c r="N1074" s="57"/>
      <c r="O1074" s="57"/>
      <c r="P1074" s="91"/>
    </row>
    <row r="1075" spans="2:16" s="50" customFormat="1" ht="13.2">
      <c r="B1075" s="86"/>
      <c r="C1075" s="87"/>
      <c r="D1075" s="87"/>
      <c r="E1075" s="87"/>
      <c r="F1075" s="87"/>
      <c r="G1075" s="87"/>
      <c r="H1075" s="87"/>
      <c r="I1075" s="87"/>
      <c r="J1075" s="87"/>
      <c r="K1075" s="88"/>
      <c r="L1075" s="89"/>
      <c r="M1075" s="90"/>
      <c r="N1075" s="57"/>
      <c r="O1075" s="57"/>
      <c r="P1075" s="91"/>
    </row>
    <row r="1076" spans="2:16" s="50" customFormat="1" ht="13.2">
      <c r="B1076" s="86"/>
      <c r="C1076" s="87"/>
      <c r="D1076" s="87"/>
      <c r="E1076" s="87"/>
      <c r="F1076" s="87"/>
      <c r="G1076" s="87"/>
      <c r="H1076" s="87"/>
      <c r="I1076" s="87"/>
      <c r="J1076" s="87"/>
      <c r="K1076" s="88"/>
      <c r="L1076" s="89"/>
      <c r="M1076" s="90"/>
      <c r="N1076" s="57"/>
      <c r="O1076" s="57"/>
      <c r="P1076" s="91"/>
    </row>
    <row r="1077" spans="2:16" s="50" customFormat="1" ht="13.2">
      <c r="B1077" s="86"/>
      <c r="C1077" s="87"/>
      <c r="D1077" s="87"/>
      <c r="E1077" s="87"/>
      <c r="F1077" s="87"/>
      <c r="G1077" s="87"/>
      <c r="H1077" s="87"/>
      <c r="I1077" s="87"/>
      <c r="J1077" s="87"/>
      <c r="K1077" s="88"/>
      <c r="L1077" s="89"/>
      <c r="M1077" s="90"/>
      <c r="N1077" s="57"/>
      <c r="O1077" s="57"/>
      <c r="P1077" s="91"/>
    </row>
    <row r="1078" spans="2:16" s="50" customFormat="1" ht="13.2">
      <c r="B1078" s="86"/>
      <c r="C1078" s="87"/>
      <c r="D1078" s="87"/>
      <c r="E1078" s="87"/>
      <c r="F1078" s="87"/>
      <c r="G1078" s="87"/>
      <c r="H1078" s="87"/>
      <c r="I1078" s="87"/>
      <c r="J1078" s="87"/>
      <c r="K1078" s="88"/>
      <c r="L1078" s="89"/>
      <c r="M1078" s="90"/>
      <c r="N1078" s="57"/>
      <c r="O1078" s="57"/>
      <c r="P1078" s="91"/>
    </row>
    <row r="1079" spans="2:16" s="50" customFormat="1" ht="13.2">
      <c r="B1079" s="86"/>
      <c r="C1079" s="87"/>
      <c r="D1079" s="87"/>
      <c r="E1079" s="87"/>
      <c r="F1079" s="87"/>
      <c r="G1079" s="87"/>
      <c r="H1079" s="87"/>
      <c r="I1079" s="87"/>
      <c r="J1079" s="87"/>
      <c r="K1079" s="88"/>
      <c r="L1079" s="89"/>
      <c r="M1079" s="90"/>
      <c r="N1079" s="57"/>
      <c r="O1079" s="57"/>
      <c r="P1079" s="91"/>
    </row>
    <row r="1080" spans="2:16" s="50" customFormat="1" ht="13.2">
      <c r="B1080" s="86"/>
      <c r="C1080" s="87"/>
      <c r="D1080" s="87"/>
      <c r="E1080" s="87"/>
      <c r="F1080" s="87"/>
      <c r="G1080" s="87"/>
      <c r="H1080" s="87"/>
      <c r="I1080" s="87"/>
      <c r="J1080" s="87"/>
      <c r="K1080" s="88"/>
      <c r="L1080" s="89"/>
      <c r="M1080" s="90"/>
      <c r="N1080" s="57"/>
      <c r="O1080" s="57"/>
      <c r="P1080" s="91"/>
    </row>
    <row r="1081" spans="2:16" s="50" customFormat="1" ht="13.2">
      <c r="B1081" s="86"/>
      <c r="C1081" s="87"/>
      <c r="D1081" s="87"/>
      <c r="E1081" s="87"/>
      <c r="F1081" s="87"/>
      <c r="G1081" s="87"/>
      <c r="H1081" s="87"/>
      <c r="I1081" s="87"/>
      <c r="J1081" s="87"/>
      <c r="K1081" s="88"/>
      <c r="L1081" s="89"/>
      <c r="M1081" s="90"/>
      <c r="N1081" s="57"/>
      <c r="O1081" s="57"/>
      <c r="P1081" s="91"/>
    </row>
    <row r="1082" spans="2:16" s="50" customFormat="1" ht="13.2">
      <c r="B1082" s="86"/>
      <c r="C1082" s="87"/>
      <c r="D1082" s="87"/>
      <c r="E1082" s="87"/>
      <c r="F1082" s="87"/>
      <c r="G1082" s="87"/>
      <c r="H1082" s="87"/>
      <c r="I1082" s="87"/>
      <c r="J1082" s="87"/>
      <c r="K1082" s="88"/>
      <c r="L1082" s="89"/>
      <c r="M1082" s="90"/>
      <c r="N1082" s="57"/>
      <c r="O1082" s="57"/>
      <c r="P1082" s="91"/>
    </row>
    <row r="1083" spans="2:16" s="50" customFormat="1" ht="13.2">
      <c r="B1083" s="86"/>
      <c r="C1083" s="87"/>
      <c r="D1083" s="87"/>
      <c r="E1083" s="87"/>
      <c r="F1083" s="87"/>
      <c r="G1083" s="87"/>
      <c r="H1083" s="87"/>
      <c r="I1083" s="87"/>
      <c r="J1083" s="87"/>
      <c r="K1083" s="88"/>
      <c r="L1083" s="89"/>
      <c r="M1083" s="90"/>
      <c r="N1083" s="57"/>
      <c r="O1083" s="57"/>
      <c r="P1083" s="91"/>
    </row>
    <row r="1084" spans="2:16" s="50" customFormat="1" ht="13.2">
      <c r="B1084" s="86"/>
      <c r="C1084" s="87"/>
      <c r="D1084" s="87"/>
      <c r="E1084" s="87"/>
      <c r="F1084" s="87"/>
      <c r="G1084" s="87"/>
      <c r="H1084" s="87"/>
      <c r="I1084" s="87"/>
      <c r="J1084" s="87"/>
      <c r="K1084" s="88"/>
      <c r="L1084" s="89"/>
      <c r="M1084" s="90"/>
      <c r="N1084" s="57"/>
      <c r="O1084" s="57"/>
      <c r="P1084" s="91"/>
    </row>
    <row r="1085" spans="2:16" s="50" customFormat="1" ht="13.2">
      <c r="B1085" s="86"/>
      <c r="C1085" s="87"/>
      <c r="D1085" s="87"/>
      <c r="E1085" s="87"/>
      <c r="F1085" s="87"/>
      <c r="G1085" s="87"/>
      <c r="H1085" s="87"/>
      <c r="I1085" s="87"/>
      <c r="J1085" s="87"/>
      <c r="K1085" s="88"/>
      <c r="L1085" s="89"/>
      <c r="M1085" s="90"/>
      <c r="N1085" s="57"/>
      <c r="O1085" s="57"/>
      <c r="P1085" s="91"/>
    </row>
    <row r="1086" spans="2:16" s="50" customFormat="1" ht="13.2">
      <c r="B1086" s="86"/>
      <c r="C1086" s="87"/>
      <c r="D1086" s="87"/>
      <c r="E1086" s="87"/>
      <c r="F1086" s="87"/>
      <c r="G1086" s="87"/>
      <c r="H1086" s="87"/>
      <c r="I1086" s="87"/>
      <c r="J1086" s="87"/>
      <c r="K1086" s="88"/>
      <c r="L1086" s="89"/>
      <c r="M1086" s="90"/>
      <c r="N1086" s="57"/>
      <c r="O1086" s="57"/>
      <c r="P1086" s="91"/>
    </row>
    <row r="1087" spans="2:16" s="50" customFormat="1" ht="13.2">
      <c r="B1087" s="86"/>
      <c r="C1087" s="87"/>
      <c r="D1087" s="87"/>
      <c r="E1087" s="87"/>
      <c r="F1087" s="87"/>
      <c r="G1087" s="87"/>
      <c r="H1087" s="87"/>
      <c r="I1087" s="87"/>
      <c r="J1087" s="87"/>
      <c r="K1087" s="88"/>
      <c r="L1087" s="89"/>
      <c r="M1087" s="90"/>
      <c r="N1087" s="57"/>
      <c r="O1087" s="57"/>
      <c r="P1087" s="91"/>
    </row>
    <row r="1088" spans="2:16" s="50" customFormat="1" ht="13.2">
      <c r="B1088" s="86"/>
      <c r="C1088" s="87"/>
      <c r="D1088" s="87"/>
      <c r="E1088" s="87"/>
      <c r="F1088" s="87"/>
      <c r="G1088" s="87"/>
      <c r="H1088" s="87"/>
      <c r="I1088" s="87"/>
      <c r="J1088" s="87"/>
      <c r="K1088" s="88"/>
      <c r="L1088" s="89"/>
      <c r="M1088" s="90"/>
      <c r="N1088" s="57"/>
      <c r="O1088" s="57"/>
      <c r="P1088" s="91"/>
    </row>
    <row r="1089" spans="2:16" s="50" customFormat="1" ht="13.2">
      <c r="B1089" s="86"/>
      <c r="C1089" s="87"/>
      <c r="D1089" s="87"/>
      <c r="E1089" s="87"/>
      <c r="F1089" s="87"/>
      <c r="G1089" s="87"/>
      <c r="H1089" s="87"/>
      <c r="I1089" s="87"/>
      <c r="J1089" s="87"/>
      <c r="K1089" s="88"/>
      <c r="L1089" s="89"/>
      <c r="M1089" s="90"/>
      <c r="N1089" s="57"/>
      <c r="O1089" s="57"/>
      <c r="P1089" s="91"/>
    </row>
    <row r="1090" spans="2:16" s="50" customFormat="1" ht="13.2">
      <c r="B1090" s="86"/>
      <c r="C1090" s="87"/>
      <c r="D1090" s="87"/>
      <c r="E1090" s="87"/>
      <c r="F1090" s="87"/>
      <c r="G1090" s="87"/>
      <c r="H1090" s="87"/>
      <c r="I1090" s="87"/>
      <c r="J1090" s="87"/>
      <c r="K1090" s="88"/>
      <c r="L1090" s="89"/>
      <c r="M1090" s="90"/>
      <c r="N1090" s="57"/>
      <c r="O1090" s="57"/>
      <c r="P1090" s="91"/>
    </row>
    <row r="1091" spans="2:16" s="50" customFormat="1" ht="13.2">
      <c r="B1091" s="86"/>
      <c r="C1091" s="87"/>
      <c r="D1091" s="87"/>
      <c r="E1091" s="87"/>
      <c r="F1091" s="87"/>
      <c r="G1091" s="87"/>
      <c r="H1091" s="87"/>
      <c r="I1091" s="87"/>
      <c r="J1091" s="87"/>
      <c r="K1091" s="88"/>
      <c r="L1091" s="89"/>
      <c r="M1091" s="90"/>
      <c r="N1091" s="57"/>
      <c r="O1091" s="57"/>
      <c r="P1091" s="91"/>
    </row>
    <row r="1092" spans="2:16" s="50" customFormat="1" ht="13.2">
      <c r="B1092" s="86"/>
      <c r="C1092" s="87"/>
      <c r="D1092" s="87"/>
      <c r="E1092" s="87"/>
      <c r="F1092" s="87"/>
      <c r="G1092" s="87"/>
      <c r="H1092" s="87"/>
      <c r="I1092" s="87"/>
      <c r="J1092" s="87"/>
      <c r="K1092" s="88"/>
      <c r="L1092" s="89"/>
      <c r="M1092" s="90"/>
      <c r="N1092" s="57"/>
      <c r="O1092" s="57"/>
      <c r="P1092" s="91"/>
    </row>
    <row r="1093" spans="2:16" s="50" customFormat="1" ht="13.2">
      <c r="B1093" s="86"/>
      <c r="C1093" s="87"/>
      <c r="D1093" s="87"/>
      <c r="E1093" s="87"/>
      <c r="F1093" s="87"/>
      <c r="G1093" s="87"/>
      <c r="H1093" s="87"/>
      <c r="I1093" s="87"/>
      <c r="J1093" s="87"/>
      <c r="K1093" s="88"/>
      <c r="L1093" s="89"/>
      <c r="M1093" s="90"/>
      <c r="N1093" s="57"/>
      <c r="O1093" s="57"/>
      <c r="P1093" s="91"/>
    </row>
    <row r="1094" spans="2:16" s="50" customFormat="1" ht="13.2">
      <c r="B1094" s="86"/>
      <c r="C1094" s="87"/>
      <c r="D1094" s="87"/>
      <c r="E1094" s="87"/>
      <c r="F1094" s="87"/>
      <c r="G1094" s="87"/>
      <c r="H1094" s="87"/>
      <c r="I1094" s="87"/>
      <c r="J1094" s="87"/>
      <c r="K1094" s="88"/>
      <c r="L1094" s="89"/>
      <c r="M1094" s="90"/>
      <c r="N1094" s="57"/>
      <c r="O1094" s="57"/>
      <c r="P1094" s="91"/>
    </row>
    <row r="1095" spans="2:16" s="50" customFormat="1" ht="13.2">
      <c r="B1095" s="86"/>
      <c r="C1095" s="87"/>
      <c r="D1095" s="87"/>
      <c r="E1095" s="87"/>
      <c r="F1095" s="87"/>
      <c r="G1095" s="87"/>
      <c r="H1095" s="87"/>
      <c r="I1095" s="87"/>
      <c r="J1095" s="87"/>
      <c r="K1095" s="88"/>
      <c r="L1095" s="89"/>
      <c r="M1095" s="90"/>
      <c r="N1095" s="57"/>
      <c r="O1095" s="57"/>
      <c r="P1095" s="91"/>
    </row>
    <row r="1096" spans="2:16" s="50" customFormat="1" ht="13.2">
      <c r="B1096" s="86"/>
      <c r="C1096" s="87"/>
      <c r="D1096" s="87"/>
      <c r="E1096" s="87"/>
      <c r="F1096" s="87"/>
      <c r="G1096" s="87"/>
      <c r="H1096" s="87"/>
      <c r="I1096" s="87"/>
      <c r="J1096" s="87"/>
      <c r="K1096" s="88"/>
      <c r="L1096" s="89"/>
      <c r="M1096" s="90"/>
      <c r="N1096" s="57"/>
      <c r="O1096" s="57"/>
      <c r="P1096" s="91"/>
    </row>
    <row r="1097" spans="2:16" s="50" customFormat="1" ht="13.2">
      <c r="B1097" s="86"/>
      <c r="C1097" s="87"/>
      <c r="D1097" s="87"/>
      <c r="E1097" s="87"/>
      <c r="F1097" s="87"/>
      <c r="G1097" s="87"/>
      <c r="H1097" s="87"/>
      <c r="I1097" s="87"/>
      <c r="J1097" s="87"/>
      <c r="K1097" s="88"/>
      <c r="L1097" s="89"/>
      <c r="M1097" s="90"/>
      <c r="N1097" s="57"/>
      <c r="O1097" s="57"/>
      <c r="P1097" s="91"/>
    </row>
    <row r="1098" spans="2:16" s="50" customFormat="1" ht="13.2">
      <c r="B1098" s="86"/>
      <c r="C1098" s="87"/>
      <c r="D1098" s="87"/>
      <c r="E1098" s="87"/>
      <c r="F1098" s="87"/>
      <c r="G1098" s="87"/>
      <c r="H1098" s="87"/>
      <c r="I1098" s="87"/>
      <c r="J1098" s="87"/>
      <c r="K1098" s="88"/>
      <c r="L1098" s="89"/>
      <c r="M1098" s="90"/>
      <c r="N1098" s="57"/>
      <c r="O1098" s="57"/>
      <c r="P1098" s="91"/>
    </row>
    <row r="1099" spans="2:16" s="50" customFormat="1" ht="13.2">
      <c r="B1099" s="86"/>
      <c r="C1099" s="87"/>
      <c r="D1099" s="87"/>
      <c r="E1099" s="87"/>
      <c r="F1099" s="87"/>
      <c r="G1099" s="87"/>
      <c r="H1099" s="87"/>
      <c r="I1099" s="87"/>
      <c r="J1099" s="87"/>
      <c r="K1099" s="88"/>
      <c r="L1099" s="89"/>
      <c r="M1099" s="90"/>
      <c r="N1099" s="57"/>
      <c r="O1099" s="57"/>
      <c r="P1099" s="91"/>
    </row>
    <row r="1100" spans="2:16" s="50" customFormat="1" ht="13.2">
      <c r="B1100" s="86"/>
      <c r="C1100" s="87"/>
      <c r="D1100" s="87"/>
      <c r="E1100" s="87"/>
      <c r="F1100" s="87"/>
      <c r="G1100" s="87"/>
      <c r="H1100" s="87"/>
      <c r="I1100" s="87"/>
      <c r="J1100" s="87"/>
      <c r="K1100" s="88"/>
      <c r="L1100" s="89"/>
      <c r="M1100" s="90"/>
      <c r="N1100" s="57"/>
      <c r="O1100" s="57"/>
      <c r="P1100" s="91"/>
    </row>
    <row r="1101" spans="2:16" s="50" customFormat="1" ht="13.2">
      <c r="B1101" s="86"/>
      <c r="C1101" s="87"/>
      <c r="D1101" s="87"/>
      <c r="E1101" s="87"/>
      <c r="F1101" s="87"/>
      <c r="G1101" s="87"/>
      <c r="H1101" s="87"/>
      <c r="I1101" s="87"/>
      <c r="J1101" s="87"/>
      <c r="K1101" s="88"/>
      <c r="L1101" s="89"/>
      <c r="M1101" s="90"/>
      <c r="N1101" s="57"/>
      <c r="O1101" s="57"/>
      <c r="P1101" s="91"/>
    </row>
    <row r="1102" spans="2:16" s="50" customFormat="1" ht="13.2">
      <c r="B1102" s="86"/>
      <c r="C1102" s="87"/>
      <c r="D1102" s="87"/>
      <c r="E1102" s="87"/>
      <c r="F1102" s="87"/>
      <c r="G1102" s="87"/>
      <c r="H1102" s="87"/>
      <c r="I1102" s="87"/>
      <c r="J1102" s="87"/>
      <c r="K1102" s="88"/>
      <c r="L1102" s="89"/>
      <c r="M1102" s="90"/>
      <c r="N1102" s="57"/>
      <c r="O1102" s="57"/>
      <c r="P1102" s="91"/>
    </row>
    <row r="1103" spans="2:16" s="50" customFormat="1" ht="13.2">
      <c r="B1103" s="86"/>
      <c r="C1103" s="87"/>
      <c r="D1103" s="87"/>
      <c r="E1103" s="87"/>
      <c r="F1103" s="87"/>
      <c r="G1103" s="87"/>
      <c r="H1103" s="87"/>
      <c r="I1103" s="87"/>
      <c r="J1103" s="87"/>
      <c r="K1103" s="88"/>
      <c r="L1103" s="89"/>
      <c r="M1103" s="90"/>
      <c r="N1103" s="57"/>
      <c r="O1103" s="57"/>
      <c r="P1103" s="91"/>
    </row>
    <row r="1104" spans="2:16" s="50" customFormat="1" ht="13.2">
      <c r="B1104" s="86"/>
      <c r="C1104" s="87"/>
      <c r="D1104" s="87"/>
      <c r="E1104" s="87"/>
      <c r="F1104" s="87"/>
      <c r="G1104" s="87"/>
      <c r="H1104" s="87"/>
      <c r="I1104" s="87"/>
      <c r="J1104" s="87"/>
      <c r="K1104" s="88"/>
      <c r="L1104" s="89"/>
      <c r="M1104" s="90"/>
      <c r="N1104" s="57"/>
      <c r="O1104" s="57"/>
      <c r="P1104" s="91"/>
    </row>
    <row r="1105" spans="2:16" s="50" customFormat="1" ht="13.2">
      <c r="B1105" s="86"/>
      <c r="C1105" s="87"/>
      <c r="D1105" s="87"/>
      <c r="E1105" s="87"/>
      <c r="F1105" s="87"/>
      <c r="G1105" s="87"/>
      <c r="H1105" s="87"/>
      <c r="I1105" s="87"/>
      <c r="J1105" s="87"/>
      <c r="K1105" s="88"/>
      <c r="L1105" s="89"/>
      <c r="M1105" s="90"/>
      <c r="N1105" s="57"/>
      <c r="O1105" s="57"/>
      <c r="P1105" s="91"/>
    </row>
    <row r="1106" spans="2:16" s="50" customFormat="1" ht="13.2">
      <c r="B1106" s="86"/>
      <c r="C1106" s="87"/>
      <c r="D1106" s="87"/>
      <c r="E1106" s="87"/>
      <c r="F1106" s="87"/>
      <c r="G1106" s="87"/>
      <c r="H1106" s="87"/>
      <c r="I1106" s="87"/>
      <c r="J1106" s="87"/>
      <c r="K1106" s="88"/>
      <c r="L1106" s="89"/>
      <c r="M1106" s="90"/>
      <c r="N1106" s="57"/>
      <c r="O1106" s="57"/>
      <c r="P1106" s="91"/>
    </row>
    <row r="1107" spans="2:16" s="50" customFormat="1" ht="13.2">
      <c r="B1107" s="86"/>
      <c r="C1107" s="87"/>
      <c r="D1107" s="87"/>
      <c r="E1107" s="87"/>
      <c r="F1107" s="87"/>
      <c r="G1107" s="87"/>
      <c r="H1107" s="87"/>
      <c r="I1107" s="87"/>
      <c r="J1107" s="87"/>
      <c r="K1107" s="88"/>
      <c r="L1107" s="89"/>
      <c r="M1107" s="90"/>
      <c r="N1107" s="57"/>
      <c r="O1107" s="57"/>
      <c r="P1107" s="91"/>
    </row>
    <row r="1108" spans="2:16" s="50" customFormat="1" ht="13.2">
      <c r="B1108" s="86"/>
      <c r="C1108" s="87"/>
      <c r="D1108" s="87"/>
      <c r="E1108" s="87"/>
      <c r="F1108" s="87"/>
      <c r="G1108" s="87"/>
      <c r="H1108" s="87"/>
      <c r="I1108" s="87"/>
      <c r="J1108" s="87"/>
      <c r="K1108" s="88"/>
      <c r="L1108" s="89"/>
      <c r="M1108" s="90"/>
      <c r="N1108" s="57"/>
      <c r="O1108" s="57"/>
      <c r="P1108" s="91"/>
    </row>
    <row r="1109" spans="2:16" s="50" customFormat="1" ht="13.2">
      <c r="B1109" s="86"/>
      <c r="C1109" s="87"/>
      <c r="D1109" s="87"/>
      <c r="E1109" s="87"/>
      <c r="F1109" s="87"/>
      <c r="G1109" s="87"/>
      <c r="H1109" s="87"/>
      <c r="I1109" s="87"/>
      <c r="J1109" s="87"/>
      <c r="K1109" s="88"/>
      <c r="L1109" s="89"/>
      <c r="M1109" s="90"/>
      <c r="N1109" s="57"/>
      <c r="O1109" s="57"/>
      <c r="P1109" s="91"/>
    </row>
    <row r="1110" spans="2:16" s="50" customFormat="1" ht="13.2">
      <c r="B1110" s="86"/>
      <c r="C1110" s="87"/>
      <c r="D1110" s="87"/>
      <c r="E1110" s="87"/>
      <c r="F1110" s="87"/>
      <c r="G1110" s="87"/>
      <c r="H1110" s="87"/>
      <c r="I1110" s="87"/>
      <c r="J1110" s="87"/>
      <c r="K1110" s="88"/>
      <c r="L1110" s="89"/>
      <c r="M1110" s="90"/>
      <c r="N1110" s="57"/>
      <c r="O1110" s="57"/>
      <c r="P1110" s="91"/>
    </row>
    <row r="1111" spans="2:16" s="50" customFormat="1" ht="13.2">
      <c r="B1111" s="86"/>
      <c r="C1111" s="87"/>
      <c r="D1111" s="87"/>
      <c r="E1111" s="87"/>
      <c r="F1111" s="87"/>
      <c r="G1111" s="87"/>
      <c r="H1111" s="87"/>
      <c r="I1111" s="87"/>
      <c r="J1111" s="87"/>
      <c r="K1111" s="88"/>
      <c r="L1111" s="89"/>
      <c r="M1111" s="90"/>
      <c r="N1111" s="57"/>
      <c r="O1111" s="57"/>
      <c r="P1111" s="91"/>
    </row>
    <row r="1112" spans="2:16" s="50" customFormat="1" ht="13.2">
      <c r="B1112" s="86"/>
      <c r="C1112" s="87"/>
      <c r="D1112" s="87"/>
      <c r="E1112" s="87"/>
      <c r="F1112" s="87"/>
      <c r="G1112" s="87"/>
      <c r="H1112" s="87"/>
      <c r="I1112" s="87"/>
      <c r="J1112" s="87"/>
      <c r="K1112" s="88"/>
      <c r="L1112" s="89"/>
      <c r="M1112" s="90"/>
      <c r="N1112" s="57"/>
      <c r="O1112" s="57"/>
      <c r="P1112" s="91"/>
    </row>
    <row r="1113" spans="2:16" s="50" customFormat="1" ht="13.2">
      <c r="B1113" s="86"/>
      <c r="C1113" s="87"/>
      <c r="D1113" s="87"/>
      <c r="E1113" s="87"/>
      <c r="F1113" s="87"/>
      <c r="G1113" s="87"/>
      <c r="H1113" s="87"/>
      <c r="I1113" s="87"/>
      <c r="J1113" s="87"/>
      <c r="K1113" s="88"/>
      <c r="L1113" s="89"/>
      <c r="M1113" s="90"/>
      <c r="N1113" s="57"/>
      <c r="O1113" s="57"/>
      <c r="P1113" s="91"/>
    </row>
    <row r="1114" spans="2:16" s="50" customFormat="1" ht="13.2">
      <c r="B1114" s="86"/>
      <c r="C1114" s="87"/>
      <c r="D1114" s="87"/>
      <c r="E1114" s="87"/>
      <c r="F1114" s="87"/>
      <c r="G1114" s="87"/>
      <c r="H1114" s="87"/>
      <c r="I1114" s="87"/>
      <c r="J1114" s="87"/>
      <c r="K1114" s="88"/>
      <c r="L1114" s="89"/>
      <c r="M1114" s="90"/>
      <c r="N1114" s="57"/>
      <c r="O1114" s="57"/>
      <c r="P1114" s="91"/>
    </row>
    <row r="1115" spans="2:16" s="50" customFormat="1" ht="13.2">
      <c r="B1115" s="86"/>
      <c r="C1115" s="87"/>
      <c r="D1115" s="87"/>
      <c r="E1115" s="87"/>
      <c r="F1115" s="87"/>
      <c r="G1115" s="87"/>
      <c r="H1115" s="87"/>
      <c r="I1115" s="87"/>
      <c r="J1115" s="87"/>
      <c r="K1115" s="88"/>
      <c r="L1115" s="89"/>
      <c r="M1115" s="90"/>
      <c r="N1115" s="57"/>
      <c r="O1115" s="57"/>
      <c r="P1115" s="91"/>
    </row>
    <row r="1116" spans="2:16" s="50" customFormat="1" ht="13.2">
      <c r="B1116" s="86"/>
      <c r="C1116" s="87"/>
      <c r="D1116" s="87"/>
      <c r="E1116" s="87"/>
      <c r="F1116" s="87"/>
      <c r="G1116" s="87"/>
      <c r="H1116" s="87"/>
      <c r="I1116" s="87"/>
      <c r="J1116" s="87"/>
      <c r="K1116" s="88"/>
      <c r="L1116" s="89"/>
      <c r="M1116" s="90"/>
      <c r="N1116" s="57"/>
      <c r="O1116" s="57"/>
      <c r="P1116" s="91"/>
    </row>
    <row r="1117" spans="2:16" s="50" customFormat="1" ht="13.2">
      <c r="B1117" s="86"/>
      <c r="C1117" s="87"/>
      <c r="D1117" s="87"/>
      <c r="E1117" s="87"/>
      <c r="F1117" s="87"/>
      <c r="G1117" s="87"/>
      <c r="H1117" s="87"/>
      <c r="I1117" s="87"/>
      <c r="J1117" s="87"/>
      <c r="K1117" s="88"/>
      <c r="L1117" s="89"/>
      <c r="M1117" s="90"/>
      <c r="N1117" s="57"/>
      <c r="O1117" s="57"/>
      <c r="P1117" s="91"/>
    </row>
    <row r="1118" spans="2:16" s="50" customFormat="1" ht="13.2">
      <c r="B1118" s="86"/>
      <c r="C1118" s="87"/>
      <c r="D1118" s="87"/>
      <c r="E1118" s="87"/>
      <c r="F1118" s="87"/>
      <c r="G1118" s="87"/>
      <c r="H1118" s="87"/>
      <c r="I1118" s="87"/>
      <c r="J1118" s="87"/>
      <c r="K1118" s="88"/>
      <c r="L1118" s="89"/>
      <c r="M1118" s="90"/>
      <c r="N1118" s="57"/>
      <c r="O1118" s="57"/>
      <c r="P1118" s="91"/>
    </row>
    <row r="1119" spans="2:16" s="50" customFormat="1" ht="13.2">
      <c r="B1119" s="86"/>
      <c r="C1119" s="87"/>
      <c r="D1119" s="87"/>
      <c r="E1119" s="87"/>
      <c r="F1119" s="87"/>
      <c r="G1119" s="87"/>
      <c r="H1119" s="87"/>
      <c r="I1119" s="87"/>
      <c r="J1119" s="87"/>
      <c r="K1119" s="88"/>
      <c r="L1119" s="89"/>
      <c r="M1119" s="90"/>
      <c r="N1119" s="57"/>
      <c r="O1119" s="57"/>
      <c r="P1119" s="91"/>
    </row>
    <row r="1120" spans="2:16" s="50" customFormat="1" ht="13.2">
      <c r="B1120" s="86"/>
      <c r="C1120" s="87"/>
      <c r="D1120" s="87"/>
      <c r="E1120" s="87"/>
      <c r="F1120" s="87"/>
      <c r="G1120" s="87"/>
      <c r="H1120" s="87"/>
      <c r="I1120" s="87"/>
      <c r="J1120" s="87"/>
      <c r="K1120" s="88"/>
      <c r="L1120" s="89"/>
      <c r="M1120" s="90"/>
      <c r="N1120" s="57"/>
      <c r="O1120" s="57"/>
      <c r="P1120" s="91"/>
    </row>
    <row r="1121" spans="2:16" s="50" customFormat="1" ht="13.2">
      <c r="B1121" s="86"/>
      <c r="C1121" s="87"/>
      <c r="D1121" s="87"/>
      <c r="E1121" s="87"/>
      <c r="F1121" s="87"/>
      <c r="G1121" s="87"/>
      <c r="H1121" s="87"/>
      <c r="I1121" s="87"/>
      <c r="J1121" s="87"/>
      <c r="K1121" s="88"/>
      <c r="L1121" s="89"/>
      <c r="M1121" s="90"/>
      <c r="N1121" s="57"/>
      <c r="O1121" s="57"/>
      <c r="P1121" s="91"/>
    </row>
    <row r="1122" spans="2:16" s="50" customFormat="1" ht="13.2">
      <c r="B1122" s="86"/>
      <c r="C1122" s="87"/>
      <c r="D1122" s="87"/>
      <c r="E1122" s="87"/>
      <c r="F1122" s="87"/>
      <c r="G1122" s="87"/>
      <c r="H1122" s="87"/>
      <c r="I1122" s="87"/>
      <c r="J1122" s="87"/>
      <c r="K1122" s="88"/>
      <c r="L1122" s="89"/>
      <c r="M1122" s="90"/>
      <c r="N1122" s="57"/>
      <c r="O1122" s="57"/>
      <c r="P1122" s="91"/>
    </row>
    <row r="1123" spans="2:16" s="50" customFormat="1" ht="13.2">
      <c r="B1123" s="86"/>
      <c r="C1123" s="87"/>
      <c r="D1123" s="87"/>
      <c r="E1123" s="87"/>
      <c r="F1123" s="87"/>
      <c r="G1123" s="87"/>
      <c r="H1123" s="87"/>
      <c r="I1123" s="87"/>
      <c r="J1123" s="87"/>
      <c r="K1123" s="88"/>
      <c r="L1123" s="89"/>
      <c r="M1123" s="90"/>
      <c r="N1123" s="57"/>
      <c r="O1123" s="57"/>
      <c r="P1123" s="91"/>
    </row>
    <row r="1124" spans="2:16" s="50" customFormat="1" ht="13.2">
      <c r="B1124" s="86"/>
      <c r="C1124" s="87"/>
      <c r="D1124" s="87"/>
      <c r="E1124" s="87"/>
      <c r="F1124" s="87"/>
      <c r="G1124" s="87"/>
      <c r="H1124" s="87"/>
      <c r="I1124" s="87"/>
      <c r="J1124" s="87"/>
      <c r="K1124" s="88"/>
      <c r="L1124" s="89"/>
      <c r="M1124" s="90"/>
      <c r="N1124" s="57"/>
      <c r="O1124" s="57"/>
      <c r="P1124" s="91"/>
    </row>
    <row r="1125" spans="2:16" s="50" customFormat="1" ht="13.2">
      <c r="B1125" s="86"/>
      <c r="C1125" s="87"/>
      <c r="D1125" s="87"/>
      <c r="E1125" s="87"/>
      <c r="F1125" s="87"/>
      <c r="G1125" s="87"/>
      <c r="H1125" s="87"/>
      <c r="I1125" s="87"/>
      <c r="J1125" s="87"/>
      <c r="K1125" s="88"/>
      <c r="L1125" s="89"/>
      <c r="M1125" s="90"/>
      <c r="N1125" s="57"/>
      <c r="O1125" s="57"/>
      <c r="P1125" s="91"/>
    </row>
    <row r="1126" spans="2:16" s="50" customFormat="1" ht="13.2">
      <c r="B1126" s="86"/>
      <c r="C1126" s="87"/>
      <c r="D1126" s="87"/>
      <c r="E1126" s="87"/>
      <c r="F1126" s="87"/>
      <c r="G1126" s="87"/>
      <c r="H1126" s="87"/>
      <c r="I1126" s="87"/>
      <c r="J1126" s="87"/>
      <c r="K1126" s="88"/>
      <c r="L1126" s="89"/>
      <c r="M1126" s="90"/>
      <c r="N1126" s="57"/>
      <c r="O1126" s="57"/>
      <c r="P1126" s="91"/>
    </row>
    <row r="1127" spans="2:16" s="50" customFormat="1" ht="13.2">
      <c r="B1127" s="86"/>
      <c r="C1127" s="87"/>
      <c r="D1127" s="87"/>
      <c r="E1127" s="87"/>
      <c r="F1127" s="87"/>
      <c r="G1127" s="87"/>
      <c r="H1127" s="87"/>
      <c r="I1127" s="87"/>
      <c r="J1127" s="87"/>
      <c r="K1127" s="88"/>
      <c r="L1127" s="89"/>
      <c r="M1127" s="90"/>
      <c r="N1127" s="57"/>
      <c r="O1127" s="57"/>
      <c r="P1127" s="91"/>
    </row>
    <row r="1128" spans="2:16" s="50" customFormat="1" ht="13.2">
      <c r="B1128" s="86"/>
      <c r="C1128" s="87"/>
      <c r="D1128" s="87"/>
      <c r="E1128" s="87"/>
      <c r="F1128" s="87"/>
      <c r="G1128" s="87"/>
      <c r="H1128" s="87"/>
      <c r="I1128" s="87"/>
      <c r="J1128" s="87"/>
      <c r="K1128" s="88"/>
      <c r="L1128" s="89"/>
      <c r="M1128" s="90"/>
      <c r="N1128" s="57"/>
      <c r="O1128" s="57"/>
      <c r="P1128" s="91"/>
    </row>
    <row r="1129" spans="2:16" s="50" customFormat="1" ht="13.2">
      <c r="B1129" s="86"/>
      <c r="C1129" s="87"/>
      <c r="D1129" s="87"/>
      <c r="E1129" s="87"/>
      <c r="F1129" s="87"/>
      <c r="G1129" s="87"/>
      <c r="H1129" s="87"/>
      <c r="I1129" s="87"/>
      <c r="J1129" s="87"/>
      <c r="K1129" s="88"/>
      <c r="L1129" s="89"/>
      <c r="M1129" s="90"/>
      <c r="N1129" s="57"/>
      <c r="O1129" s="57"/>
      <c r="P1129" s="91"/>
    </row>
    <row r="1130" spans="2:16" s="50" customFormat="1" ht="13.2">
      <c r="B1130" s="86"/>
      <c r="C1130" s="87"/>
      <c r="D1130" s="87"/>
      <c r="E1130" s="87"/>
      <c r="F1130" s="87"/>
      <c r="G1130" s="87"/>
      <c r="H1130" s="87"/>
      <c r="I1130" s="87"/>
      <c r="J1130" s="87"/>
      <c r="K1130" s="88"/>
      <c r="L1130" s="89"/>
      <c r="M1130" s="90"/>
      <c r="N1130" s="57"/>
      <c r="O1130" s="57"/>
      <c r="P1130" s="91"/>
    </row>
    <row r="1131" spans="2:16" s="50" customFormat="1" ht="13.2">
      <c r="B1131" s="86"/>
      <c r="C1131" s="87"/>
      <c r="D1131" s="87"/>
      <c r="E1131" s="87"/>
      <c r="F1131" s="87"/>
      <c r="G1131" s="87"/>
      <c r="H1131" s="87"/>
      <c r="I1131" s="87"/>
      <c r="J1131" s="87"/>
      <c r="K1131" s="88"/>
      <c r="L1131" s="89"/>
      <c r="M1131" s="90"/>
      <c r="N1131" s="57"/>
      <c r="O1131" s="57"/>
      <c r="P1131" s="91"/>
    </row>
    <row r="1132" spans="2:16" s="50" customFormat="1" ht="13.2">
      <c r="B1132" s="86"/>
      <c r="C1132" s="87"/>
      <c r="D1132" s="87"/>
      <c r="E1132" s="87"/>
      <c r="F1132" s="87"/>
      <c r="G1132" s="87"/>
      <c r="H1132" s="87"/>
      <c r="I1132" s="87"/>
      <c r="J1132" s="87"/>
      <c r="K1132" s="88"/>
      <c r="L1132" s="89"/>
      <c r="M1132" s="90"/>
      <c r="N1132" s="57"/>
      <c r="O1132" s="57"/>
      <c r="P1132" s="91"/>
    </row>
    <row r="1133" spans="2:16" s="50" customFormat="1" ht="13.2">
      <c r="B1133" s="86"/>
      <c r="C1133" s="87"/>
      <c r="D1133" s="87"/>
      <c r="E1133" s="87"/>
      <c r="F1133" s="87"/>
      <c r="G1133" s="87"/>
      <c r="H1133" s="87"/>
      <c r="I1133" s="87"/>
      <c r="J1133" s="87"/>
      <c r="K1133" s="88"/>
      <c r="L1133" s="89"/>
      <c r="M1133" s="90"/>
      <c r="N1133" s="57"/>
      <c r="O1133" s="57"/>
      <c r="P1133" s="91"/>
    </row>
    <row r="1134" spans="2:16" s="50" customFormat="1" ht="13.2">
      <c r="B1134" s="86"/>
      <c r="C1134" s="87"/>
      <c r="D1134" s="87"/>
      <c r="E1134" s="87"/>
      <c r="F1134" s="87"/>
      <c r="G1134" s="87"/>
      <c r="H1134" s="87"/>
      <c r="I1134" s="87"/>
      <c r="J1134" s="87"/>
      <c r="K1134" s="88"/>
      <c r="L1134" s="89"/>
      <c r="M1134" s="90"/>
      <c r="N1134" s="57"/>
      <c r="O1134" s="57"/>
      <c r="P1134" s="91"/>
    </row>
    <row r="1135" spans="2:16" s="50" customFormat="1" ht="13.2">
      <c r="B1135" s="86"/>
      <c r="C1135" s="87"/>
      <c r="D1135" s="87"/>
      <c r="E1135" s="87"/>
      <c r="F1135" s="87"/>
      <c r="G1135" s="87"/>
      <c r="H1135" s="87"/>
      <c r="I1135" s="87"/>
      <c r="J1135" s="87"/>
      <c r="K1135" s="88"/>
      <c r="L1135" s="89"/>
      <c r="M1135" s="90"/>
      <c r="N1135" s="57"/>
      <c r="O1135" s="57"/>
      <c r="P1135" s="91"/>
    </row>
    <row r="1136" spans="2:16" s="50" customFormat="1" ht="13.2">
      <c r="B1136" s="86"/>
      <c r="C1136" s="87"/>
      <c r="D1136" s="87"/>
      <c r="E1136" s="87"/>
      <c r="F1136" s="87"/>
      <c r="G1136" s="87"/>
      <c r="H1136" s="87"/>
      <c r="I1136" s="87"/>
      <c r="J1136" s="87"/>
      <c r="K1136" s="88"/>
      <c r="L1136" s="89"/>
      <c r="M1136" s="90"/>
      <c r="N1136" s="57"/>
      <c r="O1136" s="57"/>
      <c r="P1136" s="91"/>
    </row>
    <row r="1137" spans="2:16" s="50" customFormat="1" ht="13.2">
      <c r="B1137" s="86"/>
      <c r="C1137" s="87"/>
      <c r="D1137" s="87"/>
      <c r="E1137" s="87"/>
      <c r="F1137" s="87"/>
      <c r="G1137" s="87"/>
      <c r="H1137" s="87"/>
      <c r="I1137" s="87"/>
      <c r="J1137" s="87"/>
      <c r="K1137" s="88"/>
      <c r="L1137" s="89"/>
      <c r="M1137" s="90"/>
      <c r="N1137" s="57"/>
      <c r="O1137" s="57"/>
      <c r="P1137" s="91"/>
    </row>
    <row r="1138" spans="2:16" s="50" customFormat="1" ht="13.2">
      <c r="B1138" s="86"/>
      <c r="C1138" s="87"/>
      <c r="D1138" s="87"/>
      <c r="E1138" s="87"/>
      <c r="F1138" s="87"/>
      <c r="G1138" s="87"/>
      <c r="H1138" s="87"/>
      <c r="I1138" s="87"/>
      <c r="J1138" s="87"/>
      <c r="K1138" s="88"/>
      <c r="L1138" s="89"/>
      <c r="M1138" s="90"/>
      <c r="N1138" s="57"/>
      <c r="O1138" s="57"/>
      <c r="P1138" s="91"/>
    </row>
    <row r="1139" spans="2:16" s="50" customFormat="1" ht="13.2">
      <c r="B1139" s="86"/>
      <c r="C1139" s="87"/>
      <c r="D1139" s="87"/>
      <c r="E1139" s="87"/>
      <c r="F1139" s="87"/>
      <c r="G1139" s="87"/>
      <c r="H1139" s="87"/>
      <c r="I1139" s="87"/>
      <c r="J1139" s="87"/>
      <c r="K1139" s="88"/>
      <c r="L1139" s="89"/>
      <c r="M1139" s="90"/>
      <c r="N1139" s="57"/>
      <c r="O1139" s="57"/>
      <c r="P1139" s="91"/>
    </row>
    <row r="1140" spans="2:16" s="50" customFormat="1" ht="13.2">
      <c r="B1140" s="86"/>
      <c r="C1140" s="87"/>
      <c r="D1140" s="87"/>
      <c r="E1140" s="87"/>
      <c r="F1140" s="87"/>
      <c r="G1140" s="87"/>
      <c r="H1140" s="87"/>
      <c r="I1140" s="87"/>
      <c r="J1140" s="87"/>
      <c r="K1140" s="88"/>
      <c r="L1140" s="89"/>
      <c r="M1140" s="90"/>
      <c r="N1140" s="57"/>
      <c r="O1140" s="57"/>
      <c r="P1140" s="91"/>
    </row>
    <row r="1141" spans="2:16" s="50" customFormat="1" ht="13.2">
      <c r="B1141" s="86"/>
      <c r="C1141" s="87"/>
      <c r="D1141" s="87"/>
      <c r="E1141" s="87"/>
      <c r="F1141" s="87"/>
      <c r="G1141" s="87"/>
      <c r="H1141" s="87"/>
      <c r="I1141" s="87"/>
      <c r="J1141" s="87"/>
      <c r="K1141" s="88"/>
      <c r="L1141" s="89"/>
      <c r="M1141" s="90"/>
      <c r="N1141" s="57"/>
      <c r="O1141" s="57"/>
      <c r="P1141" s="91"/>
    </row>
    <row r="1142" spans="2:16" s="50" customFormat="1" ht="13.2">
      <c r="B1142" s="86"/>
      <c r="C1142" s="87"/>
      <c r="D1142" s="87"/>
      <c r="E1142" s="87"/>
      <c r="F1142" s="87"/>
      <c r="G1142" s="87"/>
      <c r="H1142" s="87"/>
      <c r="I1142" s="87"/>
      <c r="J1142" s="87"/>
      <c r="K1142" s="88"/>
      <c r="L1142" s="89"/>
      <c r="M1142" s="90"/>
      <c r="N1142" s="57"/>
      <c r="O1142" s="57"/>
      <c r="P1142" s="91"/>
    </row>
    <row r="1143" spans="2:16" s="50" customFormat="1" ht="13.2">
      <c r="B1143" s="86"/>
      <c r="C1143" s="87"/>
      <c r="D1143" s="87"/>
      <c r="E1143" s="87"/>
      <c r="F1143" s="87"/>
      <c r="G1143" s="87"/>
      <c r="H1143" s="87"/>
      <c r="I1143" s="87"/>
      <c r="J1143" s="87"/>
      <c r="K1143" s="88"/>
      <c r="L1143" s="89"/>
      <c r="M1143" s="90"/>
      <c r="N1143" s="57"/>
      <c r="O1143" s="57"/>
      <c r="P1143" s="91"/>
    </row>
    <row r="1144" spans="2:16" s="50" customFormat="1" ht="13.2">
      <c r="B1144" s="86"/>
      <c r="C1144" s="87"/>
      <c r="D1144" s="87"/>
      <c r="E1144" s="87"/>
      <c r="F1144" s="87"/>
      <c r="G1144" s="87"/>
      <c r="H1144" s="87"/>
      <c r="I1144" s="87"/>
      <c r="J1144" s="87"/>
      <c r="K1144" s="88"/>
      <c r="L1144" s="89"/>
      <c r="M1144" s="90"/>
      <c r="N1144" s="57"/>
      <c r="O1144" s="57"/>
      <c r="P1144" s="91"/>
    </row>
    <row r="1145" spans="2:16" s="50" customFormat="1" ht="13.2">
      <c r="B1145" s="86"/>
      <c r="C1145" s="87"/>
      <c r="D1145" s="87"/>
      <c r="E1145" s="87"/>
      <c r="F1145" s="87"/>
      <c r="G1145" s="87"/>
      <c r="H1145" s="87"/>
      <c r="I1145" s="87"/>
      <c r="J1145" s="87"/>
      <c r="K1145" s="88"/>
      <c r="L1145" s="89"/>
      <c r="M1145" s="90"/>
      <c r="N1145" s="57"/>
      <c r="O1145" s="57"/>
      <c r="P1145" s="91"/>
    </row>
    <row r="1146" spans="2:16" s="50" customFormat="1" ht="13.2">
      <c r="B1146" s="86"/>
      <c r="C1146" s="87"/>
      <c r="D1146" s="87"/>
      <c r="E1146" s="87"/>
      <c r="F1146" s="87"/>
      <c r="G1146" s="87"/>
      <c r="H1146" s="87"/>
      <c r="I1146" s="87"/>
      <c r="J1146" s="87"/>
      <c r="K1146" s="88"/>
      <c r="L1146" s="89"/>
      <c r="M1146" s="90"/>
      <c r="N1146" s="57"/>
      <c r="O1146" s="57"/>
      <c r="P1146" s="91"/>
    </row>
    <row r="1147" spans="2:16" s="50" customFormat="1" ht="13.2">
      <c r="B1147" s="86"/>
      <c r="C1147" s="87"/>
      <c r="D1147" s="87"/>
      <c r="E1147" s="87"/>
      <c r="F1147" s="87"/>
      <c r="G1147" s="87"/>
      <c r="H1147" s="87"/>
      <c r="I1147" s="87"/>
      <c r="J1147" s="87"/>
      <c r="K1147" s="88"/>
      <c r="L1147" s="89"/>
      <c r="M1147" s="90"/>
      <c r="N1147" s="57"/>
      <c r="O1147" s="57"/>
      <c r="P1147" s="91"/>
    </row>
    <row r="1148" spans="2:16" s="50" customFormat="1" ht="13.2">
      <c r="B1148" s="86"/>
      <c r="C1148" s="87"/>
      <c r="D1148" s="87"/>
      <c r="E1148" s="87"/>
      <c r="F1148" s="87"/>
      <c r="G1148" s="87"/>
      <c r="H1148" s="87"/>
      <c r="I1148" s="87"/>
      <c r="J1148" s="87"/>
      <c r="K1148" s="88"/>
      <c r="L1148" s="89"/>
      <c r="M1148" s="90"/>
      <c r="N1148" s="57"/>
      <c r="O1148" s="57"/>
      <c r="P1148" s="91"/>
    </row>
    <row r="1149" spans="2:16" s="50" customFormat="1" ht="13.2">
      <c r="B1149" s="86"/>
      <c r="C1149" s="87"/>
      <c r="D1149" s="87"/>
      <c r="E1149" s="87"/>
      <c r="F1149" s="87"/>
      <c r="G1149" s="87"/>
      <c r="H1149" s="87"/>
      <c r="I1149" s="87"/>
      <c r="J1149" s="87"/>
      <c r="K1149" s="88"/>
      <c r="L1149" s="89"/>
      <c r="M1149" s="90"/>
      <c r="N1149" s="57"/>
      <c r="O1149" s="57"/>
      <c r="P1149" s="91"/>
    </row>
    <row r="1150" spans="2:16" s="50" customFormat="1" ht="13.2">
      <c r="B1150" s="86"/>
      <c r="C1150" s="87"/>
      <c r="D1150" s="87"/>
      <c r="E1150" s="87"/>
      <c r="F1150" s="87"/>
      <c r="G1150" s="87"/>
      <c r="H1150" s="87"/>
      <c r="I1150" s="87"/>
      <c r="J1150" s="87"/>
      <c r="K1150" s="88"/>
      <c r="L1150" s="89"/>
      <c r="M1150" s="90"/>
      <c r="N1150" s="57"/>
      <c r="O1150" s="57"/>
      <c r="P1150" s="91"/>
    </row>
    <row r="1151" spans="2:16" s="50" customFormat="1" ht="13.2">
      <c r="B1151" s="86"/>
      <c r="C1151" s="87"/>
      <c r="D1151" s="87"/>
      <c r="E1151" s="87"/>
      <c r="F1151" s="87"/>
      <c r="G1151" s="87"/>
      <c r="H1151" s="87"/>
      <c r="I1151" s="87"/>
      <c r="J1151" s="87"/>
      <c r="K1151" s="88"/>
      <c r="L1151" s="89"/>
      <c r="M1151" s="90"/>
      <c r="N1151" s="57"/>
      <c r="O1151" s="57"/>
      <c r="P1151" s="91"/>
    </row>
    <row r="1152" spans="2:16" s="50" customFormat="1" ht="13.2">
      <c r="B1152" s="86"/>
      <c r="C1152" s="87"/>
      <c r="D1152" s="87"/>
      <c r="E1152" s="87"/>
      <c r="F1152" s="87"/>
      <c r="G1152" s="87"/>
      <c r="H1152" s="87"/>
      <c r="I1152" s="87"/>
      <c r="J1152" s="87"/>
      <c r="K1152" s="88"/>
      <c r="L1152" s="89"/>
      <c r="M1152" s="90"/>
      <c r="N1152" s="57"/>
      <c r="O1152" s="57"/>
      <c r="P1152" s="91"/>
    </row>
    <row r="1153" spans="2:16" s="50" customFormat="1" ht="13.2">
      <c r="B1153" s="86"/>
      <c r="C1153" s="87"/>
      <c r="D1153" s="87"/>
      <c r="E1153" s="87"/>
      <c r="F1153" s="87"/>
      <c r="G1153" s="87"/>
      <c r="H1153" s="87"/>
      <c r="I1153" s="87"/>
      <c r="J1153" s="87"/>
      <c r="K1153" s="88"/>
      <c r="L1153" s="89"/>
      <c r="M1153" s="90"/>
      <c r="N1153" s="57"/>
      <c r="O1153" s="57"/>
      <c r="P1153" s="91"/>
    </row>
    <row r="1154" spans="2:16" s="50" customFormat="1" ht="13.2">
      <c r="B1154" s="86"/>
      <c r="C1154" s="87"/>
      <c r="D1154" s="87"/>
      <c r="E1154" s="87"/>
      <c r="F1154" s="87"/>
      <c r="G1154" s="87"/>
      <c r="H1154" s="87"/>
      <c r="I1154" s="87"/>
      <c r="J1154" s="87"/>
      <c r="K1154" s="88"/>
      <c r="L1154" s="89"/>
      <c r="M1154" s="90"/>
      <c r="N1154" s="57"/>
      <c r="O1154" s="57"/>
      <c r="P1154" s="91"/>
    </row>
    <row r="1155" spans="2:16" s="50" customFormat="1" ht="13.2">
      <c r="B1155" s="86"/>
      <c r="C1155" s="87"/>
      <c r="D1155" s="87"/>
      <c r="E1155" s="87"/>
      <c r="F1155" s="87"/>
      <c r="G1155" s="87"/>
      <c r="H1155" s="87"/>
      <c r="I1155" s="87"/>
      <c r="J1155" s="87"/>
      <c r="K1155" s="88"/>
      <c r="L1155" s="89"/>
      <c r="M1155" s="90"/>
      <c r="N1155" s="57"/>
      <c r="O1155" s="57"/>
      <c r="P1155" s="91"/>
    </row>
    <row r="1156" spans="2:16" s="50" customFormat="1" ht="13.2">
      <c r="B1156" s="86"/>
      <c r="C1156" s="87"/>
      <c r="D1156" s="87"/>
      <c r="E1156" s="87"/>
      <c r="F1156" s="87"/>
      <c r="G1156" s="87"/>
      <c r="H1156" s="87"/>
      <c r="I1156" s="87"/>
      <c r="J1156" s="87"/>
      <c r="K1156" s="88"/>
      <c r="L1156" s="89"/>
      <c r="M1156" s="90"/>
      <c r="N1156" s="57"/>
      <c r="O1156" s="57"/>
      <c r="P1156" s="91"/>
    </row>
    <row r="1157" spans="2:16" s="50" customFormat="1" ht="13.2">
      <c r="B1157" s="86"/>
      <c r="C1157" s="87"/>
      <c r="D1157" s="87"/>
      <c r="E1157" s="87"/>
      <c r="F1157" s="87"/>
      <c r="G1157" s="87"/>
      <c r="H1157" s="87"/>
      <c r="I1157" s="87"/>
      <c r="J1157" s="87"/>
      <c r="K1157" s="88"/>
      <c r="L1157" s="89"/>
      <c r="M1157" s="90"/>
      <c r="N1157" s="57"/>
      <c r="O1157" s="57"/>
      <c r="P1157" s="91"/>
    </row>
    <row r="1158" spans="2:16" s="50" customFormat="1" ht="13.2">
      <c r="B1158" s="86"/>
      <c r="C1158" s="87"/>
      <c r="D1158" s="87"/>
      <c r="E1158" s="87"/>
      <c r="F1158" s="87"/>
      <c r="G1158" s="87"/>
      <c r="H1158" s="87"/>
      <c r="I1158" s="87"/>
      <c r="J1158" s="87"/>
      <c r="K1158" s="88"/>
      <c r="L1158" s="89"/>
      <c r="M1158" s="90"/>
      <c r="N1158" s="57"/>
      <c r="O1158" s="57"/>
      <c r="P1158" s="91"/>
    </row>
    <row r="1159" spans="2:16" s="50" customFormat="1" ht="13.2">
      <c r="B1159" s="86"/>
      <c r="C1159" s="87"/>
      <c r="D1159" s="87"/>
      <c r="E1159" s="87"/>
      <c r="F1159" s="87"/>
      <c r="G1159" s="87"/>
      <c r="H1159" s="87"/>
      <c r="I1159" s="87"/>
      <c r="J1159" s="87"/>
      <c r="K1159" s="88"/>
      <c r="L1159" s="89"/>
      <c r="M1159" s="90"/>
      <c r="N1159" s="57"/>
      <c r="O1159" s="57"/>
      <c r="P1159" s="91"/>
    </row>
    <row r="1160" spans="2:16" s="50" customFormat="1" ht="13.2">
      <c r="B1160" s="86"/>
      <c r="C1160" s="87"/>
      <c r="D1160" s="87"/>
      <c r="E1160" s="87"/>
      <c r="F1160" s="87"/>
      <c r="G1160" s="87"/>
      <c r="H1160" s="87"/>
      <c r="I1160" s="87"/>
      <c r="J1160" s="87"/>
      <c r="K1160" s="88"/>
      <c r="L1160" s="89"/>
      <c r="M1160" s="90"/>
      <c r="N1160" s="57"/>
      <c r="O1160" s="57"/>
      <c r="P1160" s="91"/>
    </row>
    <row r="1161" spans="2:16" s="50" customFormat="1" ht="13.2">
      <c r="B1161" s="86"/>
      <c r="C1161" s="87"/>
      <c r="D1161" s="87"/>
      <c r="E1161" s="87"/>
      <c r="F1161" s="87"/>
      <c r="G1161" s="87"/>
      <c r="H1161" s="87"/>
      <c r="I1161" s="87"/>
      <c r="J1161" s="87"/>
      <c r="K1161" s="88"/>
      <c r="L1161" s="89"/>
      <c r="M1161" s="90"/>
      <c r="N1161" s="57"/>
      <c r="O1161" s="57"/>
      <c r="P1161" s="91"/>
    </row>
    <row r="1162" spans="2:16" s="50" customFormat="1" ht="13.2">
      <c r="B1162" s="86"/>
      <c r="C1162" s="87"/>
      <c r="D1162" s="87"/>
      <c r="E1162" s="87"/>
      <c r="F1162" s="87"/>
      <c r="G1162" s="87"/>
      <c r="H1162" s="87"/>
      <c r="I1162" s="87"/>
      <c r="J1162" s="87"/>
      <c r="K1162" s="88"/>
      <c r="L1162" s="89"/>
      <c r="M1162" s="90"/>
      <c r="N1162" s="57"/>
      <c r="O1162" s="57"/>
      <c r="P1162" s="91"/>
    </row>
    <row r="1163" spans="2:16" s="50" customFormat="1" ht="13.2">
      <c r="B1163" s="86"/>
      <c r="C1163" s="87"/>
      <c r="D1163" s="87"/>
      <c r="E1163" s="87"/>
      <c r="F1163" s="87"/>
      <c r="G1163" s="87"/>
      <c r="H1163" s="87"/>
      <c r="I1163" s="87"/>
      <c r="J1163" s="87"/>
      <c r="K1163" s="88"/>
      <c r="L1163" s="89"/>
      <c r="M1163" s="90"/>
      <c r="N1163" s="57"/>
      <c r="O1163" s="57"/>
      <c r="P1163" s="91"/>
    </row>
    <row r="1164" spans="2:16" s="50" customFormat="1" ht="13.2">
      <c r="B1164" s="86"/>
      <c r="C1164" s="87"/>
      <c r="D1164" s="87"/>
      <c r="E1164" s="87"/>
      <c r="F1164" s="87"/>
      <c r="G1164" s="87"/>
      <c r="H1164" s="87"/>
      <c r="I1164" s="87"/>
      <c r="J1164" s="87"/>
      <c r="K1164" s="88"/>
      <c r="L1164" s="89"/>
      <c r="M1164" s="90"/>
      <c r="N1164" s="57"/>
      <c r="O1164" s="57"/>
      <c r="P1164" s="91"/>
    </row>
    <row r="1165" spans="2:16" s="50" customFormat="1" ht="13.2">
      <c r="B1165" s="86"/>
      <c r="C1165" s="87"/>
      <c r="D1165" s="87"/>
      <c r="E1165" s="87"/>
      <c r="F1165" s="87"/>
      <c r="G1165" s="87"/>
      <c r="H1165" s="87"/>
      <c r="I1165" s="87"/>
      <c r="J1165" s="87"/>
      <c r="K1165" s="88"/>
      <c r="L1165" s="89"/>
      <c r="M1165" s="90"/>
      <c r="N1165" s="57"/>
      <c r="O1165" s="57"/>
      <c r="P1165" s="91"/>
    </row>
    <row r="1166" spans="2:16" s="50" customFormat="1" ht="13.2">
      <c r="B1166" s="86"/>
      <c r="C1166" s="87"/>
      <c r="D1166" s="87"/>
      <c r="E1166" s="87"/>
      <c r="F1166" s="87"/>
      <c r="G1166" s="87"/>
      <c r="H1166" s="87"/>
      <c r="I1166" s="87"/>
      <c r="J1166" s="87"/>
      <c r="K1166" s="88"/>
      <c r="L1166" s="89"/>
      <c r="M1166" s="90"/>
      <c r="N1166" s="57"/>
      <c r="O1166" s="57"/>
      <c r="P1166" s="91"/>
    </row>
    <row r="1167" spans="2:16" s="50" customFormat="1" ht="13.2">
      <c r="B1167" s="86"/>
      <c r="C1167" s="87"/>
      <c r="D1167" s="87"/>
      <c r="E1167" s="87"/>
      <c r="F1167" s="87"/>
      <c r="G1167" s="87"/>
      <c r="H1167" s="87"/>
      <c r="I1167" s="87"/>
      <c r="J1167" s="87"/>
      <c r="K1167" s="88"/>
      <c r="L1167" s="89"/>
      <c r="M1167" s="90"/>
      <c r="N1167" s="57"/>
      <c r="O1167" s="57"/>
      <c r="P1167" s="91"/>
    </row>
    <row r="1168" spans="2:16" s="50" customFormat="1" ht="13.2">
      <c r="B1168" s="86"/>
      <c r="C1168" s="87"/>
      <c r="D1168" s="87"/>
      <c r="E1168" s="87"/>
      <c r="F1168" s="87"/>
      <c r="G1168" s="87"/>
      <c r="H1168" s="87"/>
      <c r="I1168" s="87"/>
      <c r="J1168" s="87"/>
      <c r="K1168" s="88"/>
      <c r="L1168" s="89"/>
      <c r="M1168" s="90"/>
      <c r="N1168" s="57"/>
      <c r="O1168" s="57"/>
      <c r="P1168" s="91"/>
    </row>
    <row r="1169" spans="2:16" s="50" customFormat="1" ht="13.2">
      <c r="B1169" s="86"/>
      <c r="C1169" s="87"/>
      <c r="D1169" s="87"/>
      <c r="E1169" s="87"/>
      <c r="F1169" s="87"/>
      <c r="G1169" s="87"/>
      <c r="H1169" s="87"/>
      <c r="I1169" s="87"/>
      <c r="J1169" s="87"/>
      <c r="K1169" s="88"/>
      <c r="L1169" s="89"/>
      <c r="M1169" s="90"/>
      <c r="N1169" s="57"/>
      <c r="O1169" s="57"/>
      <c r="P1169" s="91"/>
    </row>
    <row r="1170" spans="2:16" s="50" customFormat="1" ht="13.2">
      <c r="B1170" s="86"/>
      <c r="C1170" s="87"/>
      <c r="D1170" s="87"/>
      <c r="E1170" s="87"/>
      <c r="F1170" s="87"/>
      <c r="G1170" s="87"/>
      <c r="H1170" s="87"/>
      <c r="I1170" s="87"/>
      <c r="J1170" s="87"/>
      <c r="K1170" s="88"/>
      <c r="L1170" s="89"/>
      <c r="M1170" s="90"/>
      <c r="N1170" s="57"/>
      <c r="O1170" s="57"/>
      <c r="P1170" s="91"/>
    </row>
    <row r="1171" spans="2:16" s="50" customFormat="1" ht="13.2">
      <c r="B1171" s="86"/>
      <c r="C1171" s="87"/>
      <c r="D1171" s="87"/>
      <c r="E1171" s="87"/>
      <c r="F1171" s="87"/>
      <c r="G1171" s="87"/>
      <c r="H1171" s="87"/>
      <c r="I1171" s="87"/>
      <c r="J1171" s="87"/>
      <c r="K1171" s="88"/>
      <c r="L1171" s="89"/>
      <c r="M1171" s="90"/>
      <c r="N1171" s="57"/>
      <c r="O1171" s="57"/>
      <c r="P1171" s="91"/>
    </row>
    <row r="1172" spans="2:16" s="50" customFormat="1" ht="13.2">
      <c r="B1172" s="86"/>
      <c r="C1172" s="87"/>
      <c r="D1172" s="87"/>
      <c r="E1172" s="87"/>
      <c r="F1172" s="87"/>
      <c r="G1172" s="87"/>
      <c r="H1172" s="87"/>
      <c r="I1172" s="87"/>
      <c r="J1172" s="87"/>
      <c r="K1172" s="88"/>
      <c r="L1172" s="89"/>
      <c r="M1172" s="90"/>
      <c r="N1172" s="57"/>
      <c r="O1172" s="57"/>
      <c r="P1172" s="91"/>
    </row>
    <row r="1173" spans="2:16" s="50" customFormat="1" ht="13.2">
      <c r="B1173" s="86"/>
      <c r="C1173" s="87"/>
      <c r="D1173" s="87"/>
      <c r="E1173" s="87"/>
      <c r="F1173" s="87"/>
      <c r="G1173" s="87"/>
      <c r="H1173" s="87"/>
      <c r="I1173" s="87"/>
      <c r="J1173" s="87"/>
      <c r="K1173" s="88"/>
      <c r="L1173" s="89"/>
      <c r="M1173" s="90"/>
      <c r="N1173" s="57"/>
      <c r="O1173" s="57"/>
      <c r="P1173" s="91"/>
    </row>
    <row r="1174" spans="2:16" s="50" customFormat="1" ht="13.2">
      <c r="B1174" s="86"/>
      <c r="C1174" s="87"/>
      <c r="D1174" s="87"/>
      <c r="E1174" s="87"/>
      <c r="F1174" s="87"/>
      <c r="G1174" s="87"/>
      <c r="H1174" s="87"/>
      <c r="I1174" s="87"/>
      <c r="J1174" s="87"/>
      <c r="K1174" s="88"/>
      <c r="L1174" s="89"/>
      <c r="M1174" s="90"/>
      <c r="N1174" s="57"/>
      <c r="O1174" s="57"/>
      <c r="P1174" s="91"/>
    </row>
    <row r="1175" spans="2:16" s="50" customFormat="1" ht="13.2">
      <c r="B1175" s="86"/>
      <c r="C1175" s="87"/>
      <c r="D1175" s="87"/>
      <c r="E1175" s="87"/>
      <c r="F1175" s="87"/>
      <c r="G1175" s="87"/>
      <c r="H1175" s="87"/>
      <c r="I1175" s="87"/>
      <c r="J1175" s="87"/>
      <c r="K1175" s="88"/>
      <c r="L1175" s="89"/>
      <c r="M1175" s="90"/>
      <c r="N1175" s="57"/>
      <c r="O1175" s="57"/>
      <c r="P1175" s="91"/>
    </row>
    <row r="1176" spans="2:16" s="50" customFormat="1" ht="13.2">
      <c r="B1176" s="86"/>
      <c r="C1176" s="87"/>
      <c r="D1176" s="87"/>
      <c r="E1176" s="87"/>
      <c r="F1176" s="87"/>
      <c r="G1176" s="87"/>
      <c r="H1176" s="87"/>
      <c r="I1176" s="87"/>
      <c r="J1176" s="87"/>
      <c r="K1176" s="88"/>
      <c r="L1176" s="89"/>
      <c r="M1176" s="90"/>
      <c r="N1176" s="57"/>
      <c r="O1176" s="57"/>
      <c r="P1176" s="91"/>
    </row>
    <row r="1177" spans="2:16" s="50" customFormat="1" ht="13.2">
      <c r="B1177" s="86"/>
      <c r="C1177" s="87"/>
      <c r="D1177" s="87"/>
      <c r="E1177" s="87"/>
      <c r="F1177" s="87"/>
      <c r="G1177" s="87"/>
      <c r="H1177" s="87"/>
      <c r="I1177" s="87"/>
      <c r="J1177" s="87"/>
      <c r="K1177" s="88"/>
      <c r="L1177" s="89"/>
      <c r="M1177" s="90"/>
      <c r="N1177" s="57"/>
      <c r="O1177" s="57"/>
      <c r="P1177" s="91"/>
    </row>
    <row r="1178" spans="2:16" s="50" customFormat="1" ht="13.2">
      <c r="B1178" s="86"/>
      <c r="C1178" s="87"/>
      <c r="D1178" s="87"/>
      <c r="E1178" s="87"/>
      <c r="F1178" s="87"/>
      <c r="G1178" s="87"/>
      <c r="H1178" s="87"/>
      <c r="I1178" s="87"/>
      <c r="J1178" s="87"/>
      <c r="K1178" s="88"/>
      <c r="L1178" s="89"/>
      <c r="M1178" s="90"/>
      <c r="N1178" s="57"/>
      <c r="O1178" s="57"/>
      <c r="P1178" s="91"/>
    </row>
    <row r="1179" spans="2:16" s="50" customFormat="1" ht="13.2">
      <c r="B1179" s="86"/>
      <c r="C1179" s="87"/>
      <c r="D1179" s="87"/>
      <c r="E1179" s="87"/>
      <c r="F1179" s="87"/>
      <c r="G1179" s="87"/>
      <c r="H1179" s="87"/>
      <c r="I1179" s="87"/>
      <c r="J1179" s="87"/>
      <c r="K1179" s="88"/>
      <c r="L1179" s="89"/>
      <c r="M1179" s="90"/>
      <c r="N1179" s="57"/>
      <c r="O1179" s="57"/>
      <c r="P1179" s="91"/>
    </row>
    <row r="1180" spans="2:16" s="50" customFormat="1" ht="13.2">
      <c r="B1180" s="86"/>
      <c r="C1180" s="87"/>
      <c r="D1180" s="87"/>
      <c r="E1180" s="87"/>
      <c r="F1180" s="87"/>
      <c r="G1180" s="87"/>
      <c r="H1180" s="87"/>
      <c r="I1180" s="87"/>
      <c r="J1180" s="87"/>
      <c r="K1180" s="88"/>
      <c r="L1180" s="89"/>
      <c r="M1180" s="90"/>
      <c r="N1180" s="57"/>
      <c r="O1180" s="57"/>
      <c r="P1180" s="91"/>
    </row>
    <row r="1181" spans="2:16" s="50" customFormat="1" ht="13.2">
      <c r="B1181" s="86"/>
      <c r="C1181" s="87"/>
      <c r="D1181" s="87"/>
      <c r="E1181" s="87"/>
      <c r="F1181" s="87"/>
      <c r="G1181" s="87"/>
      <c r="H1181" s="87"/>
      <c r="I1181" s="87"/>
      <c r="J1181" s="87"/>
      <c r="K1181" s="88"/>
      <c r="L1181" s="89"/>
      <c r="M1181" s="90"/>
      <c r="N1181" s="57"/>
      <c r="O1181" s="57"/>
      <c r="P1181" s="91"/>
    </row>
    <row r="1182" spans="2:16" s="50" customFormat="1" ht="13.2">
      <c r="B1182" s="86"/>
      <c r="C1182" s="87"/>
      <c r="D1182" s="87"/>
      <c r="E1182" s="87"/>
      <c r="F1182" s="87"/>
      <c r="G1182" s="87"/>
      <c r="H1182" s="87"/>
      <c r="I1182" s="87"/>
      <c r="J1182" s="87"/>
      <c r="K1182" s="88"/>
      <c r="L1182" s="89"/>
      <c r="M1182" s="90"/>
      <c r="N1182" s="57"/>
      <c r="O1182" s="57"/>
      <c r="P1182" s="91"/>
    </row>
    <row r="1183" spans="2:16" s="50" customFormat="1" ht="13.2">
      <c r="B1183" s="86"/>
      <c r="C1183" s="87"/>
      <c r="D1183" s="87"/>
      <c r="E1183" s="87"/>
      <c r="F1183" s="87"/>
      <c r="G1183" s="87"/>
      <c r="H1183" s="87"/>
      <c r="I1183" s="87"/>
      <c r="J1183" s="87"/>
      <c r="K1183" s="88"/>
      <c r="L1183" s="89"/>
      <c r="M1183" s="90"/>
      <c r="N1183" s="57"/>
      <c r="O1183" s="57"/>
      <c r="P1183" s="91"/>
    </row>
    <row r="1184" spans="2:16" s="50" customFormat="1" ht="13.2">
      <c r="B1184" s="86"/>
      <c r="C1184" s="87"/>
      <c r="D1184" s="87"/>
      <c r="E1184" s="87"/>
      <c r="F1184" s="87"/>
      <c r="G1184" s="87"/>
      <c r="H1184" s="87"/>
      <c r="I1184" s="87"/>
      <c r="J1184" s="87"/>
      <c r="K1184" s="88"/>
      <c r="L1184" s="89"/>
      <c r="M1184" s="90"/>
      <c r="N1184" s="57"/>
      <c r="O1184" s="57"/>
      <c r="P1184" s="91"/>
    </row>
  </sheetData>
  <autoFilter ref="A14:P84" xr:uid="{00000000-0009-0000-0000-000003000000}"/>
  <mergeCells count="34">
    <mergeCell ref="N10:P10"/>
    <mergeCell ref="C2:P2"/>
    <mergeCell ref="B3:B4"/>
    <mergeCell ref="C3:P3"/>
    <mergeCell ref="C4:P4"/>
    <mergeCell ref="C5:P5"/>
    <mergeCell ref="A6:P6"/>
    <mergeCell ref="A7:L7"/>
    <mergeCell ref="A8:L8"/>
    <mergeCell ref="A9:L9"/>
    <mergeCell ref="A10:B10"/>
    <mergeCell ref="C10:L10"/>
    <mergeCell ref="E13:F13"/>
    <mergeCell ref="G13:H13"/>
    <mergeCell ref="A82:N82"/>
    <mergeCell ref="A83:N83"/>
    <mergeCell ref="A84:N84"/>
    <mergeCell ref="J11:J13"/>
    <mergeCell ref="K11:K13"/>
    <mergeCell ref="L11:L13"/>
    <mergeCell ref="M11:M13"/>
    <mergeCell ref="N11:N13"/>
    <mergeCell ref="A11:A13"/>
    <mergeCell ref="B11:B13"/>
    <mergeCell ref="C11:C13"/>
    <mergeCell ref="D11:D13"/>
    <mergeCell ref="E11:H11"/>
    <mergeCell ref="I11:I13"/>
    <mergeCell ref="N86:O86"/>
    <mergeCell ref="L96:O96"/>
    <mergeCell ref="L97:O97"/>
    <mergeCell ref="L98:O98"/>
    <mergeCell ref="P11:P13"/>
    <mergeCell ref="O11:O1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188"/>
  <sheetViews>
    <sheetView topLeftCell="C79" workbookViewId="0">
      <selection activeCell="R86" sqref="R86"/>
    </sheetView>
  </sheetViews>
  <sheetFormatPr defaultColWidth="7.5546875" defaultRowHeight="15.6"/>
  <cols>
    <col min="1" max="1" width="4.109375" style="9" customWidth="1"/>
    <col min="2" max="2" width="44.88671875" style="92" customWidth="1"/>
    <col min="3" max="3" width="14.33203125" style="93" customWidth="1"/>
    <col min="4" max="4" width="9.5546875" style="93" customWidth="1"/>
    <col min="5" max="5" width="5.6640625" style="93" customWidth="1"/>
    <col min="6" max="6" width="5.5546875" style="93" customWidth="1"/>
    <col min="7" max="9" width="5.6640625" style="93" customWidth="1"/>
    <col min="10" max="10" width="4" style="93" customWidth="1"/>
    <col min="11" max="11" width="5" style="94" customWidth="1"/>
    <col min="12" max="12" width="4.5546875" style="95" customWidth="1"/>
    <col min="13" max="13" width="8" style="96" customWidth="1"/>
    <col min="14" max="14" width="13" style="97" customWidth="1"/>
    <col min="15" max="15" width="14" style="98" customWidth="1"/>
    <col min="16" max="16" width="38" style="99" customWidth="1"/>
    <col min="17" max="17" width="14.44140625" style="9" customWidth="1"/>
    <col min="18" max="18" width="15.5546875" style="9" customWidth="1"/>
    <col min="19" max="16384" width="7.5546875" style="9"/>
  </cols>
  <sheetData>
    <row r="1" spans="1:18" ht="6.75" customHeight="1">
      <c r="A1" s="1"/>
      <c r="B1" s="101"/>
      <c r="C1" s="2"/>
      <c r="D1" s="2"/>
      <c r="E1" s="2"/>
      <c r="F1" s="2"/>
      <c r="G1" s="2"/>
      <c r="H1" s="2"/>
      <c r="I1" s="2"/>
      <c r="J1" s="2"/>
      <c r="K1" s="3"/>
      <c r="L1" s="4"/>
      <c r="M1" s="5"/>
      <c r="N1" s="6"/>
      <c r="O1" s="7"/>
      <c r="P1" s="8"/>
    </row>
    <row r="2" spans="1:18" ht="15">
      <c r="A2" s="1"/>
      <c r="B2" s="10"/>
      <c r="C2" s="122" t="s">
        <v>75</v>
      </c>
      <c r="D2" s="122"/>
      <c r="E2" s="122"/>
      <c r="F2" s="122"/>
      <c r="G2" s="122"/>
      <c r="H2" s="122"/>
      <c r="I2" s="122"/>
      <c r="J2" s="122"/>
      <c r="K2" s="122"/>
      <c r="L2" s="122"/>
      <c r="M2" s="122"/>
      <c r="N2" s="122"/>
      <c r="O2" s="122"/>
      <c r="P2" s="122"/>
    </row>
    <row r="3" spans="1:18" ht="15">
      <c r="A3" s="1"/>
      <c r="B3" s="123"/>
      <c r="C3" s="124" t="s">
        <v>76</v>
      </c>
      <c r="D3" s="124"/>
      <c r="E3" s="124"/>
      <c r="F3" s="124"/>
      <c r="G3" s="124"/>
      <c r="H3" s="124"/>
      <c r="I3" s="124"/>
      <c r="J3" s="124"/>
      <c r="K3" s="124"/>
      <c r="L3" s="124"/>
      <c r="M3" s="124"/>
      <c r="N3" s="124"/>
      <c r="O3" s="124"/>
      <c r="P3" s="124"/>
    </row>
    <row r="4" spans="1:18" ht="15">
      <c r="A4" s="1"/>
      <c r="B4" s="123"/>
      <c r="C4" s="124" t="s">
        <v>77</v>
      </c>
      <c r="D4" s="124"/>
      <c r="E4" s="124"/>
      <c r="F4" s="124"/>
      <c r="G4" s="124"/>
      <c r="H4" s="124"/>
      <c r="I4" s="124"/>
      <c r="J4" s="124"/>
      <c r="K4" s="124"/>
      <c r="L4" s="124"/>
      <c r="M4" s="124"/>
      <c r="N4" s="124"/>
      <c r="O4" s="124"/>
      <c r="P4" s="124"/>
    </row>
    <row r="5" spans="1:18" ht="15">
      <c r="A5" s="11"/>
      <c r="B5" s="12"/>
      <c r="C5" s="125" t="s">
        <v>78</v>
      </c>
      <c r="D5" s="125"/>
      <c r="E5" s="125"/>
      <c r="F5" s="125"/>
      <c r="G5" s="125"/>
      <c r="H5" s="125"/>
      <c r="I5" s="125"/>
      <c r="J5" s="125"/>
      <c r="K5" s="125"/>
      <c r="L5" s="125"/>
      <c r="M5" s="125"/>
      <c r="N5" s="125"/>
      <c r="O5" s="125"/>
      <c r="P5" s="125"/>
    </row>
    <row r="6" spans="1:18" s="13" customFormat="1" ht="30" customHeight="1">
      <c r="A6" s="126" t="s">
        <v>79</v>
      </c>
      <c r="B6" s="126"/>
      <c r="C6" s="126"/>
      <c r="D6" s="126"/>
      <c r="E6" s="126"/>
      <c r="F6" s="126"/>
      <c r="G6" s="126"/>
      <c r="H6" s="126"/>
      <c r="I6" s="126"/>
      <c r="J6" s="126"/>
      <c r="K6" s="126"/>
      <c r="L6" s="126"/>
      <c r="M6" s="126"/>
      <c r="N6" s="126"/>
      <c r="O6" s="126"/>
      <c r="P6" s="126"/>
    </row>
    <row r="7" spans="1:18" s="13" customFormat="1" ht="39" customHeight="1">
      <c r="A7" s="127" t="s">
        <v>135</v>
      </c>
      <c r="B7" s="128"/>
      <c r="C7" s="128"/>
      <c r="D7" s="128"/>
      <c r="E7" s="128"/>
      <c r="F7" s="128"/>
      <c r="G7" s="128"/>
      <c r="H7" s="128"/>
      <c r="I7" s="128"/>
      <c r="J7" s="128"/>
      <c r="K7" s="128"/>
      <c r="L7" s="129"/>
      <c r="M7" s="14" t="s">
        <v>80</v>
      </c>
      <c r="N7" s="15"/>
      <c r="O7" s="16"/>
      <c r="P7" s="17" t="s">
        <v>193</v>
      </c>
    </row>
    <row r="8" spans="1:18" s="13" customFormat="1" ht="18.75" customHeight="1">
      <c r="A8" s="127" t="s">
        <v>0</v>
      </c>
      <c r="B8" s="128"/>
      <c r="C8" s="128"/>
      <c r="D8" s="128"/>
      <c r="E8" s="128"/>
      <c r="F8" s="128"/>
      <c r="G8" s="128"/>
      <c r="H8" s="128"/>
      <c r="I8" s="128"/>
      <c r="J8" s="128"/>
      <c r="K8" s="128"/>
      <c r="L8" s="129"/>
      <c r="M8" s="14" t="s">
        <v>81</v>
      </c>
      <c r="N8" s="18"/>
      <c r="O8" s="18"/>
      <c r="P8" s="19" t="s">
        <v>82</v>
      </c>
    </row>
    <row r="9" spans="1:18" s="13" customFormat="1" ht="18.75" customHeight="1">
      <c r="A9" s="127" t="s">
        <v>83</v>
      </c>
      <c r="B9" s="128"/>
      <c r="C9" s="128"/>
      <c r="D9" s="128"/>
      <c r="E9" s="128"/>
      <c r="F9" s="128"/>
      <c r="G9" s="128"/>
      <c r="H9" s="128"/>
      <c r="I9" s="128"/>
      <c r="J9" s="128"/>
      <c r="K9" s="128"/>
      <c r="L9" s="129"/>
      <c r="M9" s="14" t="s">
        <v>84</v>
      </c>
      <c r="N9" s="15"/>
      <c r="O9" s="16"/>
      <c r="P9" s="20" t="s">
        <v>85</v>
      </c>
    </row>
    <row r="10" spans="1:18" s="13" customFormat="1" ht="28.5" customHeight="1">
      <c r="A10" s="127" t="s">
        <v>86</v>
      </c>
      <c r="B10" s="128"/>
      <c r="C10" s="127" t="s">
        <v>1</v>
      </c>
      <c r="D10" s="128"/>
      <c r="E10" s="128"/>
      <c r="F10" s="128"/>
      <c r="G10" s="128"/>
      <c r="H10" s="128"/>
      <c r="I10" s="128"/>
      <c r="J10" s="128"/>
      <c r="K10" s="128"/>
      <c r="L10" s="129"/>
      <c r="M10" s="21" t="s">
        <v>87</v>
      </c>
      <c r="N10" s="119" t="s">
        <v>194</v>
      </c>
      <c r="O10" s="120"/>
      <c r="P10" s="121"/>
    </row>
    <row r="11" spans="1:18" s="13" customFormat="1" ht="12.75" customHeight="1">
      <c r="A11" s="147" t="s">
        <v>88</v>
      </c>
      <c r="B11" s="147" t="s">
        <v>89</v>
      </c>
      <c r="C11" s="148" t="s">
        <v>90</v>
      </c>
      <c r="D11" s="148" t="s">
        <v>2</v>
      </c>
      <c r="E11" s="157" t="s">
        <v>91</v>
      </c>
      <c r="F11" s="157"/>
      <c r="G11" s="157"/>
      <c r="H11" s="157"/>
      <c r="I11" s="146" t="s">
        <v>92</v>
      </c>
      <c r="J11" s="146" t="s">
        <v>93</v>
      </c>
      <c r="K11" s="148" t="s">
        <v>94</v>
      </c>
      <c r="L11" s="150" t="s">
        <v>95</v>
      </c>
      <c r="M11" s="152" t="s">
        <v>96</v>
      </c>
      <c r="N11" s="154" t="s">
        <v>97</v>
      </c>
      <c r="O11" s="154" t="s">
        <v>98</v>
      </c>
      <c r="P11" s="116" t="s">
        <v>99</v>
      </c>
    </row>
    <row r="12" spans="1:18" s="13" customFormat="1" ht="27" customHeight="1">
      <c r="A12" s="156"/>
      <c r="B12" s="156"/>
      <c r="C12" s="149"/>
      <c r="D12" s="149" t="s">
        <v>2</v>
      </c>
      <c r="E12" s="22" t="s">
        <v>100</v>
      </c>
      <c r="F12" s="22" t="s">
        <v>101</v>
      </c>
      <c r="G12" s="22" t="s">
        <v>102</v>
      </c>
      <c r="H12" s="22" t="s">
        <v>103</v>
      </c>
      <c r="I12" s="146"/>
      <c r="J12" s="146"/>
      <c r="K12" s="149"/>
      <c r="L12" s="151"/>
      <c r="M12" s="153"/>
      <c r="N12" s="155"/>
      <c r="O12" s="155"/>
      <c r="P12" s="117"/>
    </row>
    <row r="13" spans="1:18" s="13" customFormat="1" ht="13.8">
      <c r="A13" s="156"/>
      <c r="B13" s="156"/>
      <c r="C13" s="149"/>
      <c r="D13" s="149"/>
      <c r="E13" s="118" t="s">
        <v>104</v>
      </c>
      <c r="F13" s="118"/>
      <c r="G13" s="118" t="s">
        <v>105</v>
      </c>
      <c r="H13" s="118"/>
      <c r="I13" s="147"/>
      <c r="J13" s="147"/>
      <c r="K13" s="149"/>
      <c r="L13" s="151"/>
      <c r="M13" s="153"/>
      <c r="N13" s="155"/>
      <c r="O13" s="155"/>
      <c r="P13" s="117"/>
    </row>
    <row r="14" spans="1:18" s="13" customFormat="1" ht="13.8">
      <c r="A14" s="23"/>
      <c r="B14" s="23"/>
      <c r="C14" s="24"/>
      <c r="D14" s="24"/>
      <c r="E14" s="25"/>
      <c r="F14" s="25"/>
      <c r="G14" s="25"/>
      <c r="H14" s="25"/>
      <c r="I14" s="23"/>
      <c r="J14" s="23"/>
      <c r="K14" s="24"/>
      <c r="L14" s="26"/>
      <c r="M14" s="27"/>
      <c r="N14" s="28"/>
      <c r="O14" s="28"/>
      <c r="P14" s="29"/>
    </row>
    <row r="15" spans="1:18" s="30" customFormat="1" ht="79.2">
      <c r="A15" s="31">
        <f>+[23]l7!A15</f>
        <v>1</v>
      </c>
      <c r="B15" s="34" t="str">
        <f>+[25]BG!C13</f>
        <v>百叶风口 4700x1500 Cửa Louver KT 4700x1500
尺寸50x50箱钢门框、Z形条系，75mm宽铝合金，各条均匀间隔 40mm，同步配件，浅灰色面漆
khung cửa thép hộp KT50x50, hệ nan chữ Z hợp kim nhôm rộng 75mm, các nan cách đều 40mm, phụ kiện đồng bộ, sơn dầu hoàn thiện màu xám nhạt</v>
      </c>
      <c r="C15" s="31" t="s">
        <v>133</v>
      </c>
      <c r="D15" s="31" t="s">
        <v>106</v>
      </c>
      <c r="E15" s="31">
        <v>4700</v>
      </c>
      <c r="F15" s="31">
        <v>1500</v>
      </c>
      <c r="G15" s="31">
        <f t="shared" ref="G15:H15" si="0">+E15-50</f>
        <v>4650</v>
      </c>
      <c r="H15" s="31">
        <f t="shared" si="0"/>
        <v>1450</v>
      </c>
      <c r="I15" s="31"/>
      <c r="J15" s="31"/>
      <c r="K15" s="31"/>
      <c r="L15" s="31" t="str">
        <f>+[25]BG!L13</f>
        <v>個
Cái</v>
      </c>
      <c r="M15" s="35">
        <f>+[25]BG!M13</f>
        <v>2</v>
      </c>
      <c r="N15" s="32">
        <v>8290700.0000000009</v>
      </c>
      <c r="O15" s="32">
        <f>+N15*M15</f>
        <v>16581400.000000002</v>
      </c>
      <c r="P15" s="33" t="s">
        <v>188</v>
      </c>
      <c r="Q15" s="30">
        <v>8840000</v>
      </c>
      <c r="R15" s="30">
        <f>Q15*M15</f>
        <v>17680000</v>
      </c>
    </row>
    <row r="16" spans="1:18" s="30" customFormat="1" ht="79.2">
      <c r="A16" s="31">
        <f>+[23]l7!A16</f>
        <v>2</v>
      </c>
      <c r="B16" s="34" t="str">
        <f>+[25]BG!C14</f>
        <v>百叶风口 4500x1000 Cửa Louver KT 4500x1000
尺寸50x50箱钢门框、Z形条系，75mm宽铝合金，各条均匀间隔 40mm，同步配件，浅灰色面漆
khung cửa thép hộp KT50x50, hệ nan chữ Z hợp kim nhôm rộng 75mm, các nan cách đều 40mm, phụ kiện đồng bộ, sơn dầu hoàn thiện màu xám nhạt</v>
      </c>
      <c r="C16" s="31" t="s">
        <v>133</v>
      </c>
      <c r="D16" s="31" t="s">
        <v>106</v>
      </c>
      <c r="E16" s="31">
        <v>4500</v>
      </c>
      <c r="F16" s="31">
        <v>1000</v>
      </c>
      <c r="G16" s="31">
        <f>+E16-50</f>
        <v>4450</v>
      </c>
      <c r="H16" s="31">
        <f>+F16-50</f>
        <v>950</v>
      </c>
      <c r="I16" s="31"/>
      <c r="J16" s="31"/>
      <c r="K16" s="31"/>
      <c r="L16" s="31" t="str">
        <f>+[25]BG!L14</f>
        <v>個
Cái</v>
      </c>
      <c r="M16" s="35">
        <f>+[25]BG!M14</f>
        <v>26</v>
      </c>
      <c r="N16" s="32">
        <v>5396600</v>
      </c>
      <c r="O16" s="32">
        <f>+N16*M16</f>
        <v>140311600</v>
      </c>
      <c r="P16" s="33" t="s">
        <v>188</v>
      </c>
      <c r="Q16" s="30">
        <v>5600000</v>
      </c>
      <c r="R16" s="30">
        <f t="shared" ref="R16:R79" si="1">Q16*M16</f>
        <v>145600000</v>
      </c>
    </row>
    <row r="17" spans="1:18" s="30" customFormat="1" ht="79.2">
      <c r="A17" s="31">
        <f>+[23]l7!A17</f>
        <v>3</v>
      </c>
      <c r="B17" s="34" t="str">
        <f>+[25]BG!C15</f>
        <v>百叶风口 4500x800 Cửa Louver KT 4500x800
尺寸50x50箱钢门框、Z形条系，75mm宽铝合金，各条均匀间隔 40mm，同步配件，浅灰色面漆
khung cửa thép hộp KT50x50, hệ nan chữ Z hợp kim nhôm rộng 75mm, các nan cách đều 40mm, phụ kiện đồng bộ, sơn dầu hoàn thiện màu xám nhạt</v>
      </c>
      <c r="C17" s="31" t="s">
        <v>133</v>
      </c>
      <c r="D17" s="31" t="s">
        <v>106</v>
      </c>
      <c r="E17" s="31">
        <v>4500</v>
      </c>
      <c r="F17" s="31">
        <v>800</v>
      </c>
      <c r="G17" s="31">
        <f t="shared" ref="G17:H28" si="2">+E17-50</f>
        <v>4450</v>
      </c>
      <c r="H17" s="31">
        <f t="shared" si="2"/>
        <v>750</v>
      </c>
      <c r="I17" s="31"/>
      <c r="J17" s="31"/>
      <c r="K17" s="31"/>
      <c r="L17" s="31" t="str">
        <f>+[25]BG!L15</f>
        <v>個
Cái</v>
      </c>
      <c r="M17" s="35">
        <f>+[25]BG!M15</f>
        <v>16</v>
      </c>
      <c r="N17" s="32">
        <v>4468200</v>
      </c>
      <c r="O17" s="32">
        <f t="shared" ref="O17:O41" si="3">+N17*M17</f>
        <v>71491200</v>
      </c>
      <c r="P17" s="33" t="s">
        <v>188</v>
      </c>
      <c r="Q17" s="30">
        <v>4490000</v>
      </c>
      <c r="R17" s="30">
        <f t="shared" si="1"/>
        <v>71840000</v>
      </c>
    </row>
    <row r="18" spans="1:18" s="30" customFormat="1" ht="79.2">
      <c r="A18" s="31">
        <f>+[23]l7!A18</f>
        <v>4</v>
      </c>
      <c r="B18" s="34" t="str">
        <f>+[25]BG!C16</f>
        <v>百叶风口 3500x1600 Cửa Louver KT 3500x1600
尺寸50x50箱钢门框、Z形条系，75mm宽铝合金，各条均匀间隔 40mm，同步配件，浅灰色面漆
khung cửa thép hộp KT50x50, hệ nan chữ Z hợp kim nhôm rộng 75mm, các nan cách đều 40mm, phụ kiện đồng bộ, sơn dầu hoàn thiện màu xám nhạt</v>
      </c>
      <c r="C18" s="31" t="s">
        <v>133</v>
      </c>
      <c r="D18" s="31" t="s">
        <v>106</v>
      </c>
      <c r="E18" s="31">
        <v>3500</v>
      </c>
      <c r="F18" s="31">
        <v>1600</v>
      </c>
      <c r="G18" s="31">
        <f t="shared" si="2"/>
        <v>3450</v>
      </c>
      <c r="H18" s="31">
        <f t="shared" si="2"/>
        <v>1550</v>
      </c>
      <c r="I18" s="31"/>
      <c r="J18" s="31"/>
      <c r="K18" s="31"/>
      <c r="L18" s="31" t="str">
        <f>+[25]BG!L16</f>
        <v>個
Cái</v>
      </c>
      <c r="M18" s="35">
        <f>+[25]BG!M16</f>
        <v>2</v>
      </c>
      <c r="N18" s="32">
        <v>6559300.0000000009</v>
      </c>
      <c r="O18" s="32">
        <f t="shared" si="3"/>
        <v>13118600.000000002</v>
      </c>
      <c r="P18" s="33" t="s">
        <v>188</v>
      </c>
      <c r="Q18" s="30">
        <v>7200000</v>
      </c>
      <c r="R18" s="30">
        <f t="shared" si="1"/>
        <v>14400000</v>
      </c>
    </row>
    <row r="19" spans="1:18" s="30" customFormat="1" ht="79.2">
      <c r="A19" s="31">
        <f>+[23]l7!A19</f>
        <v>5</v>
      </c>
      <c r="B19" s="34" t="str">
        <f>+[25]BG!C17</f>
        <v>百叶风口 2500x1500 Cửa Louver KT 2500x1500
尺寸50x50箱钢门框、Z形条系，75mm宽铝合金，各条均匀间隔 40mm，同步配件，浅灰色面漆
khung cửa thép hộp KT50x50, hệ nan chữ Z hợp kim nhôm rộng 75mm, các nan cách đều 40mm, phụ kiện đồng bộ, sơn dầu hoàn thiện màu xám nhạt</v>
      </c>
      <c r="C19" s="31" t="s">
        <v>133</v>
      </c>
      <c r="D19" s="31" t="s">
        <v>106</v>
      </c>
      <c r="E19" s="31">
        <v>2500</v>
      </c>
      <c r="F19" s="31">
        <v>1500</v>
      </c>
      <c r="G19" s="31">
        <f t="shared" si="2"/>
        <v>2450</v>
      </c>
      <c r="H19" s="31">
        <f t="shared" si="2"/>
        <v>1450</v>
      </c>
      <c r="I19" s="31"/>
      <c r="J19" s="31"/>
      <c r="K19" s="31"/>
      <c r="L19" s="31" t="str">
        <f>+[25]BG!L17</f>
        <v>個
Cái</v>
      </c>
      <c r="M19" s="35">
        <f>+[25]BG!M17</f>
        <v>2</v>
      </c>
      <c r="N19" s="32">
        <v>4452800</v>
      </c>
      <c r="O19" s="32">
        <f t="shared" si="3"/>
        <v>8905600</v>
      </c>
      <c r="P19" s="33" t="s">
        <v>188</v>
      </c>
      <c r="Q19" s="30">
        <v>4740000</v>
      </c>
      <c r="R19" s="30">
        <f t="shared" si="1"/>
        <v>9480000</v>
      </c>
    </row>
    <row r="20" spans="1:18" s="30" customFormat="1" ht="79.2">
      <c r="A20" s="31">
        <f>+[23]l7!A20</f>
        <v>6</v>
      </c>
      <c r="B20" s="34" t="str">
        <f>+[25]BG!C18</f>
        <v>百叶风口 2300x1500 Cửa Louver KT 2300x1500
尺寸50x50箱钢门框、Z形条系，75mm宽铝合金，各条均匀间隔 40mm，同步配件，浅灰色面漆
khung cửa thép hộp KT50x50, hệ nan chữ Z hợp kim nhôm rộng 75mm, các nan cách đều 40mm, phụ kiện đồng bộ, sơn dầu hoàn thiện màu xám nhạt</v>
      </c>
      <c r="C20" s="31" t="s">
        <v>133</v>
      </c>
      <c r="D20" s="31" t="s">
        <v>106</v>
      </c>
      <c r="E20" s="31">
        <v>2300</v>
      </c>
      <c r="F20" s="31">
        <v>1500</v>
      </c>
      <c r="G20" s="31">
        <f t="shared" si="2"/>
        <v>2250</v>
      </c>
      <c r="H20" s="31">
        <f t="shared" si="2"/>
        <v>1450</v>
      </c>
      <c r="I20" s="31"/>
      <c r="J20" s="31"/>
      <c r="K20" s="31"/>
      <c r="L20" s="31" t="str">
        <f>+[25]BG!L18</f>
        <v>個
Cái</v>
      </c>
      <c r="M20" s="35">
        <f>+[25]BG!M18</f>
        <v>2</v>
      </c>
      <c r="N20" s="32">
        <v>4104100.0000000005</v>
      </c>
      <c r="O20" s="32">
        <f t="shared" si="3"/>
        <v>8208200.0000000009</v>
      </c>
      <c r="P20" s="33" t="s">
        <v>188</v>
      </c>
      <c r="Q20" s="30">
        <v>4310000</v>
      </c>
      <c r="R20" s="30">
        <f t="shared" si="1"/>
        <v>8620000</v>
      </c>
    </row>
    <row r="21" spans="1:18" s="30" customFormat="1" ht="79.2">
      <c r="A21" s="31">
        <f>+[23]l7!A21</f>
        <v>7</v>
      </c>
      <c r="B21" s="34" t="str">
        <f>+[25]BG!C19</f>
        <v>百叶风口 2000x1500 Cửa Louver KT 2000x1500
尺寸50x50箱钢门框、Z形条系，75mm宽铝合金，各条均匀间隔 40mm，同步配件，浅灰色面漆
khung cửa thép hộp KT50x50, hệ nan chữ Z hợp kim nhôm rộng 75mm, các nan cách đều 40mm, phụ kiện đồng bộ, sơn dầu hoàn thiện màu xám nhạt</v>
      </c>
      <c r="C21" s="31" t="s">
        <v>133</v>
      </c>
      <c r="D21" s="31" t="s">
        <v>106</v>
      </c>
      <c r="E21" s="31">
        <v>2000</v>
      </c>
      <c r="F21" s="31">
        <v>1500</v>
      </c>
      <c r="G21" s="31">
        <f t="shared" si="2"/>
        <v>1950</v>
      </c>
      <c r="H21" s="31">
        <f t="shared" si="2"/>
        <v>1450</v>
      </c>
      <c r="I21" s="31"/>
      <c r="J21" s="31"/>
      <c r="K21" s="31"/>
      <c r="L21" s="31" t="str">
        <f>+[25]BG!L19</f>
        <v>個
Cái</v>
      </c>
      <c r="M21" s="35">
        <f>+[25]BG!M19</f>
        <v>4</v>
      </c>
      <c r="N21" s="32">
        <v>3580500.0000000005</v>
      </c>
      <c r="O21" s="32">
        <f t="shared" si="3"/>
        <v>14322000.000000002</v>
      </c>
      <c r="P21" s="33" t="s">
        <v>188</v>
      </c>
      <c r="Q21" s="30">
        <v>3650000</v>
      </c>
      <c r="R21" s="30">
        <f t="shared" si="1"/>
        <v>14600000</v>
      </c>
    </row>
    <row r="22" spans="1:18" s="30" customFormat="1" ht="79.2">
      <c r="A22" s="31">
        <f>+[23]l7!A22</f>
        <v>8</v>
      </c>
      <c r="B22" s="34" t="str">
        <f>+[25]BG!C20</f>
        <v>百叶风口 1500x1500 Cửa Louver KT 1500x1500
尺寸50x50箱钢门框、Z形条系，75mm宽铝合金，各条均匀间隔 40mm，同步配件，浅灰色面漆
khung cửa thép hộp KT50x50, hệ nan chữ Z hợp kim nhôm rộng 75mm, các nan cách đều 40mm, phụ kiện đồng bộ, sơn dầu hoàn thiện màu xám nhạt</v>
      </c>
      <c r="C22" s="31" t="s">
        <v>133</v>
      </c>
      <c r="D22" s="31" t="s">
        <v>106</v>
      </c>
      <c r="E22" s="31">
        <v>1500</v>
      </c>
      <c r="F22" s="31">
        <v>1500</v>
      </c>
      <c r="G22" s="31">
        <f t="shared" si="2"/>
        <v>1450</v>
      </c>
      <c r="H22" s="31">
        <f t="shared" si="2"/>
        <v>1450</v>
      </c>
      <c r="I22" s="31"/>
      <c r="J22" s="31"/>
      <c r="K22" s="31"/>
      <c r="L22" s="31" t="str">
        <f>+[25]BG!L20</f>
        <v>個
Cái</v>
      </c>
      <c r="M22" s="35">
        <f>+[25]BG!M20</f>
        <v>33</v>
      </c>
      <c r="N22" s="32">
        <v>2708200</v>
      </c>
      <c r="O22" s="32">
        <f t="shared" si="3"/>
        <v>89370600</v>
      </c>
      <c r="P22" s="33" t="s">
        <v>188</v>
      </c>
      <c r="Q22" s="30">
        <v>2860000</v>
      </c>
      <c r="R22" s="30">
        <f t="shared" si="1"/>
        <v>94380000</v>
      </c>
    </row>
    <row r="23" spans="1:18" s="30" customFormat="1" ht="79.2">
      <c r="A23" s="31">
        <f>+[23]l7!A23</f>
        <v>9</v>
      </c>
      <c r="B23" s="34" t="str">
        <f>+[25]BG!C21</f>
        <v>百叶风口 1300x700 Cửa Louver KT 1300x700
尺寸50x50箱钢门框、Z形条系，75mm宽铝合金，各条均匀间隔 40mm，同步配件，浅灰色面漆
khung cửa thép hộp KT50x50, hệ nan chữ Z hợp kim nhôm rộng 75mm, các nan cách đều 40mm, phụ kiện đồng bộ, sơn dầu hoàn thiện màu xám nhạt</v>
      </c>
      <c r="C23" s="31" t="s">
        <v>133</v>
      </c>
      <c r="D23" s="31" t="s">
        <v>106</v>
      </c>
      <c r="E23" s="31">
        <v>1300</v>
      </c>
      <c r="F23" s="31">
        <v>700</v>
      </c>
      <c r="G23" s="31">
        <f t="shared" si="2"/>
        <v>1250</v>
      </c>
      <c r="H23" s="31">
        <f t="shared" si="2"/>
        <v>650</v>
      </c>
      <c r="I23" s="31"/>
      <c r="J23" s="31"/>
      <c r="K23" s="31"/>
      <c r="L23" s="31" t="str">
        <f>+[25]BG!L21</f>
        <v>個
Cái</v>
      </c>
      <c r="M23" s="35">
        <f>+[25]BG!M21</f>
        <v>8</v>
      </c>
      <c r="N23" s="32">
        <v>1128600</v>
      </c>
      <c r="O23" s="32">
        <f t="shared" si="3"/>
        <v>9028800</v>
      </c>
      <c r="P23" s="33" t="s">
        <v>188</v>
      </c>
      <c r="Q23" s="30">
        <v>1170000</v>
      </c>
      <c r="R23" s="30">
        <f t="shared" si="1"/>
        <v>9360000</v>
      </c>
    </row>
    <row r="24" spans="1:18" s="30" customFormat="1" ht="79.2">
      <c r="A24" s="31">
        <f>+[23]l7!A24</f>
        <v>10</v>
      </c>
      <c r="B24" s="34" t="str">
        <f>+[25]BG!C22</f>
        <v>百叶风口 1000x1000 Cửa Louver KT 1000x1000
尺寸50x50箱钢门框、Z形条系，75mm宽铝合金，各条均匀间隔 40mm，同步配件，浅灰色面漆
khung cửa thép hộp KT50x50, hệ nan chữ Z hợp kim nhôm rộng 75mm, các nan cách đều 40mm, phụ kiện đồng bộ, sơn dầu hoàn thiện màu xám nhạt</v>
      </c>
      <c r="C24" s="31" t="s">
        <v>133</v>
      </c>
      <c r="D24" s="31" t="s">
        <v>106</v>
      </c>
      <c r="E24" s="31">
        <v>1000</v>
      </c>
      <c r="F24" s="31">
        <v>1000</v>
      </c>
      <c r="G24" s="31">
        <f t="shared" si="2"/>
        <v>950</v>
      </c>
      <c r="H24" s="31">
        <f t="shared" si="2"/>
        <v>950</v>
      </c>
      <c r="I24" s="31"/>
      <c r="J24" s="31"/>
      <c r="K24" s="31"/>
      <c r="L24" s="31" t="str">
        <f>+[25]BG!L22</f>
        <v>個
Cái</v>
      </c>
      <c r="M24" s="35">
        <f>+[25]BG!M22</f>
        <v>12</v>
      </c>
      <c r="N24" s="32">
        <v>1250700</v>
      </c>
      <c r="O24" s="32">
        <f t="shared" si="3"/>
        <v>15008400</v>
      </c>
      <c r="P24" s="33" t="s">
        <v>188</v>
      </c>
      <c r="Q24" s="30">
        <v>1320000</v>
      </c>
      <c r="R24" s="30">
        <f t="shared" si="1"/>
        <v>15840000</v>
      </c>
    </row>
    <row r="25" spans="1:18" s="30" customFormat="1" ht="79.2">
      <c r="A25" s="31">
        <f>+[23]l7!A25</f>
        <v>11</v>
      </c>
      <c r="B25" s="34" t="str">
        <f>+[25]BG!C23</f>
        <v>百叶风口 1000x700 Cửa Louver KT 1000x700
尺寸50x50箱钢门框、Z形条系，75mm宽铝合金，各条均匀间隔 40mm，同步配件，浅灰色面漆
khung cửa thép hộp KT50x50, hệ nan chữ Z hợp kim nhôm rộng 75mm, các nan cách đều 40mm, phụ kiện đồng bộ, sơn dầu hoàn thiện màu xám nhạt</v>
      </c>
      <c r="C25" s="31" t="s">
        <v>133</v>
      </c>
      <c r="D25" s="31" t="s">
        <v>106</v>
      </c>
      <c r="E25" s="31">
        <v>1000</v>
      </c>
      <c r="F25" s="31">
        <v>700</v>
      </c>
      <c r="G25" s="31">
        <f t="shared" si="2"/>
        <v>950</v>
      </c>
      <c r="H25" s="31">
        <f t="shared" si="2"/>
        <v>650</v>
      </c>
      <c r="I25" s="31"/>
      <c r="J25" s="31"/>
      <c r="K25" s="31"/>
      <c r="L25" s="31" t="str">
        <f>+[25]BG!L23</f>
        <v>個
Cái</v>
      </c>
      <c r="M25" s="35">
        <f>+[25]BG!M23</f>
        <v>16</v>
      </c>
      <c r="N25" s="32">
        <v>880000.00000000012</v>
      </c>
      <c r="O25" s="32">
        <f t="shared" si="3"/>
        <v>14080000.000000002</v>
      </c>
      <c r="P25" s="33" t="s">
        <v>188</v>
      </c>
      <c r="Q25" s="30">
        <v>920000</v>
      </c>
      <c r="R25" s="30">
        <f t="shared" si="1"/>
        <v>14720000</v>
      </c>
    </row>
    <row r="26" spans="1:18" s="30" customFormat="1" ht="52.8">
      <c r="A26" s="31">
        <f>+[23]l7!A26</f>
        <v>12</v>
      </c>
      <c r="B26" s="34" t="str">
        <f>+[25]BG!C24</f>
        <v>風門含SEG 1200x600+OBD 流量調節閥含配件及安裝Cửa gió kèm van điều chỉnh lưu lượng SEG 1200x600+OBD Bao gồm nhân công phụ kiện lắp đặt</v>
      </c>
      <c r="C26" s="31" t="s">
        <v>107</v>
      </c>
      <c r="D26" s="31" t="s">
        <v>106</v>
      </c>
      <c r="E26" s="31">
        <v>1200</v>
      </c>
      <c r="F26" s="31">
        <v>600</v>
      </c>
      <c r="G26" s="31">
        <f t="shared" si="2"/>
        <v>1150</v>
      </c>
      <c r="H26" s="31">
        <f t="shared" si="2"/>
        <v>550</v>
      </c>
      <c r="I26" s="31"/>
      <c r="J26" s="31"/>
      <c r="K26" s="31"/>
      <c r="L26" s="31" t="str">
        <f>+[25]BG!L24</f>
        <v>個
Cái</v>
      </c>
      <c r="M26" s="35">
        <f>+[25]BG!M24</f>
        <v>168</v>
      </c>
      <c r="N26" s="102">
        <v>1051600</v>
      </c>
      <c r="O26" s="32">
        <f t="shared" si="3"/>
        <v>176668800</v>
      </c>
      <c r="P26" s="33" t="s">
        <v>126</v>
      </c>
      <c r="Q26" s="30">
        <v>1230000</v>
      </c>
      <c r="R26" s="30">
        <f t="shared" si="1"/>
        <v>206640000</v>
      </c>
    </row>
    <row r="27" spans="1:18" s="30" customFormat="1" ht="52.8">
      <c r="A27" s="31">
        <f>+[23]l7!A27</f>
        <v>13</v>
      </c>
      <c r="B27" s="34" t="str">
        <f>+[25]BG!C25</f>
        <v>風門含SEG 600x600+OBD 流量調節閥含配件及安裝Cửa gió kèm van điều chỉnh lưu lượng SEG 600x600+OBD Bao gồm nhân công phụ kiện lắp đặt</v>
      </c>
      <c r="C27" s="31" t="s">
        <v>107</v>
      </c>
      <c r="D27" s="31" t="s">
        <v>106</v>
      </c>
      <c r="E27" s="31">
        <v>600</v>
      </c>
      <c r="F27" s="31">
        <v>600</v>
      </c>
      <c r="G27" s="31">
        <f t="shared" si="2"/>
        <v>550</v>
      </c>
      <c r="H27" s="31">
        <f t="shared" si="2"/>
        <v>550</v>
      </c>
      <c r="I27" s="31"/>
      <c r="J27" s="31"/>
      <c r="K27" s="31"/>
      <c r="L27" s="31" t="str">
        <f>+[25]BG!L25</f>
        <v>個
Cái</v>
      </c>
      <c r="M27" s="35">
        <f>+[25]BG!M25</f>
        <v>24</v>
      </c>
      <c r="N27" s="102">
        <v>556600</v>
      </c>
      <c r="O27" s="32">
        <f t="shared" si="3"/>
        <v>13358400</v>
      </c>
      <c r="P27" s="33" t="s">
        <v>126</v>
      </c>
      <c r="Q27" s="30">
        <v>590000</v>
      </c>
      <c r="R27" s="30">
        <f t="shared" si="1"/>
        <v>14160000</v>
      </c>
    </row>
    <row r="28" spans="1:18" s="30" customFormat="1" ht="39.6">
      <c r="A28" s="31">
        <f>+[23]l7!A28</f>
        <v>14</v>
      </c>
      <c r="B28" s="34" t="str">
        <f>+[25]BG!C26</f>
        <v>風門含PAG 500x500 流量調節閥含配件及安裝 Cửa gió kèm van điều chỉnh lưu lượng PAG 500x500 Bao gồm nhân công phụ kiện lắp đặt</v>
      </c>
      <c r="C28" s="31" t="s">
        <v>107</v>
      </c>
      <c r="D28" s="31" t="s">
        <v>106</v>
      </c>
      <c r="E28" s="31">
        <v>500</v>
      </c>
      <c r="F28" s="31">
        <v>500</v>
      </c>
      <c r="G28" s="31">
        <f t="shared" si="2"/>
        <v>450</v>
      </c>
      <c r="H28" s="31">
        <f t="shared" si="2"/>
        <v>450</v>
      </c>
      <c r="I28" s="31"/>
      <c r="J28" s="31"/>
      <c r="K28" s="31"/>
      <c r="L28" s="31" t="str">
        <f>+[25]BG!L26</f>
        <v>Cái
個</v>
      </c>
      <c r="M28" s="35">
        <f>+[25]BG!M26</f>
        <v>42</v>
      </c>
      <c r="N28" s="102">
        <v>408100.00000000006</v>
      </c>
      <c r="O28" s="32">
        <f t="shared" si="3"/>
        <v>17140200.000000004</v>
      </c>
      <c r="P28" s="33" t="s">
        <v>126</v>
      </c>
      <c r="Q28" s="30">
        <v>530000</v>
      </c>
      <c r="R28" s="30">
        <f t="shared" si="1"/>
        <v>22260000</v>
      </c>
    </row>
    <row r="29" spans="1:18" s="30" customFormat="1" ht="52.8">
      <c r="A29" s="31">
        <f>+[23]l7!A29</f>
        <v>15</v>
      </c>
      <c r="B29" s="34" t="str">
        <f>+[25]BG!C27</f>
        <v xml:space="preserve">空調鍍鋅鐵皮排風管 4000x500mm, δ=1.15mm 含製作及安裝
Ống thoát gió bằng tôn mạ kẽm 4000x500mm , δ=1.15mm bao gồm gia công chế tạo và lắp đặt. </v>
      </c>
      <c r="C29" s="31"/>
      <c r="D29" s="31"/>
      <c r="E29" s="31"/>
      <c r="F29" s="31"/>
      <c r="G29" s="31"/>
      <c r="H29" s="31"/>
      <c r="I29" s="31"/>
      <c r="J29" s="31"/>
      <c r="K29" s="31"/>
      <c r="L29" s="31" t="str">
        <f>+[25]BG!L27</f>
        <v>m2</v>
      </c>
      <c r="M29" s="35">
        <f>+[25]BG!M27</f>
        <v>70</v>
      </c>
      <c r="N29" s="32"/>
      <c r="O29" s="32">
        <f t="shared" si="3"/>
        <v>0</v>
      </c>
      <c r="P29" s="33"/>
      <c r="R29" s="30">
        <f t="shared" si="1"/>
        <v>0</v>
      </c>
    </row>
    <row r="30" spans="1:18" s="30" customFormat="1" ht="52.8">
      <c r="A30" s="31">
        <f>+[23]l7!A30</f>
        <v>16</v>
      </c>
      <c r="B30" s="34" t="str">
        <f>+[25]BG!C28</f>
        <v xml:space="preserve">空調鍍鋅鐵皮排風管 3000x300mm, δ=1.15mm 含製作及安裝
Ống thoát gió bằng tôn mạ kẽm 3000x300mm , δ=1.15mm bao gồm gia công chế tạo và lắp đặt. </v>
      </c>
      <c r="C30" s="31"/>
      <c r="D30" s="31"/>
      <c r="E30" s="31"/>
      <c r="F30" s="31"/>
      <c r="G30" s="31"/>
      <c r="H30" s="31"/>
      <c r="I30" s="31"/>
      <c r="J30" s="31"/>
      <c r="K30" s="31"/>
      <c r="L30" s="31" t="str">
        <f>+[25]BG!L28</f>
        <v>m2</v>
      </c>
      <c r="M30" s="35">
        <f>+[25]BG!M28</f>
        <v>0</v>
      </c>
      <c r="N30" s="32"/>
      <c r="O30" s="32">
        <f t="shared" si="3"/>
        <v>0</v>
      </c>
      <c r="P30" s="33"/>
      <c r="R30" s="30">
        <f t="shared" si="1"/>
        <v>0</v>
      </c>
    </row>
    <row r="31" spans="1:18" s="30" customFormat="1" ht="52.8">
      <c r="A31" s="31"/>
      <c r="B31" s="34" t="str">
        <f>+[25]BG!C29</f>
        <v xml:space="preserve">空調鍍鋅鐵皮排風管 2000x500mm, δ=1.15mm 含製作及安裝
Ống thoát gió bằng tôn mạ kẽm 2000x500mm , δ=1.15mm bao gồm gia công chế tạo và lắp đặt. </v>
      </c>
      <c r="C31" s="31"/>
      <c r="D31" s="31"/>
      <c r="E31" s="31"/>
      <c r="F31" s="31"/>
      <c r="G31" s="31"/>
      <c r="H31" s="31"/>
      <c r="I31" s="31"/>
      <c r="J31" s="31"/>
      <c r="K31" s="31"/>
      <c r="L31" s="31" t="str">
        <f>+[25]BG!L29</f>
        <v>m2</v>
      </c>
      <c r="M31" s="35">
        <f>+[25]BG!M29</f>
        <v>248</v>
      </c>
      <c r="N31" s="32"/>
      <c r="O31" s="32">
        <f t="shared" si="3"/>
        <v>0</v>
      </c>
      <c r="P31" s="33"/>
      <c r="R31" s="30">
        <f t="shared" si="1"/>
        <v>0</v>
      </c>
    </row>
    <row r="32" spans="1:18" s="30" customFormat="1" ht="52.8">
      <c r="A32" s="31">
        <f>+[23]l7!A32</f>
        <v>1</v>
      </c>
      <c r="B32" s="34" t="str">
        <f>+[25]BG!C30</f>
        <v xml:space="preserve">空調鍍鋅鐵皮排風管 1200x500mm, δ=0.95mm 含製作及安裝
Ống thoát gió bằng tôn mạ kẽm 1200x500mm , δ=0.95mm bao gồm gia công chế tạo và lắp đặt. </v>
      </c>
      <c r="C32" s="31"/>
      <c r="D32" s="31"/>
      <c r="E32" s="31"/>
      <c r="F32" s="31"/>
      <c r="G32" s="31"/>
      <c r="H32" s="31"/>
      <c r="I32" s="31"/>
      <c r="J32" s="31"/>
      <c r="K32" s="31"/>
      <c r="L32" s="31" t="str">
        <f>+[25]BG!L30</f>
        <v>m2</v>
      </c>
      <c r="M32" s="35">
        <f>+[25]BG!M30</f>
        <v>94</v>
      </c>
      <c r="N32" s="32"/>
      <c r="O32" s="32">
        <f t="shared" si="3"/>
        <v>0</v>
      </c>
      <c r="P32" s="33"/>
      <c r="R32" s="30">
        <f t="shared" si="1"/>
        <v>0</v>
      </c>
    </row>
    <row r="33" spans="1:18" s="30" customFormat="1" ht="52.8">
      <c r="A33" s="31">
        <f>+[23]l7!A33</f>
        <v>2</v>
      </c>
      <c r="B33" s="34" t="str">
        <f>+[25]BG!C31</f>
        <v xml:space="preserve">空調鍍鋅鐵皮排風管 1050x1200mm, δ=0.95mm 含製作及安裝
Ống thoát gió bằng tôn mạ kẽm 1050x1200mm , δ=0.95mm bao gồm gia công chế tạo và lắp đặt. </v>
      </c>
      <c r="C33" s="31"/>
      <c r="D33" s="31"/>
      <c r="E33" s="31"/>
      <c r="F33" s="31"/>
      <c r="G33" s="31"/>
      <c r="H33" s="31"/>
      <c r="I33" s="31"/>
      <c r="J33" s="31"/>
      <c r="K33" s="31"/>
      <c r="L33" s="31" t="str">
        <f>+[25]BG!L31</f>
        <v>m2</v>
      </c>
      <c r="M33" s="35">
        <f>+[25]BG!M31</f>
        <v>1597</v>
      </c>
      <c r="N33" s="32"/>
      <c r="O33" s="32">
        <f t="shared" si="3"/>
        <v>0</v>
      </c>
      <c r="P33" s="33"/>
      <c r="R33" s="30">
        <f t="shared" si="1"/>
        <v>0</v>
      </c>
    </row>
    <row r="34" spans="1:18" s="30" customFormat="1" ht="52.8">
      <c r="A34" s="31">
        <f>+[23]l7!A34</f>
        <v>3</v>
      </c>
      <c r="B34" s="34" t="str">
        <f>+[25]BG!C32</f>
        <v xml:space="preserve">空調鍍鋅鐵皮排風管 550x1200mm, δ=0.95mm 含製作及安裝
Ống thoát gió bằng tôn mạ kẽm 550x1200mm , δ=0.95mm bao gồm gia công chế tạo và lắp đặt. </v>
      </c>
      <c r="C34" s="31"/>
      <c r="D34" s="31"/>
      <c r="E34" s="31"/>
      <c r="F34" s="31"/>
      <c r="G34" s="31"/>
      <c r="H34" s="31"/>
      <c r="I34" s="31"/>
      <c r="J34" s="31"/>
      <c r="K34" s="31"/>
      <c r="L34" s="31" t="str">
        <f>+[25]BG!L32</f>
        <v>m2</v>
      </c>
      <c r="M34" s="35">
        <f>+[25]BG!M32</f>
        <v>1363</v>
      </c>
      <c r="N34" s="32"/>
      <c r="O34" s="32">
        <f t="shared" si="3"/>
        <v>0</v>
      </c>
      <c r="P34" s="33"/>
      <c r="R34" s="30">
        <f t="shared" si="1"/>
        <v>0</v>
      </c>
    </row>
    <row r="35" spans="1:18" s="30" customFormat="1" ht="52.8">
      <c r="A35" s="31">
        <f>+[23]l7!A35</f>
        <v>3</v>
      </c>
      <c r="B35" s="34" t="str">
        <f>+[25]BG!C33</f>
        <v xml:space="preserve">空調鍍鋅鐵皮排風管 400x1200mm, δ=0.95mm 含製作及安裝
Ống thoát gió bằng tôn mạ kẽm 400x1200mm , δ=0.95mm bao gồm gia công chế tạo và lắp đặt. </v>
      </c>
      <c r="C35" s="31"/>
      <c r="D35" s="31"/>
      <c r="E35" s="31"/>
      <c r="F35" s="31"/>
      <c r="G35" s="31"/>
      <c r="H35" s="31"/>
      <c r="I35" s="31"/>
      <c r="J35" s="31"/>
      <c r="K35" s="31"/>
      <c r="L35" s="31" t="str">
        <f>+[25]BG!L33</f>
        <v>m2</v>
      </c>
      <c r="M35" s="35">
        <f>+[25]BG!M33</f>
        <v>132</v>
      </c>
      <c r="N35" s="32"/>
      <c r="O35" s="32">
        <f t="shared" si="3"/>
        <v>0</v>
      </c>
      <c r="P35" s="33"/>
      <c r="R35" s="30">
        <f t="shared" si="1"/>
        <v>0</v>
      </c>
    </row>
    <row r="36" spans="1:18" s="30" customFormat="1" ht="52.8">
      <c r="A36" s="31">
        <f>+[23]l7!A36</f>
        <v>4</v>
      </c>
      <c r="B36" s="34" t="str">
        <f>+[25]BG!C34</f>
        <v xml:space="preserve">空調鍍鋅鐵皮排風管 800x500mm, δ=0.95mm 含製作及安裝
Ống thoát gió bằng tôn mạ kẽm 800x500mm , δ=0.95mm bao gồm gia công chế tạo và lắp đặt. </v>
      </c>
      <c r="C36" s="31"/>
      <c r="D36" s="31"/>
      <c r="E36" s="31"/>
      <c r="F36" s="31"/>
      <c r="G36" s="31"/>
      <c r="H36" s="31"/>
      <c r="I36" s="31"/>
      <c r="J36" s="31"/>
      <c r="K36" s="31"/>
      <c r="L36" s="31" t="str">
        <f>+[25]BG!L34</f>
        <v>m2</v>
      </c>
      <c r="M36" s="35">
        <f>+[25]BG!M34</f>
        <v>72</v>
      </c>
      <c r="N36" s="32"/>
      <c r="O36" s="32">
        <f t="shared" si="3"/>
        <v>0</v>
      </c>
      <c r="P36" s="33"/>
      <c r="R36" s="30">
        <f t="shared" si="1"/>
        <v>0</v>
      </c>
    </row>
    <row r="37" spans="1:18" s="30" customFormat="1" ht="52.8">
      <c r="A37" s="31">
        <f>+[23]l7!A37</f>
        <v>5</v>
      </c>
      <c r="B37" s="34" t="str">
        <f>+[25]BG!C35</f>
        <v xml:space="preserve">空調鍍鋅鐵皮排風管 500x500mm, δ=0.75mm 含製作及安裝
Ống thoát gió bằng tôn mạ kẽm 500x500mm , δ=0.75mm bao gồm gia công chế tạo và lắp đặt. </v>
      </c>
      <c r="C37" s="31"/>
      <c r="D37" s="31"/>
      <c r="E37" s="31"/>
      <c r="F37" s="31"/>
      <c r="G37" s="31"/>
      <c r="H37" s="31"/>
      <c r="I37" s="31"/>
      <c r="J37" s="31"/>
      <c r="K37" s="31"/>
      <c r="L37" s="31" t="str">
        <f>+[25]BG!L35</f>
        <v>m2</v>
      </c>
      <c r="M37" s="35">
        <f>+[25]BG!M35</f>
        <v>47</v>
      </c>
      <c r="N37" s="32"/>
      <c r="O37" s="32">
        <f t="shared" si="3"/>
        <v>0</v>
      </c>
      <c r="P37" s="33"/>
      <c r="R37" s="30">
        <f t="shared" si="1"/>
        <v>0</v>
      </c>
    </row>
    <row r="38" spans="1:18" s="30" customFormat="1" ht="79.2">
      <c r="A38" s="31">
        <f>+[23]l7!A38</f>
        <v>6</v>
      </c>
      <c r="B38" s="34" t="str">
        <f>+[25]BG!C36</f>
        <v>空調鍍鋅鐵皮排風管2200x350mm EI45, 含製作及安裝 （含越南消防及救護-救難警察局檢定費用）
Ống thoát gió bằng tôn mạ kẽm 2200x350mm, EI45, bao gồm gia công chế tạo và lắp đặt. （Bao gồm chi phí kiểm định của cục cảnh sát pccc &amp; CNCH Việt Nam)</v>
      </c>
      <c r="C38" s="31"/>
      <c r="D38" s="31"/>
      <c r="E38" s="31"/>
      <c r="F38" s="31"/>
      <c r="G38" s="31"/>
      <c r="H38" s="31"/>
      <c r="I38" s="31"/>
      <c r="J38" s="31"/>
      <c r="K38" s="31"/>
      <c r="L38" s="31" t="str">
        <f>+[25]BG!L36</f>
        <v>m2</v>
      </c>
      <c r="M38" s="35">
        <f>+[25]BG!M36</f>
        <v>8632.2599999999984</v>
      </c>
      <c r="N38" s="32"/>
      <c r="O38" s="32">
        <f t="shared" si="3"/>
        <v>0</v>
      </c>
      <c r="P38" s="33"/>
      <c r="R38" s="30">
        <f t="shared" si="1"/>
        <v>0</v>
      </c>
    </row>
    <row r="39" spans="1:18" s="30" customFormat="1" ht="79.2">
      <c r="A39" s="31">
        <f>+[23]l7!A39</f>
        <v>7</v>
      </c>
      <c r="B39" s="34" t="str">
        <f>+[25]BG!C37</f>
        <v>空調鍍鋅鐵皮排風管2000x350mm EI45, 含製作及安裝 （含越南消防及救護-救難警察局檢定費用）
Ống thoát gió bằng tôn mạ kẽm 2000x350mm, EI45, bao gồm gia công chế tạo và lắp đặt. （Bao gồm chi phí kiểm định của cục cảnh sát pccc &amp; CNCH Việt Nam)</v>
      </c>
      <c r="C39" s="31"/>
      <c r="D39" s="31"/>
      <c r="E39" s="31"/>
      <c r="F39" s="31"/>
      <c r="G39" s="31"/>
      <c r="H39" s="31"/>
      <c r="I39" s="31"/>
      <c r="J39" s="31"/>
      <c r="K39" s="31"/>
      <c r="L39" s="31" t="str">
        <f>+[25]BG!L37</f>
        <v>m2</v>
      </c>
      <c r="M39" s="35">
        <f>+[25]BG!M37</f>
        <v>207</v>
      </c>
      <c r="N39" s="32"/>
      <c r="O39" s="32">
        <f t="shared" si="3"/>
        <v>0</v>
      </c>
      <c r="P39" s="33"/>
      <c r="R39" s="30">
        <f t="shared" si="1"/>
        <v>0</v>
      </c>
    </row>
    <row r="40" spans="1:18" s="30" customFormat="1" ht="79.2">
      <c r="A40" s="31">
        <f>+[23]l7!A40</f>
        <v>8</v>
      </c>
      <c r="B40" s="34" t="str">
        <f>+[25]BG!C38</f>
        <v>空調鍍鋅鐵皮排風管1800x350mm EI45, 含製作及安裝 （含越南消防及救護-救難警察局檢定費用）
Ống thoát gió bằng tôn mạ kẽm 1800x350mm, EI45, bao gồm gia công chế tạo và lắp đặt. （Bao gồm chi phí kiểm định của cục cảnh sát pccc &amp; CNCH Việt Nam)</v>
      </c>
      <c r="C40" s="31"/>
      <c r="D40" s="31"/>
      <c r="E40" s="31"/>
      <c r="F40" s="31"/>
      <c r="G40" s="31"/>
      <c r="H40" s="31"/>
      <c r="I40" s="31"/>
      <c r="J40" s="31"/>
      <c r="K40" s="31"/>
      <c r="L40" s="31" t="str">
        <f>+[25]BG!L38</f>
        <v>m2</v>
      </c>
      <c r="M40" s="35">
        <f>+[25]BG!M38</f>
        <v>209</v>
      </c>
      <c r="N40" s="32"/>
      <c r="O40" s="32">
        <f t="shared" si="3"/>
        <v>0</v>
      </c>
      <c r="P40" s="33"/>
      <c r="R40" s="30">
        <f t="shared" si="1"/>
        <v>0</v>
      </c>
    </row>
    <row r="41" spans="1:18" s="30" customFormat="1" ht="79.2">
      <c r="A41" s="31">
        <f>+[23]l7!A41</f>
        <v>9</v>
      </c>
      <c r="B41" s="34" t="str">
        <f>+[25]BG!C39</f>
        <v>空調鍍鋅鐵皮排風管1500x350mm EI45, 含製作及安裝 （含越南消防及救護-救難警察局檢定費用）
Ống thoát gió bằng tôn mạ kẽm 1500x350mm, EI45, bao gồm gia công chế tạo và lắp đặt. （Bao gồm chi phí kiểm định của cục cảnh sát pccc &amp; CNCH Việt Nam)</v>
      </c>
      <c r="C41" s="31"/>
      <c r="D41" s="31"/>
      <c r="E41" s="31"/>
      <c r="F41" s="31"/>
      <c r="G41" s="31"/>
      <c r="H41" s="31"/>
      <c r="I41" s="31"/>
      <c r="J41" s="31"/>
      <c r="K41" s="31"/>
      <c r="L41" s="31" t="str">
        <f>+[25]BG!L39</f>
        <v>m2</v>
      </c>
      <c r="M41" s="35">
        <f>+[25]BG!M39</f>
        <v>3042</v>
      </c>
      <c r="N41" s="32"/>
      <c r="O41" s="32">
        <f t="shared" si="3"/>
        <v>0</v>
      </c>
      <c r="P41" s="33"/>
      <c r="R41" s="30">
        <f t="shared" si="1"/>
        <v>0</v>
      </c>
    </row>
    <row r="42" spans="1:18" s="30" customFormat="1" ht="79.2">
      <c r="A42" s="31">
        <f>+[23]l7!A42</f>
        <v>10</v>
      </c>
      <c r="B42" s="34" t="str">
        <f>+[25]BG!C40</f>
        <v>空調鍍鋅鐵皮排風管1200x300mm EI45, 含製作及安裝 （含越南消防及救護-救難警察局檢定費用）
Ống thoát gió bằng tôn mạ kẽm 1200x300mm, EI45, bao gồm gia công chế tạo và lắp đặt. （Bao gồm chi phí kiểm định của cục cảnh sát pccc &amp; CNCH Việt Nam)</v>
      </c>
      <c r="C42" s="31"/>
      <c r="D42" s="31"/>
      <c r="E42" s="31"/>
      <c r="F42" s="31"/>
      <c r="G42" s="31"/>
      <c r="H42" s="31"/>
      <c r="I42" s="31"/>
      <c r="J42" s="31"/>
      <c r="K42" s="31"/>
      <c r="L42" s="31" t="str">
        <f>+[25]BG!L40</f>
        <v>m2</v>
      </c>
      <c r="M42" s="35">
        <f>+[25]BG!M40</f>
        <v>347</v>
      </c>
      <c r="N42" s="32"/>
      <c r="O42" s="32">
        <f>+N42*M42</f>
        <v>0</v>
      </c>
      <c r="P42" s="33"/>
      <c r="R42" s="30">
        <f t="shared" si="1"/>
        <v>0</v>
      </c>
    </row>
    <row r="43" spans="1:18" s="30" customFormat="1" ht="79.2">
      <c r="A43" s="31">
        <f>+[23]l7!A43</f>
        <v>11</v>
      </c>
      <c r="B43" s="34" t="str">
        <f>+[25]BG!C41</f>
        <v>空調鍍鋅鐵皮排風管700x300mm EI45, 含製作及安裝 （含越南消防及救護-救難警察局檢定費用）
Ống thoát gió bằng tôn mạ kẽm 700x300mm, EI45, bao gồm gia công chế tạo và lắp đặt. （Bao gồm chi phí kiểm định của cục cảnh sát pccc &amp; CNCH Việt Nam)</v>
      </c>
      <c r="C43" s="31"/>
      <c r="D43" s="31"/>
      <c r="E43" s="31"/>
      <c r="F43" s="31"/>
      <c r="G43" s="31"/>
      <c r="H43" s="31"/>
      <c r="I43" s="31"/>
      <c r="J43" s="31"/>
      <c r="K43" s="31"/>
      <c r="L43" s="31" t="str">
        <f>+[25]BG!L41</f>
        <v>m2</v>
      </c>
      <c r="M43" s="35">
        <f>+[25]BG!M41</f>
        <v>759</v>
      </c>
      <c r="N43" s="32"/>
      <c r="O43" s="32">
        <f>+N43*M43</f>
        <v>0</v>
      </c>
      <c r="P43" s="33"/>
      <c r="R43" s="30">
        <f t="shared" si="1"/>
        <v>0</v>
      </c>
    </row>
    <row r="44" spans="1:18" s="30" customFormat="1" ht="79.2">
      <c r="A44" s="31">
        <f>+[23]l7!A44</f>
        <v>12</v>
      </c>
      <c r="B44" s="34" t="str">
        <f>+[25]BG!C42</f>
        <v>空調鍍鋅鐵皮排風管3000x500mm EI30, 含製作及安裝 （含越南消防及救護-救難警察局檢定費用）
Ống thoát gió bằng tôn mạ kẽm 3000x500mm, EI30, bao gồm gia công chế tạo và lắp đặt. （Bao gồm chi phí kiểm định của cục cảnh sát pccc &amp; CNCH Việt Nam)</v>
      </c>
      <c r="C44" s="31"/>
      <c r="D44" s="31"/>
      <c r="E44" s="31"/>
      <c r="F44" s="31"/>
      <c r="G44" s="31"/>
      <c r="H44" s="31"/>
      <c r="I44" s="31"/>
      <c r="J44" s="31"/>
      <c r="K44" s="31"/>
      <c r="L44" s="31" t="str">
        <f>+[25]BG!L42</f>
        <v>m2</v>
      </c>
      <c r="M44" s="35">
        <f>+[25]BG!M42</f>
        <v>185</v>
      </c>
      <c r="N44" s="32"/>
      <c r="O44" s="32">
        <f>+N44*M44</f>
        <v>0</v>
      </c>
      <c r="P44" s="33"/>
      <c r="R44" s="30">
        <f t="shared" si="1"/>
        <v>0</v>
      </c>
    </row>
    <row r="45" spans="1:18" s="30" customFormat="1" ht="79.2">
      <c r="A45" s="31">
        <f>+[23]l7!A45</f>
        <v>13</v>
      </c>
      <c r="B45" s="34" t="str">
        <f>+[25]BG!C43</f>
        <v>空調鍍鋅鐵皮排風管3000x300mm EI30, 含製作及安裝 （含越南消防及救護-救難警察局檢定費用）
Ống thoát gió bằng tôn mạ kẽm 3000x300mm, EI30, bao gồm gia công chế tạo và lắp đặt. （Bao gồm chi phí kiểm định của cục cảnh sát pccc &amp; CNCH Việt Nam)</v>
      </c>
      <c r="C45" s="31"/>
      <c r="D45" s="31"/>
      <c r="E45" s="31"/>
      <c r="F45" s="31"/>
      <c r="G45" s="31"/>
      <c r="H45" s="31"/>
      <c r="I45" s="31"/>
      <c r="J45" s="31"/>
      <c r="K45" s="31"/>
      <c r="L45" s="31" t="str">
        <f>+[25]BG!L43</f>
        <v>m2</v>
      </c>
      <c r="M45" s="35">
        <f>+[25]BG!M43</f>
        <v>981</v>
      </c>
      <c r="N45" s="32"/>
      <c r="O45" s="32">
        <f t="shared" ref="O45:O71" si="4">+N45*M45</f>
        <v>0</v>
      </c>
      <c r="P45" s="33"/>
      <c r="R45" s="30">
        <f t="shared" si="1"/>
        <v>0</v>
      </c>
    </row>
    <row r="46" spans="1:18" s="30" customFormat="1" ht="39.6">
      <c r="A46" s="31">
        <f>+[23]l7!A46</f>
        <v>14</v>
      </c>
      <c r="B46" s="34" t="str">
        <f>+[25]BG!C44</f>
        <v>大小頭、彎頭、三通等連接配件，含安裝Phụ kiện kết nối côn, cút, tê…. bao gồm lắp đặt</v>
      </c>
      <c r="C46" s="31"/>
      <c r="D46" s="31"/>
      <c r="E46" s="31"/>
      <c r="F46" s="31"/>
      <c r="G46" s="31"/>
      <c r="H46" s="31"/>
      <c r="I46" s="31"/>
      <c r="J46" s="31"/>
      <c r="K46" s="31"/>
      <c r="L46" s="31" t="str">
        <f>+[25]BG!L44</f>
        <v>Khoản
式</v>
      </c>
      <c r="M46" s="35">
        <f>+[25]BG!M44</f>
        <v>1</v>
      </c>
      <c r="N46" s="32"/>
      <c r="O46" s="32">
        <f t="shared" si="4"/>
        <v>0</v>
      </c>
      <c r="P46" s="33"/>
      <c r="R46" s="30">
        <f t="shared" si="1"/>
        <v>0</v>
      </c>
    </row>
    <row r="47" spans="1:18" s="30" customFormat="1" ht="52.8">
      <c r="A47" s="31">
        <f>+[23]l7!A47</f>
        <v>15</v>
      </c>
      <c r="B47" s="34" t="str">
        <f>+[25]BG!C45</f>
        <v>MFD單葉閥2000x350 ，on/off DC 24v電動機, EI45
Van MFD 1 lá 2000x350, động cơ điện on/off DC 24v, EI45</v>
      </c>
      <c r="C47" s="31" t="s">
        <v>123</v>
      </c>
      <c r="D47" s="31" t="s">
        <v>106</v>
      </c>
      <c r="E47" s="31">
        <v>2000</v>
      </c>
      <c r="F47" s="31">
        <v>350</v>
      </c>
      <c r="G47" s="31"/>
      <c r="H47" s="31"/>
      <c r="I47" s="31">
        <v>2</v>
      </c>
      <c r="J47" s="31">
        <v>200</v>
      </c>
      <c r="K47" s="31">
        <v>1.1499999999999999</v>
      </c>
      <c r="L47" s="31" t="str">
        <f>+[25]BG!L45</f>
        <v>Cái
個</v>
      </c>
      <c r="M47" s="35">
        <f>+[25]BG!M45</f>
        <v>18</v>
      </c>
      <c r="N47" s="32">
        <v>9062058.0785234924</v>
      </c>
      <c r="O47" s="32">
        <f t="shared" si="4"/>
        <v>163117045.41342285</v>
      </c>
      <c r="P47" s="33" t="s">
        <v>128</v>
      </c>
      <c r="Q47" s="30">
        <v>7780000</v>
      </c>
      <c r="R47" s="30">
        <f t="shared" si="1"/>
        <v>140040000</v>
      </c>
    </row>
    <row r="48" spans="1:18" s="30" customFormat="1" ht="52.8">
      <c r="A48" s="31">
        <f>+[23]l7!A48</f>
        <v>16</v>
      </c>
      <c r="B48" s="34" t="str">
        <f>+[25]BG!C46</f>
        <v>MFD單葉閥1500x350 ，on/off DC 24v電動機, EI45
Van MFD 1 lá 1500x350, động cơ điện on/off DC 24v, EI45</v>
      </c>
      <c r="C48" s="31" t="s">
        <v>123</v>
      </c>
      <c r="D48" s="31" t="s">
        <v>106</v>
      </c>
      <c r="E48" s="31">
        <v>1500</v>
      </c>
      <c r="F48" s="31">
        <v>350</v>
      </c>
      <c r="G48" s="31"/>
      <c r="H48" s="31"/>
      <c r="I48" s="31"/>
      <c r="J48" s="31">
        <v>200</v>
      </c>
      <c r="K48" s="31">
        <v>1.1499999999999999</v>
      </c>
      <c r="L48" s="31" t="str">
        <f>+[25]BG!L46</f>
        <v>Cái
個</v>
      </c>
      <c r="M48" s="35">
        <f>+[25]BG!M46</f>
        <v>20</v>
      </c>
      <c r="N48" s="32">
        <v>5558304.280369129</v>
      </c>
      <c r="O48" s="32">
        <f t="shared" si="4"/>
        <v>111166085.60738258</v>
      </c>
      <c r="P48" s="33" t="s">
        <v>128</v>
      </c>
      <c r="Q48" s="30">
        <v>7270000</v>
      </c>
      <c r="R48" s="30">
        <f t="shared" si="1"/>
        <v>145400000</v>
      </c>
    </row>
    <row r="49" spans="1:18" s="30" customFormat="1" ht="52.8">
      <c r="A49" s="31">
        <f>+[23]l7!A49</f>
        <v>17</v>
      </c>
      <c r="B49" s="34" t="str">
        <f>+[25]BG!C47</f>
        <v>MFD單葉閥1500x300 ，on/off DC 24v電動機, EI45
Van MFD 1 lá 1500x300, động cơ điện on/off DC 24v, EI45</v>
      </c>
      <c r="C49" s="31" t="s">
        <v>123</v>
      </c>
      <c r="D49" s="31" t="s">
        <v>106</v>
      </c>
      <c r="E49" s="31">
        <v>1500</v>
      </c>
      <c r="F49" s="31">
        <v>300</v>
      </c>
      <c r="G49" s="31"/>
      <c r="H49" s="31"/>
      <c r="I49" s="31"/>
      <c r="J49" s="31">
        <v>200</v>
      </c>
      <c r="K49" s="31">
        <v>1.1499999999999999</v>
      </c>
      <c r="L49" s="31" t="str">
        <f>+[25]BG!L47</f>
        <v>Cái
個</v>
      </c>
      <c r="M49" s="35">
        <f>+[25]BG!M47</f>
        <v>24</v>
      </c>
      <c r="N49" s="32">
        <v>5347878.2446308741</v>
      </c>
      <c r="O49" s="32">
        <f t="shared" si="4"/>
        <v>128349077.87114099</v>
      </c>
      <c r="P49" s="33" t="s">
        <v>128</v>
      </c>
      <c r="Q49" s="30">
        <v>7160000</v>
      </c>
      <c r="R49" s="30">
        <f t="shared" si="1"/>
        <v>171840000</v>
      </c>
    </row>
    <row r="50" spans="1:18" s="30" customFormat="1" ht="52.8">
      <c r="A50" s="31">
        <f>+[23]l7!A50</f>
        <v>18</v>
      </c>
      <c r="B50" s="34" t="str">
        <f>+[25]BG!C48</f>
        <v>MFD單葉閥1050x1200 ，on/off DC 24v電動機, EI45
Van MFD 1 lá 1050x1200, động cơ điện on/off DC 24v, EI45</v>
      </c>
      <c r="C50" s="31" t="s">
        <v>123</v>
      </c>
      <c r="D50" s="31" t="s">
        <v>106</v>
      </c>
      <c r="E50" s="31">
        <v>1050</v>
      </c>
      <c r="F50" s="31">
        <v>1200</v>
      </c>
      <c r="G50" s="31"/>
      <c r="H50" s="31"/>
      <c r="I50" s="31">
        <v>2</v>
      </c>
      <c r="J50" s="31">
        <v>200</v>
      </c>
      <c r="K50" s="31">
        <v>1.1499999999999999</v>
      </c>
      <c r="L50" s="31" t="str">
        <f>+[25]BG!L48</f>
        <v>Cái
個</v>
      </c>
      <c r="M50" s="35">
        <f>+[25]BG!M48</f>
        <v>36</v>
      </c>
      <c r="N50" s="32">
        <v>10949385.829932887</v>
      </c>
      <c r="O50" s="32">
        <f t="shared" si="4"/>
        <v>394177889.87758392</v>
      </c>
      <c r="P50" s="33" t="s">
        <v>128</v>
      </c>
      <c r="Q50" s="30">
        <v>8260000</v>
      </c>
      <c r="R50" s="30">
        <f t="shared" si="1"/>
        <v>297360000</v>
      </c>
    </row>
    <row r="51" spans="1:18" s="30" customFormat="1" ht="52.8">
      <c r="A51" s="31">
        <f>+[23]l7!A51</f>
        <v>19</v>
      </c>
      <c r="B51" s="34" t="str">
        <f>+[25]BG!C49</f>
        <v>MFD單葉閥1200x300 ，on/off DC 24v電動機, EI45
Van MFD 1 lá 1200x300, động cơ điện on/off DC 24v, EI45</v>
      </c>
      <c r="C51" s="31" t="s">
        <v>123</v>
      </c>
      <c r="D51" s="31" t="s">
        <v>106</v>
      </c>
      <c r="E51" s="31">
        <v>1200</v>
      </c>
      <c r="F51" s="31">
        <v>300</v>
      </c>
      <c r="G51" s="31"/>
      <c r="H51" s="31"/>
      <c r="I51" s="31"/>
      <c r="J51" s="31">
        <v>200</v>
      </c>
      <c r="K51" s="31">
        <v>1.1499999999999999</v>
      </c>
      <c r="L51" s="31" t="str">
        <f>+[25]BG!L49</f>
        <v>Cái
個</v>
      </c>
      <c r="M51" s="35">
        <f>+[25]BG!M49</f>
        <v>12</v>
      </c>
      <c r="N51" s="32">
        <v>4760039.7769127525</v>
      </c>
      <c r="O51" s="32">
        <f t="shared" si="4"/>
        <v>57120477.32295303</v>
      </c>
      <c r="P51" s="33" t="s">
        <v>128</v>
      </c>
      <c r="Q51" s="30">
        <v>4120000</v>
      </c>
      <c r="R51" s="30">
        <f t="shared" si="1"/>
        <v>49440000</v>
      </c>
    </row>
    <row r="52" spans="1:18" s="30" customFormat="1" ht="26.4">
      <c r="A52" s="31">
        <f>+[23]l7!A52</f>
        <v>20</v>
      </c>
      <c r="B52" s="34" t="str">
        <f>+[25]BG!C50</f>
        <v>MD單葉閥4700x1500 ，on/off DC 24v電動機
Van MD 1 lá 4700x1500, động cơ điện on/off DC 24v</v>
      </c>
      <c r="C52" s="31" t="s">
        <v>42</v>
      </c>
      <c r="D52" s="31" t="s">
        <v>106</v>
      </c>
      <c r="E52" s="31">
        <v>4700</v>
      </c>
      <c r="F52" s="31">
        <v>1500</v>
      </c>
      <c r="G52" s="31"/>
      <c r="H52" s="31"/>
      <c r="I52" s="31"/>
      <c r="J52" s="31">
        <v>200</v>
      </c>
      <c r="K52" s="31">
        <v>1.1499999999999999</v>
      </c>
      <c r="L52" s="31" t="str">
        <f>+[25]BG!L50</f>
        <v>Cái
個</v>
      </c>
      <c r="M52" s="35">
        <f>+[25]BG!M50</f>
        <v>2</v>
      </c>
      <c r="N52" s="32">
        <v>12463500</v>
      </c>
      <c r="O52" s="32">
        <f t="shared" si="4"/>
        <v>24927000</v>
      </c>
      <c r="P52" s="33" t="s">
        <v>130</v>
      </c>
      <c r="Q52" s="30">
        <v>12339000</v>
      </c>
      <c r="R52" s="30">
        <f t="shared" si="1"/>
        <v>24678000</v>
      </c>
    </row>
    <row r="53" spans="1:18" s="30" customFormat="1" ht="26.4">
      <c r="A53" s="31">
        <f>+[23]l7!A53</f>
        <v>21</v>
      </c>
      <c r="B53" s="34" t="str">
        <f>+[25]BG!C51</f>
        <v>MD單葉閥4500x1000 ，on/off DC 24v電動機
Van MD 1 lá 4500x1000, động cơ điện on/off DC 24v</v>
      </c>
      <c r="C53" s="31" t="s">
        <v>42</v>
      </c>
      <c r="D53" s="31" t="s">
        <v>106</v>
      </c>
      <c r="E53" s="31">
        <v>4500</v>
      </c>
      <c r="F53" s="31">
        <v>1000</v>
      </c>
      <c r="G53" s="31"/>
      <c r="H53" s="31"/>
      <c r="I53" s="31"/>
      <c r="J53" s="31">
        <v>200</v>
      </c>
      <c r="K53" s="31">
        <v>1.1499999999999999</v>
      </c>
      <c r="L53" s="31" t="str">
        <f>+[25]BG!L51</f>
        <v>Cái
個</v>
      </c>
      <c r="M53" s="35">
        <f>+[25]BG!M51</f>
        <v>26</v>
      </c>
      <c r="N53" s="32">
        <v>7523250</v>
      </c>
      <c r="O53" s="32">
        <f t="shared" si="4"/>
        <v>195604500</v>
      </c>
      <c r="P53" s="33" t="s">
        <v>129</v>
      </c>
      <c r="Q53" s="30">
        <v>10260000</v>
      </c>
      <c r="R53" s="30">
        <f t="shared" si="1"/>
        <v>266760000</v>
      </c>
    </row>
    <row r="54" spans="1:18" s="30" customFormat="1" ht="26.4">
      <c r="A54" s="31">
        <f>+[23]l7!A54</f>
        <v>22</v>
      </c>
      <c r="B54" s="34" t="str">
        <f>+[25]BG!C52</f>
        <v>MD單葉閥4500x800 ，on/off DC 24v電動機
Van MD 1 lá 4500x800, động cơ điện on/off DC 24v</v>
      </c>
      <c r="C54" s="31" t="s">
        <v>42</v>
      </c>
      <c r="D54" s="31" t="s">
        <v>106</v>
      </c>
      <c r="E54" s="31">
        <v>4500</v>
      </c>
      <c r="F54" s="31">
        <v>800</v>
      </c>
      <c r="G54" s="31"/>
      <c r="H54" s="31"/>
      <c r="I54" s="31"/>
      <c r="J54" s="31">
        <v>200</v>
      </c>
      <c r="K54" s="31">
        <v>1.1499999999999999</v>
      </c>
      <c r="L54" s="31" t="str">
        <f>+[25]BG!L52</f>
        <v>Cái
個</v>
      </c>
      <c r="M54" s="35">
        <f>+[25]BG!M52</f>
        <v>16</v>
      </c>
      <c r="N54" s="32">
        <v>7168875</v>
      </c>
      <c r="O54" s="32">
        <f t="shared" si="4"/>
        <v>114702000</v>
      </c>
      <c r="P54" s="33" t="s">
        <v>129</v>
      </c>
      <c r="Q54" s="30">
        <v>9546000</v>
      </c>
      <c r="R54" s="30">
        <f t="shared" si="1"/>
        <v>152736000</v>
      </c>
    </row>
    <row r="55" spans="1:18" s="30" customFormat="1" ht="26.4">
      <c r="A55" s="31">
        <f>+[23]l7!A55</f>
        <v>23</v>
      </c>
      <c r="B55" s="34" t="str">
        <f>+[25]BG!C53</f>
        <v>MD單葉閥3500x1600 ，on/off DC 24v電動機
Van MD 1 lá 3500x1600, động cơ điện on/off DC 24v</v>
      </c>
      <c r="C55" s="31" t="s">
        <v>42</v>
      </c>
      <c r="D55" s="31" t="s">
        <v>106</v>
      </c>
      <c r="E55" s="31">
        <v>3500</v>
      </c>
      <c r="F55" s="31">
        <v>1600</v>
      </c>
      <c r="G55" s="31"/>
      <c r="H55" s="31"/>
      <c r="I55" s="31"/>
      <c r="J55" s="31">
        <v>200</v>
      </c>
      <c r="K55" s="31">
        <v>1.1499999999999999</v>
      </c>
      <c r="L55" s="31" t="str">
        <f>+[25]BG!L53</f>
        <v>Cái
個</v>
      </c>
      <c r="M55" s="35">
        <f>+[25]BG!M53</f>
        <v>2</v>
      </c>
      <c r="N55" s="32">
        <v>8081062.5</v>
      </c>
      <c r="O55" s="32">
        <f t="shared" si="4"/>
        <v>16162125</v>
      </c>
      <c r="P55" s="33" t="s">
        <v>129</v>
      </c>
      <c r="Q55" s="30">
        <v>9662000</v>
      </c>
      <c r="R55" s="30">
        <f t="shared" si="1"/>
        <v>19324000</v>
      </c>
    </row>
    <row r="56" spans="1:18" s="30" customFormat="1" ht="26.4">
      <c r="A56" s="31">
        <f>+[23]l7!A56</f>
        <v>24</v>
      </c>
      <c r="B56" s="34" t="str">
        <f>+[25]BG!C54</f>
        <v>MD單葉閥3000x1500 ，on/off DC 24v電動機
Van MD 1 lá 3000x1500, động cơ điện on/off DC 24v</v>
      </c>
      <c r="C56" s="31" t="s">
        <v>42</v>
      </c>
      <c r="D56" s="31" t="s">
        <v>106</v>
      </c>
      <c r="E56" s="31">
        <v>3000</v>
      </c>
      <c r="F56" s="31">
        <v>1500</v>
      </c>
      <c r="G56" s="31"/>
      <c r="H56" s="31"/>
      <c r="I56" s="31"/>
      <c r="J56" s="31">
        <v>200</v>
      </c>
      <c r="K56" s="31">
        <v>1.1499999999999999</v>
      </c>
      <c r="L56" s="31" t="str">
        <f>+[25]BG!L54</f>
        <v>Cái
個</v>
      </c>
      <c r="M56" s="35">
        <f>+[25]BG!M54</f>
        <v>12</v>
      </c>
      <c r="N56" s="32">
        <v>7372312.5</v>
      </c>
      <c r="O56" s="32">
        <f t="shared" si="4"/>
        <v>88467750</v>
      </c>
      <c r="P56" s="33" t="s">
        <v>129</v>
      </c>
      <c r="Q56" s="30">
        <v>8640000</v>
      </c>
      <c r="R56" s="30">
        <f t="shared" si="1"/>
        <v>103680000</v>
      </c>
    </row>
    <row r="57" spans="1:18" s="30" customFormat="1" ht="26.4">
      <c r="A57" s="31">
        <f>+[23]l7!A57</f>
        <v>25</v>
      </c>
      <c r="B57" s="34" t="str">
        <f>+[25]BG!C55</f>
        <v>MD單葉閥2500x1500 ，on/off DC 24v電動機
Van MD 1 lá 2500x1500, động cơ điện on/off DC 24v</v>
      </c>
      <c r="C57" s="31" t="s">
        <v>42</v>
      </c>
      <c r="D57" s="31" t="s">
        <v>106</v>
      </c>
      <c r="E57" s="31">
        <v>2500</v>
      </c>
      <c r="F57" s="31">
        <v>1500</v>
      </c>
      <c r="G57" s="31"/>
      <c r="H57" s="31"/>
      <c r="I57" s="31"/>
      <c r="J57" s="31">
        <v>200</v>
      </c>
      <c r="K57" s="31">
        <v>1.1499999999999999</v>
      </c>
      <c r="L57" s="31" t="str">
        <f>+[25]BG!L55</f>
        <v>Cái
個</v>
      </c>
      <c r="M57" s="35">
        <f>+[25]BG!M55</f>
        <v>2</v>
      </c>
      <c r="N57" s="32">
        <v>6863062.5</v>
      </c>
      <c r="O57" s="32">
        <f t="shared" si="4"/>
        <v>13726125</v>
      </c>
      <c r="P57" s="33" t="s">
        <v>129</v>
      </c>
      <c r="Q57" s="30">
        <v>6705000</v>
      </c>
      <c r="R57" s="30">
        <f t="shared" si="1"/>
        <v>13410000</v>
      </c>
    </row>
    <row r="58" spans="1:18" s="30" customFormat="1" ht="26.4">
      <c r="A58" s="31">
        <f>+[23]l7!A58</f>
        <v>26</v>
      </c>
      <c r="B58" s="34" t="str">
        <f>+[25]BG!C56</f>
        <v>MD單葉閥2300x1500 ，on/off DC 24v電動機
Van MD 1 lá 2300x1500, động cơ điện on/off DC 24v</v>
      </c>
      <c r="C58" s="31" t="s">
        <v>42</v>
      </c>
      <c r="D58" s="31" t="s">
        <v>106</v>
      </c>
      <c r="E58" s="31">
        <v>2300</v>
      </c>
      <c r="F58" s="31">
        <v>1500</v>
      </c>
      <c r="G58" s="31"/>
      <c r="H58" s="31"/>
      <c r="I58" s="31"/>
      <c r="J58" s="31">
        <v>200</v>
      </c>
      <c r="K58" s="31">
        <v>1.1499999999999999</v>
      </c>
      <c r="L58" s="31" t="str">
        <f>+[25]BG!L56</f>
        <v>Cái
個</v>
      </c>
      <c r="M58" s="35">
        <f>+[25]BG!M56</f>
        <v>2</v>
      </c>
      <c r="N58" s="32">
        <v>6659625</v>
      </c>
      <c r="O58" s="32">
        <f t="shared" si="4"/>
        <v>13319250</v>
      </c>
      <c r="P58" s="33" t="s">
        <v>129</v>
      </c>
      <c r="Q58" s="30">
        <v>6411000</v>
      </c>
      <c r="R58" s="30">
        <f t="shared" si="1"/>
        <v>12822000</v>
      </c>
    </row>
    <row r="59" spans="1:18" s="30" customFormat="1" ht="26.4">
      <c r="A59" s="31">
        <f>+[23]l7!A59</f>
        <v>27</v>
      </c>
      <c r="B59" s="34" t="str">
        <f>+[25]BG!C57</f>
        <v>MD單葉閥2000x2000 ，on/off DC 24v電動機
Van MD 1 lá 2000x2000, động cơ điện on/off DC 24v</v>
      </c>
      <c r="C59" s="31" t="s">
        <v>42</v>
      </c>
      <c r="D59" s="31" t="s">
        <v>106</v>
      </c>
      <c r="E59" s="31">
        <v>2000</v>
      </c>
      <c r="F59" s="31">
        <v>2000</v>
      </c>
      <c r="G59" s="31"/>
      <c r="H59" s="31"/>
      <c r="I59" s="31"/>
      <c r="J59" s="31">
        <v>200</v>
      </c>
      <c r="K59" s="31">
        <v>1.1499999999999999</v>
      </c>
      <c r="L59" s="31" t="str">
        <f>+[25]BG!L57</f>
        <v>Cái
個</v>
      </c>
      <c r="M59" s="35">
        <f>+[25]BG!M57</f>
        <v>9</v>
      </c>
      <c r="N59" s="32">
        <v>6985125</v>
      </c>
      <c r="O59" s="32">
        <f t="shared" si="4"/>
        <v>62866125</v>
      </c>
      <c r="P59" s="33" t="s">
        <v>129</v>
      </c>
      <c r="Q59" s="30">
        <v>6880000</v>
      </c>
      <c r="R59" s="30">
        <f t="shared" si="1"/>
        <v>61920000</v>
      </c>
    </row>
    <row r="60" spans="1:18" s="30" customFormat="1" ht="26.4">
      <c r="A60" s="31"/>
      <c r="B60" s="34" t="str">
        <f>+[25]BG!C58</f>
        <v>MD單葉閥2000x1500 ，on/off DC 24v電動機
Van MD 1 lá 2000x1500, động cơ điện on/off DC 24v</v>
      </c>
      <c r="C60" s="31" t="s">
        <v>42</v>
      </c>
      <c r="D60" s="31" t="s">
        <v>106</v>
      </c>
      <c r="E60" s="31">
        <v>2000</v>
      </c>
      <c r="F60" s="31">
        <v>1500</v>
      </c>
      <c r="G60" s="31"/>
      <c r="H60" s="31"/>
      <c r="I60" s="31"/>
      <c r="J60" s="31">
        <v>200</v>
      </c>
      <c r="K60" s="31">
        <v>1.1499999999999999</v>
      </c>
      <c r="L60" s="31" t="str">
        <f>+[25]BG!L58</f>
        <v>Cái
個</v>
      </c>
      <c r="M60" s="35">
        <f>+[25]BG!M58</f>
        <v>4</v>
      </c>
      <c r="N60" s="32">
        <v>6353812.5</v>
      </c>
      <c r="O60" s="32">
        <f t="shared" si="4"/>
        <v>25415250</v>
      </c>
      <c r="P60" s="33" t="s">
        <v>129</v>
      </c>
      <c r="Q60" s="30">
        <v>5970000</v>
      </c>
      <c r="R60" s="30">
        <f t="shared" si="1"/>
        <v>23880000</v>
      </c>
    </row>
    <row r="61" spans="1:18" s="30" customFormat="1" ht="26.4">
      <c r="A61" s="31">
        <f>+[23]l7!A61</f>
        <v>1</v>
      </c>
      <c r="B61" s="34" t="str">
        <f>+[25]BG!C59</f>
        <v>MD單葉閥1500x1500 ，on/off DC 24v電動機
Van MD 1 lá 1500x1500, động cơ điện on/off DC 24v</v>
      </c>
      <c r="C61" s="31" t="s">
        <v>42</v>
      </c>
      <c r="D61" s="31" t="s">
        <v>106</v>
      </c>
      <c r="E61" s="31">
        <v>1500</v>
      </c>
      <c r="F61" s="31">
        <v>1500</v>
      </c>
      <c r="G61" s="31"/>
      <c r="H61" s="31"/>
      <c r="I61" s="31"/>
      <c r="J61" s="31">
        <v>200</v>
      </c>
      <c r="K61" s="31">
        <v>1.1499999999999999</v>
      </c>
      <c r="L61" s="31" t="str">
        <f>+[25]BG!L59</f>
        <v>Cái
個</v>
      </c>
      <c r="M61" s="35">
        <f>+[25]BG!M59</f>
        <v>33</v>
      </c>
      <c r="N61" s="32">
        <v>5844562.5</v>
      </c>
      <c r="O61" s="32">
        <f t="shared" si="4"/>
        <v>192870562.5</v>
      </c>
      <c r="P61" s="33" t="s">
        <v>129</v>
      </c>
      <c r="Q61" s="30">
        <v>4035000</v>
      </c>
      <c r="R61" s="30">
        <f t="shared" si="1"/>
        <v>133155000</v>
      </c>
    </row>
    <row r="62" spans="1:18" s="30" customFormat="1" ht="26.4">
      <c r="A62" s="31">
        <f>+[23]l7!A62</f>
        <v>2</v>
      </c>
      <c r="B62" s="34" t="str">
        <f>+[25]BG!C60</f>
        <v>MD單葉閥1300x700 ，on/off DC 24v電動機
Van MD 1 lá 1300x700, động cơ điện on/off DC 24v</v>
      </c>
      <c r="C62" s="31" t="s">
        <v>42</v>
      </c>
      <c r="D62" s="31" t="s">
        <v>106</v>
      </c>
      <c r="E62" s="31">
        <v>1300</v>
      </c>
      <c r="F62" s="31">
        <v>700</v>
      </c>
      <c r="G62" s="31"/>
      <c r="H62" s="31"/>
      <c r="I62" s="31"/>
      <c r="J62" s="31">
        <v>200</v>
      </c>
      <c r="K62" s="31">
        <v>1.1499999999999999</v>
      </c>
      <c r="L62" s="31" t="str">
        <f>+[25]BG!L60</f>
        <v>Cái
個</v>
      </c>
      <c r="M62" s="35">
        <f>+[25]BG!M60</f>
        <v>8</v>
      </c>
      <c r="N62" s="32">
        <v>2383500</v>
      </c>
      <c r="O62" s="32">
        <f t="shared" si="4"/>
        <v>19068000</v>
      </c>
      <c r="P62" s="33" t="s">
        <v>132</v>
      </c>
      <c r="Q62" s="30">
        <v>2677000</v>
      </c>
      <c r="R62" s="30">
        <f t="shared" si="1"/>
        <v>21416000</v>
      </c>
    </row>
    <row r="63" spans="1:18" s="30" customFormat="1" ht="26.4">
      <c r="A63" s="31">
        <f>+[23]l7!A63</f>
        <v>3</v>
      </c>
      <c r="B63" s="34" t="str">
        <f>+[25]BG!C61</f>
        <v>MD單葉閥1000x1000 ，on/off DC 24v電動機
Van MD 1 lá 1000x1000, động cơ điện on/off DC 24v</v>
      </c>
      <c r="C63" s="31" t="s">
        <v>42</v>
      </c>
      <c r="D63" s="31" t="s">
        <v>106</v>
      </c>
      <c r="E63" s="31">
        <v>1000</v>
      </c>
      <c r="F63" s="31">
        <v>1000</v>
      </c>
      <c r="G63" s="31"/>
      <c r="H63" s="31"/>
      <c r="I63" s="31"/>
      <c r="J63" s="31">
        <v>200</v>
      </c>
      <c r="K63" s="31">
        <v>1.1499999999999999</v>
      </c>
      <c r="L63" s="31" t="str">
        <f>+[25]BG!L61</f>
        <v>Cái
個</v>
      </c>
      <c r="M63" s="35">
        <f>+[25]BG!M61</f>
        <v>12</v>
      </c>
      <c r="N63" s="32">
        <v>2287687.5</v>
      </c>
      <c r="O63" s="32">
        <f t="shared" si="4"/>
        <v>27452250</v>
      </c>
      <c r="P63" s="33" t="s">
        <v>132</v>
      </c>
      <c r="Q63" s="30">
        <v>2740000</v>
      </c>
      <c r="R63" s="30">
        <f t="shared" si="1"/>
        <v>32880000</v>
      </c>
    </row>
    <row r="64" spans="1:18" s="30" customFormat="1" ht="26.4">
      <c r="A64" s="31">
        <f>+[23]l7!A64</f>
        <v>4</v>
      </c>
      <c r="B64" s="34" t="str">
        <f>+[25]BG!C62</f>
        <v>MD單葉閥1000x700 ，on/off DC 24v電動機
Van MD 1 lá 1000x700, động cơ điện on/off DC 24v</v>
      </c>
      <c r="C64" s="31" t="s">
        <v>42</v>
      </c>
      <c r="D64" s="31" t="s">
        <v>106</v>
      </c>
      <c r="E64" s="31">
        <v>1000</v>
      </c>
      <c r="F64" s="31">
        <v>700</v>
      </c>
      <c r="G64" s="31"/>
      <c r="H64" s="31"/>
      <c r="I64" s="31"/>
      <c r="J64" s="31">
        <v>200</v>
      </c>
      <c r="K64" s="31">
        <v>1.1499999999999999</v>
      </c>
      <c r="L64" s="31" t="str">
        <f>+[25]BG!L62</f>
        <v>Cái
個</v>
      </c>
      <c r="M64" s="35">
        <f>+[25]BG!M62</f>
        <v>16</v>
      </c>
      <c r="N64" s="32">
        <v>2054062.5</v>
      </c>
      <c r="O64" s="32">
        <f t="shared" si="4"/>
        <v>32865000</v>
      </c>
      <c r="P64" s="33" t="s">
        <v>132</v>
      </c>
      <c r="Q64" s="30">
        <v>2404000</v>
      </c>
      <c r="R64" s="30">
        <f t="shared" si="1"/>
        <v>38464000</v>
      </c>
    </row>
    <row r="65" spans="1:18" s="30" customFormat="1" ht="26.4">
      <c r="A65" s="31">
        <f>+[23]l7!A65</f>
        <v>5</v>
      </c>
      <c r="B65" s="34" t="str">
        <f>+[25]BG!C63</f>
        <v>1800×1500止回阀安装 Van 1 chiều 1800x1500</v>
      </c>
      <c r="C65" s="31" t="s">
        <v>57</v>
      </c>
      <c r="D65" s="31" t="s">
        <v>106</v>
      </c>
      <c r="E65" s="31">
        <v>1800</v>
      </c>
      <c r="F65" s="31">
        <v>1500</v>
      </c>
      <c r="G65" s="31"/>
      <c r="H65" s="31"/>
      <c r="I65" s="31"/>
      <c r="J65" s="31">
        <v>200</v>
      </c>
      <c r="K65" s="31">
        <v>1.1499999999999999</v>
      </c>
      <c r="L65" s="31" t="str">
        <f>+[25]BG!L63</f>
        <v>Cái
個</v>
      </c>
      <c r="M65" s="35">
        <f>+[25]BG!M63</f>
        <v>9</v>
      </c>
      <c r="N65" s="32">
        <v>2523750</v>
      </c>
      <c r="O65" s="32">
        <f t="shared" si="4"/>
        <v>22713750</v>
      </c>
      <c r="P65" s="33"/>
      <c r="Q65" s="30">
        <v>3276000</v>
      </c>
      <c r="R65" s="30">
        <f t="shared" si="1"/>
        <v>29484000</v>
      </c>
    </row>
    <row r="66" spans="1:18" s="30" customFormat="1" ht="26.4">
      <c r="A66" s="31">
        <f>+[23]l7!A66</f>
        <v>6</v>
      </c>
      <c r="B66" s="34" t="str">
        <f>+[25]BG!C64</f>
        <v>1200×1000止回阀安装 Van 1 chiều 1200x1000</v>
      </c>
      <c r="C66" s="31" t="s">
        <v>57</v>
      </c>
      <c r="D66" s="31" t="s">
        <v>106</v>
      </c>
      <c r="E66" s="31">
        <v>1200</v>
      </c>
      <c r="F66" s="31">
        <v>1000</v>
      </c>
      <c r="G66" s="31"/>
      <c r="H66" s="31"/>
      <c r="I66" s="31"/>
      <c r="J66" s="31">
        <v>200</v>
      </c>
      <c r="K66" s="31">
        <v>1.1499999999999999</v>
      </c>
      <c r="L66" s="31" t="str">
        <f>+[25]BG!L64</f>
        <v>Cái
個</v>
      </c>
      <c r="M66" s="35">
        <f>+[25]BG!M64</f>
        <v>7</v>
      </c>
      <c r="N66" s="32">
        <v>1526250</v>
      </c>
      <c r="O66" s="32">
        <f t="shared" si="4"/>
        <v>10683750</v>
      </c>
      <c r="P66" s="33"/>
      <c r="Q66" s="30">
        <v>1764000</v>
      </c>
      <c r="R66" s="30">
        <f t="shared" si="1"/>
        <v>12348000</v>
      </c>
    </row>
    <row r="67" spans="1:18" s="30" customFormat="1" ht="26.4">
      <c r="A67" s="31">
        <f>+[23]l7!A67</f>
        <v>7</v>
      </c>
      <c r="B67" s="34" t="str">
        <f>+[25]BG!C65</f>
        <v>500×500配重式泄压阀安装 Van xả áp kiểu đối trọng KT:500x500</v>
      </c>
      <c r="C67" s="31" t="s">
        <v>171</v>
      </c>
      <c r="D67" s="31" t="s">
        <v>106</v>
      </c>
      <c r="E67" s="31">
        <v>500</v>
      </c>
      <c r="F67" s="31">
        <v>500</v>
      </c>
      <c r="G67" s="31"/>
      <c r="H67" s="31"/>
      <c r="I67" s="31"/>
      <c r="J67" s="31">
        <v>200</v>
      </c>
      <c r="K67" s="31">
        <v>1.1499999999999999</v>
      </c>
      <c r="L67" s="31" t="str">
        <f>+[25]BG!L65</f>
        <v>Cái
個</v>
      </c>
      <c r="M67" s="35">
        <f>+[25]BG!M65</f>
        <v>59</v>
      </c>
      <c r="N67" s="32">
        <v>755000</v>
      </c>
      <c r="O67" s="32">
        <f t="shared" si="4"/>
        <v>44545000</v>
      </c>
      <c r="P67" s="33"/>
      <c r="Q67" s="30">
        <v>455000</v>
      </c>
      <c r="R67" s="30">
        <f t="shared" si="1"/>
        <v>26845000</v>
      </c>
    </row>
    <row r="68" spans="1:18" s="30" customFormat="1" ht="52.8">
      <c r="A68" s="31">
        <f>+[23]l7!A68</f>
        <v>8</v>
      </c>
      <c r="B68" s="34" t="str">
        <f>+[25]BG!C66</f>
        <v>L50x50x5mm吊架，含製造與施工（含一道底漆，及兩道乳白色面漆）
Giá treo L50x50x5mm bao gồm chế tạo và thi công ( gồm sơn 1 lớp sơn lót và 2 lớp sơn phủ màu sữa)</v>
      </c>
      <c r="C68" s="31"/>
      <c r="D68" s="31"/>
      <c r="E68" s="31"/>
      <c r="F68" s="31"/>
      <c r="G68" s="31"/>
      <c r="H68" s="31"/>
      <c r="I68" s="31"/>
      <c r="J68" s="31"/>
      <c r="K68" s="31"/>
      <c r="L68" s="31" t="str">
        <f>+[25]BG!L66</f>
        <v>套
Bộ</v>
      </c>
      <c r="M68" s="35">
        <f>+[25]BG!M66</f>
        <v>2097</v>
      </c>
      <c r="N68" s="32"/>
      <c r="O68" s="32">
        <f t="shared" si="4"/>
        <v>0</v>
      </c>
      <c r="P68" s="33"/>
      <c r="R68" s="30">
        <f t="shared" si="1"/>
        <v>0</v>
      </c>
    </row>
    <row r="69" spans="1:18" s="30" customFormat="1" ht="39.6">
      <c r="A69" s="31">
        <f>+[23]l7!A69</f>
        <v>9</v>
      </c>
      <c r="B69" s="34" t="str">
        <f>+[25]BG!C67</f>
        <v>Khớp nối mềm kèm bích đầu quạt Bao gồm nhân công phụ kiện lắp đặt
軟接頭含抽煙機頭法蘭。含配件及安裝</v>
      </c>
      <c r="C69" s="31"/>
      <c r="D69" s="31"/>
      <c r="E69" s="31"/>
      <c r="F69" s="31"/>
      <c r="G69" s="31"/>
      <c r="H69" s="31"/>
      <c r="I69" s="31"/>
      <c r="J69" s="31"/>
      <c r="K69" s="31"/>
      <c r="L69" s="31" t="str">
        <f>+[25]BG!L67</f>
        <v>個
Cái</v>
      </c>
      <c r="M69" s="35">
        <f>+[25]BG!M67</f>
        <v>31</v>
      </c>
      <c r="N69" s="32"/>
      <c r="O69" s="32">
        <f t="shared" si="4"/>
        <v>0</v>
      </c>
      <c r="P69" s="33"/>
      <c r="R69" s="30">
        <f t="shared" si="1"/>
        <v>0</v>
      </c>
    </row>
    <row r="70" spans="1:18" s="30" customFormat="1" ht="39.6">
      <c r="A70" s="31"/>
      <c r="B70" s="34" t="str">
        <f>+[25]BG!C68</f>
        <v>Cửa gió louver thải khói + lưới chắn côn trùng 1800x1500
louver風門排煙+擋昆蟲網1800x1500</v>
      </c>
      <c r="C70" s="31" t="s">
        <v>133</v>
      </c>
      <c r="D70" s="31" t="s">
        <v>106</v>
      </c>
      <c r="E70" s="31">
        <v>1800</v>
      </c>
      <c r="F70" s="31">
        <v>1500</v>
      </c>
      <c r="G70" s="31"/>
      <c r="H70" s="31"/>
      <c r="I70" s="31"/>
      <c r="J70" s="31">
        <v>200</v>
      </c>
      <c r="K70" s="31">
        <v>1.1499999999999999</v>
      </c>
      <c r="L70" s="31" t="str">
        <f>+[25]BG!L68</f>
        <v>個
Cái</v>
      </c>
      <c r="M70" s="35">
        <f>+[25]BG!M68</f>
        <v>9</v>
      </c>
      <c r="N70" s="32">
        <v>3285414.0000000005</v>
      </c>
      <c r="O70" s="32">
        <f t="shared" si="4"/>
        <v>29568726.000000004</v>
      </c>
      <c r="P70" s="33" t="s">
        <v>127</v>
      </c>
      <c r="Q70" s="30">
        <v>3400000</v>
      </c>
      <c r="R70" s="30">
        <f t="shared" si="1"/>
        <v>30600000</v>
      </c>
    </row>
    <row r="71" spans="1:18" s="30" customFormat="1" ht="39.6">
      <c r="A71" s="31"/>
      <c r="B71" s="34" t="str">
        <f>+[25]BG!C69</f>
        <v>Cửa gió louver thải khói + lưới chắn côn trùng 1200x1000
louver風門排煙+擋昆蟲網1200x1000</v>
      </c>
      <c r="C71" s="31" t="s">
        <v>133</v>
      </c>
      <c r="D71" s="31" t="s">
        <v>106</v>
      </c>
      <c r="E71" s="31">
        <v>1200</v>
      </c>
      <c r="F71" s="31">
        <v>1000</v>
      </c>
      <c r="G71" s="31"/>
      <c r="H71" s="31"/>
      <c r="I71" s="31"/>
      <c r="J71" s="31">
        <v>200</v>
      </c>
      <c r="K71" s="31">
        <v>1.1499999999999999</v>
      </c>
      <c r="L71" s="31" t="str">
        <f>+[25]BG!L69</f>
        <v>個
Cái</v>
      </c>
      <c r="M71" s="35">
        <f>+[25]BG!M69</f>
        <v>7</v>
      </c>
      <c r="N71" s="32">
        <v>1500741.0000000002</v>
      </c>
      <c r="O71" s="32">
        <f t="shared" si="4"/>
        <v>10505187.000000002</v>
      </c>
      <c r="P71" s="33" t="s">
        <v>127</v>
      </c>
      <c r="Q71" s="30">
        <v>1540000</v>
      </c>
      <c r="R71" s="30">
        <f t="shared" si="1"/>
        <v>10780000</v>
      </c>
    </row>
    <row r="72" spans="1:18" s="30" customFormat="1" ht="79.2">
      <c r="A72" s="31"/>
      <c r="B72" s="34" t="str">
        <f>+[25]BG!C70</f>
        <v>Côn thu đầu quạt 1050x1200/DQ-L800. Bao gồm nhân công lắp đặt, phụ kiện bích nối, zoăng làm kín, kẹp C, bulong+ốc+long đen
 1050x1200/DQ-L800抽煙機頭變徑。含安裝及鏈接法蘭、墊圈、C夾、螺栓螺絲等</v>
      </c>
      <c r="C72" s="31"/>
      <c r="D72" s="31"/>
      <c r="E72" s="31"/>
      <c r="F72" s="31"/>
      <c r="G72" s="31"/>
      <c r="H72" s="31"/>
      <c r="I72" s="31"/>
      <c r="J72" s="31"/>
      <c r="K72" s="31"/>
      <c r="L72" s="31" t="str">
        <f>+[25]BG!L70</f>
        <v>個
Cái</v>
      </c>
      <c r="M72" s="35">
        <f>+[25]BG!M70</f>
        <v>9</v>
      </c>
      <c r="N72" s="32"/>
      <c r="O72" s="32"/>
      <c r="P72" s="33"/>
      <c r="R72" s="30">
        <f t="shared" si="1"/>
        <v>0</v>
      </c>
    </row>
    <row r="73" spans="1:18" s="30" customFormat="1" ht="79.2">
      <c r="A73" s="31"/>
      <c r="B73" s="34" t="str">
        <f>+[25]BG!C71</f>
        <v>Côn thu đầu quạt 550x1200/DQ-L800. Bao gồm nhân công lắp đặt, phụ kiện bích nối, zoăng làm kín, kẹp C, bulong+ốc+long đen
 550x1200/DQ-L800抽煙機頭變徑。含安裝及鏈接法蘭、墊圈、C夾、螺栓螺絲等</v>
      </c>
      <c r="C73" s="31"/>
      <c r="D73" s="31"/>
      <c r="E73" s="31"/>
      <c r="F73" s="31"/>
      <c r="G73" s="31"/>
      <c r="H73" s="31"/>
      <c r="I73" s="31"/>
      <c r="J73" s="31"/>
      <c r="K73" s="31"/>
      <c r="L73" s="31" t="str">
        <f>+[25]BG!L71</f>
        <v>個
Cái</v>
      </c>
      <c r="M73" s="35">
        <f>+[25]BG!M71</f>
        <v>7</v>
      </c>
      <c r="N73" s="32"/>
      <c r="O73" s="32"/>
      <c r="P73" s="33"/>
      <c r="R73" s="30">
        <f t="shared" si="1"/>
        <v>0</v>
      </c>
    </row>
    <row r="74" spans="1:18" s="30" customFormat="1" ht="79.2">
      <c r="A74" s="31"/>
      <c r="B74" s="34" t="str">
        <f>+[25]BG!C72</f>
        <v>Côn thu đầu quạt 2000x500/DQ-L800. Bao gồm nhân công lắp đặt, phụ kiện bích nối, zoăng làm kín, kẹp C, bulong+ốc+long đen
 2000x500/DQ-L800抽煙機頭變徑。含安裝及鏈接法蘭、墊圈、C夾、螺栓螺絲等</v>
      </c>
      <c r="C74" s="31"/>
      <c r="D74" s="31"/>
      <c r="E74" s="31"/>
      <c r="F74" s="31"/>
      <c r="G74" s="31"/>
      <c r="H74" s="31"/>
      <c r="I74" s="31"/>
      <c r="J74" s="31"/>
      <c r="K74" s="31"/>
      <c r="L74" s="31" t="str">
        <f>+[25]BG!L72</f>
        <v>個
Cái</v>
      </c>
      <c r="M74" s="35">
        <f>+[25]BG!M72</f>
        <v>5</v>
      </c>
      <c r="N74" s="32"/>
      <c r="O74" s="32"/>
      <c r="P74" s="33"/>
      <c r="R74" s="30">
        <f t="shared" si="1"/>
        <v>0</v>
      </c>
    </row>
    <row r="75" spans="1:18" s="30" customFormat="1" ht="79.2">
      <c r="A75" s="31"/>
      <c r="B75" s="34" t="str">
        <f>+[25]BG!C73</f>
        <v>Côn thu đầu quạt 800x500/DQ-L800. Bao gồm nhân công lắp đặt, phụ kiện bích nối, zoăng làm kín, kẹp C, bulong+ốc+long đen
 800x500/DQ-L800抽煙機頭變徑。含安裝及鏈接法蘭、墊圈、C夾、螺栓螺絲等</v>
      </c>
      <c r="C75" s="31"/>
      <c r="D75" s="31"/>
      <c r="E75" s="31"/>
      <c r="F75" s="31"/>
      <c r="G75" s="31"/>
      <c r="H75" s="31"/>
      <c r="I75" s="31"/>
      <c r="J75" s="31"/>
      <c r="K75" s="31"/>
      <c r="L75" s="31" t="str">
        <f>+[25]BG!L73</f>
        <v>個
Cái</v>
      </c>
      <c r="M75" s="35">
        <f>+[25]BG!M73</f>
        <v>6</v>
      </c>
      <c r="N75" s="32"/>
      <c r="O75" s="32"/>
      <c r="P75" s="33"/>
      <c r="R75" s="30">
        <f t="shared" si="1"/>
        <v>0</v>
      </c>
    </row>
    <row r="76" spans="1:18" s="30" customFormat="1" ht="79.2">
      <c r="A76" s="31"/>
      <c r="B76" s="34" t="str">
        <f>+[25]BG!C74</f>
        <v>Côn thu đầu quạt 1200x500/DQ-L800. Bao gồm nhân công lắp đặt, phụ kiện bích nối, zoăng làm kín, kẹp C, bulong+ốc+long đen
 1200x500/DQ-L800抽煙機頭變徑。含安裝及鏈接法蘭、墊圈、C夾、螺栓螺絲等</v>
      </c>
      <c r="C76" s="31"/>
      <c r="D76" s="31"/>
      <c r="E76" s="31"/>
      <c r="F76" s="31"/>
      <c r="G76" s="31"/>
      <c r="H76" s="31"/>
      <c r="I76" s="31"/>
      <c r="J76" s="31"/>
      <c r="K76" s="31"/>
      <c r="L76" s="31" t="str">
        <f>+[25]BG!L74</f>
        <v>個
Cái</v>
      </c>
      <c r="M76" s="35">
        <f>+[25]BG!M74</f>
        <v>4</v>
      </c>
      <c r="N76" s="32"/>
      <c r="O76" s="32"/>
      <c r="P76" s="33"/>
      <c r="R76" s="30">
        <f t="shared" si="1"/>
        <v>0</v>
      </c>
    </row>
    <row r="77" spans="1:18" s="30" customFormat="1" ht="26.4">
      <c r="A77" s="31"/>
      <c r="B77" s="34" t="str">
        <f>+[25]BG!C75</f>
        <v>D820排风帽（带防虫网）制作与安装. Chụp thải gió kèm lưới chắn côn trùng D820</v>
      </c>
      <c r="C77" s="31"/>
      <c r="D77" s="31"/>
      <c r="E77" s="31"/>
      <c r="F77" s="31"/>
      <c r="G77" s="31"/>
      <c r="H77" s="31"/>
      <c r="I77" s="31"/>
      <c r="J77" s="31"/>
      <c r="K77" s="31"/>
      <c r="L77" s="31" t="str">
        <f>+[25]BG!L75</f>
        <v>個
Cái</v>
      </c>
      <c r="M77" s="35">
        <f>+[25]BG!M75</f>
        <v>31</v>
      </c>
      <c r="N77" s="32"/>
      <c r="O77" s="32"/>
      <c r="P77" s="33"/>
      <c r="R77" s="30">
        <f t="shared" si="1"/>
        <v>0</v>
      </c>
    </row>
    <row r="78" spans="1:18" s="30" customFormat="1" ht="79.2">
      <c r="A78" s="31"/>
      <c r="B78" s="34" t="str">
        <f>+[25]BG!C76</f>
        <v>Cút 90 độ 1800x1500R1000. Bao gồm nhân công lắp đặt, phụ kiện bích nối, zoăng làm kín, kẹp C, bulong+ốc+long đen
1800x1500R1000 90度彎頭含安裝及鏈接法蘭、墊圈、C夾、螺栓螺絲等</v>
      </c>
      <c r="C78" s="31"/>
      <c r="D78" s="31"/>
      <c r="E78" s="31"/>
      <c r="F78" s="31"/>
      <c r="G78" s="31"/>
      <c r="H78" s="31"/>
      <c r="I78" s="31"/>
      <c r="J78" s="31"/>
      <c r="K78" s="31"/>
      <c r="L78" s="31" t="str">
        <f>+[25]BG!L76</f>
        <v>個
Cái</v>
      </c>
      <c r="M78" s="35">
        <f>+[25]BG!M76</f>
        <v>9</v>
      </c>
      <c r="N78" s="32"/>
      <c r="O78" s="32"/>
      <c r="P78" s="33"/>
      <c r="R78" s="30">
        <f t="shared" si="1"/>
        <v>0</v>
      </c>
    </row>
    <row r="79" spans="1:18" s="30" customFormat="1" ht="79.2">
      <c r="A79" s="31"/>
      <c r="B79" s="34" t="str">
        <f>+[25]BG!C77</f>
        <v>Cút 90 độ 1200x1000R1000. Bao gồm nhân công lắp đặt, phụ kiện bích nối, zoăng làm kín, kẹp C, bulong+ốc+long đen
1200x1000R1000 90度彎頭含安裝及鏈接法蘭、墊圈、C夾、螺栓螺絲等</v>
      </c>
      <c r="C79" s="31"/>
      <c r="D79" s="31"/>
      <c r="E79" s="31"/>
      <c r="F79" s="31"/>
      <c r="G79" s="31"/>
      <c r="H79" s="31"/>
      <c r="I79" s="31"/>
      <c r="J79" s="31"/>
      <c r="K79" s="31"/>
      <c r="L79" s="31" t="str">
        <f>+[25]BG!L77</f>
        <v>個
Cái</v>
      </c>
      <c r="M79" s="35">
        <f>+[25]BG!M77</f>
        <v>7</v>
      </c>
      <c r="N79" s="32"/>
      <c r="O79" s="32"/>
      <c r="P79" s="33"/>
      <c r="R79" s="30">
        <f t="shared" si="1"/>
        <v>0</v>
      </c>
    </row>
    <row r="80" spans="1:18" s="30" customFormat="1" ht="52.8">
      <c r="A80" s="31"/>
      <c r="B80" s="34" t="str">
        <f>+[25]BG!C78</f>
        <v>45°弯头（1500×1000，TDC法兰）+ 304不锈钢防虫网（4–6mm），板厚0.95mm. Cút 45 độ KT: 1500x1000 - TDC+Lưới chắn côn trùng inox 304 (mắt lưới 4-6mm), chiều dày tôn 0,95mm</v>
      </c>
      <c r="C80" s="31"/>
      <c r="D80" s="31"/>
      <c r="E80" s="31"/>
      <c r="F80" s="31"/>
      <c r="G80" s="31"/>
      <c r="H80" s="31"/>
      <c r="I80" s="31"/>
      <c r="J80" s="31"/>
      <c r="K80" s="31"/>
      <c r="L80" s="31" t="str">
        <f>+[25]BG!L78</f>
        <v>個
Cái</v>
      </c>
      <c r="M80" s="35">
        <f>+[25]BG!M78</f>
        <v>15</v>
      </c>
      <c r="N80" s="32"/>
      <c r="O80" s="32"/>
      <c r="P80" s="33"/>
      <c r="R80" s="30">
        <f t="shared" ref="R80:R83" si="5">Q80*M80</f>
        <v>0</v>
      </c>
    </row>
    <row r="81" spans="1:18" s="30" customFormat="1" ht="39.6">
      <c r="A81" s="31"/>
      <c r="B81" s="34" t="str">
        <f>+[25]BG!C79</f>
        <v>Nút ấn khởi động hút khói bằng tay (testing). Bao gồm nhân công lắp đặt, phụ kiện liên kết
手動抽煙啟動按鈕。含安裝及與監控模塊鏈接配件</v>
      </c>
      <c r="C81" s="31"/>
      <c r="D81" s="31"/>
      <c r="E81" s="31"/>
      <c r="F81" s="31"/>
      <c r="G81" s="31"/>
      <c r="H81" s="31"/>
      <c r="I81" s="31"/>
      <c r="J81" s="31"/>
      <c r="K81" s="31"/>
      <c r="L81" s="31" t="str">
        <f>+[25]BG!L79</f>
        <v>個
Cái</v>
      </c>
      <c r="M81" s="35">
        <f>+[25]BG!M79</f>
        <v>31</v>
      </c>
      <c r="N81" s="32"/>
      <c r="O81" s="32"/>
      <c r="P81" s="33"/>
      <c r="R81" s="30">
        <f t="shared" si="5"/>
        <v>0</v>
      </c>
    </row>
    <row r="82" spans="1:18" s="30" customFormat="1" ht="13.2">
      <c r="A82" s="31"/>
      <c r="B82" s="34" t="s">
        <v>73</v>
      </c>
      <c r="C82" s="31"/>
      <c r="D82" s="31"/>
      <c r="E82" s="31"/>
      <c r="F82" s="31"/>
      <c r="G82" s="31"/>
      <c r="H82" s="31"/>
      <c r="I82" s="31"/>
      <c r="J82" s="31"/>
      <c r="K82" s="31"/>
      <c r="L82" s="31" t="s">
        <v>195</v>
      </c>
      <c r="M82" s="35">
        <v>1</v>
      </c>
      <c r="N82" s="32"/>
      <c r="O82" s="32"/>
      <c r="P82" s="33" t="s">
        <v>138</v>
      </c>
      <c r="R82" s="30">
        <f t="shared" si="5"/>
        <v>0</v>
      </c>
    </row>
    <row r="83" spans="1:18" s="30" customFormat="1" ht="13.2">
      <c r="A83" s="31"/>
      <c r="B83" s="34" t="s">
        <v>184</v>
      </c>
      <c r="C83" s="31"/>
      <c r="D83" s="31"/>
      <c r="E83" s="31"/>
      <c r="F83" s="31"/>
      <c r="G83" s="31"/>
      <c r="H83" s="31"/>
      <c r="I83" s="31"/>
      <c r="J83" s="31"/>
      <c r="K83" s="31"/>
      <c r="L83" s="31" t="s">
        <v>195</v>
      </c>
      <c r="M83" s="35">
        <v>1</v>
      </c>
      <c r="N83" s="32"/>
      <c r="O83" s="32"/>
      <c r="P83" s="33" t="s">
        <v>192</v>
      </c>
      <c r="R83" s="30">
        <f t="shared" si="5"/>
        <v>0</v>
      </c>
    </row>
    <row r="84" spans="1:18" s="30" customFormat="1" ht="13.2">
      <c r="A84" s="31"/>
      <c r="B84" s="34"/>
      <c r="C84" s="31"/>
      <c r="D84" s="31"/>
      <c r="E84" s="31"/>
      <c r="F84" s="31"/>
      <c r="G84" s="31"/>
      <c r="H84" s="31"/>
      <c r="I84" s="31"/>
      <c r="J84" s="31"/>
      <c r="K84" s="31"/>
      <c r="L84" s="31"/>
      <c r="M84" s="35"/>
      <c r="N84" s="32"/>
      <c r="O84" s="32"/>
      <c r="P84" s="33"/>
    </row>
    <row r="85" spans="1:18" s="30" customFormat="1" ht="29.4" customHeight="1">
      <c r="A85" s="31"/>
      <c r="B85" s="31"/>
      <c r="C85" s="31"/>
      <c r="D85" s="31"/>
      <c r="E85" s="31"/>
      <c r="F85" s="31"/>
      <c r="G85" s="31"/>
      <c r="H85" s="31"/>
      <c r="I85" s="31"/>
      <c r="J85" s="31"/>
      <c r="K85" s="31"/>
      <c r="L85" s="31"/>
      <c r="M85" s="31"/>
      <c r="N85" s="32"/>
      <c r="O85" s="32"/>
      <c r="P85" s="31"/>
    </row>
    <row r="86" spans="1:18" s="30" customFormat="1" ht="32.25" customHeight="1">
      <c r="A86" s="140" t="s">
        <v>108</v>
      </c>
      <c r="B86" s="141"/>
      <c r="C86" s="141"/>
      <c r="D86" s="141"/>
      <c r="E86" s="141"/>
      <c r="F86" s="141"/>
      <c r="G86" s="141"/>
      <c r="H86" s="141"/>
      <c r="I86" s="141"/>
      <c r="J86" s="141"/>
      <c r="K86" s="141"/>
      <c r="L86" s="141"/>
      <c r="M86" s="141"/>
      <c r="N86" s="142"/>
      <c r="O86" s="36">
        <f>SUM(O15:O85)</f>
        <v>2406986726.5924835</v>
      </c>
      <c r="P86" s="37"/>
      <c r="R86" s="160">
        <f>SUM(R15:R85)</f>
        <v>2478842000</v>
      </c>
    </row>
    <row r="87" spans="1:18" s="30" customFormat="1" ht="32.25" customHeight="1">
      <c r="A87" s="143" t="s">
        <v>124</v>
      </c>
      <c r="B87" s="144"/>
      <c r="C87" s="144"/>
      <c r="D87" s="144"/>
      <c r="E87" s="144"/>
      <c r="F87" s="144"/>
      <c r="G87" s="144"/>
      <c r="H87" s="144"/>
      <c r="I87" s="144"/>
      <c r="J87" s="144"/>
      <c r="K87" s="144"/>
      <c r="L87" s="144"/>
      <c r="M87" s="144"/>
      <c r="N87" s="145"/>
      <c r="O87" s="38">
        <f>O86*0.08</f>
        <v>192558938.1273987</v>
      </c>
      <c r="P87" s="39"/>
    </row>
    <row r="88" spans="1:18" s="30" customFormat="1" ht="32.25" customHeight="1">
      <c r="A88" s="136" t="s">
        <v>125</v>
      </c>
      <c r="B88" s="137"/>
      <c r="C88" s="137"/>
      <c r="D88" s="137"/>
      <c r="E88" s="137"/>
      <c r="F88" s="137"/>
      <c r="G88" s="137"/>
      <c r="H88" s="137"/>
      <c r="I88" s="137"/>
      <c r="J88" s="137"/>
      <c r="K88" s="137"/>
      <c r="L88" s="137"/>
      <c r="M88" s="137"/>
      <c r="N88" s="138"/>
      <c r="O88" s="40">
        <f>SUM(O86:O87)</f>
        <v>2599545664.719882</v>
      </c>
      <c r="P88" s="41"/>
    </row>
    <row r="89" spans="1:18" s="50" customFormat="1" ht="15" customHeight="1">
      <c r="A89" s="42"/>
      <c r="B89" s="43"/>
      <c r="C89" s="44"/>
      <c r="D89" s="44"/>
      <c r="E89" s="44"/>
      <c r="F89" s="44"/>
      <c r="G89" s="44"/>
      <c r="H89" s="44"/>
      <c r="I89" s="44"/>
      <c r="J89" s="44"/>
      <c r="K89" s="45"/>
      <c r="L89" s="46"/>
      <c r="M89" s="47"/>
      <c r="N89" s="48"/>
      <c r="O89" s="48"/>
      <c r="P89" s="49"/>
    </row>
    <row r="90" spans="1:18" s="50" customFormat="1" ht="15" customHeight="1">
      <c r="A90" s="51"/>
      <c r="B90" s="52" t="s">
        <v>109</v>
      </c>
      <c r="C90" s="53"/>
      <c r="D90" s="53"/>
      <c r="E90" s="53"/>
      <c r="F90" s="54"/>
      <c r="G90" s="53"/>
      <c r="H90" s="51"/>
      <c r="I90" s="51"/>
      <c r="J90" s="51"/>
      <c r="K90" s="51"/>
      <c r="L90" s="51"/>
      <c r="M90" s="55"/>
      <c r="N90" s="139" t="s">
        <v>110</v>
      </c>
      <c r="O90" s="139"/>
      <c r="P90" s="57"/>
    </row>
    <row r="91" spans="1:18" s="50" customFormat="1" ht="15" customHeight="1">
      <c r="A91" s="51"/>
      <c r="B91" s="58" t="s">
        <v>111</v>
      </c>
      <c r="C91" s="59"/>
      <c r="D91" s="59"/>
      <c r="E91" s="59"/>
      <c r="F91" s="60"/>
      <c r="G91" s="60"/>
      <c r="H91" s="51"/>
      <c r="I91" s="51"/>
      <c r="J91" s="51"/>
      <c r="K91" s="51"/>
      <c r="L91" s="61"/>
      <c r="M91" s="62"/>
      <c r="N91" s="62"/>
      <c r="O91" s="56"/>
      <c r="P91" s="57"/>
    </row>
    <row r="92" spans="1:18" s="50" customFormat="1" ht="15" customHeight="1">
      <c r="A92" s="51"/>
      <c r="B92" s="58" t="s">
        <v>112</v>
      </c>
      <c r="C92" s="59"/>
      <c r="D92" s="59"/>
      <c r="E92" s="59"/>
      <c r="F92" s="60"/>
      <c r="G92" s="60"/>
      <c r="H92" s="51"/>
      <c r="I92" s="51"/>
      <c r="J92" s="51"/>
      <c r="K92" s="51"/>
      <c r="L92" s="61"/>
      <c r="M92" s="62"/>
      <c r="N92" s="62"/>
      <c r="O92" s="56"/>
      <c r="P92" s="57"/>
    </row>
    <row r="93" spans="1:18" s="50" customFormat="1" ht="15" customHeight="1">
      <c r="A93" s="51"/>
      <c r="B93" s="58" t="s">
        <v>113</v>
      </c>
      <c r="C93" s="59"/>
      <c r="D93" s="59"/>
      <c r="E93" s="59"/>
      <c r="F93" s="60"/>
      <c r="G93" s="60"/>
      <c r="H93" s="51"/>
      <c r="I93" s="51"/>
      <c r="J93" s="51"/>
      <c r="K93" s="51"/>
      <c r="L93" s="61"/>
      <c r="M93" s="62"/>
      <c r="N93" s="62"/>
      <c r="O93" s="56"/>
      <c r="P93" s="57"/>
    </row>
    <row r="94" spans="1:18" s="50" customFormat="1" ht="15" customHeight="1">
      <c r="A94" s="51"/>
      <c r="B94" s="58" t="s">
        <v>114</v>
      </c>
      <c r="C94" s="59"/>
      <c r="D94" s="59"/>
      <c r="E94" s="59"/>
      <c r="F94" s="60"/>
      <c r="G94" s="60"/>
      <c r="H94" s="51"/>
      <c r="I94" s="51"/>
      <c r="J94" s="51"/>
      <c r="K94" s="51"/>
      <c r="L94" s="61"/>
      <c r="M94" s="62"/>
      <c r="N94" s="62"/>
      <c r="O94" s="56"/>
      <c r="P94" s="57"/>
    </row>
    <row r="95" spans="1:18" s="50" customFormat="1" ht="15" customHeight="1">
      <c r="A95" s="51"/>
      <c r="B95" s="63" t="s">
        <v>115</v>
      </c>
      <c r="C95" s="64"/>
      <c r="D95" s="64"/>
      <c r="E95" s="64"/>
      <c r="F95" s="65"/>
      <c r="G95" s="65"/>
      <c r="H95" s="51"/>
      <c r="I95" s="51"/>
      <c r="J95" s="51"/>
      <c r="K95" s="51"/>
      <c r="L95" s="61"/>
      <c r="M95" s="66"/>
      <c r="N95" s="67"/>
      <c r="O95" s="68"/>
      <c r="P95" s="57"/>
    </row>
    <row r="96" spans="1:18" s="50" customFormat="1" ht="15" customHeight="1">
      <c r="A96" s="51"/>
      <c r="B96" s="69" t="s">
        <v>116</v>
      </c>
      <c r="C96" s="69"/>
      <c r="D96" s="69"/>
      <c r="E96" s="69"/>
      <c r="F96" s="69"/>
      <c r="G96" s="69"/>
      <c r="H96" s="51"/>
      <c r="I96" s="51"/>
      <c r="J96" s="51"/>
      <c r="K96" s="51"/>
      <c r="L96" s="61"/>
      <c r="M96" s="66"/>
      <c r="N96" s="67"/>
      <c r="O96" s="68"/>
      <c r="P96" s="57"/>
    </row>
    <row r="97" spans="1:16" s="50" customFormat="1" ht="15" customHeight="1">
      <c r="A97" s="51"/>
      <c r="B97" s="70" t="s">
        <v>117</v>
      </c>
      <c r="C97" s="59"/>
      <c r="D97" s="59"/>
      <c r="E97" s="59"/>
      <c r="F97" s="65"/>
      <c r="G97" s="65"/>
      <c r="H97" s="51"/>
      <c r="I97" s="51"/>
      <c r="J97" s="51"/>
      <c r="K97" s="51"/>
      <c r="L97" s="61"/>
      <c r="M97" s="66"/>
      <c r="N97" s="67"/>
      <c r="O97" s="68"/>
      <c r="P97" s="57"/>
    </row>
    <row r="98" spans="1:16" s="50" customFormat="1" ht="15" customHeight="1">
      <c r="A98" s="51"/>
      <c r="B98" s="71" t="s">
        <v>118</v>
      </c>
      <c r="C98" s="72"/>
      <c r="D98" s="72"/>
      <c r="E98" s="72"/>
      <c r="F98" s="73"/>
      <c r="G98" s="73"/>
      <c r="H98" s="51"/>
      <c r="I98" s="51"/>
      <c r="J98" s="51"/>
      <c r="K98" s="51"/>
      <c r="L98" s="61"/>
      <c r="M98" s="66"/>
      <c r="N98" s="67"/>
      <c r="O98" s="74"/>
      <c r="P98" s="57"/>
    </row>
    <row r="99" spans="1:16" s="50" customFormat="1" ht="15" customHeight="1">
      <c r="A99" s="51"/>
      <c r="B99" s="69" t="s">
        <v>119</v>
      </c>
      <c r="C99" s="69"/>
      <c r="D99" s="69"/>
      <c r="E99" s="69"/>
      <c r="F99" s="69"/>
      <c r="G99" s="69"/>
      <c r="H99" s="51"/>
      <c r="I99" s="51"/>
      <c r="J99" s="51"/>
      <c r="K99" s="51"/>
      <c r="L99" s="61"/>
      <c r="M99" s="66"/>
      <c r="N99" s="67"/>
      <c r="O99" s="74"/>
      <c r="P99" s="57"/>
    </row>
    <row r="100" spans="1:16" s="50" customFormat="1" ht="15" customHeight="1">
      <c r="A100" s="45"/>
      <c r="B100" s="69" t="s">
        <v>120</v>
      </c>
      <c r="C100" s="69"/>
      <c r="D100" s="69"/>
      <c r="E100" s="69"/>
      <c r="F100" s="69"/>
      <c r="G100" s="69"/>
      <c r="H100" s="51"/>
      <c r="I100" s="45"/>
      <c r="J100" s="45"/>
      <c r="K100" s="75"/>
      <c r="L100" s="130"/>
      <c r="M100" s="130"/>
      <c r="N100" s="130"/>
      <c r="O100" s="131"/>
      <c r="P100" s="57"/>
    </row>
    <row r="101" spans="1:16" s="50" customFormat="1" ht="15" customHeight="1">
      <c r="A101" s="76"/>
      <c r="B101" s="77" t="s">
        <v>121</v>
      </c>
      <c r="C101" s="69"/>
      <c r="D101" s="69"/>
      <c r="E101" s="69"/>
      <c r="F101" s="69"/>
      <c r="G101" s="69"/>
      <c r="H101" s="78"/>
      <c r="I101" s="76"/>
      <c r="J101" s="76"/>
      <c r="K101" s="76"/>
      <c r="L101" s="132"/>
      <c r="M101" s="132"/>
      <c r="N101" s="132"/>
      <c r="O101" s="133"/>
      <c r="P101" s="57"/>
    </row>
    <row r="102" spans="1:16" s="13" customFormat="1" ht="15" customHeight="1">
      <c r="A102" s="79"/>
      <c r="B102" s="77" t="s">
        <v>122</v>
      </c>
      <c r="C102" s="69"/>
      <c r="D102" s="69"/>
      <c r="E102" s="69"/>
      <c r="F102" s="69"/>
      <c r="G102" s="69"/>
      <c r="H102" s="78"/>
      <c r="I102" s="80"/>
      <c r="J102" s="80"/>
      <c r="K102" s="81"/>
      <c r="L102" s="134"/>
      <c r="M102" s="134"/>
      <c r="N102" s="134"/>
      <c r="O102" s="135"/>
      <c r="P102" s="82"/>
    </row>
    <row r="103" spans="1:16" s="50" customFormat="1" ht="15" customHeight="1">
      <c r="A103" s="42"/>
      <c r="B103" s="83"/>
      <c r="C103" s="72"/>
      <c r="D103" s="72"/>
      <c r="E103" s="72"/>
      <c r="F103" s="73"/>
      <c r="G103" s="73"/>
      <c r="H103" s="80"/>
      <c r="I103" s="44"/>
      <c r="J103" s="45"/>
      <c r="K103" s="46"/>
      <c r="L103" s="47"/>
      <c r="M103" s="84"/>
      <c r="N103" s="84"/>
      <c r="O103" s="85"/>
      <c r="P103" s="57"/>
    </row>
    <row r="104" spans="1:16" s="50" customFormat="1" ht="15" customHeight="1">
      <c r="A104" s="42"/>
      <c r="B104" s="43"/>
      <c r="C104" s="44"/>
      <c r="D104" s="44"/>
      <c r="E104" s="44"/>
      <c r="F104" s="44"/>
      <c r="G104" s="44"/>
      <c r="H104" s="44"/>
      <c r="I104" s="44"/>
      <c r="J104" s="44"/>
      <c r="K104" s="45"/>
      <c r="L104" s="46"/>
      <c r="M104" s="47"/>
      <c r="N104" s="48"/>
      <c r="O104" s="48"/>
      <c r="P104" s="49"/>
    </row>
    <row r="105" spans="1:16" s="50" customFormat="1" ht="15" customHeight="1">
      <c r="A105" s="42"/>
      <c r="B105" s="43"/>
      <c r="C105" s="44"/>
      <c r="D105" s="44"/>
      <c r="E105" s="44"/>
      <c r="F105" s="44"/>
      <c r="G105" s="44"/>
      <c r="H105" s="44"/>
      <c r="I105" s="44"/>
      <c r="J105" s="44"/>
      <c r="K105" s="45"/>
      <c r="L105" s="46"/>
      <c r="M105" s="47"/>
      <c r="N105" s="48"/>
      <c r="O105" s="48"/>
      <c r="P105" s="49"/>
    </row>
    <row r="106" spans="1:16" s="50" customFormat="1" ht="15" customHeight="1">
      <c r="A106" s="42"/>
      <c r="B106" s="43"/>
      <c r="C106" s="44"/>
      <c r="D106" s="44"/>
      <c r="E106" s="44"/>
      <c r="F106" s="44"/>
      <c r="G106" s="44"/>
      <c r="H106" s="44"/>
      <c r="I106" s="44"/>
      <c r="J106" s="44"/>
      <c r="K106" s="45"/>
      <c r="L106" s="46"/>
      <c r="M106" s="47"/>
      <c r="N106" s="48"/>
      <c r="O106" s="48"/>
      <c r="P106" s="49"/>
    </row>
    <row r="107" spans="1:16" s="50" customFormat="1" ht="15" customHeight="1">
      <c r="A107" s="42"/>
      <c r="B107" s="43"/>
      <c r="C107" s="44"/>
      <c r="D107" s="44"/>
      <c r="E107" s="44"/>
      <c r="F107" s="44"/>
      <c r="G107" s="44"/>
      <c r="H107" s="44"/>
      <c r="I107" s="44"/>
      <c r="J107" s="44"/>
      <c r="K107" s="45"/>
      <c r="L107" s="46"/>
      <c r="M107" s="47"/>
      <c r="N107" s="48"/>
      <c r="O107" s="48"/>
      <c r="P107" s="49"/>
    </row>
    <row r="108" spans="1:16" s="50" customFormat="1" ht="15" customHeight="1">
      <c r="A108" s="42"/>
      <c r="B108" s="43"/>
      <c r="C108" s="44"/>
      <c r="D108" s="44"/>
      <c r="E108" s="44"/>
      <c r="F108" s="44"/>
      <c r="G108" s="44"/>
      <c r="H108" s="44"/>
      <c r="I108" s="44"/>
      <c r="J108" s="44"/>
      <c r="K108" s="45"/>
      <c r="L108" s="46"/>
      <c r="M108" s="47"/>
      <c r="N108" s="48"/>
      <c r="O108" s="48"/>
      <c r="P108" s="49"/>
    </row>
    <row r="109" spans="1:16" s="50" customFormat="1" ht="15" customHeight="1">
      <c r="A109" s="42"/>
      <c r="B109" s="43"/>
      <c r="C109" s="44"/>
      <c r="D109" s="44"/>
      <c r="E109" s="44"/>
      <c r="F109" s="44"/>
      <c r="G109" s="44"/>
      <c r="H109" s="44"/>
      <c r="I109" s="44"/>
      <c r="J109" s="44"/>
      <c r="K109" s="45"/>
      <c r="L109" s="46"/>
      <c r="M109" s="47"/>
      <c r="N109" s="48"/>
      <c r="O109" s="48"/>
      <c r="P109" s="49"/>
    </row>
    <row r="110" spans="1:16" s="50" customFormat="1" ht="15" customHeight="1">
      <c r="A110" s="42"/>
      <c r="B110" s="43"/>
      <c r="C110" s="44"/>
      <c r="D110" s="44"/>
      <c r="E110" s="44"/>
      <c r="F110" s="44"/>
      <c r="G110" s="44"/>
      <c r="H110" s="44"/>
      <c r="I110" s="44"/>
      <c r="J110" s="44"/>
      <c r="K110" s="45"/>
      <c r="L110" s="46"/>
      <c r="M110" s="47"/>
      <c r="N110" s="48"/>
      <c r="O110" s="48"/>
      <c r="P110" s="49"/>
    </row>
    <row r="111" spans="1:16" s="50" customFormat="1" ht="15" customHeight="1">
      <c r="A111" s="42"/>
      <c r="B111" s="43"/>
      <c r="C111" s="44"/>
      <c r="D111" s="44"/>
      <c r="E111" s="44"/>
      <c r="F111" s="44"/>
      <c r="G111" s="44"/>
      <c r="H111" s="44"/>
      <c r="I111" s="44"/>
      <c r="J111" s="44"/>
      <c r="K111" s="45"/>
      <c r="L111" s="46"/>
      <c r="M111" s="47"/>
      <c r="N111" s="48"/>
      <c r="O111" s="48"/>
      <c r="P111" s="49"/>
    </row>
    <row r="112" spans="1:16" s="50" customFormat="1" ht="13.2">
      <c r="A112" s="42"/>
      <c r="B112" s="43"/>
      <c r="C112" s="44"/>
      <c r="D112" s="44"/>
      <c r="E112" s="44"/>
      <c r="F112" s="44"/>
      <c r="G112" s="44"/>
      <c r="H112" s="44"/>
      <c r="I112" s="44"/>
      <c r="J112" s="44"/>
      <c r="K112" s="45"/>
      <c r="L112" s="46"/>
      <c r="M112" s="47"/>
      <c r="N112" s="48"/>
      <c r="O112" s="48"/>
      <c r="P112" s="49"/>
    </row>
    <row r="113" spans="1:16" s="50" customFormat="1" ht="13.2">
      <c r="A113" s="42"/>
      <c r="B113" s="43"/>
      <c r="C113" s="44"/>
      <c r="D113" s="44"/>
      <c r="E113" s="44"/>
      <c r="F113" s="44"/>
      <c r="G113" s="44"/>
      <c r="H113" s="44"/>
      <c r="I113" s="44"/>
      <c r="J113" s="44"/>
      <c r="K113" s="45"/>
      <c r="L113" s="46"/>
      <c r="M113" s="47"/>
      <c r="N113" s="48"/>
      <c r="O113" s="48"/>
      <c r="P113" s="49"/>
    </row>
    <row r="114" spans="1:16" s="50" customFormat="1" ht="13.2">
      <c r="B114" s="86"/>
      <c r="C114" s="87"/>
      <c r="D114" s="87"/>
      <c r="E114" s="87"/>
      <c r="F114" s="87"/>
      <c r="G114" s="87"/>
      <c r="H114" s="87"/>
      <c r="I114" s="87"/>
      <c r="J114" s="87"/>
      <c r="K114" s="88"/>
      <c r="L114" s="89"/>
      <c r="M114" s="90"/>
      <c r="N114" s="57"/>
      <c r="O114" s="57"/>
      <c r="P114" s="91"/>
    </row>
    <row r="115" spans="1:16" s="50" customFormat="1" ht="13.2">
      <c r="B115" s="86"/>
      <c r="C115" s="87"/>
      <c r="D115" s="87"/>
      <c r="E115" s="87"/>
      <c r="F115" s="87"/>
      <c r="G115" s="87"/>
      <c r="H115" s="87"/>
      <c r="I115" s="87"/>
      <c r="J115" s="87"/>
      <c r="K115" s="88"/>
      <c r="L115" s="89"/>
      <c r="M115" s="90"/>
      <c r="N115" s="57"/>
      <c r="O115" s="57"/>
      <c r="P115" s="91"/>
    </row>
    <row r="116" spans="1:16" s="50" customFormat="1" ht="13.2">
      <c r="B116" s="86"/>
      <c r="C116" s="87"/>
      <c r="D116" s="87"/>
      <c r="E116" s="87"/>
      <c r="F116" s="87"/>
      <c r="G116" s="87"/>
      <c r="H116" s="87"/>
      <c r="I116" s="87"/>
      <c r="J116" s="87"/>
      <c r="K116" s="88"/>
      <c r="L116" s="89"/>
      <c r="M116" s="90"/>
      <c r="N116" s="57"/>
      <c r="O116" s="57"/>
      <c r="P116" s="91"/>
    </row>
    <row r="117" spans="1:16" s="50" customFormat="1" ht="13.2">
      <c r="B117" s="86"/>
      <c r="C117" s="87"/>
      <c r="D117" s="87"/>
      <c r="E117" s="87"/>
      <c r="F117" s="87"/>
      <c r="G117" s="87"/>
      <c r="H117" s="87"/>
      <c r="I117" s="87"/>
      <c r="J117" s="87"/>
      <c r="K117" s="88"/>
      <c r="L117" s="89"/>
      <c r="M117" s="90"/>
      <c r="N117" s="57"/>
      <c r="O117" s="57"/>
      <c r="P117" s="91"/>
    </row>
    <row r="118" spans="1:16" s="50" customFormat="1" ht="13.2">
      <c r="B118" s="86"/>
      <c r="C118" s="87"/>
      <c r="D118" s="87"/>
      <c r="E118" s="87"/>
      <c r="F118" s="87"/>
      <c r="G118" s="87"/>
      <c r="H118" s="87"/>
      <c r="I118" s="87"/>
      <c r="J118" s="87"/>
      <c r="K118" s="88"/>
      <c r="L118" s="89"/>
      <c r="M118" s="90"/>
      <c r="N118" s="57"/>
      <c r="O118" s="57"/>
      <c r="P118" s="91"/>
    </row>
    <row r="119" spans="1:16" s="50" customFormat="1" ht="13.2">
      <c r="B119" s="86"/>
      <c r="C119" s="87"/>
      <c r="D119" s="87"/>
      <c r="E119" s="87"/>
      <c r="F119" s="87"/>
      <c r="G119" s="87"/>
      <c r="H119" s="87"/>
      <c r="I119" s="87"/>
      <c r="J119" s="87"/>
      <c r="K119" s="88"/>
      <c r="L119" s="89"/>
      <c r="M119" s="90"/>
      <c r="N119" s="57"/>
      <c r="O119" s="57"/>
      <c r="P119" s="91"/>
    </row>
    <row r="120" spans="1:16" s="50" customFormat="1" ht="13.2">
      <c r="B120" s="86"/>
      <c r="C120" s="87"/>
      <c r="D120" s="87"/>
      <c r="E120" s="87"/>
      <c r="F120" s="87"/>
      <c r="G120" s="87"/>
      <c r="H120" s="87"/>
      <c r="I120" s="87"/>
      <c r="J120" s="87"/>
      <c r="K120" s="88"/>
      <c r="L120" s="89"/>
      <c r="M120" s="90"/>
      <c r="N120" s="57"/>
      <c r="O120" s="57"/>
      <c r="P120" s="91"/>
    </row>
    <row r="121" spans="1:16" s="50" customFormat="1" ht="13.2">
      <c r="B121" s="86"/>
      <c r="C121" s="87"/>
      <c r="D121" s="87"/>
      <c r="E121" s="87"/>
      <c r="F121" s="87"/>
      <c r="G121" s="87"/>
      <c r="H121" s="87"/>
      <c r="I121" s="87"/>
      <c r="J121" s="87"/>
      <c r="K121" s="88"/>
      <c r="L121" s="89"/>
      <c r="M121" s="90"/>
      <c r="N121" s="57"/>
      <c r="O121" s="57"/>
      <c r="P121" s="91"/>
    </row>
    <row r="122" spans="1:16" s="50" customFormat="1" ht="13.2">
      <c r="B122" s="86"/>
      <c r="C122" s="87"/>
      <c r="D122" s="87"/>
      <c r="E122" s="87"/>
      <c r="F122" s="87"/>
      <c r="G122" s="87"/>
      <c r="H122" s="87"/>
      <c r="I122" s="87"/>
      <c r="J122" s="87"/>
      <c r="K122" s="88"/>
      <c r="L122" s="89"/>
      <c r="M122" s="90"/>
      <c r="N122" s="57"/>
      <c r="O122" s="57"/>
      <c r="P122" s="91"/>
    </row>
    <row r="123" spans="1:16" s="50" customFormat="1" ht="13.2">
      <c r="B123" s="86"/>
      <c r="C123" s="87"/>
      <c r="D123" s="87"/>
      <c r="E123" s="87"/>
      <c r="F123" s="87"/>
      <c r="G123" s="87"/>
      <c r="H123" s="87"/>
      <c r="I123" s="87"/>
      <c r="J123" s="87"/>
      <c r="K123" s="88"/>
      <c r="L123" s="89"/>
      <c r="M123" s="90"/>
      <c r="N123" s="57"/>
      <c r="O123" s="57"/>
      <c r="P123" s="91"/>
    </row>
    <row r="124" spans="1:16" s="50" customFormat="1" ht="13.2">
      <c r="B124" s="86"/>
      <c r="C124" s="87"/>
      <c r="D124" s="87"/>
      <c r="E124" s="87"/>
      <c r="F124" s="87"/>
      <c r="G124" s="87"/>
      <c r="H124" s="87"/>
      <c r="I124" s="87"/>
      <c r="J124" s="87"/>
      <c r="K124" s="88"/>
      <c r="L124" s="89"/>
      <c r="M124" s="90"/>
      <c r="N124" s="57"/>
      <c r="O124" s="57"/>
      <c r="P124" s="91"/>
    </row>
    <row r="125" spans="1:16" s="50" customFormat="1" ht="13.2">
      <c r="B125" s="86"/>
      <c r="C125" s="87"/>
      <c r="D125" s="87"/>
      <c r="E125" s="87"/>
      <c r="F125" s="87"/>
      <c r="G125" s="87"/>
      <c r="H125" s="87"/>
      <c r="I125" s="87"/>
      <c r="J125" s="87"/>
      <c r="K125" s="88"/>
      <c r="L125" s="89"/>
      <c r="M125" s="90"/>
      <c r="N125" s="57"/>
      <c r="O125" s="57"/>
      <c r="P125" s="91"/>
    </row>
    <row r="126" spans="1:16" s="50" customFormat="1" ht="13.2">
      <c r="B126" s="86"/>
      <c r="C126" s="87"/>
      <c r="D126" s="87"/>
      <c r="E126" s="87"/>
      <c r="F126" s="87"/>
      <c r="G126" s="87"/>
      <c r="H126" s="87"/>
      <c r="I126" s="87"/>
      <c r="J126" s="87"/>
      <c r="K126" s="88"/>
      <c r="L126" s="89"/>
      <c r="M126" s="90"/>
      <c r="N126" s="57"/>
      <c r="O126" s="57"/>
      <c r="P126" s="91"/>
    </row>
    <row r="127" spans="1:16" s="50" customFormat="1" ht="13.2">
      <c r="B127" s="86"/>
      <c r="C127" s="87"/>
      <c r="D127" s="87"/>
      <c r="E127" s="87"/>
      <c r="F127" s="87"/>
      <c r="G127" s="87"/>
      <c r="H127" s="87"/>
      <c r="I127" s="87"/>
      <c r="J127" s="87"/>
      <c r="K127" s="88"/>
      <c r="L127" s="89"/>
      <c r="M127" s="90"/>
      <c r="N127" s="57"/>
      <c r="O127" s="57"/>
      <c r="P127" s="91"/>
    </row>
    <row r="128" spans="1:16" s="50" customFormat="1" ht="13.2">
      <c r="B128" s="86"/>
      <c r="C128" s="87"/>
      <c r="D128" s="87"/>
      <c r="E128" s="87"/>
      <c r="F128" s="87"/>
      <c r="G128" s="87"/>
      <c r="H128" s="87"/>
      <c r="I128" s="87"/>
      <c r="J128" s="87"/>
      <c r="K128" s="88"/>
      <c r="L128" s="89"/>
      <c r="M128" s="90"/>
      <c r="N128" s="57"/>
      <c r="O128" s="57"/>
      <c r="P128" s="91"/>
    </row>
    <row r="129" spans="2:16" s="50" customFormat="1" ht="13.2">
      <c r="B129" s="86"/>
      <c r="C129" s="87"/>
      <c r="D129" s="87"/>
      <c r="E129" s="87"/>
      <c r="F129" s="87"/>
      <c r="G129" s="87"/>
      <c r="H129" s="87"/>
      <c r="I129" s="87"/>
      <c r="J129" s="87"/>
      <c r="K129" s="88"/>
      <c r="L129" s="89"/>
      <c r="M129" s="90"/>
      <c r="N129" s="57"/>
      <c r="O129" s="57"/>
      <c r="P129" s="91"/>
    </row>
    <row r="130" spans="2:16" s="50" customFormat="1" ht="13.2">
      <c r="B130" s="86"/>
      <c r="C130" s="87"/>
      <c r="D130" s="87"/>
      <c r="E130" s="87"/>
      <c r="F130" s="87"/>
      <c r="G130" s="87"/>
      <c r="H130" s="87"/>
      <c r="I130" s="87"/>
      <c r="J130" s="87"/>
      <c r="K130" s="88"/>
      <c r="L130" s="89"/>
      <c r="M130" s="90"/>
      <c r="N130" s="57"/>
      <c r="O130" s="57"/>
      <c r="P130" s="91"/>
    </row>
    <row r="131" spans="2:16" s="50" customFormat="1" ht="13.2">
      <c r="B131" s="86"/>
      <c r="C131" s="87"/>
      <c r="D131" s="87"/>
      <c r="E131" s="87"/>
      <c r="F131" s="87"/>
      <c r="G131" s="87"/>
      <c r="H131" s="87"/>
      <c r="I131" s="87"/>
      <c r="J131" s="87"/>
      <c r="K131" s="88"/>
      <c r="L131" s="89"/>
      <c r="M131" s="90"/>
      <c r="N131" s="57"/>
      <c r="O131" s="57"/>
      <c r="P131" s="91"/>
    </row>
    <row r="132" spans="2:16" s="50" customFormat="1" ht="13.2">
      <c r="B132" s="86"/>
      <c r="C132" s="87"/>
      <c r="D132" s="87"/>
      <c r="E132" s="87"/>
      <c r="F132" s="87"/>
      <c r="G132" s="87"/>
      <c r="H132" s="87"/>
      <c r="I132" s="87"/>
      <c r="J132" s="87"/>
      <c r="K132" s="88"/>
      <c r="L132" s="89"/>
      <c r="M132" s="90"/>
      <c r="N132" s="57"/>
      <c r="O132" s="57"/>
      <c r="P132" s="91"/>
    </row>
    <row r="133" spans="2:16" s="50" customFormat="1" ht="13.2">
      <c r="B133" s="86"/>
      <c r="C133" s="87"/>
      <c r="D133" s="87"/>
      <c r="E133" s="87"/>
      <c r="F133" s="87"/>
      <c r="G133" s="87"/>
      <c r="H133" s="87"/>
      <c r="I133" s="87"/>
      <c r="J133" s="87"/>
      <c r="K133" s="88"/>
      <c r="L133" s="89"/>
      <c r="M133" s="90"/>
      <c r="N133" s="57"/>
      <c r="O133" s="57"/>
      <c r="P133" s="91"/>
    </row>
    <row r="134" spans="2:16" s="50" customFormat="1" ht="13.2">
      <c r="B134" s="86"/>
      <c r="C134" s="87"/>
      <c r="D134" s="87"/>
      <c r="E134" s="87"/>
      <c r="F134" s="87"/>
      <c r="G134" s="87"/>
      <c r="H134" s="87"/>
      <c r="I134" s="87"/>
      <c r="J134" s="87"/>
      <c r="K134" s="88"/>
      <c r="L134" s="89"/>
      <c r="M134" s="90"/>
      <c r="N134" s="57"/>
      <c r="O134" s="57"/>
      <c r="P134" s="91"/>
    </row>
    <row r="135" spans="2:16" s="50" customFormat="1" ht="13.2">
      <c r="B135" s="86"/>
      <c r="C135" s="87"/>
      <c r="D135" s="87"/>
      <c r="E135" s="87"/>
      <c r="F135" s="87"/>
      <c r="G135" s="87"/>
      <c r="H135" s="87"/>
      <c r="I135" s="87"/>
      <c r="J135" s="87"/>
      <c r="K135" s="88"/>
      <c r="L135" s="89"/>
      <c r="M135" s="90"/>
      <c r="N135" s="57"/>
      <c r="O135" s="57"/>
      <c r="P135" s="91"/>
    </row>
    <row r="136" spans="2:16" s="50" customFormat="1" ht="13.2">
      <c r="B136" s="86"/>
      <c r="C136" s="87"/>
      <c r="D136" s="87"/>
      <c r="E136" s="87"/>
      <c r="F136" s="87"/>
      <c r="G136" s="87"/>
      <c r="H136" s="87"/>
      <c r="I136" s="87"/>
      <c r="J136" s="87"/>
      <c r="K136" s="88"/>
      <c r="L136" s="89"/>
      <c r="M136" s="90"/>
      <c r="N136" s="57"/>
      <c r="O136" s="57"/>
      <c r="P136" s="91"/>
    </row>
    <row r="137" spans="2:16" s="50" customFormat="1" ht="13.2">
      <c r="B137" s="86"/>
      <c r="C137" s="87"/>
      <c r="D137" s="87"/>
      <c r="E137" s="87"/>
      <c r="F137" s="87"/>
      <c r="G137" s="87"/>
      <c r="H137" s="87"/>
      <c r="I137" s="87"/>
      <c r="J137" s="87"/>
      <c r="K137" s="88"/>
      <c r="L137" s="89"/>
      <c r="M137" s="90"/>
      <c r="N137" s="57"/>
      <c r="O137" s="57"/>
      <c r="P137" s="91"/>
    </row>
    <row r="138" spans="2:16" s="50" customFormat="1" ht="13.2">
      <c r="B138" s="86"/>
      <c r="C138" s="87"/>
      <c r="D138" s="87"/>
      <c r="E138" s="87"/>
      <c r="F138" s="87"/>
      <c r="G138" s="87"/>
      <c r="H138" s="87"/>
      <c r="I138" s="87"/>
      <c r="J138" s="87"/>
      <c r="K138" s="88"/>
      <c r="L138" s="89"/>
      <c r="M138" s="90"/>
      <c r="N138" s="57"/>
      <c r="O138" s="57"/>
      <c r="P138" s="91"/>
    </row>
    <row r="139" spans="2:16" s="50" customFormat="1" ht="13.2">
      <c r="B139" s="86"/>
      <c r="C139" s="87"/>
      <c r="D139" s="87"/>
      <c r="E139" s="87"/>
      <c r="F139" s="87"/>
      <c r="G139" s="87"/>
      <c r="H139" s="87"/>
      <c r="I139" s="87"/>
      <c r="J139" s="87"/>
      <c r="K139" s="88"/>
      <c r="L139" s="89"/>
      <c r="M139" s="90"/>
      <c r="N139" s="57"/>
      <c r="O139" s="57"/>
      <c r="P139" s="91"/>
    </row>
    <row r="140" spans="2:16" s="50" customFormat="1" ht="13.2">
      <c r="B140" s="86"/>
      <c r="C140" s="87"/>
      <c r="D140" s="87"/>
      <c r="E140" s="87"/>
      <c r="F140" s="87"/>
      <c r="G140" s="87"/>
      <c r="H140" s="87"/>
      <c r="I140" s="87"/>
      <c r="J140" s="87"/>
      <c r="K140" s="88"/>
      <c r="L140" s="89"/>
      <c r="M140" s="90"/>
      <c r="N140" s="57"/>
      <c r="O140" s="57"/>
      <c r="P140" s="91"/>
    </row>
    <row r="141" spans="2:16" s="50" customFormat="1" ht="13.2">
      <c r="B141" s="86"/>
      <c r="C141" s="87"/>
      <c r="D141" s="87"/>
      <c r="E141" s="87"/>
      <c r="F141" s="87"/>
      <c r="G141" s="87"/>
      <c r="H141" s="87"/>
      <c r="I141" s="87"/>
      <c r="J141" s="87"/>
      <c r="K141" s="88"/>
      <c r="L141" s="89"/>
      <c r="M141" s="90"/>
      <c r="N141" s="57"/>
      <c r="O141" s="57"/>
      <c r="P141" s="91"/>
    </row>
    <row r="142" spans="2:16" s="50" customFormat="1" ht="13.2">
      <c r="B142" s="86"/>
      <c r="C142" s="87"/>
      <c r="D142" s="87"/>
      <c r="E142" s="87"/>
      <c r="F142" s="87"/>
      <c r="G142" s="87"/>
      <c r="H142" s="87"/>
      <c r="I142" s="87"/>
      <c r="J142" s="87"/>
      <c r="K142" s="88"/>
      <c r="L142" s="89"/>
      <c r="M142" s="90"/>
      <c r="N142" s="57"/>
      <c r="O142" s="57"/>
      <c r="P142" s="91"/>
    </row>
    <row r="143" spans="2:16" s="50" customFormat="1" ht="13.2">
      <c r="B143" s="86"/>
      <c r="C143" s="87"/>
      <c r="D143" s="87"/>
      <c r="E143" s="87"/>
      <c r="F143" s="87"/>
      <c r="G143" s="87"/>
      <c r="H143" s="87"/>
      <c r="I143" s="87"/>
      <c r="J143" s="87"/>
      <c r="K143" s="88"/>
      <c r="L143" s="89"/>
      <c r="M143" s="90"/>
      <c r="N143" s="57"/>
      <c r="O143" s="57"/>
      <c r="P143" s="91"/>
    </row>
    <row r="144" spans="2:16" s="50" customFormat="1" ht="13.2">
      <c r="B144" s="86"/>
      <c r="C144" s="87"/>
      <c r="D144" s="87"/>
      <c r="E144" s="87"/>
      <c r="F144" s="87"/>
      <c r="G144" s="87"/>
      <c r="H144" s="87"/>
      <c r="I144" s="87"/>
      <c r="J144" s="87"/>
      <c r="K144" s="88"/>
      <c r="L144" s="89"/>
      <c r="M144" s="90"/>
      <c r="N144" s="57"/>
      <c r="O144" s="57"/>
      <c r="P144" s="91"/>
    </row>
    <row r="145" spans="2:16" s="50" customFormat="1" ht="13.2">
      <c r="B145" s="86"/>
      <c r="C145" s="87"/>
      <c r="D145" s="87"/>
      <c r="E145" s="87"/>
      <c r="F145" s="87"/>
      <c r="G145" s="87"/>
      <c r="H145" s="87"/>
      <c r="I145" s="87"/>
      <c r="J145" s="87"/>
      <c r="K145" s="88"/>
      <c r="L145" s="89"/>
      <c r="M145" s="90"/>
      <c r="N145" s="57"/>
      <c r="O145" s="57"/>
      <c r="P145" s="91"/>
    </row>
    <row r="146" spans="2:16" s="50" customFormat="1" ht="13.2">
      <c r="B146" s="86"/>
      <c r="C146" s="87"/>
      <c r="D146" s="87"/>
      <c r="E146" s="87"/>
      <c r="F146" s="87"/>
      <c r="G146" s="87"/>
      <c r="H146" s="87"/>
      <c r="I146" s="87"/>
      <c r="J146" s="87"/>
      <c r="K146" s="88"/>
      <c r="L146" s="89"/>
      <c r="M146" s="90"/>
      <c r="N146" s="57"/>
      <c r="O146" s="57"/>
      <c r="P146" s="91"/>
    </row>
    <row r="147" spans="2:16" s="50" customFormat="1" ht="13.2">
      <c r="B147" s="86"/>
      <c r="C147" s="87"/>
      <c r="D147" s="87"/>
      <c r="E147" s="87"/>
      <c r="F147" s="87"/>
      <c r="G147" s="87"/>
      <c r="H147" s="87"/>
      <c r="I147" s="87"/>
      <c r="J147" s="87"/>
      <c r="K147" s="88"/>
      <c r="L147" s="89"/>
      <c r="M147" s="90"/>
      <c r="N147" s="57"/>
      <c r="O147" s="57"/>
      <c r="P147" s="91"/>
    </row>
    <row r="148" spans="2:16" s="50" customFormat="1" ht="13.2">
      <c r="B148" s="86"/>
      <c r="C148" s="87"/>
      <c r="D148" s="87"/>
      <c r="E148" s="87"/>
      <c r="F148" s="87"/>
      <c r="G148" s="87"/>
      <c r="H148" s="87"/>
      <c r="I148" s="87"/>
      <c r="J148" s="87"/>
      <c r="K148" s="88"/>
      <c r="L148" s="89"/>
      <c r="M148" s="90"/>
      <c r="N148" s="57"/>
      <c r="O148" s="57"/>
      <c r="P148" s="91"/>
    </row>
    <row r="149" spans="2:16" s="50" customFormat="1" ht="13.2">
      <c r="B149" s="86"/>
      <c r="C149" s="87"/>
      <c r="D149" s="87"/>
      <c r="E149" s="87"/>
      <c r="F149" s="87"/>
      <c r="G149" s="87"/>
      <c r="H149" s="87"/>
      <c r="I149" s="87"/>
      <c r="J149" s="87"/>
      <c r="K149" s="88"/>
      <c r="L149" s="89"/>
      <c r="M149" s="90"/>
      <c r="N149" s="57"/>
      <c r="O149" s="57"/>
      <c r="P149" s="91"/>
    </row>
    <row r="150" spans="2:16" s="50" customFormat="1" ht="13.2">
      <c r="B150" s="86"/>
      <c r="C150" s="87"/>
      <c r="D150" s="87"/>
      <c r="E150" s="87"/>
      <c r="F150" s="87"/>
      <c r="G150" s="87"/>
      <c r="H150" s="87"/>
      <c r="I150" s="87"/>
      <c r="J150" s="87"/>
      <c r="K150" s="88"/>
      <c r="L150" s="89"/>
      <c r="M150" s="90"/>
      <c r="N150" s="57"/>
      <c r="O150" s="57"/>
      <c r="P150" s="91"/>
    </row>
    <row r="151" spans="2:16" s="50" customFormat="1" ht="13.2">
      <c r="B151" s="86"/>
      <c r="C151" s="87"/>
      <c r="D151" s="87"/>
      <c r="E151" s="87"/>
      <c r="F151" s="87"/>
      <c r="G151" s="87"/>
      <c r="H151" s="87"/>
      <c r="I151" s="87"/>
      <c r="J151" s="87"/>
      <c r="K151" s="88"/>
      <c r="L151" s="89"/>
      <c r="M151" s="90"/>
      <c r="N151" s="57"/>
      <c r="O151" s="57"/>
      <c r="P151" s="91"/>
    </row>
    <row r="152" spans="2:16" s="50" customFormat="1" ht="13.2">
      <c r="B152" s="86"/>
      <c r="C152" s="87"/>
      <c r="D152" s="87"/>
      <c r="E152" s="87"/>
      <c r="F152" s="87"/>
      <c r="G152" s="87"/>
      <c r="H152" s="87"/>
      <c r="I152" s="87"/>
      <c r="J152" s="87"/>
      <c r="K152" s="88"/>
      <c r="L152" s="89"/>
      <c r="M152" s="90"/>
      <c r="N152" s="57"/>
      <c r="O152" s="57"/>
      <c r="P152" s="91"/>
    </row>
    <row r="153" spans="2:16" s="50" customFormat="1" ht="13.2">
      <c r="B153" s="86"/>
      <c r="C153" s="87"/>
      <c r="D153" s="87"/>
      <c r="E153" s="87"/>
      <c r="F153" s="87"/>
      <c r="G153" s="87"/>
      <c r="H153" s="87"/>
      <c r="I153" s="87"/>
      <c r="J153" s="87"/>
      <c r="K153" s="88"/>
      <c r="L153" s="89"/>
      <c r="M153" s="90"/>
      <c r="N153" s="57"/>
      <c r="O153" s="57"/>
      <c r="P153" s="91"/>
    </row>
    <row r="154" spans="2:16" s="50" customFormat="1" ht="13.2">
      <c r="B154" s="86"/>
      <c r="C154" s="87"/>
      <c r="D154" s="87"/>
      <c r="E154" s="87"/>
      <c r="F154" s="87"/>
      <c r="G154" s="87"/>
      <c r="H154" s="87"/>
      <c r="I154" s="87"/>
      <c r="J154" s="87"/>
      <c r="K154" s="88"/>
      <c r="L154" s="89"/>
      <c r="M154" s="90"/>
      <c r="N154" s="57"/>
      <c r="O154" s="57"/>
      <c r="P154" s="91"/>
    </row>
    <row r="155" spans="2:16" s="50" customFormat="1" ht="13.2">
      <c r="B155" s="86"/>
      <c r="C155" s="87"/>
      <c r="D155" s="87"/>
      <c r="E155" s="87"/>
      <c r="F155" s="87"/>
      <c r="G155" s="87"/>
      <c r="H155" s="87"/>
      <c r="I155" s="87"/>
      <c r="J155" s="87"/>
      <c r="K155" s="88"/>
      <c r="L155" s="89"/>
      <c r="M155" s="90"/>
      <c r="N155" s="57"/>
      <c r="O155" s="57"/>
      <c r="P155" s="91"/>
    </row>
    <row r="156" spans="2:16" s="50" customFormat="1" ht="13.2">
      <c r="B156" s="86"/>
      <c r="C156" s="87"/>
      <c r="D156" s="87"/>
      <c r="E156" s="87"/>
      <c r="F156" s="87"/>
      <c r="G156" s="87"/>
      <c r="H156" s="87"/>
      <c r="I156" s="87"/>
      <c r="J156" s="87"/>
      <c r="K156" s="88"/>
      <c r="L156" s="89"/>
      <c r="M156" s="90"/>
      <c r="N156" s="57"/>
      <c r="O156" s="57"/>
      <c r="P156" s="91"/>
    </row>
    <row r="157" spans="2:16" s="50" customFormat="1" ht="13.2">
      <c r="B157" s="86"/>
      <c r="C157" s="87"/>
      <c r="D157" s="87"/>
      <c r="E157" s="87"/>
      <c r="F157" s="87"/>
      <c r="G157" s="87"/>
      <c r="H157" s="87"/>
      <c r="I157" s="87"/>
      <c r="J157" s="87"/>
      <c r="K157" s="88"/>
      <c r="L157" s="89"/>
      <c r="M157" s="90"/>
      <c r="N157" s="57"/>
      <c r="O157" s="57"/>
      <c r="P157" s="91"/>
    </row>
    <row r="158" spans="2:16" s="50" customFormat="1" ht="13.2">
      <c r="B158" s="86"/>
      <c r="C158" s="87"/>
      <c r="D158" s="87"/>
      <c r="E158" s="87"/>
      <c r="F158" s="87"/>
      <c r="G158" s="87"/>
      <c r="H158" s="87"/>
      <c r="I158" s="87"/>
      <c r="J158" s="87"/>
      <c r="K158" s="88"/>
      <c r="L158" s="89"/>
      <c r="M158" s="90"/>
      <c r="N158" s="57"/>
      <c r="O158" s="57"/>
      <c r="P158" s="91"/>
    </row>
    <row r="159" spans="2:16" s="50" customFormat="1" ht="13.2">
      <c r="B159" s="86"/>
      <c r="C159" s="87"/>
      <c r="D159" s="87"/>
      <c r="E159" s="87"/>
      <c r="F159" s="87"/>
      <c r="G159" s="87"/>
      <c r="H159" s="87"/>
      <c r="I159" s="87"/>
      <c r="J159" s="87"/>
      <c r="K159" s="88"/>
      <c r="L159" s="89"/>
      <c r="M159" s="90"/>
      <c r="N159" s="57"/>
      <c r="O159" s="57"/>
      <c r="P159" s="91"/>
    </row>
    <row r="160" spans="2:16" s="50" customFormat="1" ht="13.2">
      <c r="B160" s="86"/>
      <c r="C160" s="87"/>
      <c r="D160" s="87"/>
      <c r="E160" s="87"/>
      <c r="F160" s="87"/>
      <c r="G160" s="87"/>
      <c r="H160" s="87"/>
      <c r="I160" s="87"/>
      <c r="J160" s="87"/>
      <c r="K160" s="88"/>
      <c r="L160" s="89"/>
      <c r="M160" s="90"/>
      <c r="N160" s="57"/>
      <c r="O160" s="57"/>
      <c r="P160" s="91"/>
    </row>
    <row r="161" spans="2:16" s="50" customFormat="1" ht="13.2">
      <c r="B161" s="86"/>
      <c r="C161" s="87"/>
      <c r="D161" s="87"/>
      <c r="E161" s="87"/>
      <c r="F161" s="87"/>
      <c r="G161" s="87"/>
      <c r="H161" s="87"/>
      <c r="I161" s="87"/>
      <c r="J161" s="87"/>
      <c r="K161" s="88"/>
      <c r="L161" s="89"/>
      <c r="M161" s="90"/>
      <c r="N161" s="57"/>
      <c r="O161" s="57"/>
      <c r="P161" s="91"/>
    </row>
    <row r="162" spans="2:16" s="50" customFormat="1" ht="13.2">
      <c r="B162" s="86"/>
      <c r="C162" s="87"/>
      <c r="D162" s="87"/>
      <c r="E162" s="87"/>
      <c r="F162" s="87"/>
      <c r="G162" s="87"/>
      <c r="H162" s="87"/>
      <c r="I162" s="87"/>
      <c r="J162" s="87"/>
      <c r="K162" s="88"/>
      <c r="L162" s="89"/>
      <c r="M162" s="90"/>
      <c r="N162" s="57"/>
      <c r="O162" s="57"/>
      <c r="P162" s="91"/>
    </row>
    <row r="163" spans="2:16" s="50" customFormat="1" ht="13.2">
      <c r="B163" s="86"/>
      <c r="C163" s="87"/>
      <c r="D163" s="87"/>
      <c r="E163" s="87"/>
      <c r="F163" s="87"/>
      <c r="G163" s="87"/>
      <c r="H163" s="87"/>
      <c r="I163" s="87"/>
      <c r="J163" s="87"/>
      <c r="K163" s="88"/>
      <c r="L163" s="89"/>
      <c r="M163" s="90"/>
      <c r="N163" s="57"/>
      <c r="O163" s="57"/>
      <c r="P163" s="91"/>
    </row>
    <row r="164" spans="2:16" s="50" customFormat="1" ht="13.2">
      <c r="B164" s="86"/>
      <c r="C164" s="87"/>
      <c r="D164" s="87"/>
      <c r="E164" s="87"/>
      <c r="F164" s="87"/>
      <c r="G164" s="87"/>
      <c r="H164" s="87"/>
      <c r="I164" s="87"/>
      <c r="J164" s="87"/>
      <c r="K164" s="88"/>
      <c r="L164" s="89"/>
      <c r="M164" s="90"/>
      <c r="N164" s="57"/>
      <c r="O164" s="57"/>
      <c r="P164" s="91"/>
    </row>
    <row r="165" spans="2:16" s="50" customFormat="1" ht="13.2">
      <c r="B165" s="86"/>
      <c r="C165" s="87"/>
      <c r="D165" s="87"/>
      <c r="E165" s="87"/>
      <c r="F165" s="87"/>
      <c r="G165" s="87"/>
      <c r="H165" s="87"/>
      <c r="I165" s="87"/>
      <c r="J165" s="87"/>
      <c r="K165" s="88"/>
      <c r="L165" s="89"/>
      <c r="M165" s="90"/>
      <c r="N165" s="57"/>
      <c r="O165" s="57"/>
      <c r="P165" s="91"/>
    </row>
    <row r="166" spans="2:16" s="50" customFormat="1" ht="13.2">
      <c r="B166" s="86"/>
      <c r="C166" s="87"/>
      <c r="D166" s="87"/>
      <c r="E166" s="87"/>
      <c r="F166" s="87"/>
      <c r="G166" s="87"/>
      <c r="H166" s="87"/>
      <c r="I166" s="87"/>
      <c r="J166" s="87"/>
      <c r="K166" s="88"/>
      <c r="L166" s="89"/>
      <c r="M166" s="90"/>
      <c r="N166" s="57"/>
      <c r="O166" s="57"/>
      <c r="P166" s="91"/>
    </row>
    <row r="167" spans="2:16" s="50" customFormat="1" ht="13.2">
      <c r="B167" s="86"/>
      <c r="C167" s="87"/>
      <c r="D167" s="87"/>
      <c r="E167" s="87"/>
      <c r="F167" s="87"/>
      <c r="G167" s="87"/>
      <c r="H167" s="87"/>
      <c r="I167" s="87"/>
      <c r="J167" s="87"/>
      <c r="K167" s="88"/>
      <c r="L167" s="89"/>
      <c r="M167" s="90"/>
      <c r="N167" s="57"/>
      <c r="O167" s="57"/>
      <c r="P167" s="91"/>
    </row>
    <row r="168" spans="2:16" s="50" customFormat="1" ht="13.2">
      <c r="B168" s="86"/>
      <c r="C168" s="87"/>
      <c r="D168" s="87"/>
      <c r="E168" s="87"/>
      <c r="F168" s="87"/>
      <c r="G168" s="87"/>
      <c r="H168" s="87"/>
      <c r="I168" s="87"/>
      <c r="J168" s="87"/>
      <c r="K168" s="88"/>
      <c r="L168" s="89"/>
      <c r="M168" s="90"/>
      <c r="N168" s="57"/>
      <c r="O168" s="57"/>
      <c r="P168" s="91"/>
    </row>
    <row r="169" spans="2:16" s="50" customFormat="1" ht="13.2">
      <c r="B169" s="86"/>
      <c r="C169" s="87"/>
      <c r="D169" s="87"/>
      <c r="E169" s="87"/>
      <c r="F169" s="87"/>
      <c r="G169" s="87"/>
      <c r="H169" s="87"/>
      <c r="I169" s="87"/>
      <c r="J169" s="87"/>
      <c r="K169" s="88"/>
      <c r="L169" s="89"/>
      <c r="M169" s="90"/>
      <c r="N169" s="57"/>
      <c r="O169" s="57"/>
      <c r="P169" s="91"/>
    </row>
    <row r="170" spans="2:16" s="50" customFormat="1" ht="13.2">
      <c r="B170" s="86"/>
      <c r="C170" s="87"/>
      <c r="D170" s="87"/>
      <c r="E170" s="87"/>
      <c r="F170" s="87"/>
      <c r="G170" s="87"/>
      <c r="H170" s="87"/>
      <c r="I170" s="87"/>
      <c r="J170" s="87"/>
      <c r="K170" s="88"/>
      <c r="L170" s="89"/>
      <c r="M170" s="90"/>
      <c r="N170" s="57"/>
      <c r="O170" s="57"/>
      <c r="P170" s="91"/>
    </row>
    <row r="171" spans="2:16" s="50" customFormat="1" ht="13.2">
      <c r="B171" s="86"/>
      <c r="C171" s="87"/>
      <c r="D171" s="87"/>
      <c r="E171" s="87"/>
      <c r="F171" s="87"/>
      <c r="G171" s="87"/>
      <c r="H171" s="87"/>
      <c r="I171" s="87"/>
      <c r="J171" s="87"/>
      <c r="K171" s="88"/>
      <c r="L171" s="89"/>
      <c r="M171" s="90"/>
      <c r="N171" s="57"/>
      <c r="O171" s="57"/>
      <c r="P171" s="91"/>
    </row>
    <row r="172" spans="2:16" s="50" customFormat="1" ht="13.2">
      <c r="B172" s="86"/>
      <c r="C172" s="87"/>
      <c r="D172" s="87"/>
      <c r="E172" s="87"/>
      <c r="F172" s="87"/>
      <c r="G172" s="87"/>
      <c r="H172" s="87"/>
      <c r="I172" s="87"/>
      <c r="J172" s="87"/>
      <c r="K172" s="88"/>
      <c r="L172" s="89"/>
      <c r="M172" s="90"/>
      <c r="N172" s="57"/>
      <c r="O172" s="57"/>
      <c r="P172" s="91"/>
    </row>
    <row r="173" spans="2:16" s="50" customFormat="1" ht="13.2">
      <c r="B173" s="86"/>
      <c r="C173" s="87"/>
      <c r="D173" s="87"/>
      <c r="E173" s="87"/>
      <c r="F173" s="87"/>
      <c r="G173" s="87"/>
      <c r="H173" s="87"/>
      <c r="I173" s="87"/>
      <c r="J173" s="87"/>
      <c r="K173" s="88"/>
      <c r="L173" s="89"/>
      <c r="M173" s="90"/>
      <c r="N173" s="57"/>
      <c r="O173" s="57"/>
      <c r="P173" s="91"/>
    </row>
    <row r="174" spans="2:16" s="50" customFormat="1" ht="13.2">
      <c r="B174" s="86"/>
      <c r="C174" s="87"/>
      <c r="D174" s="87"/>
      <c r="E174" s="87"/>
      <c r="F174" s="87"/>
      <c r="G174" s="87"/>
      <c r="H174" s="87"/>
      <c r="I174" s="87"/>
      <c r="J174" s="87"/>
      <c r="K174" s="88"/>
      <c r="L174" s="89"/>
      <c r="M174" s="90"/>
      <c r="N174" s="57"/>
      <c r="O174" s="57"/>
      <c r="P174" s="91"/>
    </row>
    <row r="175" spans="2:16" s="50" customFormat="1" ht="13.2">
      <c r="B175" s="86"/>
      <c r="C175" s="87"/>
      <c r="D175" s="87"/>
      <c r="E175" s="87"/>
      <c r="F175" s="87"/>
      <c r="G175" s="87"/>
      <c r="H175" s="87"/>
      <c r="I175" s="87"/>
      <c r="J175" s="87"/>
      <c r="K175" s="88"/>
      <c r="L175" s="89"/>
      <c r="M175" s="90"/>
      <c r="N175" s="57"/>
      <c r="O175" s="57"/>
      <c r="P175" s="91"/>
    </row>
    <row r="176" spans="2:16" s="50" customFormat="1" ht="13.2">
      <c r="B176" s="86"/>
      <c r="C176" s="87"/>
      <c r="D176" s="87"/>
      <c r="E176" s="87"/>
      <c r="F176" s="87"/>
      <c r="G176" s="87"/>
      <c r="H176" s="87"/>
      <c r="I176" s="87"/>
      <c r="J176" s="87"/>
      <c r="K176" s="88"/>
      <c r="L176" s="89"/>
      <c r="M176" s="90"/>
      <c r="N176" s="57"/>
      <c r="O176" s="57"/>
      <c r="P176" s="91"/>
    </row>
    <row r="177" spans="2:16" s="50" customFormat="1" ht="13.2">
      <c r="B177" s="86"/>
      <c r="C177" s="87"/>
      <c r="D177" s="87"/>
      <c r="E177" s="87"/>
      <c r="F177" s="87"/>
      <c r="G177" s="87"/>
      <c r="H177" s="87"/>
      <c r="I177" s="87"/>
      <c r="J177" s="87"/>
      <c r="K177" s="88"/>
      <c r="L177" s="89"/>
      <c r="M177" s="90"/>
      <c r="N177" s="57"/>
      <c r="O177" s="57"/>
      <c r="P177" s="91"/>
    </row>
    <row r="178" spans="2:16" s="50" customFormat="1" ht="13.2">
      <c r="B178" s="86"/>
      <c r="C178" s="87"/>
      <c r="D178" s="87"/>
      <c r="E178" s="87"/>
      <c r="F178" s="87"/>
      <c r="G178" s="87"/>
      <c r="H178" s="87"/>
      <c r="I178" s="87"/>
      <c r="J178" s="87"/>
      <c r="K178" s="88"/>
      <c r="L178" s="89"/>
      <c r="M178" s="90"/>
      <c r="N178" s="57"/>
      <c r="O178" s="57"/>
      <c r="P178" s="91"/>
    </row>
    <row r="179" spans="2:16" s="50" customFormat="1" ht="13.2">
      <c r="B179" s="86"/>
      <c r="C179" s="87"/>
      <c r="D179" s="87"/>
      <c r="E179" s="87"/>
      <c r="F179" s="87"/>
      <c r="G179" s="87"/>
      <c r="H179" s="87"/>
      <c r="I179" s="87"/>
      <c r="J179" s="87"/>
      <c r="K179" s="88"/>
      <c r="L179" s="89"/>
      <c r="M179" s="90"/>
      <c r="N179" s="57"/>
      <c r="O179" s="57"/>
      <c r="P179" s="91"/>
    </row>
    <row r="180" spans="2:16" s="50" customFormat="1" ht="13.2">
      <c r="B180" s="86"/>
      <c r="C180" s="87"/>
      <c r="D180" s="87"/>
      <c r="E180" s="87"/>
      <c r="F180" s="87"/>
      <c r="G180" s="87"/>
      <c r="H180" s="87"/>
      <c r="I180" s="87"/>
      <c r="J180" s="87"/>
      <c r="K180" s="88"/>
      <c r="L180" s="89"/>
      <c r="M180" s="90"/>
      <c r="N180" s="57"/>
      <c r="O180" s="57"/>
      <c r="P180" s="91"/>
    </row>
    <row r="181" spans="2:16" s="50" customFormat="1" ht="13.2">
      <c r="B181" s="86"/>
      <c r="C181" s="87"/>
      <c r="D181" s="87"/>
      <c r="E181" s="87"/>
      <c r="F181" s="87"/>
      <c r="G181" s="87"/>
      <c r="H181" s="87"/>
      <c r="I181" s="87"/>
      <c r="J181" s="87"/>
      <c r="K181" s="88"/>
      <c r="L181" s="89"/>
      <c r="M181" s="90"/>
      <c r="N181" s="57"/>
      <c r="O181" s="57"/>
      <c r="P181" s="91"/>
    </row>
    <row r="182" spans="2:16" s="50" customFormat="1" ht="13.2">
      <c r="B182" s="86"/>
      <c r="C182" s="87"/>
      <c r="D182" s="87"/>
      <c r="E182" s="87"/>
      <c r="F182" s="87"/>
      <c r="G182" s="87"/>
      <c r="H182" s="87"/>
      <c r="I182" s="87"/>
      <c r="J182" s="87"/>
      <c r="K182" s="88"/>
      <c r="L182" s="89"/>
      <c r="M182" s="90"/>
      <c r="N182" s="57"/>
      <c r="O182" s="57"/>
      <c r="P182" s="91"/>
    </row>
    <row r="183" spans="2:16" s="50" customFormat="1" ht="13.2">
      <c r="B183" s="86"/>
      <c r="C183" s="87"/>
      <c r="D183" s="87"/>
      <c r="E183" s="87"/>
      <c r="F183" s="87"/>
      <c r="G183" s="87"/>
      <c r="H183" s="87"/>
      <c r="I183" s="87"/>
      <c r="J183" s="87"/>
      <c r="K183" s="88"/>
      <c r="L183" s="89"/>
      <c r="M183" s="90"/>
      <c r="N183" s="57"/>
      <c r="O183" s="57"/>
      <c r="P183" s="91"/>
    </row>
    <row r="184" spans="2:16" s="50" customFormat="1" ht="13.2">
      <c r="B184" s="86"/>
      <c r="C184" s="87"/>
      <c r="D184" s="87"/>
      <c r="E184" s="87"/>
      <c r="F184" s="87"/>
      <c r="G184" s="87"/>
      <c r="H184" s="87"/>
      <c r="I184" s="87"/>
      <c r="J184" s="87"/>
      <c r="K184" s="88"/>
      <c r="L184" s="89"/>
      <c r="M184" s="90"/>
      <c r="N184" s="57"/>
      <c r="O184" s="57"/>
      <c r="P184" s="91"/>
    </row>
    <row r="185" spans="2:16" s="50" customFormat="1" ht="13.2">
      <c r="B185" s="86"/>
      <c r="C185" s="87"/>
      <c r="D185" s="87"/>
      <c r="E185" s="87"/>
      <c r="F185" s="87"/>
      <c r="G185" s="87"/>
      <c r="H185" s="87"/>
      <c r="I185" s="87"/>
      <c r="J185" s="87"/>
      <c r="K185" s="88"/>
      <c r="L185" s="89"/>
      <c r="M185" s="90"/>
      <c r="N185" s="57"/>
      <c r="O185" s="57"/>
      <c r="P185" s="91"/>
    </row>
    <row r="186" spans="2:16" s="50" customFormat="1" ht="13.2">
      <c r="B186" s="86"/>
      <c r="C186" s="87"/>
      <c r="D186" s="87"/>
      <c r="E186" s="87"/>
      <c r="F186" s="87"/>
      <c r="G186" s="87"/>
      <c r="H186" s="87"/>
      <c r="I186" s="87"/>
      <c r="J186" s="87"/>
      <c r="K186" s="88"/>
      <c r="L186" s="89"/>
      <c r="M186" s="90"/>
      <c r="N186" s="57"/>
      <c r="O186" s="57"/>
      <c r="P186" s="91"/>
    </row>
    <row r="187" spans="2:16" s="50" customFormat="1" ht="13.2">
      <c r="B187" s="86"/>
      <c r="C187" s="87"/>
      <c r="D187" s="87"/>
      <c r="E187" s="87"/>
      <c r="F187" s="87"/>
      <c r="G187" s="87"/>
      <c r="H187" s="87"/>
      <c r="I187" s="87"/>
      <c r="J187" s="87"/>
      <c r="K187" s="88"/>
      <c r="L187" s="89"/>
      <c r="M187" s="90"/>
      <c r="N187" s="57"/>
      <c r="O187" s="57"/>
      <c r="P187" s="91"/>
    </row>
    <row r="188" spans="2:16" s="50" customFormat="1" ht="13.2">
      <c r="B188" s="86"/>
      <c r="C188" s="87"/>
      <c r="D188" s="87"/>
      <c r="E188" s="87"/>
      <c r="F188" s="87"/>
      <c r="G188" s="87"/>
      <c r="H188" s="87"/>
      <c r="I188" s="87"/>
      <c r="J188" s="87"/>
      <c r="K188" s="88"/>
      <c r="L188" s="89"/>
      <c r="M188" s="90"/>
      <c r="N188" s="57"/>
      <c r="O188" s="57"/>
      <c r="P188" s="91"/>
    </row>
    <row r="189" spans="2:16" s="50" customFormat="1" ht="13.2">
      <c r="B189" s="86"/>
      <c r="C189" s="87"/>
      <c r="D189" s="87"/>
      <c r="E189" s="87"/>
      <c r="F189" s="87"/>
      <c r="G189" s="87"/>
      <c r="H189" s="87"/>
      <c r="I189" s="87"/>
      <c r="J189" s="87"/>
      <c r="K189" s="88"/>
      <c r="L189" s="89"/>
      <c r="M189" s="90"/>
      <c r="N189" s="57"/>
      <c r="O189" s="57"/>
      <c r="P189" s="91"/>
    </row>
    <row r="190" spans="2:16" s="50" customFormat="1" ht="13.2">
      <c r="B190" s="86"/>
      <c r="C190" s="87"/>
      <c r="D190" s="87"/>
      <c r="E190" s="87"/>
      <c r="F190" s="87"/>
      <c r="G190" s="87"/>
      <c r="H190" s="87"/>
      <c r="I190" s="87"/>
      <c r="J190" s="87"/>
      <c r="K190" s="88"/>
      <c r="L190" s="89"/>
      <c r="M190" s="90"/>
      <c r="N190" s="57"/>
      <c r="O190" s="57"/>
      <c r="P190" s="91"/>
    </row>
    <row r="191" spans="2:16" s="50" customFormat="1" ht="13.2">
      <c r="B191" s="86"/>
      <c r="C191" s="87"/>
      <c r="D191" s="87"/>
      <c r="E191" s="87"/>
      <c r="F191" s="87"/>
      <c r="G191" s="87"/>
      <c r="H191" s="87"/>
      <c r="I191" s="87"/>
      <c r="J191" s="87"/>
      <c r="K191" s="88"/>
      <c r="L191" s="89"/>
      <c r="M191" s="90"/>
      <c r="N191" s="57"/>
      <c r="O191" s="57"/>
      <c r="P191" s="91"/>
    </row>
    <row r="192" spans="2:16" s="50" customFormat="1" ht="13.2">
      <c r="B192" s="86"/>
      <c r="C192" s="87"/>
      <c r="D192" s="87"/>
      <c r="E192" s="87"/>
      <c r="F192" s="87"/>
      <c r="G192" s="87"/>
      <c r="H192" s="87"/>
      <c r="I192" s="87"/>
      <c r="J192" s="87"/>
      <c r="K192" s="88"/>
      <c r="L192" s="89"/>
      <c r="M192" s="90"/>
      <c r="N192" s="57"/>
      <c r="O192" s="57"/>
      <c r="P192" s="91"/>
    </row>
    <row r="193" spans="2:16" s="50" customFormat="1" ht="13.2">
      <c r="B193" s="86"/>
      <c r="C193" s="87"/>
      <c r="D193" s="87"/>
      <c r="E193" s="87"/>
      <c r="F193" s="87"/>
      <c r="G193" s="87"/>
      <c r="H193" s="87"/>
      <c r="I193" s="87"/>
      <c r="J193" s="87"/>
      <c r="K193" s="88"/>
      <c r="L193" s="89"/>
      <c r="M193" s="90"/>
      <c r="N193" s="57"/>
      <c r="O193" s="57"/>
      <c r="P193" s="91"/>
    </row>
    <row r="194" spans="2:16" s="50" customFormat="1" ht="13.2">
      <c r="B194" s="86"/>
      <c r="C194" s="87"/>
      <c r="D194" s="87"/>
      <c r="E194" s="87"/>
      <c r="F194" s="87"/>
      <c r="G194" s="87"/>
      <c r="H194" s="87"/>
      <c r="I194" s="87"/>
      <c r="J194" s="87"/>
      <c r="K194" s="88"/>
      <c r="L194" s="89"/>
      <c r="M194" s="90"/>
      <c r="N194" s="57"/>
      <c r="O194" s="57"/>
      <c r="P194" s="91"/>
    </row>
    <row r="195" spans="2:16" s="50" customFormat="1" ht="13.2">
      <c r="B195" s="86"/>
      <c r="C195" s="87"/>
      <c r="D195" s="87"/>
      <c r="E195" s="87"/>
      <c r="F195" s="87"/>
      <c r="G195" s="87"/>
      <c r="H195" s="87"/>
      <c r="I195" s="87"/>
      <c r="J195" s="87"/>
      <c r="K195" s="88"/>
      <c r="L195" s="89"/>
      <c r="M195" s="90"/>
      <c r="N195" s="57"/>
      <c r="O195" s="57"/>
      <c r="P195" s="91"/>
    </row>
    <row r="196" spans="2:16" s="50" customFormat="1" ht="13.2">
      <c r="B196" s="86"/>
      <c r="C196" s="87"/>
      <c r="D196" s="87"/>
      <c r="E196" s="87"/>
      <c r="F196" s="87"/>
      <c r="G196" s="87"/>
      <c r="H196" s="87"/>
      <c r="I196" s="87"/>
      <c r="J196" s="87"/>
      <c r="K196" s="88"/>
      <c r="L196" s="89"/>
      <c r="M196" s="90"/>
      <c r="N196" s="57"/>
      <c r="O196" s="57"/>
      <c r="P196" s="91"/>
    </row>
    <row r="197" spans="2:16" s="50" customFormat="1" ht="13.2">
      <c r="B197" s="86"/>
      <c r="C197" s="87"/>
      <c r="D197" s="87"/>
      <c r="E197" s="87"/>
      <c r="F197" s="87"/>
      <c r="G197" s="87"/>
      <c r="H197" s="87"/>
      <c r="I197" s="87"/>
      <c r="J197" s="87"/>
      <c r="K197" s="88"/>
      <c r="L197" s="89"/>
      <c r="M197" s="90"/>
      <c r="N197" s="57"/>
      <c r="O197" s="57"/>
      <c r="P197" s="91"/>
    </row>
    <row r="198" spans="2:16" s="50" customFormat="1" ht="13.2">
      <c r="B198" s="86"/>
      <c r="C198" s="87"/>
      <c r="D198" s="87"/>
      <c r="E198" s="87"/>
      <c r="F198" s="87"/>
      <c r="G198" s="87"/>
      <c r="H198" s="87"/>
      <c r="I198" s="87"/>
      <c r="J198" s="87"/>
      <c r="K198" s="88"/>
      <c r="L198" s="89"/>
      <c r="M198" s="90"/>
      <c r="N198" s="57"/>
      <c r="O198" s="57"/>
      <c r="P198" s="91"/>
    </row>
    <row r="199" spans="2:16" s="50" customFormat="1" ht="13.2">
      <c r="B199" s="86"/>
      <c r="C199" s="87"/>
      <c r="D199" s="87"/>
      <c r="E199" s="87"/>
      <c r="F199" s="87"/>
      <c r="G199" s="87"/>
      <c r="H199" s="87"/>
      <c r="I199" s="87"/>
      <c r="J199" s="87"/>
      <c r="K199" s="88"/>
      <c r="L199" s="89"/>
      <c r="M199" s="90"/>
      <c r="N199" s="57"/>
      <c r="O199" s="57"/>
      <c r="P199" s="91"/>
    </row>
    <row r="200" spans="2:16" s="50" customFormat="1" ht="13.2">
      <c r="B200" s="86"/>
      <c r="C200" s="87"/>
      <c r="D200" s="87"/>
      <c r="E200" s="87"/>
      <c r="F200" s="87"/>
      <c r="G200" s="87"/>
      <c r="H200" s="87"/>
      <c r="I200" s="87"/>
      <c r="J200" s="87"/>
      <c r="K200" s="88"/>
      <c r="L200" s="89"/>
      <c r="M200" s="90"/>
      <c r="N200" s="57"/>
      <c r="O200" s="57"/>
      <c r="P200" s="91"/>
    </row>
    <row r="201" spans="2:16" s="50" customFormat="1" ht="13.2">
      <c r="B201" s="86"/>
      <c r="C201" s="87"/>
      <c r="D201" s="87"/>
      <c r="E201" s="87"/>
      <c r="F201" s="87"/>
      <c r="G201" s="87"/>
      <c r="H201" s="87"/>
      <c r="I201" s="87"/>
      <c r="J201" s="87"/>
      <c r="K201" s="88"/>
      <c r="L201" s="89"/>
      <c r="M201" s="90"/>
      <c r="N201" s="57"/>
      <c r="O201" s="57"/>
      <c r="P201" s="91"/>
    </row>
    <row r="202" spans="2:16" s="50" customFormat="1" ht="13.2">
      <c r="B202" s="86"/>
      <c r="C202" s="87"/>
      <c r="D202" s="87"/>
      <c r="E202" s="87"/>
      <c r="F202" s="87"/>
      <c r="G202" s="87"/>
      <c r="H202" s="87"/>
      <c r="I202" s="87"/>
      <c r="J202" s="87"/>
      <c r="K202" s="88"/>
      <c r="L202" s="89"/>
      <c r="M202" s="90"/>
      <c r="N202" s="57"/>
      <c r="O202" s="57"/>
      <c r="P202" s="91"/>
    </row>
    <row r="203" spans="2:16" s="50" customFormat="1" ht="13.2">
      <c r="B203" s="86"/>
      <c r="C203" s="87"/>
      <c r="D203" s="87"/>
      <c r="E203" s="87"/>
      <c r="F203" s="87"/>
      <c r="G203" s="87"/>
      <c r="H203" s="87"/>
      <c r="I203" s="87"/>
      <c r="J203" s="87"/>
      <c r="K203" s="88"/>
      <c r="L203" s="89"/>
      <c r="M203" s="90"/>
      <c r="N203" s="57"/>
      <c r="O203" s="57"/>
      <c r="P203" s="91"/>
    </row>
    <row r="204" spans="2:16" s="50" customFormat="1" ht="13.2">
      <c r="B204" s="86"/>
      <c r="C204" s="87"/>
      <c r="D204" s="87"/>
      <c r="E204" s="87"/>
      <c r="F204" s="87"/>
      <c r="G204" s="87"/>
      <c r="H204" s="87"/>
      <c r="I204" s="87"/>
      <c r="J204" s="87"/>
      <c r="K204" s="88"/>
      <c r="L204" s="89"/>
      <c r="M204" s="90"/>
      <c r="N204" s="57"/>
      <c r="O204" s="57"/>
      <c r="P204" s="91"/>
    </row>
    <row r="205" spans="2:16" s="50" customFormat="1" ht="13.2">
      <c r="B205" s="86"/>
      <c r="C205" s="87"/>
      <c r="D205" s="87"/>
      <c r="E205" s="87"/>
      <c r="F205" s="87"/>
      <c r="G205" s="87"/>
      <c r="H205" s="87"/>
      <c r="I205" s="87"/>
      <c r="J205" s="87"/>
      <c r="K205" s="88"/>
      <c r="L205" s="89"/>
      <c r="M205" s="90"/>
      <c r="N205" s="57"/>
      <c r="O205" s="57"/>
      <c r="P205" s="91"/>
    </row>
    <row r="206" spans="2:16" s="50" customFormat="1" ht="13.2">
      <c r="B206" s="86"/>
      <c r="C206" s="87"/>
      <c r="D206" s="87"/>
      <c r="E206" s="87"/>
      <c r="F206" s="87"/>
      <c r="G206" s="87"/>
      <c r="H206" s="87"/>
      <c r="I206" s="87"/>
      <c r="J206" s="87"/>
      <c r="K206" s="88"/>
      <c r="L206" s="89"/>
      <c r="M206" s="90"/>
      <c r="N206" s="57"/>
      <c r="O206" s="57"/>
      <c r="P206" s="91"/>
    </row>
    <row r="207" spans="2:16" s="50" customFormat="1" ht="13.2">
      <c r="B207" s="86"/>
      <c r="C207" s="87"/>
      <c r="D207" s="87"/>
      <c r="E207" s="87"/>
      <c r="F207" s="87"/>
      <c r="G207" s="87"/>
      <c r="H207" s="87"/>
      <c r="I207" s="87"/>
      <c r="J207" s="87"/>
      <c r="K207" s="88"/>
      <c r="L207" s="89"/>
      <c r="M207" s="90"/>
      <c r="N207" s="57"/>
      <c r="O207" s="57"/>
      <c r="P207" s="91"/>
    </row>
    <row r="208" spans="2:16" s="50" customFormat="1" ht="13.2">
      <c r="B208" s="86"/>
      <c r="C208" s="87"/>
      <c r="D208" s="87"/>
      <c r="E208" s="87"/>
      <c r="F208" s="87"/>
      <c r="G208" s="87"/>
      <c r="H208" s="87"/>
      <c r="I208" s="87"/>
      <c r="J208" s="87"/>
      <c r="K208" s="88"/>
      <c r="L208" s="89"/>
      <c r="M208" s="90"/>
      <c r="N208" s="57"/>
      <c r="O208" s="57"/>
      <c r="P208" s="91"/>
    </row>
    <row r="209" spans="2:16" s="50" customFormat="1" ht="13.2">
      <c r="B209" s="86"/>
      <c r="C209" s="87"/>
      <c r="D209" s="87"/>
      <c r="E209" s="87"/>
      <c r="F209" s="87"/>
      <c r="G209" s="87"/>
      <c r="H209" s="87"/>
      <c r="I209" s="87"/>
      <c r="J209" s="87"/>
      <c r="K209" s="88"/>
      <c r="L209" s="89"/>
      <c r="M209" s="90"/>
      <c r="N209" s="57"/>
      <c r="O209" s="57"/>
      <c r="P209" s="91"/>
    </row>
    <row r="210" spans="2:16" s="50" customFormat="1" ht="13.2">
      <c r="B210" s="86"/>
      <c r="C210" s="87"/>
      <c r="D210" s="87"/>
      <c r="E210" s="87"/>
      <c r="F210" s="87"/>
      <c r="G210" s="87"/>
      <c r="H210" s="87"/>
      <c r="I210" s="87"/>
      <c r="J210" s="87"/>
      <c r="K210" s="88"/>
      <c r="L210" s="89"/>
      <c r="M210" s="90"/>
      <c r="N210" s="57"/>
      <c r="O210" s="57"/>
      <c r="P210" s="91"/>
    </row>
    <row r="211" spans="2:16" s="50" customFormat="1" ht="13.2">
      <c r="B211" s="86"/>
      <c r="C211" s="87"/>
      <c r="D211" s="87"/>
      <c r="E211" s="87"/>
      <c r="F211" s="87"/>
      <c r="G211" s="87"/>
      <c r="H211" s="87"/>
      <c r="I211" s="87"/>
      <c r="J211" s="87"/>
      <c r="K211" s="88"/>
      <c r="L211" s="89"/>
      <c r="M211" s="90"/>
      <c r="N211" s="57"/>
      <c r="O211" s="57"/>
      <c r="P211" s="91"/>
    </row>
    <row r="212" spans="2:16" s="50" customFormat="1" ht="13.2">
      <c r="B212" s="86"/>
      <c r="C212" s="87"/>
      <c r="D212" s="87"/>
      <c r="E212" s="87"/>
      <c r="F212" s="87"/>
      <c r="G212" s="87"/>
      <c r="H212" s="87"/>
      <c r="I212" s="87"/>
      <c r="J212" s="87"/>
      <c r="K212" s="88"/>
      <c r="L212" s="89"/>
      <c r="M212" s="90"/>
      <c r="N212" s="57"/>
      <c r="O212" s="57"/>
      <c r="P212" s="91"/>
    </row>
    <row r="213" spans="2:16" s="50" customFormat="1" ht="13.2">
      <c r="B213" s="86"/>
      <c r="C213" s="87"/>
      <c r="D213" s="87"/>
      <c r="E213" s="87"/>
      <c r="F213" s="87"/>
      <c r="G213" s="87"/>
      <c r="H213" s="87"/>
      <c r="I213" s="87"/>
      <c r="J213" s="87"/>
      <c r="K213" s="88"/>
      <c r="L213" s="89"/>
      <c r="M213" s="90"/>
      <c r="N213" s="57"/>
      <c r="O213" s="57"/>
      <c r="P213" s="91"/>
    </row>
    <row r="214" spans="2:16" s="50" customFormat="1" ht="13.2">
      <c r="B214" s="86"/>
      <c r="C214" s="87"/>
      <c r="D214" s="87"/>
      <c r="E214" s="87"/>
      <c r="F214" s="87"/>
      <c r="G214" s="87"/>
      <c r="H214" s="87"/>
      <c r="I214" s="87"/>
      <c r="J214" s="87"/>
      <c r="K214" s="88"/>
      <c r="L214" s="89"/>
      <c r="M214" s="90"/>
      <c r="N214" s="57"/>
      <c r="O214" s="57"/>
      <c r="P214" s="91"/>
    </row>
    <row r="215" spans="2:16" s="50" customFormat="1" ht="13.2">
      <c r="B215" s="86"/>
      <c r="C215" s="87"/>
      <c r="D215" s="87"/>
      <c r="E215" s="87"/>
      <c r="F215" s="87"/>
      <c r="G215" s="87"/>
      <c r="H215" s="87"/>
      <c r="I215" s="87"/>
      <c r="J215" s="87"/>
      <c r="K215" s="88"/>
      <c r="L215" s="89"/>
      <c r="M215" s="90"/>
      <c r="N215" s="57"/>
      <c r="O215" s="57"/>
      <c r="P215" s="91"/>
    </row>
    <row r="216" spans="2:16" s="50" customFormat="1" ht="13.2">
      <c r="B216" s="86"/>
      <c r="C216" s="87"/>
      <c r="D216" s="87"/>
      <c r="E216" s="87"/>
      <c r="F216" s="87"/>
      <c r="G216" s="87"/>
      <c r="H216" s="87"/>
      <c r="I216" s="87"/>
      <c r="J216" s="87"/>
      <c r="K216" s="88"/>
      <c r="L216" s="89"/>
      <c r="M216" s="90"/>
      <c r="N216" s="57"/>
      <c r="O216" s="57"/>
      <c r="P216" s="91"/>
    </row>
    <row r="217" spans="2:16" s="50" customFormat="1" ht="13.2">
      <c r="B217" s="86"/>
      <c r="C217" s="87"/>
      <c r="D217" s="87"/>
      <c r="E217" s="87"/>
      <c r="F217" s="87"/>
      <c r="G217" s="87"/>
      <c r="H217" s="87"/>
      <c r="I217" s="87"/>
      <c r="J217" s="87"/>
      <c r="K217" s="88"/>
      <c r="L217" s="89"/>
      <c r="M217" s="90"/>
      <c r="N217" s="57"/>
      <c r="O217" s="57"/>
      <c r="P217" s="91"/>
    </row>
    <row r="218" spans="2:16" s="50" customFormat="1" ht="13.2">
      <c r="B218" s="86"/>
      <c r="C218" s="87"/>
      <c r="D218" s="87"/>
      <c r="E218" s="87"/>
      <c r="F218" s="87"/>
      <c r="G218" s="87"/>
      <c r="H218" s="87"/>
      <c r="I218" s="87"/>
      <c r="J218" s="87"/>
      <c r="K218" s="88"/>
      <c r="L218" s="89"/>
      <c r="M218" s="90"/>
      <c r="N218" s="57"/>
      <c r="O218" s="57"/>
      <c r="P218" s="91"/>
    </row>
    <row r="219" spans="2:16" s="50" customFormat="1" ht="13.2">
      <c r="B219" s="86"/>
      <c r="C219" s="87"/>
      <c r="D219" s="87"/>
      <c r="E219" s="87"/>
      <c r="F219" s="87"/>
      <c r="G219" s="87"/>
      <c r="H219" s="87"/>
      <c r="I219" s="87"/>
      <c r="J219" s="87"/>
      <c r="K219" s="88"/>
      <c r="L219" s="89"/>
      <c r="M219" s="90"/>
      <c r="N219" s="57"/>
      <c r="O219" s="57"/>
      <c r="P219" s="91"/>
    </row>
    <row r="220" spans="2:16" s="50" customFormat="1" ht="13.2">
      <c r="B220" s="86"/>
      <c r="C220" s="87"/>
      <c r="D220" s="87"/>
      <c r="E220" s="87"/>
      <c r="F220" s="87"/>
      <c r="G220" s="87"/>
      <c r="H220" s="87"/>
      <c r="I220" s="87"/>
      <c r="J220" s="87"/>
      <c r="K220" s="88"/>
      <c r="L220" s="89"/>
      <c r="M220" s="90"/>
      <c r="N220" s="57"/>
      <c r="O220" s="57"/>
      <c r="P220" s="91"/>
    </row>
    <row r="221" spans="2:16" s="50" customFormat="1" ht="13.2">
      <c r="B221" s="86"/>
      <c r="C221" s="87"/>
      <c r="D221" s="87"/>
      <c r="E221" s="87"/>
      <c r="F221" s="87"/>
      <c r="G221" s="87"/>
      <c r="H221" s="87"/>
      <c r="I221" s="87"/>
      <c r="J221" s="87"/>
      <c r="K221" s="88"/>
      <c r="L221" s="89"/>
      <c r="M221" s="90"/>
      <c r="N221" s="57"/>
      <c r="O221" s="57"/>
      <c r="P221" s="91"/>
    </row>
    <row r="222" spans="2:16" s="50" customFormat="1" ht="13.2">
      <c r="B222" s="86"/>
      <c r="C222" s="87"/>
      <c r="D222" s="87"/>
      <c r="E222" s="87"/>
      <c r="F222" s="87"/>
      <c r="G222" s="87"/>
      <c r="H222" s="87"/>
      <c r="I222" s="87"/>
      <c r="J222" s="87"/>
      <c r="K222" s="88"/>
      <c r="L222" s="89"/>
      <c r="M222" s="90"/>
      <c r="N222" s="57"/>
      <c r="O222" s="57"/>
      <c r="P222" s="91"/>
    </row>
    <row r="223" spans="2:16" s="50" customFormat="1" ht="13.2">
      <c r="B223" s="86"/>
      <c r="C223" s="87"/>
      <c r="D223" s="87"/>
      <c r="E223" s="87"/>
      <c r="F223" s="87"/>
      <c r="G223" s="87"/>
      <c r="H223" s="87"/>
      <c r="I223" s="87"/>
      <c r="J223" s="87"/>
      <c r="K223" s="88"/>
      <c r="L223" s="89"/>
      <c r="M223" s="90"/>
      <c r="N223" s="57"/>
      <c r="O223" s="57"/>
      <c r="P223" s="91"/>
    </row>
    <row r="224" spans="2:16" s="50" customFormat="1" ht="13.2">
      <c r="B224" s="86"/>
      <c r="C224" s="87"/>
      <c r="D224" s="87"/>
      <c r="E224" s="87"/>
      <c r="F224" s="87"/>
      <c r="G224" s="87"/>
      <c r="H224" s="87"/>
      <c r="I224" s="87"/>
      <c r="J224" s="87"/>
      <c r="K224" s="88"/>
      <c r="L224" s="89"/>
      <c r="M224" s="90"/>
      <c r="N224" s="57"/>
      <c r="O224" s="57"/>
      <c r="P224" s="91"/>
    </row>
    <row r="225" spans="2:16" s="50" customFormat="1" ht="13.2">
      <c r="B225" s="86"/>
      <c r="C225" s="87"/>
      <c r="D225" s="87"/>
      <c r="E225" s="87"/>
      <c r="F225" s="87"/>
      <c r="G225" s="87"/>
      <c r="H225" s="87"/>
      <c r="I225" s="87"/>
      <c r="J225" s="87"/>
      <c r="K225" s="88"/>
      <c r="L225" s="89"/>
      <c r="M225" s="90"/>
      <c r="N225" s="57"/>
      <c r="O225" s="57"/>
      <c r="P225" s="91"/>
    </row>
    <row r="226" spans="2:16" s="50" customFormat="1" ht="13.2">
      <c r="B226" s="86"/>
      <c r="C226" s="87"/>
      <c r="D226" s="87"/>
      <c r="E226" s="87"/>
      <c r="F226" s="87"/>
      <c r="G226" s="87"/>
      <c r="H226" s="87"/>
      <c r="I226" s="87"/>
      <c r="J226" s="87"/>
      <c r="K226" s="88"/>
      <c r="L226" s="89"/>
      <c r="M226" s="90"/>
      <c r="N226" s="57"/>
      <c r="O226" s="57"/>
      <c r="P226" s="91"/>
    </row>
    <row r="227" spans="2:16" s="50" customFormat="1" ht="13.2">
      <c r="B227" s="86"/>
      <c r="C227" s="87"/>
      <c r="D227" s="87"/>
      <c r="E227" s="87"/>
      <c r="F227" s="87"/>
      <c r="G227" s="87"/>
      <c r="H227" s="87"/>
      <c r="I227" s="87"/>
      <c r="J227" s="87"/>
      <c r="K227" s="88"/>
      <c r="L227" s="89"/>
      <c r="M227" s="90"/>
      <c r="N227" s="57"/>
      <c r="O227" s="57"/>
      <c r="P227" s="91"/>
    </row>
    <row r="228" spans="2:16" s="50" customFormat="1" ht="13.2">
      <c r="B228" s="86"/>
      <c r="C228" s="87"/>
      <c r="D228" s="87"/>
      <c r="E228" s="87"/>
      <c r="F228" s="87"/>
      <c r="G228" s="87"/>
      <c r="H228" s="87"/>
      <c r="I228" s="87"/>
      <c r="J228" s="87"/>
      <c r="K228" s="88"/>
      <c r="L228" s="89"/>
      <c r="M228" s="90"/>
      <c r="N228" s="57"/>
      <c r="O228" s="57"/>
      <c r="P228" s="91"/>
    </row>
    <row r="229" spans="2:16" s="50" customFormat="1" ht="13.2">
      <c r="B229" s="86"/>
      <c r="C229" s="87"/>
      <c r="D229" s="87"/>
      <c r="E229" s="87"/>
      <c r="F229" s="87"/>
      <c r="G229" s="87"/>
      <c r="H229" s="87"/>
      <c r="I229" s="87"/>
      <c r="J229" s="87"/>
      <c r="K229" s="88"/>
      <c r="L229" s="89"/>
      <c r="M229" s="90"/>
      <c r="N229" s="57"/>
      <c r="O229" s="57"/>
      <c r="P229" s="91"/>
    </row>
    <row r="230" spans="2:16" s="50" customFormat="1" ht="13.2">
      <c r="B230" s="86"/>
      <c r="C230" s="87"/>
      <c r="D230" s="87"/>
      <c r="E230" s="87"/>
      <c r="F230" s="87"/>
      <c r="G230" s="87"/>
      <c r="H230" s="87"/>
      <c r="I230" s="87"/>
      <c r="J230" s="87"/>
      <c r="K230" s="88"/>
      <c r="L230" s="89"/>
      <c r="M230" s="90"/>
      <c r="N230" s="57"/>
      <c r="O230" s="57"/>
      <c r="P230" s="91"/>
    </row>
    <row r="231" spans="2:16" s="50" customFormat="1" ht="13.2">
      <c r="B231" s="86"/>
      <c r="C231" s="87"/>
      <c r="D231" s="87"/>
      <c r="E231" s="87"/>
      <c r="F231" s="87"/>
      <c r="G231" s="87"/>
      <c r="H231" s="87"/>
      <c r="I231" s="87"/>
      <c r="J231" s="87"/>
      <c r="K231" s="88"/>
      <c r="L231" s="89"/>
      <c r="M231" s="90"/>
      <c r="N231" s="57"/>
      <c r="O231" s="57"/>
      <c r="P231" s="91"/>
    </row>
    <row r="232" spans="2:16" s="50" customFormat="1" ht="13.2">
      <c r="B232" s="86"/>
      <c r="C232" s="87"/>
      <c r="D232" s="87"/>
      <c r="E232" s="87"/>
      <c r="F232" s="87"/>
      <c r="G232" s="87"/>
      <c r="H232" s="87"/>
      <c r="I232" s="87"/>
      <c r="J232" s="87"/>
      <c r="K232" s="88"/>
      <c r="L232" s="89"/>
      <c r="M232" s="90"/>
      <c r="N232" s="57"/>
      <c r="O232" s="57"/>
      <c r="P232" s="91"/>
    </row>
    <row r="233" spans="2:16" s="50" customFormat="1" ht="13.2">
      <c r="B233" s="86"/>
      <c r="C233" s="87"/>
      <c r="D233" s="87"/>
      <c r="E233" s="87"/>
      <c r="F233" s="87"/>
      <c r="G233" s="87"/>
      <c r="H233" s="87"/>
      <c r="I233" s="87"/>
      <c r="J233" s="87"/>
      <c r="K233" s="88"/>
      <c r="L233" s="89"/>
      <c r="M233" s="90"/>
      <c r="N233" s="57"/>
      <c r="O233" s="57"/>
      <c r="P233" s="91"/>
    </row>
    <row r="234" spans="2:16" s="50" customFormat="1" ht="13.2">
      <c r="B234" s="86"/>
      <c r="C234" s="87"/>
      <c r="D234" s="87"/>
      <c r="E234" s="87"/>
      <c r="F234" s="87"/>
      <c r="G234" s="87"/>
      <c r="H234" s="87"/>
      <c r="I234" s="87"/>
      <c r="J234" s="87"/>
      <c r="K234" s="88"/>
      <c r="L234" s="89"/>
      <c r="M234" s="90"/>
      <c r="N234" s="57"/>
      <c r="O234" s="57"/>
      <c r="P234" s="91"/>
    </row>
    <row r="235" spans="2:16" s="50" customFormat="1" ht="13.2">
      <c r="B235" s="86"/>
      <c r="C235" s="87"/>
      <c r="D235" s="87"/>
      <c r="E235" s="87"/>
      <c r="F235" s="87"/>
      <c r="G235" s="87"/>
      <c r="H235" s="87"/>
      <c r="I235" s="87"/>
      <c r="J235" s="87"/>
      <c r="K235" s="88"/>
      <c r="L235" s="89"/>
      <c r="M235" s="90"/>
      <c r="N235" s="57"/>
      <c r="O235" s="57"/>
      <c r="P235" s="91"/>
    </row>
    <row r="236" spans="2:16" s="50" customFormat="1" ht="13.2">
      <c r="B236" s="86"/>
      <c r="C236" s="87"/>
      <c r="D236" s="87"/>
      <c r="E236" s="87"/>
      <c r="F236" s="87"/>
      <c r="G236" s="87"/>
      <c r="H236" s="87"/>
      <c r="I236" s="87"/>
      <c r="J236" s="87"/>
      <c r="K236" s="88"/>
      <c r="L236" s="89"/>
      <c r="M236" s="90"/>
      <c r="N236" s="57"/>
      <c r="O236" s="57"/>
      <c r="P236" s="91"/>
    </row>
    <row r="237" spans="2:16" s="50" customFormat="1" ht="13.2">
      <c r="B237" s="86"/>
      <c r="C237" s="87"/>
      <c r="D237" s="87"/>
      <c r="E237" s="87"/>
      <c r="F237" s="87"/>
      <c r="G237" s="87"/>
      <c r="H237" s="87"/>
      <c r="I237" s="87"/>
      <c r="J237" s="87"/>
      <c r="K237" s="88"/>
      <c r="L237" s="89"/>
      <c r="M237" s="90"/>
      <c r="N237" s="57"/>
      <c r="O237" s="57"/>
      <c r="P237" s="91"/>
    </row>
    <row r="238" spans="2:16" s="50" customFormat="1" ht="13.2">
      <c r="B238" s="86"/>
      <c r="C238" s="87"/>
      <c r="D238" s="87"/>
      <c r="E238" s="87"/>
      <c r="F238" s="87"/>
      <c r="G238" s="87"/>
      <c r="H238" s="87"/>
      <c r="I238" s="87"/>
      <c r="J238" s="87"/>
      <c r="K238" s="88"/>
      <c r="L238" s="89"/>
      <c r="M238" s="90"/>
      <c r="N238" s="57"/>
      <c r="O238" s="57"/>
      <c r="P238" s="91"/>
    </row>
    <row r="239" spans="2:16" s="50" customFormat="1" ht="13.2">
      <c r="B239" s="86"/>
      <c r="C239" s="87"/>
      <c r="D239" s="87"/>
      <c r="E239" s="87"/>
      <c r="F239" s="87"/>
      <c r="G239" s="87"/>
      <c r="H239" s="87"/>
      <c r="I239" s="87"/>
      <c r="J239" s="87"/>
      <c r="K239" s="88"/>
      <c r="L239" s="89"/>
      <c r="M239" s="90"/>
      <c r="N239" s="57"/>
      <c r="O239" s="57"/>
      <c r="P239" s="91"/>
    </row>
    <row r="240" spans="2:16" s="50" customFormat="1" ht="13.2">
      <c r="B240" s="86"/>
      <c r="C240" s="87"/>
      <c r="D240" s="87"/>
      <c r="E240" s="87"/>
      <c r="F240" s="87"/>
      <c r="G240" s="87"/>
      <c r="H240" s="87"/>
      <c r="I240" s="87"/>
      <c r="J240" s="87"/>
      <c r="K240" s="88"/>
      <c r="L240" s="89"/>
      <c r="M240" s="90"/>
      <c r="N240" s="57"/>
      <c r="O240" s="57"/>
      <c r="P240" s="91"/>
    </row>
    <row r="241" spans="2:16" s="50" customFormat="1" ht="13.2">
      <c r="B241" s="86"/>
      <c r="C241" s="87"/>
      <c r="D241" s="87"/>
      <c r="E241" s="87"/>
      <c r="F241" s="87"/>
      <c r="G241" s="87"/>
      <c r="H241" s="87"/>
      <c r="I241" s="87"/>
      <c r="J241" s="87"/>
      <c r="K241" s="88"/>
      <c r="L241" s="89"/>
      <c r="M241" s="90"/>
      <c r="N241" s="57"/>
      <c r="O241" s="57"/>
      <c r="P241" s="91"/>
    </row>
    <row r="242" spans="2:16" s="50" customFormat="1" ht="13.2">
      <c r="B242" s="86"/>
      <c r="C242" s="87"/>
      <c r="D242" s="87"/>
      <c r="E242" s="87"/>
      <c r="F242" s="87"/>
      <c r="G242" s="87"/>
      <c r="H242" s="87"/>
      <c r="I242" s="87"/>
      <c r="J242" s="87"/>
      <c r="K242" s="88"/>
      <c r="L242" s="89"/>
      <c r="M242" s="90"/>
      <c r="N242" s="57"/>
      <c r="O242" s="57"/>
      <c r="P242" s="91"/>
    </row>
    <row r="243" spans="2:16" s="50" customFormat="1" ht="13.2">
      <c r="B243" s="86"/>
      <c r="C243" s="87"/>
      <c r="D243" s="87"/>
      <c r="E243" s="87"/>
      <c r="F243" s="87"/>
      <c r="G243" s="87"/>
      <c r="H243" s="87"/>
      <c r="I243" s="87"/>
      <c r="J243" s="87"/>
      <c r="K243" s="88"/>
      <c r="L243" s="89"/>
      <c r="M243" s="90"/>
      <c r="N243" s="57"/>
      <c r="O243" s="57"/>
      <c r="P243" s="91"/>
    </row>
    <row r="244" spans="2:16" s="50" customFormat="1" ht="13.2">
      <c r="B244" s="86"/>
      <c r="C244" s="87"/>
      <c r="D244" s="87"/>
      <c r="E244" s="87"/>
      <c r="F244" s="87"/>
      <c r="G244" s="87"/>
      <c r="H244" s="87"/>
      <c r="I244" s="87"/>
      <c r="J244" s="87"/>
      <c r="K244" s="88"/>
      <c r="L244" s="89"/>
      <c r="M244" s="90"/>
      <c r="N244" s="57"/>
      <c r="O244" s="57"/>
      <c r="P244" s="91"/>
    </row>
    <row r="245" spans="2:16" s="50" customFormat="1" ht="13.2">
      <c r="B245" s="86"/>
      <c r="C245" s="87"/>
      <c r="D245" s="87"/>
      <c r="E245" s="87"/>
      <c r="F245" s="87"/>
      <c r="G245" s="87"/>
      <c r="H245" s="87"/>
      <c r="I245" s="87"/>
      <c r="J245" s="87"/>
      <c r="K245" s="88"/>
      <c r="L245" s="89"/>
      <c r="M245" s="90"/>
      <c r="N245" s="57"/>
      <c r="O245" s="57"/>
      <c r="P245" s="91"/>
    </row>
    <row r="246" spans="2:16" s="50" customFormat="1" ht="13.2">
      <c r="B246" s="86"/>
      <c r="C246" s="87"/>
      <c r="D246" s="87"/>
      <c r="E246" s="87"/>
      <c r="F246" s="87"/>
      <c r="G246" s="87"/>
      <c r="H246" s="87"/>
      <c r="I246" s="87"/>
      <c r="J246" s="87"/>
      <c r="K246" s="88"/>
      <c r="L246" s="89"/>
      <c r="M246" s="90"/>
      <c r="N246" s="57"/>
      <c r="O246" s="57"/>
      <c r="P246" s="91"/>
    </row>
    <row r="247" spans="2:16" s="50" customFormat="1" ht="13.2">
      <c r="B247" s="86"/>
      <c r="C247" s="87"/>
      <c r="D247" s="87"/>
      <c r="E247" s="87"/>
      <c r="F247" s="87"/>
      <c r="G247" s="87"/>
      <c r="H247" s="87"/>
      <c r="I247" s="87"/>
      <c r="J247" s="87"/>
      <c r="K247" s="88"/>
      <c r="L247" s="89"/>
      <c r="M247" s="90"/>
      <c r="N247" s="57"/>
      <c r="O247" s="57"/>
      <c r="P247" s="91"/>
    </row>
    <row r="248" spans="2:16" s="50" customFormat="1" ht="13.2">
      <c r="B248" s="86"/>
      <c r="C248" s="87"/>
      <c r="D248" s="87"/>
      <c r="E248" s="87"/>
      <c r="F248" s="87"/>
      <c r="G248" s="87"/>
      <c r="H248" s="87"/>
      <c r="I248" s="87"/>
      <c r="J248" s="87"/>
      <c r="K248" s="88"/>
      <c r="L248" s="89"/>
      <c r="M248" s="90"/>
      <c r="N248" s="57"/>
      <c r="O248" s="57"/>
      <c r="P248" s="91"/>
    </row>
    <row r="249" spans="2:16" s="50" customFormat="1" ht="13.2">
      <c r="B249" s="86"/>
      <c r="C249" s="87"/>
      <c r="D249" s="87"/>
      <c r="E249" s="87"/>
      <c r="F249" s="87"/>
      <c r="G249" s="87"/>
      <c r="H249" s="87"/>
      <c r="I249" s="87"/>
      <c r="J249" s="87"/>
      <c r="K249" s="88"/>
      <c r="L249" s="89"/>
      <c r="M249" s="90"/>
      <c r="N249" s="57"/>
      <c r="O249" s="57"/>
      <c r="P249" s="91"/>
    </row>
    <row r="250" spans="2:16" s="50" customFormat="1" ht="13.2">
      <c r="B250" s="86"/>
      <c r="C250" s="87"/>
      <c r="D250" s="87"/>
      <c r="E250" s="87"/>
      <c r="F250" s="87"/>
      <c r="G250" s="87"/>
      <c r="H250" s="87"/>
      <c r="I250" s="87"/>
      <c r="J250" s="87"/>
      <c r="K250" s="88"/>
      <c r="L250" s="89"/>
      <c r="M250" s="90"/>
      <c r="N250" s="57"/>
      <c r="O250" s="57"/>
      <c r="P250" s="91"/>
    </row>
    <row r="251" spans="2:16" s="50" customFormat="1" ht="13.2">
      <c r="B251" s="86"/>
      <c r="C251" s="87"/>
      <c r="D251" s="87"/>
      <c r="E251" s="87"/>
      <c r="F251" s="87"/>
      <c r="G251" s="87"/>
      <c r="H251" s="87"/>
      <c r="I251" s="87"/>
      <c r="J251" s="87"/>
      <c r="K251" s="88"/>
      <c r="L251" s="89"/>
      <c r="M251" s="90"/>
      <c r="N251" s="57"/>
      <c r="O251" s="57"/>
      <c r="P251" s="91"/>
    </row>
    <row r="252" spans="2:16" s="50" customFormat="1" ht="13.2">
      <c r="B252" s="86"/>
      <c r="C252" s="87"/>
      <c r="D252" s="87"/>
      <c r="E252" s="87"/>
      <c r="F252" s="87"/>
      <c r="G252" s="87"/>
      <c r="H252" s="87"/>
      <c r="I252" s="87"/>
      <c r="J252" s="87"/>
      <c r="K252" s="88"/>
      <c r="L252" s="89"/>
      <c r="M252" s="90"/>
      <c r="N252" s="57"/>
      <c r="O252" s="57"/>
      <c r="P252" s="91"/>
    </row>
    <row r="253" spans="2:16" s="50" customFormat="1" ht="13.2">
      <c r="B253" s="86"/>
      <c r="C253" s="87"/>
      <c r="D253" s="87"/>
      <c r="E253" s="87"/>
      <c r="F253" s="87"/>
      <c r="G253" s="87"/>
      <c r="H253" s="87"/>
      <c r="I253" s="87"/>
      <c r="J253" s="87"/>
      <c r="K253" s="88"/>
      <c r="L253" s="89"/>
      <c r="M253" s="90"/>
      <c r="N253" s="57"/>
      <c r="O253" s="57"/>
      <c r="P253" s="91"/>
    </row>
    <row r="254" spans="2:16" s="50" customFormat="1" ht="13.2">
      <c r="B254" s="86"/>
      <c r="C254" s="87"/>
      <c r="D254" s="87"/>
      <c r="E254" s="87"/>
      <c r="F254" s="87"/>
      <c r="G254" s="87"/>
      <c r="H254" s="87"/>
      <c r="I254" s="87"/>
      <c r="J254" s="87"/>
      <c r="K254" s="88"/>
      <c r="L254" s="89"/>
      <c r="M254" s="90"/>
      <c r="N254" s="57"/>
      <c r="O254" s="57"/>
      <c r="P254" s="91"/>
    </row>
    <row r="255" spans="2:16" s="50" customFormat="1" ht="13.2">
      <c r="B255" s="86"/>
      <c r="C255" s="87"/>
      <c r="D255" s="87"/>
      <c r="E255" s="87"/>
      <c r="F255" s="87"/>
      <c r="G255" s="87"/>
      <c r="H255" s="87"/>
      <c r="I255" s="87"/>
      <c r="J255" s="87"/>
      <c r="K255" s="88"/>
      <c r="L255" s="89"/>
      <c r="M255" s="90"/>
      <c r="N255" s="57"/>
      <c r="O255" s="57"/>
      <c r="P255" s="91"/>
    </row>
    <row r="256" spans="2:16" s="50" customFormat="1" ht="13.2">
      <c r="B256" s="86"/>
      <c r="C256" s="87"/>
      <c r="D256" s="87"/>
      <c r="E256" s="87"/>
      <c r="F256" s="87"/>
      <c r="G256" s="87"/>
      <c r="H256" s="87"/>
      <c r="I256" s="87"/>
      <c r="J256" s="87"/>
      <c r="K256" s="88"/>
      <c r="L256" s="89"/>
      <c r="M256" s="90"/>
      <c r="N256" s="57"/>
      <c r="O256" s="57"/>
      <c r="P256" s="91"/>
    </row>
    <row r="257" spans="2:16" s="50" customFormat="1" ht="13.2">
      <c r="B257" s="86"/>
      <c r="C257" s="87"/>
      <c r="D257" s="87"/>
      <c r="E257" s="87"/>
      <c r="F257" s="87"/>
      <c r="G257" s="87"/>
      <c r="H257" s="87"/>
      <c r="I257" s="87"/>
      <c r="J257" s="87"/>
      <c r="K257" s="88"/>
      <c r="L257" s="89"/>
      <c r="M257" s="90"/>
      <c r="N257" s="57"/>
      <c r="O257" s="57"/>
      <c r="P257" s="91"/>
    </row>
    <row r="258" spans="2:16" s="50" customFormat="1" ht="13.2">
      <c r="B258" s="86"/>
      <c r="C258" s="87"/>
      <c r="D258" s="87"/>
      <c r="E258" s="87"/>
      <c r="F258" s="87"/>
      <c r="G258" s="87"/>
      <c r="H258" s="87"/>
      <c r="I258" s="87"/>
      <c r="J258" s="87"/>
      <c r="K258" s="88"/>
      <c r="L258" s="89"/>
      <c r="M258" s="90"/>
      <c r="N258" s="57"/>
      <c r="O258" s="57"/>
      <c r="P258" s="91"/>
    </row>
    <row r="259" spans="2:16" s="50" customFormat="1" ht="13.2">
      <c r="B259" s="86"/>
      <c r="C259" s="87"/>
      <c r="D259" s="87"/>
      <c r="E259" s="87"/>
      <c r="F259" s="87"/>
      <c r="G259" s="87"/>
      <c r="H259" s="87"/>
      <c r="I259" s="87"/>
      <c r="J259" s="87"/>
      <c r="K259" s="88"/>
      <c r="L259" s="89"/>
      <c r="M259" s="90"/>
      <c r="N259" s="57"/>
      <c r="O259" s="57"/>
      <c r="P259" s="91"/>
    </row>
    <row r="260" spans="2:16" s="50" customFormat="1" ht="13.2">
      <c r="B260" s="86"/>
      <c r="C260" s="87"/>
      <c r="D260" s="87"/>
      <c r="E260" s="87"/>
      <c r="F260" s="87"/>
      <c r="G260" s="87"/>
      <c r="H260" s="87"/>
      <c r="I260" s="87"/>
      <c r="J260" s="87"/>
      <c r="K260" s="88"/>
      <c r="L260" s="89"/>
      <c r="M260" s="90"/>
      <c r="N260" s="57"/>
      <c r="O260" s="57"/>
      <c r="P260" s="91"/>
    </row>
    <row r="261" spans="2:16" s="50" customFormat="1" ht="13.2">
      <c r="B261" s="86"/>
      <c r="C261" s="87"/>
      <c r="D261" s="87"/>
      <c r="E261" s="87"/>
      <c r="F261" s="87"/>
      <c r="G261" s="87"/>
      <c r="H261" s="87"/>
      <c r="I261" s="87"/>
      <c r="J261" s="87"/>
      <c r="K261" s="88"/>
      <c r="L261" s="89"/>
      <c r="M261" s="90"/>
      <c r="N261" s="57"/>
      <c r="O261" s="57"/>
      <c r="P261" s="91"/>
    </row>
    <row r="262" spans="2:16" s="50" customFormat="1" ht="13.2">
      <c r="B262" s="86"/>
      <c r="C262" s="87"/>
      <c r="D262" s="87"/>
      <c r="E262" s="87"/>
      <c r="F262" s="87"/>
      <c r="G262" s="87"/>
      <c r="H262" s="87"/>
      <c r="I262" s="87"/>
      <c r="J262" s="87"/>
      <c r="K262" s="88"/>
      <c r="L262" s="89"/>
      <c r="M262" s="90"/>
      <c r="N262" s="57"/>
      <c r="O262" s="57"/>
      <c r="P262" s="91"/>
    </row>
    <row r="263" spans="2:16" s="50" customFormat="1" ht="13.2">
      <c r="B263" s="86"/>
      <c r="C263" s="87"/>
      <c r="D263" s="87"/>
      <c r="E263" s="87"/>
      <c r="F263" s="87"/>
      <c r="G263" s="87"/>
      <c r="H263" s="87"/>
      <c r="I263" s="87"/>
      <c r="J263" s="87"/>
      <c r="K263" s="88"/>
      <c r="L263" s="89"/>
      <c r="M263" s="90"/>
      <c r="N263" s="57"/>
      <c r="O263" s="57"/>
      <c r="P263" s="91"/>
    </row>
    <row r="264" spans="2:16" s="50" customFormat="1" ht="13.2">
      <c r="B264" s="86"/>
      <c r="C264" s="87"/>
      <c r="D264" s="87"/>
      <c r="E264" s="87"/>
      <c r="F264" s="87"/>
      <c r="G264" s="87"/>
      <c r="H264" s="87"/>
      <c r="I264" s="87"/>
      <c r="J264" s="87"/>
      <c r="K264" s="88"/>
      <c r="L264" s="89"/>
      <c r="M264" s="90"/>
      <c r="N264" s="57"/>
      <c r="O264" s="57"/>
      <c r="P264" s="91"/>
    </row>
    <row r="265" spans="2:16" s="50" customFormat="1" ht="13.2">
      <c r="B265" s="86"/>
      <c r="C265" s="87"/>
      <c r="D265" s="87"/>
      <c r="E265" s="87"/>
      <c r="F265" s="87"/>
      <c r="G265" s="87"/>
      <c r="H265" s="87"/>
      <c r="I265" s="87"/>
      <c r="J265" s="87"/>
      <c r="K265" s="88"/>
      <c r="L265" s="89"/>
      <c r="M265" s="90"/>
      <c r="N265" s="57"/>
      <c r="O265" s="57"/>
      <c r="P265" s="91"/>
    </row>
    <row r="266" spans="2:16" s="50" customFormat="1" ht="13.2">
      <c r="B266" s="86"/>
      <c r="C266" s="87"/>
      <c r="D266" s="87"/>
      <c r="E266" s="87"/>
      <c r="F266" s="87"/>
      <c r="G266" s="87"/>
      <c r="H266" s="87"/>
      <c r="I266" s="87"/>
      <c r="J266" s="87"/>
      <c r="K266" s="88"/>
      <c r="L266" s="89"/>
      <c r="M266" s="90"/>
      <c r="N266" s="57"/>
      <c r="O266" s="57"/>
      <c r="P266" s="91"/>
    </row>
    <row r="267" spans="2:16" s="50" customFormat="1" ht="13.2">
      <c r="B267" s="86"/>
      <c r="C267" s="87"/>
      <c r="D267" s="87"/>
      <c r="E267" s="87"/>
      <c r="F267" s="87"/>
      <c r="G267" s="87"/>
      <c r="H267" s="87"/>
      <c r="I267" s="87"/>
      <c r="J267" s="87"/>
      <c r="K267" s="88"/>
      <c r="L267" s="89"/>
      <c r="M267" s="90"/>
      <c r="N267" s="57"/>
      <c r="O267" s="57"/>
      <c r="P267" s="91"/>
    </row>
    <row r="268" spans="2:16" s="50" customFormat="1" ht="13.2">
      <c r="B268" s="86"/>
      <c r="C268" s="87"/>
      <c r="D268" s="87"/>
      <c r="E268" s="87"/>
      <c r="F268" s="87"/>
      <c r="G268" s="87"/>
      <c r="H268" s="87"/>
      <c r="I268" s="87"/>
      <c r="J268" s="87"/>
      <c r="K268" s="88"/>
      <c r="L268" s="89"/>
      <c r="M268" s="90"/>
      <c r="N268" s="57"/>
      <c r="O268" s="57"/>
      <c r="P268" s="91"/>
    </row>
    <row r="269" spans="2:16" s="50" customFormat="1" ht="13.2">
      <c r="B269" s="86"/>
      <c r="C269" s="87"/>
      <c r="D269" s="87"/>
      <c r="E269" s="87"/>
      <c r="F269" s="87"/>
      <c r="G269" s="87"/>
      <c r="H269" s="87"/>
      <c r="I269" s="87"/>
      <c r="J269" s="87"/>
      <c r="K269" s="88"/>
      <c r="L269" s="89"/>
      <c r="M269" s="90"/>
      <c r="N269" s="57"/>
      <c r="O269" s="57"/>
      <c r="P269" s="91"/>
    </row>
    <row r="270" spans="2:16" s="50" customFormat="1" ht="13.2">
      <c r="B270" s="86"/>
      <c r="C270" s="87"/>
      <c r="D270" s="87"/>
      <c r="E270" s="87"/>
      <c r="F270" s="87"/>
      <c r="G270" s="87"/>
      <c r="H270" s="87"/>
      <c r="I270" s="87"/>
      <c r="J270" s="87"/>
      <c r="K270" s="88"/>
      <c r="L270" s="89"/>
      <c r="M270" s="90"/>
      <c r="N270" s="57"/>
      <c r="O270" s="57"/>
      <c r="P270" s="91"/>
    </row>
    <row r="271" spans="2:16" s="50" customFormat="1" ht="13.2">
      <c r="B271" s="86"/>
      <c r="C271" s="87"/>
      <c r="D271" s="87"/>
      <c r="E271" s="87"/>
      <c r="F271" s="87"/>
      <c r="G271" s="87"/>
      <c r="H271" s="87"/>
      <c r="I271" s="87"/>
      <c r="J271" s="87"/>
      <c r="K271" s="88"/>
      <c r="L271" s="89"/>
      <c r="M271" s="90"/>
      <c r="N271" s="57"/>
      <c r="O271" s="57"/>
      <c r="P271" s="91"/>
    </row>
    <row r="272" spans="2:16" s="50" customFormat="1" ht="13.2">
      <c r="B272" s="86"/>
      <c r="C272" s="87"/>
      <c r="D272" s="87"/>
      <c r="E272" s="87"/>
      <c r="F272" s="87"/>
      <c r="G272" s="87"/>
      <c r="H272" s="87"/>
      <c r="I272" s="87"/>
      <c r="J272" s="87"/>
      <c r="K272" s="88"/>
      <c r="L272" s="89"/>
      <c r="M272" s="90"/>
      <c r="N272" s="57"/>
      <c r="O272" s="57"/>
      <c r="P272" s="91"/>
    </row>
    <row r="273" spans="2:16" s="50" customFormat="1" ht="13.2">
      <c r="B273" s="86"/>
      <c r="C273" s="87"/>
      <c r="D273" s="87"/>
      <c r="E273" s="87"/>
      <c r="F273" s="87"/>
      <c r="G273" s="87"/>
      <c r="H273" s="87"/>
      <c r="I273" s="87"/>
      <c r="J273" s="87"/>
      <c r="K273" s="88"/>
      <c r="L273" s="89"/>
      <c r="M273" s="90"/>
      <c r="N273" s="57"/>
      <c r="O273" s="57"/>
      <c r="P273" s="91"/>
    </row>
    <row r="274" spans="2:16" s="50" customFormat="1" ht="13.2">
      <c r="B274" s="86"/>
      <c r="C274" s="87"/>
      <c r="D274" s="87"/>
      <c r="E274" s="87"/>
      <c r="F274" s="87"/>
      <c r="G274" s="87"/>
      <c r="H274" s="87"/>
      <c r="I274" s="87"/>
      <c r="J274" s="87"/>
      <c r="K274" s="88"/>
      <c r="L274" s="89"/>
      <c r="M274" s="90"/>
      <c r="N274" s="57"/>
      <c r="O274" s="57"/>
      <c r="P274" s="91"/>
    </row>
    <row r="275" spans="2:16" s="50" customFormat="1" ht="13.2">
      <c r="B275" s="86"/>
      <c r="C275" s="87"/>
      <c r="D275" s="87"/>
      <c r="E275" s="87"/>
      <c r="F275" s="87"/>
      <c r="G275" s="87"/>
      <c r="H275" s="87"/>
      <c r="I275" s="87"/>
      <c r="J275" s="87"/>
      <c r="K275" s="88"/>
      <c r="L275" s="89"/>
      <c r="M275" s="90"/>
      <c r="N275" s="57"/>
      <c r="O275" s="57"/>
      <c r="P275" s="91"/>
    </row>
    <row r="276" spans="2:16" s="50" customFormat="1" ht="13.2">
      <c r="B276" s="86"/>
      <c r="C276" s="87"/>
      <c r="D276" s="87"/>
      <c r="E276" s="87"/>
      <c r="F276" s="87"/>
      <c r="G276" s="87"/>
      <c r="H276" s="87"/>
      <c r="I276" s="87"/>
      <c r="J276" s="87"/>
      <c r="K276" s="88"/>
      <c r="L276" s="89"/>
      <c r="M276" s="90"/>
      <c r="N276" s="57"/>
      <c r="O276" s="57"/>
      <c r="P276" s="91"/>
    </row>
    <row r="277" spans="2:16" s="50" customFormat="1" ht="13.2">
      <c r="B277" s="86"/>
      <c r="C277" s="87"/>
      <c r="D277" s="87"/>
      <c r="E277" s="87"/>
      <c r="F277" s="87"/>
      <c r="G277" s="87"/>
      <c r="H277" s="87"/>
      <c r="I277" s="87"/>
      <c r="J277" s="87"/>
      <c r="K277" s="88"/>
      <c r="L277" s="89"/>
      <c r="M277" s="90"/>
      <c r="N277" s="57"/>
      <c r="O277" s="57"/>
      <c r="P277" s="91"/>
    </row>
    <row r="278" spans="2:16" s="50" customFormat="1" ht="13.2">
      <c r="B278" s="86"/>
      <c r="C278" s="87"/>
      <c r="D278" s="87"/>
      <c r="E278" s="87"/>
      <c r="F278" s="87"/>
      <c r="G278" s="87"/>
      <c r="H278" s="87"/>
      <c r="I278" s="87"/>
      <c r="J278" s="87"/>
      <c r="K278" s="88"/>
      <c r="L278" s="89"/>
      <c r="M278" s="90"/>
      <c r="N278" s="57"/>
      <c r="O278" s="57"/>
      <c r="P278" s="91"/>
    </row>
    <row r="279" spans="2:16" s="50" customFormat="1" ht="13.2">
      <c r="B279" s="86"/>
      <c r="C279" s="87"/>
      <c r="D279" s="87"/>
      <c r="E279" s="87"/>
      <c r="F279" s="87"/>
      <c r="G279" s="87"/>
      <c r="H279" s="87"/>
      <c r="I279" s="87"/>
      <c r="J279" s="87"/>
      <c r="K279" s="88"/>
      <c r="L279" s="89"/>
      <c r="M279" s="90"/>
      <c r="N279" s="57"/>
      <c r="O279" s="57"/>
      <c r="P279" s="91"/>
    </row>
    <row r="280" spans="2:16" s="50" customFormat="1" ht="13.2">
      <c r="B280" s="86"/>
      <c r="C280" s="87"/>
      <c r="D280" s="87"/>
      <c r="E280" s="87"/>
      <c r="F280" s="87"/>
      <c r="G280" s="87"/>
      <c r="H280" s="87"/>
      <c r="I280" s="87"/>
      <c r="J280" s="87"/>
      <c r="K280" s="88"/>
      <c r="L280" s="89"/>
      <c r="M280" s="90"/>
      <c r="N280" s="57"/>
      <c r="O280" s="57"/>
      <c r="P280" s="91"/>
    </row>
    <row r="281" spans="2:16" s="50" customFormat="1" ht="13.2">
      <c r="B281" s="86"/>
      <c r="C281" s="87"/>
      <c r="D281" s="87"/>
      <c r="E281" s="87"/>
      <c r="F281" s="87"/>
      <c r="G281" s="87"/>
      <c r="H281" s="87"/>
      <c r="I281" s="87"/>
      <c r="J281" s="87"/>
      <c r="K281" s="88"/>
      <c r="L281" s="89"/>
      <c r="M281" s="90"/>
      <c r="N281" s="57"/>
      <c r="O281" s="57"/>
      <c r="P281" s="91"/>
    </row>
    <row r="282" spans="2:16" s="50" customFormat="1" ht="13.2">
      <c r="B282" s="86"/>
      <c r="C282" s="87"/>
      <c r="D282" s="87"/>
      <c r="E282" s="87"/>
      <c r="F282" s="87"/>
      <c r="G282" s="87"/>
      <c r="H282" s="87"/>
      <c r="I282" s="87"/>
      <c r="J282" s="87"/>
      <c r="K282" s="88"/>
      <c r="L282" s="89"/>
      <c r="M282" s="90"/>
      <c r="N282" s="57"/>
      <c r="O282" s="57"/>
      <c r="P282" s="91"/>
    </row>
    <row r="283" spans="2:16" s="50" customFormat="1" ht="13.2">
      <c r="B283" s="86"/>
      <c r="C283" s="87"/>
      <c r="D283" s="87"/>
      <c r="E283" s="87"/>
      <c r="F283" s="87"/>
      <c r="G283" s="87"/>
      <c r="H283" s="87"/>
      <c r="I283" s="87"/>
      <c r="J283" s="87"/>
      <c r="K283" s="88"/>
      <c r="L283" s="89"/>
      <c r="M283" s="90"/>
      <c r="N283" s="57"/>
      <c r="O283" s="57"/>
      <c r="P283" s="91"/>
    </row>
    <row r="284" spans="2:16" s="50" customFormat="1" ht="13.2">
      <c r="B284" s="86"/>
      <c r="C284" s="87"/>
      <c r="D284" s="87"/>
      <c r="E284" s="87"/>
      <c r="F284" s="87"/>
      <c r="G284" s="87"/>
      <c r="H284" s="87"/>
      <c r="I284" s="87"/>
      <c r="J284" s="87"/>
      <c r="K284" s="88"/>
      <c r="L284" s="89"/>
      <c r="M284" s="90"/>
      <c r="N284" s="57"/>
      <c r="O284" s="57"/>
      <c r="P284" s="91"/>
    </row>
    <row r="285" spans="2:16" s="50" customFormat="1" ht="13.2">
      <c r="B285" s="86"/>
      <c r="C285" s="87"/>
      <c r="D285" s="87"/>
      <c r="E285" s="87"/>
      <c r="F285" s="87"/>
      <c r="G285" s="87"/>
      <c r="H285" s="87"/>
      <c r="I285" s="87"/>
      <c r="J285" s="87"/>
      <c r="K285" s="88"/>
      <c r="L285" s="89"/>
      <c r="M285" s="90"/>
      <c r="N285" s="57"/>
      <c r="O285" s="57"/>
      <c r="P285" s="91"/>
    </row>
    <row r="286" spans="2:16" s="50" customFormat="1" ht="13.2">
      <c r="B286" s="86"/>
      <c r="C286" s="87"/>
      <c r="D286" s="87"/>
      <c r="E286" s="87"/>
      <c r="F286" s="87"/>
      <c r="G286" s="87"/>
      <c r="H286" s="87"/>
      <c r="I286" s="87"/>
      <c r="J286" s="87"/>
      <c r="K286" s="88"/>
      <c r="L286" s="89"/>
      <c r="M286" s="90"/>
      <c r="N286" s="57"/>
      <c r="O286" s="57"/>
      <c r="P286" s="91"/>
    </row>
    <row r="287" spans="2:16" s="50" customFormat="1" ht="13.2">
      <c r="B287" s="86"/>
      <c r="C287" s="87"/>
      <c r="D287" s="87"/>
      <c r="E287" s="87"/>
      <c r="F287" s="87"/>
      <c r="G287" s="87"/>
      <c r="H287" s="87"/>
      <c r="I287" s="87"/>
      <c r="J287" s="87"/>
      <c r="K287" s="88"/>
      <c r="L287" s="89"/>
      <c r="M287" s="90"/>
      <c r="N287" s="57"/>
      <c r="O287" s="57"/>
      <c r="P287" s="91"/>
    </row>
    <row r="288" spans="2:16" s="50" customFormat="1" ht="13.2">
      <c r="B288" s="86"/>
      <c r="C288" s="87"/>
      <c r="D288" s="87"/>
      <c r="E288" s="87"/>
      <c r="F288" s="87"/>
      <c r="G288" s="87"/>
      <c r="H288" s="87"/>
      <c r="I288" s="87"/>
      <c r="J288" s="87"/>
      <c r="K288" s="88"/>
      <c r="L288" s="89"/>
      <c r="M288" s="90"/>
      <c r="N288" s="57"/>
      <c r="O288" s="57"/>
      <c r="P288" s="91"/>
    </row>
    <row r="289" spans="2:16" s="50" customFormat="1" ht="13.2">
      <c r="B289" s="86"/>
      <c r="C289" s="87"/>
      <c r="D289" s="87"/>
      <c r="E289" s="87"/>
      <c r="F289" s="87"/>
      <c r="G289" s="87"/>
      <c r="H289" s="87"/>
      <c r="I289" s="87"/>
      <c r="J289" s="87"/>
      <c r="K289" s="88"/>
      <c r="L289" s="89"/>
      <c r="M289" s="90"/>
      <c r="N289" s="57"/>
      <c r="O289" s="57"/>
      <c r="P289" s="91"/>
    </row>
    <row r="290" spans="2:16" s="50" customFormat="1" ht="13.2">
      <c r="B290" s="86"/>
      <c r="C290" s="87"/>
      <c r="D290" s="87"/>
      <c r="E290" s="87"/>
      <c r="F290" s="87"/>
      <c r="G290" s="87"/>
      <c r="H290" s="87"/>
      <c r="I290" s="87"/>
      <c r="J290" s="87"/>
      <c r="K290" s="88"/>
      <c r="L290" s="89"/>
      <c r="M290" s="90"/>
      <c r="N290" s="57"/>
      <c r="O290" s="57"/>
      <c r="P290" s="91"/>
    </row>
    <row r="291" spans="2:16" s="50" customFormat="1" ht="13.2">
      <c r="B291" s="86"/>
      <c r="C291" s="87"/>
      <c r="D291" s="87"/>
      <c r="E291" s="87"/>
      <c r="F291" s="87"/>
      <c r="G291" s="87"/>
      <c r="H291" s="87"/>
      <c r="I291" s="87"/>
      <c r="J291" s="87"/>
      <c r="K291" s="88"/>
      <c r="L291" s="89"/>
      <c r="M291" s="90"/>
      <c r="N291" s="57"/>
      <c r="O291" s="57"/>
      <c r="P291" s="91"/>
    </row>
    <row r="292" spans="2:16" s="50" customFormat="1" ht="13.2">
      <c r="B292" s="86"/>
      <c r="C292" s="87"/>
      <c r="D292" s="87"/>
      <c r="E292" s="87"/>
      <c r="F292" s="87"/>
      <c r="G292" s="87"/>
      <c r="H292" s="87"/>
      <c r="I292" s="87"/>
      <c r="J292" s="87"/>
      <c r="K292" s="88"/>
      <c r="L292" s="89"/>
      <c r="M292" s="90"/>
      <c r="N292" s="57"/>
      <c r="O292" s="57"/>
      <c r="P292" s="91"/>
    </row>
    <row r="293" spans="2:16" s="50" customFormat="1" ht="13.2">
      <c r="B293" s="86"/>
      <c r="C293" s="87"/>
      <c r="D293" s="87"/>
      <c r="E293" s="87"/>
      <c r="F293" s="87"/>
      <c r="G293" s="87"/>
      <c r="H293" s="87"/>
      <c r="I293" s="87"/>
      <c r="J293" s="87"/>
      <c r="K293" s="88"/>
      <c r="L293" s="89"/>
      <c r="M293" s="90"/>
      <c r="N293" s="57"/>
      <c r="O293" s="57"/>
      <c r="P293" s="91"/>
    </row>
    <row r="294" spans="2:16" s="50" customFormat="1" ht="13.2">
      <c r="B294" s="86"/>
      <c r="C294" s="87"/>
      <c r="D294" s="87"/>
      <c r="E294" s="87"/>
      <c r="F294" s="87"/>
      <c r="G294" s="87"/>
      <c r="H294" s="87"/>
      <c r="I294" s="87"/>
      <c r="J294" s="87"/>
      <c r="K294" s="88"/>
      <c r="L294" s="89"/>
      <c r="M294" s="90"/>
      <c r="N294" s="57"/>
      <c r="O294" s="57"/>
      <c r="P294" s="91"/>
    </row>
    <row r="295" spans="2:16" s="50" customFormat="1" ht="13.2">
      <c r="B295" s="86"/>
      <c r="C295" s="87"/>
      <c r="D295" s="87"/>
      <c r="E295" s="87"/>
      <c r="F295" s="87"/>
      <c r="G295" s="87"/>
      <c r="H295" s="87"/>
      <c r="I295" s="87"/>
      <c r="J295" s="87"/>
      <c r="K295" s="88"/>
      <c r="L295" s="89"/>
      <c r="M295" s="90"/>
      <c r="N295" s="57"/>
      <c r="O295" s="57"/>
      <c r="P295" s="91"/>
    </row>
    <row r="296" spans="2:16" s="50" customFormat="1" ht="13.2">
      <c r="B296" s="86"/>
      <c r="C296" s="87"/>
      <c r="D296" s="87"/>
      <c r="E296" s="87"/>
      <c r="F296" s="87"/>
      <c r="G296" s="87"/>
      <c r="H296" s="87"/>
      <c r="I296" s="87"/>
      <c r="J296" s="87"/>
      <c r="K296" s="88"/>
      <c r="L296" s="89"/>
      <c r="M296" s="90"/>
      <c r="N296" s="57"/>
      <c r="O296" s="57"/>
      <c r="P296" s="91"/>
    </row>
    <row r="297" spans="2:16" s="50" customFormat="1" ht="13.2">
      <c r="B297" s="86"/>
      <c r="C297" s="87"/>
      <c r="D297" s="87"/>
      <c r="E297" s="87"/>
      <c r="F297" s="87"/>
      <c r="G297" s="87"/>
      <c r="H297" s="87"/>
      <c r="I297" s="87"/>
      <c r="J297" s="87"/>
      <c r="K297" s="88"/>
      <c r="L297" s="89"/>
      <c r="M297" s="90"/>
      <c r="N297" s="57"/>
      <c r="O297" s="57"/>
      <c r="P297" s="91"/>
    </row>
    <row r="298" spans="2:16" s="50" customFormat="1" ht="13.2">
      <c r="B298" s="86"/>
      <c r="C298" s="87"/>
      <c r="D298" s="87"/>
      <c r="E298" s="87"/>
      <c r="F298" s="87"/>
      <c r="G298" s="87"/>
      <c r="H298" s="87"/>
      <c r="I298" s="87"/>
      <c r="J298" s="87"/>
      <c r="K298" s="88"/>
      <c r="L298" s="89"/>
      <c r="M298" s="90"/>
      <c r="N298" s="57"/>
      <c r="O298" s="57"/>
      <c r="P298" s="91"/>
    </row>
    <row r="299" spans="2:16" s="50" customFormat="1" ht="13.2">
      <c r="B299" s="86"/>
      <c r="C299" s="87"/>
      <c r="D299" s="87"/>
      <c r="E299" s="87"/>
      <c r="F299" s="87"/>
      <c r="G299" s="87"/>
      <c r="H299" s="87"/>
      <c r="I299" s="87"/>
      <c r="J299" s="87"/>
      <c r="K299" s="88"/>
      <c r="L299" s="89"/>
      <c r="M299" s="90"/>
      <c r="N299" s="57"/>
      <c r="O299" s="57"/>
      <c r="P299" s="91"/>
    </row>
    <row r="300" spans="2:16" s="50" customFormat="1" ht="13.2">
      <c r="B300" s="86"/>
      <c r="C300" s="87"/>
      <c r="D300" s="87"/>
      <c r="E300" s="87"/>
      <c r="F300" s="87"/>
      <c r="G300" s="87"/>
      <c r="H300" s="87"/>
      <c r="I300" s="87"/>
      <c r="J300" s="87"/>
      <c r="K300" s="88"/>
      <c r="L300" s="89"/>
      <c r="M300" s="90"/>
      <c r="N300" s="57"/>
      <c r="O300" s="57"/>
      <c r="P300" s="91"/>
    </row>
    <row r="301" spans="2:16" s="50" customFormat="1" ht="13.2">
      <c r="B301" s="86"/>
      <c r="C301" s="87"/>
      <c r="D301" s="87"/>
      <c r="E301" s="87"/>
      <c r="F301" s="87"/>
      <c r="G301" s="87"/>
      <c r="H301" s="87"/>
      <c r="I301" s="87"/>
      <c r="J301" s="87"/>
      <c r="K301" s="88"/>
      <c r="L301" s="89"/>
      <c r="M301" s="90"/>
      <c r="N301" s="57"/>
      <c r="O301" s="57"/>
      <c r="P301" s="91"/>
    </row>
    <row r="302" spans="2:16" s="50" customFormat="1" ht="13.2">
      <c r="B302" s="86"/>
      <c r="C302" s="87"/>
      <c r="D302" s="87"/>
      <c r="E302" s="87"/>
      <c r="F302" s="87"/>
      <c r="G302" s="87"/>
      <c r="H302" s="87"/>
      <c r="I302" s="87"/>
      <c r="J302" s="87"/>
      <c r="K302" s="88"/>
      <c r="L302" s="89"/>
      <c r="M302" s="90"/>
      <c r="N302" s="57"/>
      <c r="O302" s="57"/>
      <c r="P302" s="91"/>
    </row>
    <row r="303" spans="2:16" s="50" customFormat="1" ht="13.2">
      <c r="B303" s="86"/>
      <c r="C303" s="87"/>
      <c r="D303" s="87"/>
      <c r="E303" s="87"/>
      <c r="F303" s="87"/>
      <c r="G303" s="87"/>
      <c r="H303" s="87"/>
      <c r="I303" s="87"/>
      <c r="J303" s="87"/>
      <c r="K303" s="88"/>
      <c r="L303" s="89"/>
      <c r="M303" s="90"/>
      <c r="N303" s="57"/>
      <c r="O303" s="57"/>
      <c r="P303" s="91"/>
    </row>
    <row r="304" spans="2:16" s="50" customFormat="1" ht="13.2">
      <c r="B304" s="86"/>
      <c r="C304" s="87"/>
      <c r="D304" s="87"/>
      <c r="E304" s="87"/>
      <c r="F304" s="87"/>
      <c r="G304" s="87"/>
      <c r="H304" s="87"/>
      <c r="I304" s="87"/>
      <c r="J304" s="87"/>
      <c r="K304" s="88"/>
      <c r="L304" s="89"/>
      <c r="M304" s="90"/>
      <c r="N304" s="57"/>
      <c r="O304" s="57"/>
      <c r="P304" s="91"/>
    </row>
    <row r="305" spans="2:16" s="50" customFormat="1" ht="13.2">
      <c r="B305" s="86"/>
      <c r="C305" s="87"/>
      <c r="D305" s="87"/>
      <c r="E305" s="87"/>
      <c r="F305" s="87"/>
      <c r="G305" s="87"/>
      <c r="H305" s="87"/>
      <c r="I305" s="87"/>
      <c r="J305" s="87"/>
      <c r="K305" s="88"/>
      <c r="L305" s="89"/>
      <c r="M305" s="90"/>
      <c r="N305" s="57"/>
      <c r="O305" s="57"/>
      <c r="P305" s="91"/>
    </row>
    <row r="306" spans="2:16" s="50" customFormat="1" ht="13.2">
      <c r="B306" s="86"/>
      <c r="C306" s="87"/>
      <c r="D306" s="87"/>
      <c r="E306" s="87"/>
      <c r="F306" s="87"/>
      <c r="G306" s="87"/>
      <c r="H306" s="87"/>
      <c r="I306" s="87"/>
      <c r="J306" s="87"/>
      <c r="K306" s="88"/>
      <c r="L306" s="89"/>
      <c r="M306" s="90"/>
      <c r="N306" s="57"/>
      <c r="O306" s="57"/>
      <c r="P306" s="91"/>
    </row>
    <row r="307" spans="2:16" s="50" customFormat="1" ht="13.2">
      <c r="B307" s="86"/>
      <c r="C307" s="87"/>
      <c r="D307" s="87"/>
      <c r="E307" s="87"/>
      <c r="F307" s="87"/>
      <c r="G307" s="87"/>
      <c r="H307" s="87"/>
      <c r="I307" s="87"/>
      <c r="J307" s="87"/>
      <c r="K307" s="88"/>
      <c r="L307" s="89"/>
      <c r="M307" s="90"/>
      <c r="N307" s="57"/>
      <c r="O307" s="57"/>
      <c r="P307" s="91"/>
    </row>
    <row r="308" spans="2:16" s="50" customFormat="1" ht="13.2">
      <c r="B308" s="86"/>
      <c r="C308" s="87"/>
      <c r="D308" s="87"/>
      <c r="E308" s="87"/>
      <c r="F308" s="87"/>
      <c r="G308" s="87"/>
      <c r="H308" s="87"/>
      <c r="I308" s="87"/>
      <c r="J308" s="87"/>
      <c r="K308" s="88"/>
      <c r="L308" s="89"/>
      <c r="M308" s="90"/>
      <c r="N308" s="57"/>
      <c r="O308" s="57"/>
      <c r="P308" s="91"/>
    </row>
    <row r="309" spans="2:16" s="50" customFormat="1" ht="13.2">
      <c r="B309" s="86"/>
      <c r="C309" s="87"/>
      <c r="D309" s="87"/>
      <c r="E309" s="87"/>
      <c r="F309" s="87"/>
      <c r="G309" s="87"/>
      <c r="H309" s="87"/>
      <c r="I309" s="87"/>
      <c r="J309" s="87"/>
      <c r="K309" s="88"/>
      <c r="L309" s="89"/>
      <c r="M309" s="90"/>
      <c r="N309" s="57"/>
      <c r="O309" s="57"/>
      <c r="P309" s="91"/>
    </row>
    <row r="310" spans="2:16" s="50" customFormat="1" ht="13.2">
      <c r="B310" s="86"/>
      <c r="C310" s="87"/>
      <c r="D310" s="87"/>
      <c r="E310" s="87"/>
      <c r="F310" s="87"/>
      <c r="G310" s="87"/>
      <c r="H310" s="87"/>
      <c r="I310" s="87"/>
      <c r="J310" s="87"/>
      <c r="K310" s="88"/>
      <c r="L310" s="89"/>
      <c r="M310" s="90"/>
      <c r="N310" s="57"/>
      <c r="O310" s="57"/>
      <c r="P310" s="91"/>
    </row>
    <row r="311" spans="2:16" s="50" customFormat="1" ht="13.2">
      <c r="B311" s="86"/>
      <c r="C311" s="87"/>
      <c r="D311" s="87"/>
      <c r="E311" s="87"/>
      <c r="F311" s="87"/>
      <c r="G311" s="87"/>
      <c r="H311" s="87"/>
      <c r="I311" s="87"/>
      <c r="J311" s="87"/>
      <c r="K311" s="88"/>
      <c r="L311" s="89"/>
      <c r="M311" s="90"/>
      <c r="N311" s="57"/>
      <c r="O311" s="57"/>
      <c r="P311" s="91"/>
    </row>
    <row r="312" spans="2:16" s="50" customFormat="1" ht="13.2">
      <c r="B312" s="86"/>
      <c r="C312" s="87"/>
      <c r="D312" s="87"/>
      <c r="E312" s="87"/>
      <c r="F312" s="87"/>
      <c r="G312" s="87"/>
      <c r="H312" s="87"/>
      <c r="I312" s="87"/>
      <c r="J312" s="87"/>
      <c r="K312" s="88"/>
      <c r="L312" s="89"/>
      <c r="M312" s="90"/>
      <c r="N312" s="57"/>
      <c r="O312" s="57"/>
      <c r="P312" s="91"/>
    </row>
    <row r="313" spans="2:16" s="50" customFormat="1" ht="13.2">
      <c r="B313" s="86"/>
      <c r="C313" s="87"/>
      <c r="D313" s="87"/>
      <c r="E313" s="87"/>
      <c r="F313" s="87"/>
      <c r="G313" s="87"/>
      <c r="H313" s="87"/>
      <c r="I313" s="87"/>
      <c r="J313" s="87"/>
      <c r="K313" s="88"/>
      <c r="L313" s="89"/>
      <c r="M313" s="90"/>
      <c r="N313" s="57"/>
      <c r="O313" s="57"/>
      <c r="P313" s="91"/>
    </row>
    <row r="314" spans="2:16" s="50" customFormat="1" ht="13.2">
      <c r="B314" s="86"/>
      <c r="C314" s="87"/>
      <c r="D314" s="87"/>
      <c r="E314" s="87"/>
      <c r="F314" s="87"/>
      <c r="G314" s="87"/>
      <c r="H314" s="87"/>
      <c r="I314" s="87"/>
      <c r="J314" s="87"/>
      <c r="K314" s="88"/>
      <c r="L314" s="89"/>
      <c r="M314" s="90"/>
      <c r="N314" s="57"/>
      <c r="O314" s="57"/>
      <c r="P314" s="91"/>
    </row>
    <row r="315" spans="2:16" s="50" customFormat="1" ht="13.2">
      <c r="B315" s="86"/>
      <c r="C315" s="87"/>
      <c r="D315" s="87"/>
      <c r="E315" s="87"/>
      <c r="F315" s="87"/>
      <c r="G315" s="87"/>
      <c r="H315" s="87"/>
      <c r="I315" s="87"/>
      <c r="J315" s="87"/>
      <c r="K315" s="88"/>
      <c r="L315" s="89"/>
      <c r="M315" s="90"/>
      <c r="N315" s="57"/>
      <c r="O315" s="57"/>
      <c r="P315" s="91"/>
    </row>
    <row r="316" spans="2:16" s="50" customFormat="1" ht="13.2">
      <c r="B316" s="86"/>
      <c r="C316" s="87"/>
      <c r="D316" s="87"/>
      <c r="E316" s="87"/>
      <c r="F316" s="87"/>
      <c r="G316" s="87"/>
      <c r="H316" s="87"/>
      <c r="I316" s="87"/>
      <c r="J316" s="87"/>
      <c r="K316" s="88"/>
      <c r="L316" s="89"/>
      <c r="M316" s="90"/>
      <c r="N316" s="57"/>
      <c r="O316" s="57"/>
      <c r="P316" s="91"/>
    </row>
    <row r="317" spans="2:16" s="50" customFormat="1" ht="13.2">
      <c r="B317" s="86"/>
      <c r="C317" s="87"/>
      <c r="D317" s="87"/>
      <c r="E317" s="87"/>
      <c r="F317" s="87"/>
      <c r="G317" s="87"/>
      <c r="H317" s="87"/>
      <c r="I317" s="87"/>
      <c r="J317" s="87"/>
      <c r="K317" s="88"/>
      <c r="L317" s="89"/>
      <c r="M317" s="90"/>
      <c r="N317" s="57"/>
      <c r="O317" s="57"/>
      <c r="P317" s="91"/>
    </row>
    <row r="318" spans="2:16" s="50" customFormat="1" ht="13.2">
      <c r="B318" s="86"/>
      <c r="C318" s="87"/>
      <c r="D318" s="87"/>
      <c r="E318" s="87"/>
      <c r="F318" s="87"/>
      <c r="G318" s="87"/>
      <c r="H318" s="87"/>
      <c r="I318" s="87"/>
      <c r="J318" s="87"/>
      <c r="K318" s="88"/>
      <c r="L318" s="89"/>
      <c r="M318" s="90"/>
      <c r="N318" s="57"/>
      <c r="O318" s="57"/>
      <c r="P318" s="91"/>
    </row>
    <row r="319" spans="2:16" s="50" customFormat="1" ht="13.2">
      <c r="B319" s="86"/>
      <c r="C319" s="87"/>
      <c r="D319" s="87"/>
      <c r="E319" s="87"/>
      <c r="F319" s="87"/>
      <c r="G319" s="87"/>
      <c r="H319" s="87"/>
      <c r="I319" s="87"/>
      <c r="J319" s="87"/>
      <c r="K319" s="88"/>
      <c r="L319" s="89"/>
      <c r="M319" s="90"/>
      <c r="N319" s="57"/>
      <c r="O319" s="57"/>
      <c r="P319" s="91"/>
    </row>
    <row r="320" spans="2:16" s="50" customFormat="1" ht="13.2">
      <c r="B320" s="86"/>
      <c r="C320" s="87"/>
      <c r="D320" s="87"/>
      <c r="E320" s="87"/>
      <c r="F320" s="87"/>
      <c r="G320" s="87"/>
      <c r="H320" s="87"/>
      <c r="I320" s="87"/>
      <c r="J320" s="87"/>
      <c r="K320" s="88"/>
      <c r="L320" s="89"/>
      <c r="M320" s="90"/>
      <c r="N320" s="57"/>
      <c r="O320" s="57"/>
      <c r="P320" s="91"/>
    </row>
    <row r="321" spans="2:16" s="50" customFormat="1" ht="13.2">
      <c r="B321" s="86"/>
      <c r="C321" s="87"/>
      <c r="D321" s="87"/>
      <c r="E321" s="87"/>
      <c r="F321" s="87"/>
      <c r="G321" s="87"/>
      <c r="H321" s="87"/>
      <c r="I321" s="87"/>
      <c r="J321" s="87"/>
      <c r="K321" s="88"/>
      <c r="L321" s="89"/>
      <c r="M321" s="90"/>
      <c r="N321" s="57"/>
      <c r="O321" s="57"/>
      <c r="P321" s="91"/>
    </row>
    <row r="322" spans="2:16" s="50" customFormat="1" ht="13.2">
      <c r="B322" s="86"/>
      <c r="C322" s="87"/>
      <c r="D322" s="87"/>
      <c r="E322" s="87"/>
      <c r="F322" s="87"/>
      <c r="G322" s="87"/>
      <c r="H322" s="87"/>
      <c r="I322" s="87"/>
      <c r="J322" s="87"/>
      <c r="K322" s="88"/>
      <c r="L322" s="89"/>
      <c r="M322" s="90"/>
      <c r="N322" s="57"/>
      <c r="O322" s="57"/>
      <c r="P322" s="91"/>
    </row>
    <row r="323" spans="2:16" s="50" customFormat="1" ht="13.2">
      <c r="B323" s="86"/>
      <c r="C323" s="87"/>
      <c r="D323" s="87"/>
      <c r="E323" s="87"/>
      <c r="F323" s="87"/>
      <c r="G323" s="87"/>
      <c r="H323" s="87"/>
      <c r="I323" s="87"/>
      <c r="J323" s="87"/>
      <c r="K323" s="88"/>
      <c r="L323" s="89"/>
      <c r="M323" s="90"/>
      <c r="N323" s="57"/>
      <c r="O323" s="57"/>
      <c r="P323" s="91"/>
    </row>
    <row r="324" spans="2:16" s="50" customFormat="1" ht="13.2">
      <c r="B324" s="86"/>
      <c r="C324" s="87"/>
      <c r="D324" s="87"/>
      <c r="E324" s="87"/>
      <c r="F324" s="87"/>
      <c r="G324" s="87"/>
      <c r="H324" s="87"/>
      <c r="I324" s="87"/>
      <c r="J324" s="87"/>
      <c r="K324" s="88"/>
      <c r="L324" s="89"/>
      <c r="M324" s="90"/>
      <c r="N324" s="57"/>
      <c r="O324" s="57"/>
      <c r="P324" s="91"/>
    </row>
    <row r="325" spans="2:16" s="50" customFormat="1" ht="13.2">
      <c r="B325" s="86"/>
      <c r="C325" s="87"/>
      <c r="D325" s="87"/>
      <c r="E325" s="87"/>
      <c r="F325" s="87"/>
      <c r="G325" s="87"/>
      <c r="H325" s="87"/>
      <c r="I325" s="87"/>
      <c r="J325" s="87"/>
      <c r="K325" s="88"/>
      <c r="L325" s="89"/>
      <c r="M325" s="90"/>
      <c r="N325" s="57"/>
      <c r="O325" s="57"/>
      <c r="P325" s="91"/>
    </row>
    <row r="326" spans="2:16" s="50" customFormat="1" ht="13.2">
      <c r="B326" s="86"/>
      <c r="C326" s="87"/>
      <c r="D326" s="87"/>
      <c r="E326" s="87"/>
      <c r="F326" s="87"/>
      <c r="G326" s="87"/>
      <c r="H326" s="87"/>
      <c r="I326" s="87"/>
      <c r="J326" s="87"/>
      <c r="K326" s="88"/>
      <c r="L326" s="89"/>
      <c r="M326" s="90"/>
      <c r="N326" s="57"/>
      <c r="O326" s="57"/>
      <c r="P326" s="91"/>
    </row>
    <row r="327" spans="2:16" s="50" customFormat="1" ht="13.2">
      <c r="B327" s="86"/>
      <c r="C327" s="87"/>
      <c r="D327" s="87"/>
      <c r="E327" s="87"/>
      <c r="F327" s="87"/>
      <c r="G327" s="87"/>
      <c r="H327" s="87"/>
      <c r="I327" s="87"/>
      <c r="J327" s="87"/>
      <c r="K327" s="88"/>
      <c r="L327" s="89"/>
      <c r="M327" s="90"/>
      <c r="N327" s="57"/>
      <c r="O327" s="57"/>
      <c r="P327" s="91"/>
    </row>
    <row r="328" spans="2:16" s="50" customFormat="1" ht="13.2">
      <c r="B328" s="86"/>
      <c r="C328" s="87"/>
      <c r="D328" s="87"/>
      <c r="E328" s="87"/>
      <c r="F328" s="87"/>
      <c r="G328" s="87"/>
      <c r="H328" s="87"/>
      <c r="I328" s="87"/>
      <c r="J328" s="87"/>
      <c r="K328" s="88"/>
      <c r="L328" s="89"/>
      <c r="M328" s="90"/>
      <c r="N328" s="57"/>
      <c r="O328" s="57"/>
      <c r="P328" s="91"/>
    </row>
    <row r="329" spans="2:16" s="50" customFormat="1" ht="13.2">
      <c r="B329" s="86"/>
      <c r="C329" s="87"/>
      <c r="D329" s="87"/>
      <c r="E329" s="87"/>
      <c r="F329" s="87"/>
      <c r="G329" s="87"/>
      <c r="H329" s="87"/>
      <c r="I329" s="87"/>
      <c r="J329" s="87"/>
      <c r="K329" s="88"/>
      <c r="L329" s="89"/>
      <c r="M329" s="90"/>
      <c r="N329" s="57"/>
      <c r="O329" s="57"/>
      <c r="P329" s="91"/>
    </row>
    <row r="330" spans="2:16" s="50" customFormat="1" ht="13.2">
      <c r="B330" s="86"/>
      <c r="C330" s="87"/>
      <c r="D330" s="87"/>
      <c r="E330" s="87"/>
      <c r="F330" s="87"/>
      <c r="G330" s="87"/>
      <c r="H330" s="87"/>
      <c r="I330" s="87"/>
      <c r="J330" s="87"/>
      <c r="K330" s="88"/>
      <c r="L330" s="89"/>
      <c r="M330" s="90"/>
      <c r="N330" s="57"/>
      <c r="O330" s="57"/>
      <c r="P330" s="91"/>
    </row>
    <row r="331" spans="2:16" s="50" customFormat="1" ht="13.2">
      <c r="B331" s="86"/>
      <c r="C331" s="87"/>
      <c r="D331" s="87"/>
      <c r="E331" s="87"/>
      <c r="F331" s="87"/>
      <c r="G331" s="87"/>
      <c r="H331" s="87"/>
      <c r="I331" s="87"/>
      <c r="J331" s="87"/>
      <c r="K331" s="88"/>
      <c r="L331" s="89"/>
      <c r="M331" s="90"/>
      <c r="N331" s="57"/>
      <c r="O331" s="57"/>
      <c r="P331" s="91"/>
    </row>
    <row r="332" spans="2:16" s="50" customFormat="1" ht="13.2">
      <c r="B332" s="86"/>
      <c r="C332" s="87"/>
      <c r="D332" s="87"/>
      <c r="E332" s="87"/>
      <c r="F332" s="87"/>
      <c r="G332" s="87"/>
      <c r="H332" s="87"/>
      <c r="I332" s="87"/>
      <c r="J332" s="87"/>
      <c r="K332" s="88"/>
      <c r="L332" s="89"/>
      <c r="M332" s="90"/>
      <c r="N332" s="57"/>
      <c r="O332" s="57"/>
      <c r="P332" s="91"/>
    </row>
    <row r="333" spans="2:16" s="50" customFormat="1" ht="13.2">
      <c r="B333" s="86"/>
      <c r="C333" s="87"/>
      <c r="D333" s="87"/>
      <c r="E333" s="87"/>
      <c r="F333" s="87"/>
      <c r="G333" s="87"/>
      <c r="H333" s="87"/>
      <c r="I333" s="87"/>
      <c r="J333" s="87"/>
      <c r="K333" s="88"/>
      <c r="L333" s="89"/>
      <c r="M333" s="90"/>
      <c r="N333" s="57"/>
      <c r="O333" s="57"/>
      <c r="P333" s="91"/>
    </row>
    <row r="334" spans="2:16" s="50" customFormat="1" ht="13.2">
      <c r="B334" s="86"/>
      <c r="C334" s="87"/>
      <c r="D334" s="87"/>
      <c r="E334" s="87"/>
      <c r="F334" s="87"/>
      <c r="G334" s="87"/>
      <c r="H334" s="87"/>
      <c r="I334" s="87"/>
      <c r="J334" s="87"/>
      <c r="K334" s="88"/>
      <c r="L334" s="89"/>
      <c r="M334" s="90"/>
      <c r="N334" s="57"/>
      <c r="O334" s="57"/>
      <c r="P334" s="91"/>
    </row>
    <row r="335" spans="2:16" s="50" customFormat="1" ht="13.2">
      <c r="B335" s="86"/>
      <c r="C335" s="87"/>
      <c r="D335" s="87"/>
      <c r="E335" s="87"/>
      <c r="F335" s="87"/>
      <c r="G335" s="87"/>
      <c r="H335" s="87"/>
      <c r="I335" s="87"/>
      <c r="J335" s="87"/>
      <c r="K335" s="88"/>
      <c r="L335" s="89"/>
      <c r="M335" s="90"/>
      <c r="N335" s="57"/>
      <c r="O335" s="57"/>
      <c r="P335" s="91"/>
    </row>
    <row r="336" spans="2:16" s="50" customFormat="1" ht="13.2">
      <c r="B336" s="86"/>
      <c r="C336" s="87"/>
      <c r="D336" s="87"/>
      <c r="E336" s="87"/>
      <c r="F336" s="87"/>
      <c r="G336" s="87"/>
      <c r="H336" s="87"/>
      <c r="I336" s="87"/>
      <c r="J336" s="87"/>
      <c r="K336" s="88"/>
      <c r="L336" s="89"/>
      <c r="M336" s="90"/>
      <c r="N336" s="57"/>
      <c r="O336" s="57"/>
      <c r="P336" s="91"/>
    </row>
    <row r="337" spans="2:16" s="50" customFormat="1" ht="13.2">
      <c r="B337" s="86"/>
      <c r="C337" s="87"/>
      <c r="D337" s="87"/>
      <c r="E337" s="87"/>
      <c r="F337" s="87"/>
      <c r="G337" s="87"/>
      <c r="H337" s="87"/>
      <c r="I337" s="87"/>
      <c r="J337" s="87"/>
      <c r="K337" s="88"/>
      <c r="L337" s="89"/>
      <c r="M337" s="90"/>
      <c r="N337" s="57"/>
      <c r="O337" s="57"/>
      <c r="P337" s="91"/>
    </row>
    <row r="338" spans="2:16" s="50" customFormat="1" ht="13.2">
      <c r="B338" s="86"/>
      <c r="C338" s="87"/>
      <c r="D338" s="87"/>
      <c r="E338" s="87"/>
      <c r="F338" s="87"/>
      <c r="G338" s="87"/>
      <c r="H338" s="87"/>
      <c r="I338" s="87"/>
      <c r="J338" s="87"/>
      <c r="K338" s="88"/>
      <c r="L338" s="89"/>
      <c r="M338" s="90"/>
      <c r="N338" s="57"/>
      <c r="O338" s="57"/>
      <c r="P338" s="91"/>
    </row>
    <row r="339" spans="2:16" s="50" customFormat="1" ht="13.2">
      <c r="B339" s="86"/>
      <c r="C339" s="87"/>
      <c r="D339" s="87"/>
      <c r="E339" s="87"/>
      <c r="F339" s="87"/>
      <c r="G339" s="87"/>
      <c r="H339" s="87"/>
      <c r="I339" s="87"/>
      <c r="J339" s="87"/>
      <c r="K339" s="88"/>
      <c r="L339" s="89"/>
      <c r="M339" s="90"/>
      <c r="N339" s="57"/>
      <c r="O339" s="57"/>
      <c r="P339" s="91"/>
    </row>
    <row r="340" spans="2:16" s="50" customFormat="1" ht="13.2">
      <c r="B340" s="86"/>
      <c r="C340" s="87"/>
      <c r="D340" s="87"/>
      <c r="E340" s="87"/>
      <c r="F340" s="87"/>
      <c r="G340" s="87"/>
      <c r="H340" s="87"/>
      <c r="I340" s="87"/>
      <c r="J340" s="87"/>
      <c r="K340" s="88"/>
      <c r="L340" s="89"/>
      <c r="M340" s="90"/>
      <c r="N340" s="57"/>
      <c r="O340" s="57"/>
      <c r="P340" s="91"/>
    </row>
    <row r="341" spans="2:16" s="50" customFormat="1" ht="13.2">
      <c r="B341" s="86"/>
      <c r="C341" s="87"/>
      <c r="D341" s="87"/>
      <c r="E341" s="87"/>
      <c r="F341" s="87"/>
      <c r="G341" s="87"/>
      <c r="H341" s="87"/>
      <c r="I341" s="87"/>
      <c r="J341" s="87"/>
      <c r="K341" s="88"/>
      <c r="L341" s="89"/>
      <c r="M341" s="90"/>
      <c r="N341" s="57"/>
      <c r="O341" s="57"/>
      <c r="P341" s="91"/>
    </row>
    <row r="342" spans="2:16" s="50" customFormat="1" ht="13.2">
      <c r="B342" s="86"/>
      <c r="C342" s="87"/>
      <c r="D342" s="87"/>
      <c r="E342" s="87"/>
      <c r="F342" s="87"/>
      <c r="G342" s="87"/>
      <c r="H342" s="87"/>
      <c r="I342" s="87"/>
      <c r="J342" s="87"/>
      <c r="K342" s="88"/>
      <c r="L342" s="89"/>
      <c r="M342" s="90"/>
      <c r="N342" s="57"/>
      <c r="O342" s="57"/>
      <c r="P342" s="91"/>
    </row>
    <row r="343" spans="2:16" s="50" customFormat="1" ht="13.2">
      <c r="B343" s="86"/>
      <c r="C343" s="87"/>
      <c r="D343" s="87"/>
      <c r="E343" s="87"/>
      <c r="F343" s="87"/>
      <c r="G343" s="87"/>
      <c r="H343" s="87"/>
      <c r="I343" s="87"/>
      <c r="J343" s="87"/>
      <c r="K343" s="88"/>
      <c r="L343" s="89"/>
      <c r="M343" s="90"/>
      <c r="N343" s="57"/>
      <c r="O343" s="57"/>
      <c r="P343" s="91"/>
    </row>
    <row r="344" spans="2:16" s="50" customFormat="1" ht="13.2">
      <c r="B344" s="86"/>
      <c r="C344" s="87"/>
      <c r="D344" s="87"/>
      <c r="E344" s="87"/>
      <c r="F344" s="87"/>
      <c r="G344" s="87"/>
      <c r="H344" s="87"/>
      <c r="I344" s="87"/>
      <c r="J344" s="87"/>
      <c r="K344" s="88"/>
      <c r="L344" s="89"/>
      <c r="M344" s="90"/>
      <c r="N344" s="57"/>
      <c r="O344" s="57"/>
      <c r="P344" s="91"/>
    </row>
    <row r="345" spans="2:16" s="50" customFormat="1" ht="13.2">
      <c r="B345" s="86"/>
      <c r="C345" s="87"/>
      <c r="D345" s="87"/>
      <c r="E345" s="87"/>
      <c r="F345" s="87"/>
      <c r="G345" s="87"/>
      <c r="H345" s="87"/>
      <c r="I345" s="87"/>
      <c r="J345" s="87"/>
      <c r="K345" s="88"/>
      <c r="L345" s="89"/>
      <c r="M345" s="90"/>
      <c r="N345" s="57"/>
      <c r="O345" s="57"/>
      <c r="P345" s="91"/>
    </row>
    <row r="346" spans="2:16" s="50" customFormat="1" ht="13.2">
      <c r="B346" s="86"/>
      <c r="C346" s="87"/>
      <c r="D346" s="87"/>
      <c r="E346" s="87"/>
      <c r="F346" s="87"/>
      <c r="G346" s="87"/>
      <c r="H346" s="87"/>
      <c r="I346" s="87"/>
      <c r="J346" s="87"/>
      <c r="K346" s="88"/>
      <c r="L346" s="89"/>
      <c r="M346" s="90"/>
      <c r="N346" s="57"/>
      <c r="O346" s="57"/>
      <c r="P346" s="91"/>
    </row>
    <row r="347" spans="2:16" s="50" customFormat="1" ht="13.2">
      <c r="B347" s="86"/>
      <c r="C347" s="87"/>
      <c r="D347" s="87"/>
      <c r="E347" s="87"/>
      <c r="F347" s="87"/>
      <c r="G347" s="87"/>
      <c r="H347" s="87"/>
      <c r="I347" s="87"/>
      <c r="J347" s="87"/>
      <c r="K347" s="88"/>
      <c r="L347" s="89"/>
      <c r="M347" s="90"/>
      <c r="N347" s="57"/>
      <c r="O347" s="57"/>
      <c r="P347" s="91"/>
    </row>
    <row r="348" spans="2:16" s="50" customFormat="1" ht="13.2">
      <c r="B348" s="86"/>
      <c r="C348" s="87"/>
      <c r="D348" s="87"/>
      <c r="E348" s="87"/>
      <c r="F348" s="87"/>
      <c r="G348" s="87"/>
      <c r="H348" s="87"/>
      <c r="I348" s="87"/>
      <c r="J348" s="87"/>
      <c r="K348" s="88"/>
      <c r="L348" s="89"/>
      <c r="M348" s="90"/>
      <c r="N348" s="57"/>
      <c r="O348" s="57"/>
      <c r="P348" s="91"/>
    </row>
    <row r="349" spans="2:16" s="50" customFormat="1" ht="13.2">
      <c r="B349" s="86"/>
      <c r="C349" s="87"/>
      <c r="D349" s="87"/>
      <c r="E349" s="87"/>
      <c r="F349" s="87"/>
      <c r="G349" s="87"/>
      <c r="H349" s="87"/>
      <c r="I349" s="87"/>
      <c r="J349" s="87"/>
      <c r="K349" s="88"/>
      <c r="L349" s="89"/>
      <c r="M349" s="90"/>
      <c r="N349" s="57"/>
      <c r="O349" s="57"/>
      <c r="P349" s="91"/>
    </row>
    <row r="350" spans="2:16" s="50" customFormat="1" ht="13.2">
      <c r="B350" s="86"/>
      <c r="C350" s="87"/>
      <c r="D350" s="87"/>
      <c r="E350" s="87"/>
      <c r="F350" s="87"/>
      <c r="G350" s="87"/>
      <c r="H350" s="87"/>
      <c r="I350" s="87"/>
      <c r="J350" s="87"/>
      <c r="K350" s="88"/>
      <c r="L350" s="89"/>
      <c r="M350" s="90"/>
      <c r="N350" s="57"/>
      <c r="O350" s="57"/>
      <c r="P350" s="91"/>
    </row>
    <row r="351" spans="2:16" s="50" customFormat="1" ht="13.2">
      <c r="B351" s="86"/>
      <c r="C351" s="87"/>
      <c r="D351" s="87"/>
      <c r="E351" s="87"/>
      <c r="F351" s="87"/>
      <c r="G351" s="87"/>
      <c r="H351" s="87"/>
      <c r="I351" s="87"/>
      <c r="J351" s="87"/>
      <c r="K351" s="88"/>
      <c r="L351" s="89"/>
      <c r="M351" s="90"/>
      <c r="N351" s="57"/>
      <c r="O351" s="57"/>
      <c r="P351" s="91"/>
    </row>
    <row r="352" spans="2:16" s="50" customFormat="1" ht="13.2">
      <c r="B352" s="86"/>
      <c r="C352" s="87"/>
      <c r="D352" s="87"/>
      <c r="E352" s="87"/>
      <c r="F352" s="87"/>
      <c r="G352" s="87"/>
      <c r="H352" s="87"/>
      <c r="I352" s="87"/>
      <c r="J352" s="87"/>
      <c r="K352" s="88"/>
      <c r="L352" s="89"/>
      <c r="M352" s="90"/>
      <c r="N352" s="57"/>
      <c r="O352" s="57"/>
      <c r="P352" s="91"/>
    </row>
    <row r="353" spans="2:16" s="50" customFormat="1" ht="13.2">
      <c r="B353" s="86"/>
      <c r="C353" s="87"/>
      <c r="D353" s="87"/>
      <c r="E353" s="87"/>
      <c r="F353" s="87"/>
      <c r="G353" s="87"/>
      <c r="H353" s="87"/>
      <c r="I353" s="87"/>
      <c r="J353" s="87"/>
      <c r="K353" s="88"/>
      <c r="L353" s="89"/>
      <c r="M353" s="90"/>
      <c r="N353" s="57"/>
      <c r="O353" s="57"/>
      <c r="P353" s="91"/>
    </row>
    <row r="354" spans="2:16" s="50" customFormat="1" ht="13.2">
      <c r="B354" s="86"/>
      <c r="C354" s="87"/>
      <c r="D354" s="87"/>
      <c r="E354" s="87"/>
      <c r="F354" s="87"/>
      <c r="G354" s="87"/>
      <c r="H354" s="87"/>
      <c r="I354" s="87"/>
      <c r="J354" s="87"/>
      <c r="K354" s="88"/>
      <c r="L354" s="89"/>
      <c r="M354" s="90"/>
      <c r="N354" s="57"/>
      <c r="O354" s="57"/>
      <c r="P354" s="91"/>
    </row>
    <row r="355" spans="2:16" s="50" customFormat="1" ht="13.2">
      <c r="B355" s="86"/>
      <c r="C355" s="87"/>
      <c r="D355" s="87"/>
      <c r="E355" s="87"/>
      <c r="F355" s="87"/>
      <c r="G355" s="87"/>
      <c r="H355" s="87"/>
      <c r="I355" s="87"/>
      <c r="J355" s="87"/>
      <c r="K355" s="88"/>
      <c r="L355" s="89"/>
      <c r="M355" s="90"/>
      <c r="N355" s="57"/>
      <c r="O355" s="57"/>
      <c r="P355" s="91"/>
    </row>
    <row r="356" spans="2:16" s="50" customFormat="1" ht="13.2">
      <c r="B356" s="86"/>
      <c r="C356" s="87"/>
      <c r="D356" s="87"/>
      <c r="E356" s="87"/>
      <c r="F356" s="87"/>
      <c r="G356" s="87"/>
      <c r="H356" s="87"/>
      <c r="I356" s="87"/>
      <c r="J356" s="87"/>
      <c r="K356" s="88"/>
      <c r="L356" s="89"/>
      <c r="M356" s="90"/>
      <c r="N356" s="57"/>
      <c r="O356" s="57"/>
      <c r="P356" s="91"/>
    </row>
    <row r="357" spans="2:16" s="50" customFormat="1" ht="13.2">
      <c r="B357" s="86"/>
      <c r="C357" s="87"/>
      <c r="D357" s="87"/>
      <c r="E357" s="87"/>
      <c r="F357" s="87"/>
      <c r="G357" s="87"/>
      <c r="H357" s="87"/>
      <c r="I357" s="87"/>
      <c r="J357" s="87"/>
      <c r="K357" s="88"/>
      <c r="L357" s="89"/>
      <c r="M357" s="90"/>
      <c r="N357" s="57"/>
      <c r="O357" s="57"/>
      <c r="P357" s="91"/>
    </row>
    <row r="358" spans="2:16" s="50" customFormat="1" ht="13.2">
      <c r="B358" s="86"/>
      <c r="C358" s="87"/>
      <c r="D358" s="87"/>
      <c r="E358" s="87"/>
      <c r="F358" s="87"/>
      <c r="G358" s="87"/>
      <c r="H358" s="87"/>
      <c r="I358" s="87"/>
      <c r="J358" s="87"/>
      <c r="K358" s="88"/>
      <c r="L358" s="89"/>
      <c r="M358" s="90"/>
      <c r="N358" s="57"/>
      <c r="O358" s="57"/>
      <c r="P358" s="91"/>
    </row>
    <row r="359" spans="2:16" s="50" customFormat="1" ht="13.2">
      <c r="B359" s="86"/>
      <c r="C359" s="87"/>
      <c r="D359" s="87"/>
      <c r="E359" s="87"/>
      <c r="F359" s="87"/>
      <c r="G359" s="87"/>
      <c r="H359" s="87"/>
      <c r="I359" s="87"/>
      <c r="J359" s="87"/>
      <c r="K359" s="88"/>
      <c r="L359" s="89"/>
      <c r="M359" s="90"/>
      <c r="N359" s="57"/>
      <c r="O359" s="57"/>
      <c r="P359" s="91"/>
    </row>
    <row r="360" spans="2:16" s="50" customFormat="1" ht="13.2">
      <c r="B360" s="86"/>
      <c r="C360" s="87"/>
      <c r="D360" s="87"/>
      <c r="E360" s="87"/>
      <c r="F360" s="87"/>
      <c r="G360" s="87"/>
      <c r="H360" s="87"/>
      <c r="I360" s="87"/>
      <c r="J360" s="87"/>
      <c r="K360" s="88"/>
      <c r="L360" s="89"/>
      <c r="M360" s="90"/>
      <c r="N360" s="57"/>
      <c r="O360" s="57"/>
      <c r="P360" s="91"/>
    </row>
    <row r="361" spans="2:16" s="50" customFormat="1" ht="13.2">
      <c r="B361" s="86"/>
      <c r="C361" s="87"/>
      <c r="D361" s="87"/>
      <c r="E361" s="87"/>
      <c r="F361" s="87"/>
      <c r="G361" s="87"/>
      <c r="H361" s="87"/>
      <c r="I361" s="87"/>
      <c r="J361" s="87"/>
      <c r="K361" s="88"/>
      <c r="L361" s="89"/>
      <c r="M361" s="90"/>
      <c r="N361" s="57"/>
      <c r="O361" s="57"/>
      <c r="P361" s="91"/>
    </row>
    <row r="362" spans="2:16" s="50" customFormat="1" ht="13.2">
      <c r="B362" s="86"/>
      <c r="C362" s="87"/>
      <c r="D362" s="87"/>
      <c r="E362" s="87"/>
      <c r="F362" s="87"/>
      <c r="G362" s="87"/>
      <c r="H362" s="87"/>
      <c r="I362" s="87"/>
      <c r="J362" s="87"/>
      <c r="K362" s="88"/>
      <c r="L362" s="89"/>
      <c r="M362" s="90"/>
      <c r="N362" s="57"/>
      <c r="O362" s="57"/>
      <c r="P362" s="91"/>
    </row>
    <row r="363" spans="2:16" s="50" customFormat="1" ht="13.2">
      <c r="B363" s="86"/>
      <c r="C363" s="87"/>
      <c r="D363" s="87"/>
      <c r="E363" s="87"/>
      <c r="F363" s="87"/>
      <c r="G363" s="87"/>
      <c r="H363" s="87"/>
      <c r="I363" s="87"/>
      <c r="J363" s="87"/>
      <c r="K363" s="88"/>
      <c r="L363" s="89"/>
      <c r="M363" s="90"/>
      <c r="N363" s="57"/>
      <c r="O363" s="57"/>
      <c r="P363" s="91"/>
    </row>
    <row r="364" spans="2:16" s="50" customFormat="1" ht="13.2">
      <c r="B364" s="86"/>
      <c r="C364" s="87"/>
      <c r="D364" s="87"/>
      <c r="E364" s="87"/>
      <c r="F364" s="87"/>
      <c r="G364" s="87"/>
      <c r="H364" s="87"/>
      <c r="I364" s="87"/>
      <c r="J364" s="87"/>
      <c r="K364" s="88"/>
      <c r="L364" s="89"/>
      <c r="M364" s="90"/>
      <c r="N364" s="57"/>
      <c r="O364" s="57"/>
      <c r="P364" s="91"/>
    </row>
    <row r="365" spans="2:16" s="50" customFormat="1" ht="13.2">
      <c r="B365" s="86"/>
      <c r="C365" s="87"/>
      <c r="D365" s="87"/>
      <c r="E365" s="87"/>
      <c r="F365" s="87"/>
      <c r="G365" s="87"/>
      <c r="H365" s="87"/>
      <c r="I365" s="87"/>
      <c r="J365" s="87"/>
      <c r="K365" s="88"/>
      <c r="L365" s="89"/>
      <c r="M365" s="90"/>
      <c r="N365" s="57"/>
      <c r="O365" s="57"/>
      <c r="P365" s="91"/>
    </row>
    <row r="366" spans="2:16" s="50" customFormat="1" ht="13.2">
      <c r="B366" s="86"/>
      <c r="C366" s="87"/>
      <c r="D366" s="87"/>
      <c r="E366" s="87"/>
      <c r="F366" s="87"/>
      <c r="G366" s="87"/>
      <c r="H366" s="87"/>
      <c r="I366" s="87"/>
      <c r="J366" s="87"/>
      <c r="K366" s="88"/>
      <c r="L366" s="89"/>
      <c r="M366" s="90"/>
      <c r="N366" s="57"/>
      <c r="O366" s="57"/>
      <c r="P366" s="91"/>
    </row>
    <row r="367" spans="2:16" s="50" customFormat="1" ht="13.2">
      <c r="B367" s="86"/>
      <c r="C367" s="87"/>
      <c r="D367" s="87"/>
      <c r="E367" s="87"/>
      <c r="F367" s="87"/>
      <c r="G367" s="87"/>
      <c r="H367" s="87"/>
      <c r="I367" s="87"/>
      <c r="J367" s="87"/>
      <c r="K367" s="88"/>
      <c r="L367" s="89"/>
      <c r="M367" s="90"/>
      <c r="N367" s="57"/>
      <c r="O367" s="57"/>
      <c r="P367" s="91"/>
    </row>
    <row r="368" spans="2:16" s="50" customFormat="1" ht="13.2">
      <c r="B368" s="86"/>
      <c r="C368" s="87"/>
      <c r="D368" s="87"/>
      <c r="E368" s="87"/>
      <c r="F368" s="87"/>
      <c r="G368" s="87"/>
      <c r="H368" s="87"/>
      <c r="I368" s="87"/>
      <c r="J368" s="87"/>
      <c r="K368" s="88"/>
      <c r="L368" s="89"/>
      <c r="M368" s="90"/>
      <c r="N368" s="57"/>
      <c r="O368" s="57"/>
      <c r="P368" s="91"/>
    </row>
    <row r="369" spans="2:16" s="50" customFormat="1" ht="13.2">
      <c r="B369" s="86"/>
      <c r="C369" s="87"/>
      <c r="D369" s="87"/>
      <c r="E369" s="87"/>
      <c r="F369" s="87"/>
      <c r="G369" s="87"/>
      <c r="H369" s="87"/>
      <c r="I369" s="87"/>
      <c r="J369" s="87"/>
      <c r="K369" s="88"/>
      <c r="L369" s="89"/>
      <c r="M369" s="90"/>
      <c r="N369" s="57"/>
      <c r="O369" s="57"/>
      <c r="P369" s="91"/>
    </row>
    <row r="370" spans="2:16" s="50" customFormat="1" ht="13.2">
      <c r="B370" s="86"/>
      <c r="C370" s="87"/>
      <c r="D370" s="87"/>
      <c r="E370" s="87"/>
      <c r="F370" s="87"/>
      <c r="G370" s="87"/>
      <c r="H370" s="87"/>
      <c r="I370" s="87"/>
      <c r="J370" s="87"/>
      <c r="K370" s="88"/>
      <c r="L370" s="89"/>
      <c r="M370" s="90"/>
      <c r="N370" s="57"/>
      <c r="O370" s="57"/>
      <c r="P370" s="91"/>
    </row>
    <row r="371" spans="2:16" s="50" customFormat="1" ht="13.2">
      <c r="B371" s="86"/>
      <c r="C371" s="87"/>
      <c r="D371" s="87"/>
      <c r="E371" s="87"/>
      <c r="F371" s="87"/>
      <c r="G371" s="87"/>
      <c r="H371" s="87"/>
      <c r="I371" s="87"/>
      <c r="J371" s="87"/>
      <c r="K371" s="88"/>
      <c r="L371" s="89"/>
      <c r="M371" s="90"/>
      <c r="N371" s="57"/>
      <c r="O371" s="57"/>
      <c r="P371" s="91"/>
    </row>
    <row r="372" spans="2:16" s="50" customFormat="1" ht="13.2">
      <c r="B372" s="86"/>
      <c r="C372" s="87"/>
      <c r="D372" s="87"/>
      <c r="E372" s="87"/>
      <c r="F372" s="87"/>
      <c r="G372" s="87"/>
      <c r="H372" s="87"/>
      <c r="I372" s="87"/>
      <c r="J372" s="87"/>
      <c r="K372" s="88"/>
      <c r="L372" s="89"/>
      <c r="M372" s="90"/>
      <c r="N372" s="57"/>
      <c r="O372" s="57"/>
      <c r="P372" s="91"/>
    </row>
    <row r="373" spans="2:16" s="50" customFormat="1" ht="13.2">
      <c r="B373" s="86"/>
      <c r="C373" s="87"/>
      <c r="D373" s="87"/>
      <c r="E373" s="87"/>
      <c r="F373" s="87"/>
      <c r="G373" s="87"/>
      <c r="H373" s="87"/>
      <c r="I373" s="87"/>
      <c r="J373" s="87"/>
      <c r="K373" s="88"/>
      <c r="L373" s="89"/>
      <c r="M373" s="90"/>
      <c r="N373" s="57"/>
      <c r="O373" s="57"/>
      <c r="P373" s="91"/>
    </row>
    <row r="374" spans="2:16" s="50" customFormat="1" ht="13.2">
      <c r="B374" s="86"/>
      <c r="C374" s="87"/>
      <c r="D374" s="87"/>
      <c r="E374" s="87"/>
      <c r="F374" s="87"/>
      <c r="G374" s="87"/>
      <c r="H374" s="87"/>
      <c r="I374" s="87"/>
      <c r="J374" s="87"/>
      <c r="K374" s="88"/>
      <c r="L374" s="89"/>
      <c r="M374" s="90"/>
      <c r="N374" s="57"/>
      <c r="O374" s="57"/>
      <c r="P374" s="91"/>
    </row>
    <row r="375" spans="2:16" s="50" customFormat="1" ht="13.2">
      <c r="B375" s="86"/>
      <c r="C375" s="87"/>
      <c r="D375" s="87"/>
      <c r="E375" s="87"/>
      <c r="F375" s="87"/>
      <c r="G375" s="87"/>
      <c r="H375" s="87"/>
      <c r="I375" s="87"/>
      <c r="J375" s="87"/>
      <c r="K375" s="88"/>
      <c r="L375" s="89"/>
      <c r="M375" s="90"/>
      <c r="N375" s="57"/>
      <c r="O375" s="57"/>
      <c r="P375" s="91"/>
    </row>
    <row r="376" spans="2:16" s="50" customFormat="1" ht="13.2">
      <c r="B376" s="86"/>
      <c r="C376" s="87"/>
      <c r="D376" s="87"/>
      <c r="E376" s="87"/>
      <c r="F376" s="87"/>
      <c r="G376" s="87"/>
      <c r="H376" s="87"/>
      <c r="I376" s="87"/>
      <c r="J376" s="87"/>
      <c r="K376" s="88"/>
      <c r="L376" s="89"/>
      <c r="M376" s="90"/>
      <c r="N376" s="57"/>
      <c r="O376" s="57"/>
      <c r="P376" s="91"/>
    </row>
    <row r="377" spans="2:16" s="50" customFormat="1" ht="13.2">
      <c r="B377" s="86"/>
      <c r="C377" s="87"/>
      <c r="D377" s="87"/>
      <c r="E377" s="87"/>
      <c r="F377" s="87"/>
      <c r="G377" s="87"/>
      <c r="H377" s="87"/>
      <c r="I377" s="87"/>
      <c r="J377" s="87"/>
      <c r="K377" s="88"/>
      <c r="L377" s="89"/>
      <c r="M377" s="90"/>
      <c r="N377" s="57"/>
      <c r="O377" s="57"/>
      <c r="P377" s="91"/>
    </row>
    <row r="378" spans="2:16" s="50" customFormat="1" ht="13.2">
      <c r="B378" s="86"/>
      <c r="C378" s="87"/>
      <c r="D378" s="87"/>
      <c r="E378" s="87"/>
      <c r="F378" s="87"/>
      <c r="G378" s="87"/>
      <c r="H378" s="87"/>
      <c r="I378" s="87"/>
      <c r="J378" s="87"/>
      <c r="K378" s="88"/>
      <c r="L378" s="89"/>
      <c r="M378" s="90"/>
      <c r="N378" s="57"/>
      <c r="O378" s="57"/>
      <c r="P378" s="91"/>
    </row>
    <row r="379" spans="2:16" s="50" customFormat="1" ht="13.2">
      <c r="B379" s="86"/>
      <c r="C379" s="87"/>
      <c r="D379" s="87"/>
      <c r="E379" s="87"/>
      <c r="F379" s="87"/>
      <c r="G379" s="87"/>
      <c r="H379" s="87"/>
      <c r="I379" s="87"/>
      <c r="J379" s="87"/>
      <c r="K379" s="88"/>
      <c r="L379" s="89"/>
      <c r="M379" s="90"/>
      <c r="N379" s="57"/>
      <c r="O379" s="57"/>
      <c r="P379" s="91"/>
    </row>
    <row r="380" spans="2:16" s="50" customFormat="1" ht="13.2">
      <c r="B380" s="86"/>
      <c r="C380" s="87"/>
      <c r="D380" s="87"/>
      <c r="E380" s="87"/>
      <c r="F380" s="87"/>
      <c r="G380" s="87"/>
      <c r="H380" s="87"/>
      <c r="I380" s="87"/>
      <c r="J380" s="87"/>
      <c r="K380" s="88"/>
      <c r="L380" s="89"/>
      <c r="M380" s="90"/>
      <c r="N380" s="57"/>
      <c r="O380" s="57"/>
      <c r="P380" s="91"/>
    </row>
    <row r="381" spans="2:16" s="50" customFormat="1" ht="13.2">
      <c r="B381" s="86"/>
      <c r="C381" s="87"/>
      <c r="D381" s="87"/>
      <c r="E381" s="87"/>
      <c r="F381" s="87"/>
      <c r="G381" s="87"/>
      <c r="H381" s="87"/>
      <c r="I381" s="87"/>
      <c r="J381" s="87"/>
      <c r="K381" s="88"/>
      <c r="L381" s="89"/>
      <c r="M381" s="90"/>
      <c r="N381" s="57"/>
      <c r="O381" s="57"/>
      <c r="P381" s="91"/>
    </row>
    <row r="382" spans="2:16" s="50" customFormat="1" ht="13.2">
      <c r="B382" s="86"/>
      <c r="C382" s="87"/>
      <c r="D382" s="87"/>
      <c r="E382" s="87"/>
      <c r="F382" s="87"/>
      <c r="G382" s="87"/>
      <c r="H382" s="87"/>
      <c r="I382" s="87"/>
      <c r="J382" s="87"/>
      <c r="K382" s="88"/>
      <c r="L382" s="89"/>
      <c r="M382" s="90"/>
      <c r="N382" s="57"/>
      <c r="O382" s="57"/>
      <c r="P382" s="91"/>
    </row>
    <row r="383" spans="2:16" s="50" customFormat="1" ht="13.2">
      <c r="B383" s="86"/>
      <c r="C383" s="87"/>
      <c r="D383" s="87"/>
      <c r="E383" s="87"/>
      <c r="F383" s="87"/>
      <c r="G383" s="87"/>
      <c r="H383" s="87"/>
      <c r="I383" s="87"/>
      <c r="J383" s="87"/>
      <c r="K383" s="88"/>
      <c r="L383" s="89"/>
      <c r="M383" s="90"/>
      <c r="N383" s="57"/>
      <c r="O383" s="57"/>
      <c r="P383" s="91"/>
    </row>
    <row r="384" spans="2:16" s="50" customFormat="1" ht="13.2">
      <c r="B384" s="86"/>
      <c r="C384" s="87"/>
      <c r="D384" s="87"/>
      <c r="E384" s="87"/>
      <c r="F384" s="87"/>
      <c r="G384" s="87"/>
      <c r="H384" s="87"/>
      <c r="I384" s="87"/>
      <c r="J384" s="87"/>
      <c r="K384" s="88"/>
      <c r="L384" s="89"/>
      <c r="M384" s="90"/>
      <c r="N384" s="57"/>
      <c r="O384" s="57"/>
      <c r="P384" s="91"/>
    </row>
    <row r="385" spans="2:16" s="50" customFormat="1" ht="13.2">
      <c r="B385" s="86"/>
      <c r="C385" s="87"/>
      <c r="D385" s="87"/>
      <c r="E385" s="87"/>
      <c r="F385" s="87"/>
      <c r="G385" s="87"/>
      <c r="H385" s="87"/>
      <c r="I385" s="87"/>
      <c r="J385" s="87"/>
      <c r="K385" s="88"/>
      <c r="L385" s="89"/>
      <c r="M385" s="90"/>
      <c r="N385" s="57"/>
      <c r="O385" s="57"/>
      <c r="P385" s="91"/>
    </row>
    <row r="386" spans="2:16" s="50" customFormat="1" ht="13.2">
      <c r="B386" s="86"/>
      <c r="C386" s="87"/>
      <c r="D386" s="87"/>
      <c r="E386" s="87"/>
      <c r="F386" s="87"/>
      <c r="G386" s="87"/>
      <c r="H386" s="87"/>
      <c r="I386" s="87"/>
      <c r="J386" s="87"/>
      <c r="K386" s="88"/>
      <c r="L386" s="89"/>
      <c r="M386" s="90"/>
      <c r="N386" s="57"/>
      <c r="O386" s="57"/>
      <c r="P386" s="91"/>
    </row>
    <row r="387" spans="2:16" s="50" customFormat="1" ht="13.2">
      <c r="B387" s="86"/>
      <c r="C387" s="87"/>
      <c r="D387" s="87"/>
      <c r="E387" s="87"/>
      <c r="F387" s="87"/>
      <c r="G387" s="87"/>
      <c r="H387" s="87"/>
      <c r="I387" s="87"/>
      <c r="J387" s="87"/>
      <c r="K387" s="88"/>
      <c r="L387" s="89"/>
      <c r="M387" s="90"/>
      <c r="N387" s="57"/>
      <c r="O387" s="57"/>
      <c r="P387" s="91"/>
    </row>
    <row r="388" spans="2:16" s="50" customFormat="1" ht="13.2">
      <c r="B388" s="86"/>
      <c r="C388" s="87"/>
      <c r="D388" s="87"/>
      <c r="E388" s="87"/>
      <c r="F388" s="87"/>
      <c r="G388" s="87"/>
      <c r="H388" s="87"/>
      <c r="I388" s="87"/>
      <c r="J388" s="87"/>
      <c r="K388" s="88"/>
      <c r="L388" s="89"/>
      <c r="M388" s="90"/>
      <c r="N388" s="57"/>
      <c r="O388" s="57"/>
      <c r="P388" s="91"/>
    </row>
    <row r="389" spans="2:16" s="50" customFormat="1" ht="13.2">
      <c r="B389" s="86"/>
      <c r="C389" s="87"/>
      <c r="D389" s="87"/>
      <c r="E389" s="87"/>
      <c r="F389" s="87"/>
      <c r="G389" s="87"/>
      <c r="H389" s="87"/>
      <c r="I389" s="87"/>
      <c r="J389" s="87"/>
      <c r="K389" s="88"/>
      <c r="L389" s="89"/>
      <c r="M389" s="90"/>
      <c r="N389" s="57"/>
      <c r="O389" s="57"/>
      <c r="P389" s="91"/>
    </row>
    <row r="390" spans="2:16" s="50" customFormat="1" ht="13.2">
      <c r="B390" s="86"/>
      <c r="C390" s="87"/>
      <c r="D390" s="87"/>
      <c r="E390" s="87"/>
      <c r="F390" s="87"/>
      <c r="G390" s="87"/>
      <c r="H390" s="87"/>
      <c r="I390" s="87"/>
      <c r="J390" s="87"/>
      <c r="K390" s="88"/>
      <c r="L390" s="89"/>
      <c r="M390" s="90"/>
      <c r="N390" s="57"/>
      <c r="O390" s="57"/>
      <c r="P390" s="91"/>
    </row>
    <row r="391" spans="2:16" s="50" customFormat="1" ht="13.2">
      <c r="B391" s="86"/>
      <c r="C391" s="87"/>
      <c r="D391" s="87"/>
      <c r="E391" s="87"/>
      <c r="F391" s="87"/>
      <c r="G391" s="87"/>
      <c r="H391" s="87"/>
      <c r="I391" s="87"/>
      <c r="J391" s="87"/>
      <c r="K391" s="88"/>
      <c r="L391" s="89"/>
      <c r="M391" s="90"/>
      <c r="N391" s="57"/>
      <c r="O391" s="57"/>
      <c r="P391" s="91"/>
    </row>
    <row r="392" spans="2:16" s="50" customFormat="1" ht="13.2">
      <c r="B392" s="86"/>
      <c r="C392" s="87"/>
      <c r="D392" s="87"/>
      <c r="E392" s="87"/>
      <c r="F392" s="87"/>
      <c r="G392" s="87"/>
      <c r="H392" s="87"/>
      <c r="I392" s="87"/>
      <c r="J392" s="87"/>
      <c r="K392" s="88"/>
      <c r="L392" s="89"/>
      <c r="M392" s="90"/>
      <c r="N392" s="57"/>
      <c r="O392" s="57"/>
      <c r="P392" s="91"/>
    </row>
    <row r="393" spans="2:16" s="50" customFormat="1" ht="13.2">
      <c r="B393" s="86"/>
      <c r="C393" s="87"/>
      <c r="D393" s="87"/>
      <c r="E393" s="87"/>
      <c r="F393" s="87"/>
      <c r="G393" s="87"/>
      <c r="H393" s="87"/>
      <c r="I393" s="87"/>
      <c r="J393" s="87"/>
      <c r="K393" s="88"/>
      <c r="L393" s="89"/>
      <c r="M393" s="90"/>
      <c r="N393" s="57"/>
      <c r="O393" s="57"/>
      <c r="P393" s="91"/>
    </row>
    <row r="394" spans="2:16" s="50" customFormat="1" ht="13.2">
      <c r="B394" s="86"/>
      <c r="C394" s="87"/>
      <c r="D394" s="87"/>
      <c r="E394" s="87"/>
      <c r="F394" s="87"/>
      <c r="G394" s="87"/>
      <c r="H394" s="87"/>
      <c r="I394" s="87"/>
      <c r="J394" s="87"/>
      <c r="K394" s="88"/>
      <c r="L394" s="89"/>
      <c r="M394" s="90"/>
      <c r="N394" s="57"/>
      <c r="O394" s="57"/>
      <c r="P394" s="91"/>
    </row>
    <row r="395" spans="2:16" s="50" customFormat="1" ht="13.2">
      <c r="B395" s="86"/>
      <c r="C395" s="87"/>
      <c r="D395" s="87"/>
      <c r="E395" s="87"/>
      <c r="F395" s="87"/>
      <c r="G395" s="87"/>
      <c r="H395" s="87"/>
      <c r="I395" s="87"/>
      <c r="J395" s="87"/>
      <c r="K395" s="88"/>
      <c r="L395" s="89"/>
      <c r="M395" s="90"/>
      <c r="N395" s="57"/>
      <c r="O395" s="57"/>
      <c r="P395" s="91"/>
    </row>
    <row r="396" spans="2:16" s="50" customFormat="1" ht="13.2">
      <c r="B396" s="86"/>
      <c r="C396" s="87"/>
      <c r="D396" s="87"/>
      <c r="E396" s="87"/>
      <c r="F396" s="87"/>
      <c r="G396" s="87"/>
      <c r="H396" s="87"/>
      <c r="I396" s="87"/>
      <c r="J396" s="87"/>
      <c r="K396" s="88"/>
      <c r="L396" s="89"/>
      <c r="M396" s="90"/>
      <c r="N396" s="57"/>
      <c r="O396" s="57"/>
      <c r="P396" s="91"/>
    </row>
    <row r="397" spans="2:16" s="50" customFormat="1" ht="13.2">
      <c r="B397" s="86"/>
      <c r="C397" s="87"/>
      <c r="D397" s="87"/>
      <c r="E397" s="87"/>
      <c r="F397" s="87"/>
      <c r="G397" s="87"/>
      <c r="H397" s="87"/>
      <c r="I397" s="87"/>
      <c r="J397" s="87"/>
      <c r="K397" s="88"/>
      <c r="L397" s="89"/>
      <c r="M397" s="90"/>
      <c r="N397" s="57"/>
      <c r="O397" s="57"/>
      <c r="P397" s="91"/>
    </row>
    <row r="398" spans="2:16" s="50" customFormat="1" ht="13.2">
      <c r="B398" s="86"/>
      <c r="C398" s="87"/>
      <c r="D398" s="87"/>
      <c r="E398" s="87"/>
      <c r="F398" s="87"/>
      <c r="G398" s="87"/>
      <c r="H398" s="87"/>
      <c r="I398" s="87"/>
      <c r="J398" s="87"/>
      <c r="K398" s="88"/>
      <c r="L398" s="89"/>
      <c r="M398" s="90"/>
      <c r="N398" s="57"/>
      <c r="O398" s="57"/>
      <c r="P398" s="91"/>
    </row>
    <row r="399" spans="2:16" s="50" customFormat="1" ht="13.2">
      <c r="B399" s="86"/>
      <c r="C399" s="87"/>
      <c r="D399" s="87"/>
      <c r="E399" s="87"/>
      <c r="F399" s="87"/>
      <c r="G399" s="87"/>
      <c r="H399" s="87"/>
      <c r="I399" s="87"/>
      <c r="J399" s="87"/>
      <c r="K399" s="88"/>
      <c r="L399" s="89"/>
      <c r="M399" s="90"/>
      <c r="N399" s="57"/>
      <c r="O399" s="57"/>
      <c r="P399" s="91"/>
    </row>
    <row r="400" spans="2:16" s="50" customFormat="1" ht="13.2">
      <c r="B400" s="86"/>
      <c r="C400" s="87"/>
      <c r="D400" s="87"/>
      <c r="E400" s="87"/>
      <c r="F400" s="87"/>
      <c r="G400" s="87"/>
      <c r="H400" s="87"/>
      <c r="I400" s="87"/>
      <c r="J400" s="87"/>
      <c r="K400" s="88"/>
      <c r="L400" s="89"/>
      <c r="M400" s="90"/>
      <c r="N400" s="57"/>
      <c r="O400" s="57"/>
      <c r="P400" s="91"/>
    </row>
    <row r="401" spans="2:16" s="50" customFormat="1" ht="13.2">
      <c r="B401" s="86"/>
      <c r="C401" s="87"/>
      <c r="D401" s="87"/>
      <c r="E401" s="87"/>
      <c r="F401" s="87"/>
      <c r="G401" s="87"/>
      <c r="H401" s="87"/>
      <c r="I401" s="87"/>
      <c r="J401" s="87"/>
      <c r="K401" s="88"/>
      <c r="L401" s="89"/>
      <c r="M401" s="90"/>
      <c r="N401" s="57"/>
      <c r="O401" s="57"/>
      <c r="P401" s="91"/>
    </row>
    <row r="402" spans="2:16" s="50" customFormat="1" ht="13.2">
      <c r="B402" s="86"/>
      <c r="C402" s="87"/>
      <c r="D402" s="87"/>
      <c r="E402" s="87"/>
      <c r="F402" s="87"/>
      <c r="G402" s="87"/>
      <c r="H402" s="87"/>
      <c r="I402" s="87"/>
      <c r="J402" s="87"/>
      <c r="K402" s="88"/>
      <c r="L402" s="89"/>
      <c r="M402" s="90"/>
      <c r="N402" s="57"/>
      <c r="O402" s="57"/>
      <c r="P402" s="91"/>
    </row>
    <row r="403" spans="2:16" s="50" customFormat="1" ht="13.2">
      <c r="B403" s="86"/>
      <c r="C403" s="87"/>
      <c r="D403" s="87"/>
      <c r="E403" s="87"/>
      <c r="F403" s="87"/>
      <c r="G403" s="87"/>
      <c r="H403" s="87"/>
      <c r="I403" s="87"/>
      <c r="J403" s="87"/>
      <c r="K403" s="88"/>
      <c r="L403" s="89"/>
      <c r="M403" s="90"/>
      <c r="N403" s="57"/>
      <c r="O403" s="57"/>
      <c r="P403" s="91"/>
    </row>
    <row r="404" spans="2:16" s="50" customFormat="1" ht="13.2">
      <c r="B404" s="86"/>
      <c r="C404" s="87"/>
      <c r="D404" s="87"/>
      <c r="E404" s="87"/>
      <c r="F404" s="87"/>
      <c r="G404" s="87"/>
      <c r="H404" s="87"/>
      <c r="I404" s="87"/>
      <c r="J404" s="87"/>
      <c r="K404" s="88"/>
      <c r="L404" s="89"/>
      <c r="M404" s="90"/>
      <c r="N404" s="57"/>
      <c r="O404" s="57"/>
      <c r="P404" s="91"/>
    </row>
    <row r="405" spans="2:16" s="50" customFormat="1" ht="13.2">
      <c r="B405" s="86"/>
      <c r="C405" s="87"/>
      <c r="D405" s="87"/>
      <c r="E405" s="87"/>
      <c r="F405" s="87"/>
      <c r="G405" s="87"/>
      <c r="H405" s="87"/>
      <c r="I405" s="87"/>
      <c r="J405" s="87"/>
      <c r="K405" s="88"/>
      <c r="L405" s="89"/>
      <c r="M405" s="90"/>
      <c r="N405" s="57"/>
      <c r="O405" s="57"/>
      <c r="P405" s="91"/>
    </row>
    <row r="406" spans="2:16" s="50" customFormat="1" ht="13.2">
      <c r="B406" s="86"/>
      <c r="C406" s="87"/>
      <c r="D406" s="87"/>
      <c r="E406" s="87"/>
      <c r="F406" s="87"/>
      <c r="G406" s="87"/>
      <c r="H406" s="87"/>
      <c r="I406" s="87"/>
      <c r="J406" s="87"/>
      <c r="K406" s="88"/>
      <c r="L406" s="89"/>
      <c r="M406" s="90"/>
      <c r="N406" s="57"/>
      <c r="O406" s="57"/>
      <c r="P406" s="91"/>
    </row>
    <row r="407" spans="2:16" s="50" customFormat="1" ht="13.2">
      <c r="B407" s="86"/>
      <c r="C407" s="87"/>
      <c r="D407" s="87"/>
      <c r="E407" s="87"/>
      <c r="F407" s="87"/>
      <c r="G407" s="87"/>
      <c r="H407" s="87"/>
      <c r="I407" s="87"/>
      <c r="J407" s="87"/>
      <c r="K407" s="88"/>
      <c r="L407" s="89"/>
      <c r="M407" s="90"/>
      <c r="N407" s="57"/>
      <c r="O407" s="57"/>
      <c r="P407" s="91"/>
    </row>
    <row r="408" spans="2:16" s="50" customFormat="1" ht="13.2">
      <c r="B408" s="86"/>
      <c r="C408" s="87"/>
      <c r="D408" s="87"/>
      <c r="E408" s="87"/>
      <c r="F408" s="87"/>
      <c r="G408" s="87"/>
      <c r="H408" s="87"/>
      <c r="I408" s="87"/>
      <c r="J408" s="87"/>
      <c r="K408" s="88"/>
      <c r="L408" s="89"/>
      <c r="M408" s="90"/>
      <c r="N408" s="57"/>
      <c r="O408" s="57"/>
      <c r="P408" s="91"/>
    </row>
    <row r="409" spans="2:16" s="50" customFormat="1" ht="13.2">
      <c r="B409" s="86"/>
      <c r="C409" s="87"/>
      <c r="D409" s="87"/>
      <c r="E409" s="87"/>
      <c r="F409" s="87"/>
      <c r="G409" s="87"/>
      <c r="H409" s="87"/>
      <c r="I409" s="87"/>
      <c r="J409" s="87"/>
      <c r="K409" s="88"/>
      <c r="L409" s="89"/>
      <c r="M409" s="90"/>
      <c r="N409" s="57"/>
      <c r="O409" s="57"/>
      <c r="P409" s="91"/>
    </row>
    <row r="410" spans="2:16" s="50" customFormat="1" ht="13.2">
      <c r="B410" s="86"/>
      <c r="C410" s="87"/>
      <c r="D410" s="87"/>
      <c r="E410" s="87"/>
      <c r="F410" s="87"/>
      <c r="G410" s="87"/>
      <c r="H410" s="87"/>
      <c r="I410" s="87"/>
      <c r="J410" s="87"/>
      <c r="K410" s="88"/>
      <c r="L410" s="89"/>
      <c r="M410" s="90"/>
      <c r="N410" s="57"/>
      <c r="O410" s="57"/>
      <c r="P410" s="91"/>
    </row>
    <row r="411" spans="2:16" s="50" customFormat="1" ht="13.2">
      <c r="B411" s="86"/>
      <c r="C411" s="87"/>
      <c r="D411" s="87"/>
      <c r="E411" s="87"/>
      <c r="F411" s="87"/>
      <c r="G411" s="87"/>
      <c r="H411" s="87"/>
      <c r="I411" s="87"/>
      <c r="J411" s="87"/>
      <c r="K411" s="88"/>
      <c r="L411" s="89"/>
      <c r="M411" s="90"/>
      <c r="N411" s="57"/>
      <c r="O411" s="57"/>
      <c r="P411" s="91"/>
    </row>
    <row r="412" spans="2:16" s="50" customFormat="1" ht="13.2">
      <c r="B412" s="86"/>
      <c r="C412" s="87"/>
      <c r="D412" s="87"/>
      <c r="E412" s="87"/>
      <c r="F412" s="87"/>
      <c r="G412" s="87"/>
      <c r="H412" s="87"/>
      <c r="I412" s="87"/>
      <c r="J412" s="87"/>
      <c r="K412" s="88"/>
      <c r="L412" s="89"/>
      <c r="M412" s="90"/>
      <c r="N412" s="57"/>
      <c r="O412" s="57"/>
      <c r="P412" s="91"/>
    </row>
    <row r="413" spans="2:16" s="50" customFormat="1" ht="13.2">
      <c r="B413" s="86"/>
      <c r="C413" s="87"/>
      <c r="D413" s="87"/>
      <c r="E413" s="87"/>
      <c r="F413" s="87"/>
      <c r="G413" s="87"/>
      <c r="H413" s="87"/>
      <c r="I413" s="87"/>
      <c r="J413" s="87"/>
      <c r="K413" s="88"/>
      <c r="L413" s="89"/>
      <c r="M413" s="90"/>
      <c r="N413" s="57"/>
      <c r="O413" s="57"/>
      <c r="P413" s="91"/>
    </row>
    <row r="414" spans="2:16" s="50" customFormat="1" ht="13.2">
      <c r="B414" s="86"/>
      <c r="C414" s="87"/>
      <c r="D414" s="87"/>
      <c r="E414" s="87"/>
      <c r="F414" s="87"/>
      <c r="G414" s="87"/>
      <c r="H414" s="87"/>
      <c r="I414" s="87"/>
      <c r="J414" s="87"/>
      <c r="K414" s="88"/>
      <c r="L414" s="89"/>
      <c r="M414" s="90"/>
      <c r="N414" s="57"/>
      <c r="O414" s="57"/>
      <c r="P414" s="91"/>
    </row>
    <row r="415" spans="2:16" s="50" customFormat="1" ht="13.2">
      <c r="B415" s="86"/>
      <c r="C415" s="87"/>
      <c r="D415" s="87"/>
      <c r="E415" s="87"/>
      <c r="F415" s="87"/>
      <c r="G415" s="87"/>
      <c r="H415" s="87"/>
      <c r="I415" s="87"/>
      <c r="J415" s="87"/>
      <c r="K415" s="88"/>
      <c r="L415" s="89"/>
      <c r="M415" s="90"/>
      <c r="N415" s="57"/>
      <c r="O415" s="57"/>
      <c r="P415" s="91"/>
    </row>
    <row r="416" spans="2:16" s="50" customFormat="1" ht="13.2">
      <c r="B416" s="86"/>
      <c r="C416" s="87"/>
      <c r="D416" s="87"/>
      <c r="E416" s="87"/>
      <c r="F416" s="87"/>
      <c r="G416" s="87"/>
      <c r="H416" s="87"/>
      <c r="I416" s="87"/>
      <c r="J416" s="87"/>
      <c r="K416" s="88"/>
      <c r="L416" s="89"/>
      <c r="M416" s="90"/>
      <c r="N416" s="57"/>
      <c r="O416" s="57"/>
      <c r="P416" s="91"/>
    </row>
    <row r="417" spans="2:16" s="50" customFormat="1" ht="13.2">
      <c r="B417" s="86"/>
      <c r="C417" s="87"/>
      <c r="D417" s="87"/>
      <c r="E417" s="87"/>
      <c r="F417" s="87"/>
      <c r="G417" s="87"/>
      <c r="H417" s="87"/>
      <c r="I417" s="87"/>
      <c r="J417" s="87"/>
      <c r="K417" s="88"/>
      <c r="L417" s="89"/>
      <c r="M417" s="90"/>
      <c r="N417" s="57"/>
      <c r="O417" s="57"/>
      <c r="P417" s="91"/>
    </row>
    <row r="418" spans="2:16" s="50" customFormat="1" ht="13.2">
      <c r="B418" s="86"/>
      <c r="C418" s="87"/>
      <c r="D418" s="87"/>
      <c r="E418" s="87"/>
      <c r="F418" s="87"/>
      <c r="G418" s="87"/>
      <c r="H418" s="87"/>
      <c r="I418" s="87"/>
      <c r="J418" s="87"/>
      <c r="K418" s="88"/>
      <c r="L418" s="89"/>
      <c r="M418" s="90"/>
      <c r="N418" s="57"/>
      <c r="O418" s="57"/>
      <c r="P418" s="91"/>
    </row>
    <row r="419" spans="2:16" s="50" customFormat="1" ht="13.2">
      <c r="B419" s="86"/>
      <c r="C419" s="87"/>
      <c r="D419" s="87"/>
      <c r="E419" s="87"/>
      <c r="F419" s="87"/>
      <c r="G419" s="87"/>
      <c r="H419" s="87"/>
      <c r="I419" s="87"/>
      <c r="J419" s="87"/>
      <c r="K419" s="88"/>
      <c r="L419" s="89"/>
      <c r="M419" s="90"/>
      <c r="N419" s="57"/>
      <c r="O419" s="57"/>
      <c r="P419" s="91"/>
    </row>
    <row r="420" spans="2:16" s="50" customFormat="1" ht="13.2">
      <c r="B420" s="86"/>
      <c r="C420" s="87"/>
      <c r="D420" s="87"/>
      <c r="E420" s="87"/>
      <c r="F420" s="87"/>
      <c r="G420" s="87"/>
      <c r="H420" s="87"/>
      <c r="I420" s="87"/>
      <c r="J420" s="87"/>
      <c r="K420" s="88"/>
      <c r="L420" s="89"/>
      <c r="M420" s="90"/>
      <c r="N420" s="57"/>
      <c r="O420" s="57"/>
      <c r="P420" s="91"/>
    </row>
    <row r="421" spans="2:16" s="50" customFormat="1" ht="13.2">
      <c r="B421" s="86"/>
      <c r="C421" s="87"/>
      <c r="D421" s="87"/>
      <c r="E421" s="87"/>
      <c r="F421" s="87"/>
      <c r="G421" s="87"/>
      <c r="H421" s="87"/>
      <c r="I421" s="87"/>
      <c r="J421" s="87"/>
      <c r="K421" s="88"/>
      <c r="L421" s="89"/>
      <c r="M421" s="90"/>
      <c r="N421" s="57"/>
      <c r="O421" s="57"/>
      <c r="P421" s="91"/>
    </row>
    <row r="422" spans="2:16" s="50" customFormat="1" ht="13.2">
      <c r="B422" s="86"/>
      <c r="C422" s="87"/>
      <c r="D422" s="87"/>
      <c r="E422" s="87"/>
      <c r="F422" s="87"/>
      <c r="G422" s="87"/>
      <c r="H422" s="87"/>
      <c r="I422" s="87"/>
      <c r="J422" s="87"/>
      <c r="K422" s="88"/>
      <c r="L422" s="89"/>
      <c r="M422" s="90"/>
      <c r="N422" s="57"/>
      <c r="O422" s="57"/>
      <c r="P422" s="91"/>
    </row>
    <row r="423" spans="2:16" s="50" customFormat="1" ht="13.2">
      <c r="B423" s="86"/>
      <c r="C423" s="87"/>
      <c r="D423" s="87"/>
      <c r="E423" s="87"/>
      <c r="F423" s="87"/>
      <c r="G423" s="87"/>
      <c r="H423" s="87"/>
      <c r="I423" s="87"/>
      <c r="J423" s="87"/>
      <c r="K423" s="88"/>
      <c r="L423" s="89"/>
      <c r="M423" s="90"/>
      <c r="N423" s="57"/>
      <c r="O423" s="57"/>
      <c r="P423" s="91"/>
    </row>
    <row r="424" spans="2:16" s="50" customFormat="1" ht="13.2">
      <c r="B424" s="86"/>
      <c r="C424" s="87"/>
      <c r="D424" s="87"/>
      <c r="E424" s="87"/>
      <c r="F424" s="87"/>
      <c r="G424" s="87"/>
      <c r="H424" s="87"/>
      <c r="I424" s="87"/>
      <c r="J424" s="87"/>
      <c r="K424" s="88"/>
      <c r="L424" s="89"/>
      <c r="M424" s="90"/>
      <c r="N424" s="57"/>
      <c r="O424" s="57"/>
      <c r="P424" s="91"/>
    </row>
    <row r="425" spans="2:16" s="50" customFormat="1" ht="13.2">
      <c r="B425" s="86"/>
      <c r="C425" s="87"/>
      <c r="D425" s="87"/>
      <c r="E425" s="87"/>
      <c r="F425" s="87"/>
      <c r="G425" s="87"/>
      <c r="H425" s="87"/>
      <c r="I425" s="87"/>
      <c r="J425" s="87"/>
      <c r="K425" s="88"/>
      <c r="L425" s="89"/>
      <c r="M425" s="90"/>
      <c r="N425" s="57"/>
      <c r="O425" s="57"/>
      <c r="P425" s="91"/>
    </row>
    <row r="426" spans="2:16" s="50" customFormat="1" ht="13.2">
      <c r="B426" s="86"/>
      <c r="C426" s="87"/>
      <c r="D426" s="87"/>
      <c r="E426" s="87"/>
      <c r="F426" s="87"/>
      <c r="G426" s="87"/>
      <c r="H426" s="87"/>
      <c r="I426" s="87"/>
      <c r="J426" s="87"/>
      <c r="K426" s="88"/>
      <c r="L426" s="89"/>
      <c r="M426" s="90"/>
      <c r="N426" s="57"/>
      <c r="O426" s="57"/>
      <c r="P426" s="91"/>
    </row>
    <row r="427" spans="2:16" s="50" customFormat="1" ht="13.2">
      <c r="B427" s="86"/>
      <c r="C427" s="87"/>
      <c r="D427" s="87"/>
      <c r="E427" s="87"/>
      <c r="F427" s="87"/>
      <c r="G427" s="87"/>
      <c r="H427" s="87"/>
      <c r="I427" s="87"/>
      <c r="J427" s="87"/>
      <c r="K427" s="88"/>
      <c r="L427" s="89"/>
      <c r="M427" s="90"/>
      <c r="N427" s="57"/>
      <c r="O427" s="57"/>
      <c r="P427" s="91"/>
    </row>
    <row r="428" spans="2:16" s="50" customFormat="1" ht="13.2">
      <c r="B428" s="86"/>
      <c r="C428" s="87"/>
      <c r="D428" s="87"/>
      <c r="E428" s="87"/>
      <c r="F428" s="87"/>
      <c r="G428" s="87"/>
      <c r="H428" s="87"/>
      <c r="I428" s="87"/>
      <c r="J428" s="87"/>
      <c r="K428" s="88"/>
      <c r="L428" s="89"/>
      <c r="M428" s="90"/>
      <c r="N428" s="57"/>
      <c r="O428" s="57"/>
      <c r="P428" s="91"/>
    </row>
    <row r="429" spans="2:16" s="50" customFormat="1" ht="13.2">
      <c r="B429" s="86"/>
      <c r="C429" s="87"/>
      <c r="D429" s="87"/>
      <c r="E429" s="87"/>
      <c r="F429" s="87"/>
      <c r="G429" s="87"/>
      <c r="H429" s="87"/>
      <c r="I429" s="87"/>
      <c r="J429" s="87"/>
      <c r="K429" s="88"/>
      <c r="L429" s="89"/>
      <c r="M429" s="90"/>
      <c r="N429" s="57"/>
      <c r="O429" s="57"/>
      <c r="P429" s="91"/>
    </row>
    <row r="430" spans="2:16" s="50" customFormat="1" ht="13.2">
      <c r="B430" s="86"/>
      <c r="C430" s="87"/>
      <c r="D430" s="87"/>
      <c r="E430" s="87"/>
      <c r="F430" s="87"/>
      <c r="G430" s="87"/>
      <c r="H430" s="87"/>
      <c r="I430" s="87"/>
      <c r="J430" s="87"/>
      <c r="K430" s="88"/>
      <c r="L430" s="89"/>
      <c r="M430" s="90"/>
      <c r="N430" s="57"/>
      <c r="O430" s="57"/>
      <c r="P430" s="91"/>
    </row>
    <row r="431" spans="2:16" s="50" customFormat="1" ht="13.2">
      <c r="B431" s="86"/>
      <c r="C431" s="87"/>
      <c r="D431" s="87"/>
      <c r="E431" s="87"/>
      <c r="F431" s="87"/>
      <c r="G431" s="87"/>
      <c r="H431" s="87"/>
      <c r="I431" s="87"/>
      <c r="J431" s="87"/>
      <c r="K431" s="88"/>
      <c r="L431" s="89"/>
      <c r="M431" s="90"/>
      <c r="N431" s="57"/>
      <c r="O431" s="57"/>
      <c r="P431" s="91"/>
    </row>
    <row r="432" spans="2:16" s="50" customFormat="1" ht="13.2">
      <c r="B432" s="86"/>
      <c r="C432" s="87"/>
      <c r="D432" s="87"/>
      <c r="E432" s="87"/>
      <c r="F432" s="87"/>
      <c r="G432" s="87"/>
      <c r="H432" s="87"/>
      <c r="I432" s="87"/>
      <c r="J432" s="87"/>
      <c r="K432" s="88"/>
      <c r="L432" s="89"/>
      <c r="M432" s="90"/>
      <c r="N432" s="57"/>
      <c r="O432" s="57"/>
      <c r="P432" s="91"/>
    </row>
    <row r="433" spans="2:16" s="50" customFormat="1" ht="13.2">
      <c r="B433" s="86"/>
      <c r="C433" s="87"/>
      <c r="D433" s="87"/>
      <c r="E433" s="87"/>
      <c r="F433" s="87"/>
      <c r="G433" s="87"/>
      <c r="H433" s="87"/>
      <c r="I433" s="87"/>
      <c r="J433" s="87"/>
      <c r="K433" s="88"/>
      <c r="L433" s="89"/>
      <c r="M433" s="90"/>
      <c r="N433" s="57"/>
      <c r="O433" s="57"/>
      <c r="P433" s="91"/>
    </row>
    <row r="434" spans="2:16" s="50" customFormat="1" ht="13.2">
      <c r="B434" s="86"/>
      <c r="C434" s="87"/>
      <c r="D434" s="87"/>
      <c r="E434" s="87"/>
      <c r="F434" s="87"/>
      <c r="G434" s="87"/>
      <c r="H434" s="87"/>
      <c r="I434" s="87"/>
      <c r="J434" s="87"/>
      <c r="K434" s="88"/>
      <c r="L434" s="89"/>
      <c r="M434" s="90"/>
      <c r="N434" s="57"/>
      <c r="O434" s="57"/>
      <c r="P434" s="91"/>
    </row>
    <row r="435" spans="2:16" s="50" customFormat="1" ht="13.2">
      <c r="B435" s="86"/>
      <c r="C435" s="87"/>
      <c r="D435" s="87"/>
      <c r="E435" s="87"/>
      <c r="F435" s="87"/>
      <c r="G435" s="87"/>
      <c r="H435" s="87"/>
      <c r="I435" s="87"/>
      <c r="J435" s="87"/>
      <c r="K435" s="88"/>
      <c r="L435" s="89"/>
      <c r="M435" s="90"/>
      <c r="N435" s="57"/>
      <c r="O435" s="57"/>
      <c r="P435" s="91"/>
    </row>
    <row r="436" spans="2:16" s="50" customFormat="1" ht="13.2">
      <c r="B436" s="86"/>
      <c r="C436" s="87"/>
      <c r="D436" s="87"/>
      <c r="E436" s="87"/>
      <c r="F436" s="87"/>
      <c r="G436" s="87"/>
      <c r="H436" s="87"/>
      <c r="I436" s="87"/>
      <c r="J436" s="87"/>
      <c r="K436" s="88"/>
      <c r="L436" s="89"/>
      <c r="M436" s="90"/>
      <c r="N436" s="57"/>
      <c r="O436" s="57"/>
      <c r="P436" s="91"/>
    </row>
    <row r="437" spans="2:16" s="50" customFormat="1" ht="13.2">
      <c r="B437" s="86"/>
      <c r="C437" s="87"/>
      <c r="D437" s="87"/>
      <c r="E437" s="87"/>
      <c r="F437" s="87"/>
      <c r="G437" s="87"/>
      <c r="H437" s="87"/>
      <c r="I437" s="87"/>
      <c r="J437" s="87"/>
      <c r="K437" s="88"/>
      <c r="L437" s="89"/>
      <c r="M437" s="90"/>
      <c r="N437" s="57"/>
      <c r="O437" s="57"/>
      <c r="P437" s="91"/>
    </row>
    <row r="438" spans="2:16" s="50" customFormat="1" ht="13.2">
      <c r="B438" s="86"/>
      <c r="C438" s="87"/>
      <c r="D438" s="87"/>
      <c r="E438" s="87"/>
      <c r="F438" s="87"/>
      <c r="G438" s="87"/>
      <c r="H438" s="87"/>
      <c r="I438" s="87"/>
      <c r="J438" s="87"/>
      <c r="K438" s="88"/>
      <c r="L438" s="89"/>
      <c r="M438" s="90"/>
      <c r="N438" s="57"/>
      <c r="O438" s="57"/>
      <c r="P438" s="91"/>
    </row>
    <row r="439" spans="2:16" s="50" customFormat="1" ht="13.2">
      <c r="B439" s="86"/>
      <c r="C439" s="87"/>
      <c r="D439" s="87"/>
      <c r="E439" s="87"/>
      <c r="F439" s="87"/>
      <c r="G439" s="87"/>
      <c r="H439" s="87"/>
      <c r="I439" s="87"/>
      <c r="J439" s="87"/>
      <c r="K439" s="88"/>
      <c r="L439" s="89"/>
      <c r="M439" s="90"/>
      <c r="N439" s="57"/>
      <c r="O439" s="57"/>
      <c r="P439" s="91"/>
    </row>
    <row r="440" spans="2:16" s="50" customFormat="1" ht="13.2">
      <c r="B440" s="86"/>
      <c r="C440" s="87"/>
      <c r="D440" s="87"/>
      <c r="E440" s="87"/>
      <c r="F440" s="87"/>
      <c r="G440" s="87"/>
      <c r="H440" s="87"/>
      <c r="I440" s="87"/>
      <c r="J440" s="87"/>
      <c r="K440" s="88"/>
      <c r="L440" s="89"/>
      <c r="M440" s="90"/>
      <c r="N440" s="57"/>
      <c r="O440" s="57"/>
      <c r="P440" s="91"/>
    </row>
    <row r="441" spans="2:16" s="50" customFormat="1" ht="13.2">
      <c r="B441" s="86"/>
      <c r="C441" s="87"/>
      <c r="D441" s="87"/>
      <c r="E441" s="87"/>
      <c r="F441" s="87"/>
      <c r="G441" s="87"/>
      <c r="H441" s="87"/>
      <c r="I441" s="87"/>
      <c r="J441" s="87"/>
      <c r="K441" s="88"/>
      <c r="L441" s="89"/>
      <c r="M441" s="90"/>
      <c r="N441" s="57"/>
      <c r="O441" s="57"/>
      <c r="P441" s="91"/>
    </row>
    <row r="442" spans="2:16" s="50" customFormat="1" ht="13.2">
      <c r="B442" s="86"/>
      <c r="C442" s="87"/>
      <c r="D442" s="87"/>
      <c r="E442" s="87"/>
      <c r="F442" s="87"/>
      <c r="G442" s="87"/>
      <c r="H442" s="87"/>
      <c r="I442" s="87"/>
      <c r="J442" s="87"/>
      <c r="K442" s="88"/>
      <c r="L442" s="89"/>
      <c r="M442" s="90"/>
      <c r="N442" s="57"/>
      <c r="O442" s="57"/>
      <c r="P442" s="91"/>
    </row>
    <row r="443" spans="2:16" s="50" customFormat="1" ht="13.2">
      <c r="B443" s="86"/>
      <c r="C443" s="87"/>
      <c r="D443" s="87"/>
      <c r="E443" s="87"/>
      <c r="F443" s="87"/>
      <c r="G443" s="87"/>
      <c r="H443" s="87"/>
      <c r="I443" s="87"/>
      <c r="J443" s="87"/>
      <c r="K443" s="88"/>
      <c r="L443" s="89"/>
      <c r="M443" s="90"/>
      <c r="N443" s="57"/>
      <c r="O443" s="57"/>
      <c r="P443" s="91"/>
    </row>
    <row r="444" spans="2:16" s="50" customFormat="1" ht="13.2">
      <c r="B444" s="86"/>
      <c r="C444" s="87"/>
      <c r="D444" s="87"/>
      <c r="E444" s="87"/>
      <c r="F444" s="87"/>
      <c r="G444" s="87"/>
      <c r="H444" s="87"/>
      <c r="I444" s="87"/>
      <c r="J444" s="87"/>
      <c r="K444" s="88"/>
      <c r="L444" s="89"/>
      <c r="M444" s="90"/>
      <c r="N444" s="57"/>
      <c r="O444" s="57"/>
      <c r="P444" s="91"/>
    </row>
    <row r="445" spans="2:16" s="50" customFormat="1" ht="13.2">
      <c r="B445" s="86"/>
      <c r="C445" s="87"/>
      <c r="D445" s="87"/>
      <c r="E445" s="87"/>
      <c r="F445" s="87"/>
      <c r="G445" s="87"/>
      <c r="H445" s="87"/>
      <c r="I445" s="87"/>
      <c r="J445" s="87"/>
      <c r="K445" s="88"/>
      <c r="L445" s="89"/>
      <c r="M445" s="90"/>
      <c r="N445" s="57"/>
      <c r="O445" s="57"/>
      <c r="P445" s="91"/>
    </row>
    <row r="446" spans="2:16" s="50" customFormat="1" ht="13.2">
      <c r="B446" s="86"/>
      <c r="C446" s="87"/>
      <c r="D446" s="87"/>
      <c r="E446" s="87"/>
      <c r="F446" s="87"/>
      <c r="G446" s="87"/>
      <c r="H446" s="87"/>
      <c r="I446" s="87"/>
      <c r="J446" s="87"/>
      <c r="K446" s="88"/>
      <c r="L446" s="89"/>
      <c r="M446" s="90"/>
      <c r="N446" s="57"/>
      <c r="O446" s="57"/>
      <c r="P446" s="91"/>
    </row>
    <row r="447" spans="2:16" s="50" customFormat="1" ht="13.2">
      <c r="B447" s="86"/>
      <c r="C447" s="87"/>
      <c r="D447" s="87"/>
      <c r="E447" s="87"/>
      <c r="F447" s="87"/>
      <c r="G447" s="87"/>
      <c r="H447" s="87"/>
      <c r="I447" s="87"/>
      <c r="J447" s="87"/>
      <c r="K447" s="88"/>
      <c r="L447" s="89"/>
      <c r="M447" s="90"/>
      <c r="N447" s="57"/>
      <c r="O447" s="57"/>
      <c r="P447" s="91"/>
    </row>
    <row r="448" spans="2:16" s="50" customFormat="1" ht="13.2">
      <c r="B448" s="86"/>
      <c r="C448" s="87"/>
      <c r="D448" s="87"/>
      <c r="E448" s="87"/>
      <c r="F448" s="87"/>
      <c r="G448" s="87"/>
      <c r="H448" s="87"/>
      <c r="I448" s="87"/>
      <c r="J448" s="87"/>
      <c r="K448" s="88"/>
      <c r="L448" s="89"/>
      <c r="M448" s="90"/>
      <c r="N448" s="57"/>
      <c r="O448" s="57"/>
      <c r="P448" s="91"/>
    </row>
    <row r="449" spans="2:16" s="50" customFormat="1" ht="13.2">
      <c r="B449" s="86"/>
      <c r="C449" s="87"/>
      <c r="D449" s="87"/>
      <c r="E449" s="87"/>
      <c r="F449" s="87"/>
      <c r="G449" s="87"/>
      <c r="H449" s="87"/>
      <c r="I449" s="87"/>
      <c r="J449" s="87"/>
      <c r="K449" s="88"/>
      <c r="L449" s="89"/>
      <c r="M449" s="90"/>
      <c r="N449" s="57"/>
      <c r="O449" s="57"/>
      <c r="P449" s="91"/>
    </row>
    <row r="450" spans="2:16" s="50" customFormat="1" ht="13.2">
      <c r="B450" s="86"/>
      <c r="C450" s="87"/>
      <c r="D450" s="87"/>
      <c r="E450" s="87"/>
      <c r="F450" s="87"/>
      <c r="G450" s="87"/>
      <c r="H450" s="87"/>
      <c r="I450" s="87"/>
      <c r="J450" s="87"/>
      <c r="K450" s="88"/>
      <c r="L450" s="89"/>
      <c r="M450" s="90"/>
      <c r="N450" s="57"/>
      <c r="O450" s="57"/>
      <c r="P450" s="91"/>
    </row>
    <row r="451" spans="2:16" s="50" customFormat="1" ht="13.2">
      <c r="B451" s="86"/>
      <c r="C451" s="87"/>
      <c r="D451" s="87"/>
      <c r="E451" s="87"/>
      <c r="F451" s="87"/>
      <c r="G451" s="87"/>
      <c r="H451" s="87"/>
      <c r="I451" s="87"/>
      <c r="J451" s="87"/>
      <c r="K451" s="88"/>
      <c r="L451" s="89"/>
      <c r="M451" s="90"/>
      <c r="N451" s="57"/>
      <c r="O451" s="57"/>
      <c r="P451" s="91"/>
    </row>
    <row r="452" spans="2:16" s="50" customFormat="1" ht="13.2">
      <c r="B452" s="86"/>
      <c r="C452" s="87"/>
      <c r="D452" s="87"/>
      <c r="E452" s="87"/>
      <c r="F452" s="87"/>
      <c r="G452" s="87"/>
      <c r="H452" s="87"/>
      <c r="I452" s="87"/>
      <c r="J452" s="87"/>
      <c r="K452" s="88"/>
      <c r="L452" s="89"/>
      <c r="M452" s="90"/>
      <c r="N452" s="57"/>
      <c r="O452" s="57"/>
      <c r="P452" s="91"/>
    </row>
    <row r="453" spans="2:16" s="50" customFormat="1" ht="13.2">
      <c r="B453" s="86"/>
      <c r="C453" s="87"/>
      <c r="D453" s="87"/>
      <c r="E453" s="87"/>
      <c r="F453" s="87"/>
      <c r="G453" s="87"/>
      <c r="H453" s="87"/>
      <c r="I453" s="87"/>
      <c r="J453" s="87"/>
      <c r="K453" s="88"/>
      <c r="L453" s="89"/>
      <c r="M453" s="90"/>
      <c r="N453" s="57"/>
      <c r="O453" s="57"/>
      <c r="P453" s="91"/>
    </row>
    <row r="454" spans="2:16" s="50" customFormat="1" ht="13.2">
      <c r="B454" s="86"/>
      <c r="C454" s="87"/>
      <c r="D454" s="87"/>
      <c r="E454" s="87"/>
      <c r="F454" s="87"/>
      <c r="G454" s="87"/>
      <c r="H454" s="87"/>
      <c r="I454" s="87"/>
      <c r="J454" s="87"/>
      <c r="K454" s="88"/>
      <c r="L454" s="89"/>
      <c r="M454" s="90"/>
      <c r="N454" s="57"/>
      <c r="O454" s="57"/>
      <c r="P454" s="91"/>
    </row>
    <row r="455" spans="2:16" s="50" customFormat="1" ht="13.2">
      <c r="B455" s="86"/>
      <c r="C455" s="87"/>
      <c r="D455" s="87"/>
      <c r="E455" s="87"/>
      <c r="F455" s="87"/>
      <c r="G455" s="87"/>
      <c r="H455" s="87"/>
      <c r="I455" s="87"/>
      <c r="J455" s="87"/>
      <c r="K455" s="88"/>
      <c r="L455" s="89"/>
      <c r="M455" s="90"/>
      <c r="N455" s="57"/>
      <c r="O455" s="57"/>
      <c r="P455" s="91"/>
    </row>
    <row r="456" spans="2:16" s="50" customFormat="1" ht="13.2">
      <c r="B456" s="86"/>
      <c r="C456" s="87"/>
      <c r="D456" s="87"/>
      <c r="E456" s="87"/>
      <c r="F456" s="87"/>
      <c r="G456" s="87"/>
      <c r="H456" s="87"/>
      <c r="I456" s="87"/>
      <c r="J456" s="87"/>
      <c r="K456" s="88"/>
      <c r="L456" s="89"/>
      <c r="M456" s="90"/>
      <c r="N456" s="57"/>
      <c r="O456" s="57"/>
      <c r="P456" s="91"/>
    </row>
    <row r="457" spans="2:16" s="50" customFormat="1" ht="13.2">
      <c r="B457" s="86"/>
      <c r="C457" s="87"/>
      <c r="D457" s="87"/>
      <c r="E457" s="87"/>
      <c r="F457" s="87"/>
      <c r="G457" s="87"/>
      <c r="H457" s="87"/>
      <c r="I457" s="87"/>
      <c r="J457" s="87"/>
      <c r="K457" s="88"/>
      <c r="L457" s="89"/>
      <c r="M457" s="90"/>
      <c r="N457" s="57"/>
      <c r="O457" s="57"/>
      <c r="P457" s="91"/>
    </row>
    <row r="458" spans="2:16" s="50" customFormat="1" ht="13.2">
      <c r="B458" s="86"/>
      <c r="C458" s="87"/>
      <c r="D458" s="87"/>
      <c r="E458" s="87"/>
      <c r="F458" s="87"/>
      <c r="G458" s="87"/>
      <c r="H458" s="87"/>
      <c r="I458" s="87"/>
      <c r="J458" s="87"/>
      <c r="K458" s="88"/>
      <c r="L458" s="89"/>
      <c r="M458" s="90"/>
      <c r="N458" s="57"/>
      <c r="O458" s="57"/>
      <c r="P458" s="91"/>
    </row>
    <row r="459" spans="2:16" s="50" customFormat="1" ht="13.2">
      <c r="B459" s="86"/>
      <c r="C459" s="87"/>
      <c r="D459" s="87"/>
      <c r="E459" s="87"/>
      <c r="F459" s="87"/>
      <c r="G459" s="87"/>
      <c r="H459" s="87"/>
      <c r="I459" s="87"/>
      <c r="J459" s="87"/>
      <c r="K459" s="88"/>
      <c r="L459" s="89"/>
      <c r="M459" s="90"/>
      <c r="N459" s="57"/>
      <c r="O459" s="57"/>
      <c r="P459" s="91"/>
    </row>
    <row r="460" spans="2:16" s="50" customFormat="1" ht="13.2">
      <c r="B460" s="86"/>
      <c r="C460" s="87"/>
      <c r="D460" s="87"/>
      <c r="E460" s="87"/>
      <c r="F460" s="87"/>
      <c r="G460" s="87"/>
      <c r="H460" s="87"/>
      <c r="I460" s="87"/>
      <c r="J460" s="87"/>
      <c r="K460" s="88"/>
      <c r="L460" s="89"/>
      <c r="M460" s="90"/>
      <c r="N460" s="57"/>
      <c r="O460" s="57"/>
      <c r="P460" s="91"/>
    </row>
    <row r="461" spans="2:16" s="50" customFormat="1" ht="13.2">
      <c r="B461" s="86"/>
      <c r="C461" s="87"/>
      <c r="D461" s="87"/>
      <c r="E461" s="87"/>
      <c r="F461" s="87"/>
      <c r="G461" s="87"/>
      <c r="H461" s="87"/>
      <c r="I461" s="87"/>
      <c r="J461" s="87"/>
      <c r="K461" s="88"/>
      <c r="L461" s="89"/>
      <c r="M461" s="90"/>
      <c r="N461" s="57"/>
      <c r="O461" s="57"/>
      <c r="P461" s="91"/>
    </row>
    <row r="462" spans="2:16" s="50" customFormat="1" ht="13.2">
      <c r="B462" s="86"/>
      <c r="C462" s="87"/>
      <c r="D462" s="87"/>
      <c r="E462" s="87"/>
      <c r="F462" s="87"/>
      <c r="G462" s="87"/>
      <c r="H462" s="87"/>
      <c r="I462" s="87"/>
      <c r="J462" s="87"/>
      <c r="K462" s="88"/>
      <c r="L462" s="89"/>
      <c r="M462" s="90"/>
      <c r="N462" s="57"/>
      <c r="O462" s="57"/>
      <c r="P462" s="91"/>
    </row>
    <row r="463" spans="2:16" s="50" customFormat="1" ht="13.2">
      <c r="B463" s="86"/>
      <c r="C463" s="87"/>
      <c r="D463" s="87"/>
      <c r="E463" s="87"/>
      <c r="F463" s="87"/>
      <c r="G463" s="87"/>
      <c r="H463" s="87"/>
      <c r="I463" s="87"/>
      <c r="J463" s="87"/>
      <c r="K463" s="88"/>
      <c r="L463" s="89"/>
      <c r="M463" s="90"/>
      <c r="N463" s="57"/>
      <c r="O463" s="57"/>
      <c r="P463" s="91"/>
    </row>
    <row r="464" spans="2:16" s="50" customFormat="1" ht="13.2">
      <c r="B464" s="86"/>
      <c r="C464" s="87"/>
      <c r="D464" s="87"/>
      <c r="E464" s="87"/>
      <c r="F464" s="87"/>
      <c r="G464" s="87"/>
      <c r="H464" s="87"/>
      <c r="I464" s="87"/>
      <c r="J464" s="87"/>
      <c r="K464" s="88"/>
      <c r="L464" s="89"/>
      <c r="M464" s="90"/>
      <c r="N464" s="57"/>
      <c r="O464" s="57"/>
      <c r="P464" s="91"/>
    </row>
    <row r="465" spans="2:16" s="50" customFormat="1" ht="13.2">
      <c r="B465" s="86"/>
      <c r="C465" s="87"/>
      <c r="D465" s="87"/>
      <c r="E465" s="87"/>
      <c r="F465" s="87"/>
      <c r="G465" s="87"/>
      <c r="H465" s="87"/>
      <c r="I465" s="87"/>
      <c r="J465" s="87"/>
      <c r="K465" s="88"/>
      <c r="L465" s="89"/>
      <c r="M465" s="90"/>
      <c r="N465" s="57"/>
      <c r="O465" s="57"/>
      <c r="P465" s="91"/>
    </row>
    <row r="466" spans="2:16" s="50" customFormat="1" ht="13.2">
      <c r="B466" s="86"/>
      <c r="C466" s="87"/>
      <c r="D466" s="87"/>
      <c r="E466" s="87"/>
      <c r="F466" s="87"/>
      <c r="G466" s="87"/>
      <c r="H466" s="87"/>
      <c r="I466" s="87"/>
      <c r="J466" s="87"/>
      <c r="K466" s="88"/>
      <c r="L466" s="89"/>
      <c r="M466" s="90"/>
      <c r="N466" s="57"/>
      <c r="O466" s="57"/>
      <c r="P466" s="91"/>
    </row>
    <row r="467" spans="2:16" s="50" customFormat="1" ht="13.2">
      <c r="B467" s="86"/>
      <c r="C467" s="87"/>
      <c r="D467" s="87"/>
      <c r="E467" s="87"/>
      <c r="F467" s="87"/>
      <c r="G467" s="87"/>
      <c r="H467" s="87"/>
      <c r="I467" s="87"/>
      <c r="J467" s="87"/>
      <c r="K467" s="88"/>
      <c r="L467" s="89"/>
      <c r="M467" s="90"/>
      <c r="N467" s="57"/>
      <c r="O467" s="57"/>
      <c r="P467" s="91"/>
    </row>
    <row r="468" spans="2:16" s="50" customFormat="1" ht="13.2">
      <c r="B468" s="86"/>
      <c r="C468" s="87"/>
      <c r="D468" s="87"/>
      <c r="E468" s="87"/>
      <c r="F468" s="87"/>
      <c r="G468" s="87"/>
      <c r="H468" s="87"/>
      <c r="I468" s="87"/>
      <c r="J468" s="87"/>
      <c r="K468" s="88"/>
      <c r="L468" s="89"/>
      <c r="M468" s="90"/>
      <c r="N468" s="57"/>
      <c r="O468" s="57"/>
      <c r="P468" s="91"/>
    </row>
    <row r="469" spans="2:16" s="50" customFormat="1" ht="13.2">
      <c r="B469" s="86"/>
      <c r="C469" s="87"/>
      <c r="D469" s="87"/>
      <c r="E469" s="87"/>
      <c r="F469" s="87"/>
      <c r="G469" s="87"/>
      <c r="H469" s="87"/>
      <c r="I469" s="87"/>
      <c r="J469" s="87"/>
      <c r="K469" s="88"/>
      <c r="L469" s="89"/>
      <c r="M469" s="90"/>
      <c r="N469" s="57"/>
      <c r="O469" s="57"/>
      <c r="P469" s="91"/>
    </row>
    <row r="470" spans="2:16" s="50" customFormat="1" ht="13.2">
      <c r="B470" s="86"/>
      <c r="C470" s="87"/>
      <c r="D470" s="87"/>
      <c r="E470" s="87"/>
      <c r="F470" s="87"/>
      <c r="G470" s="87"/>
      <c r="H470" s="87"/>
      <c r="I470" s="87"/>
      <c r="J470" s="87"/>
      <c r="K470" s="88"/>
      <c r="L470" s="89"/>
      <c r="M470" s="90"/>
      <c r="N470" s="57"/>
      <c r="O470" s="57"/>
      <c r="P470" s="91"/>
    </row>
    <row r="471" spans="2:16" s="50" customFormat="1" ht="13.2">
      <c r="B471" s="86"/>
      <c r="C471" s="87"/>
      <c r="D471" s="87"/>
      <c r="E471" s="87"/>
      <c r="F471" s="87"/>
      <c r="G471" s="87"/>
      <c r="H471" s="87"/>
      <c r="I471" s="87"/>
      <c r="J471" s="87"/>
      <c r="K471" s="88"/>
      <c r="L471" s="89"/>
      <c r="M471" s="90"/>
      <c r="N471" s="57"/>
      <c r="O471" s="57"/>
      <c r="P471" s="91"/>
    </row>
    <row r="472" spans="2:16" s="50" customFormat="1" ht="13.2">
      <c r="B472" s="86"/>
      <c r="C472" s="87"/>
      <c r="D472" s="87"/>
      <c r="E472" s="87"/>
      <c r="F472" s="87"/>
      <c r="G472" s="87"/>
      <c r="H472" s="87"/>
      <c r="I472" s="87"/>
      <c r="J472" s="87"/>
      <c r="K472" s="88"/>
      <c r="L472" s="89"/>
      <c r="M472" s="90"/>
      <c r="N472" s="57"/>
      <c r="O472" s="57"/>
      <c r="P472" s="91"/>
    </row>
    <row r="473" spans="2:16" s="50" customFormat="1" ht="13.2">
      <c r="B473" s="86"/>
      <c r="C473" s="87"/>
      <c r="D473" s="87"/>
      <c r="E473" s="87"/>
      <c r="F473" s="87"/>
      <c r="G473" s="87"/>
      <c r="H473" s="87"/>
      <c r="I473" s="87"/>
      <c r="J473" s="87"/>
      <c r="K473" s="88"/>
      <c r="L473" s="89"/>
      <c r="M473" s="90"/>
      <c r="N473" s="57"/>
      <c r="O473" s="57"/>
      <c r="P473" s="91"/>
    </row>
    <row r="474" spans="2:16" s="50" customFormat="1" ht="13.2">
      <c r="B474" s="86"/>
      <c r="C474" s="87"/>
      <c r="D474" s="87"/>
      <c r="E474" s="87"/>
      <c r="F474" s="87"/>
      <c r="G474" s="87"/>
      <c r="H474" s="87"/>
      <c r="I474" s="87"/>
      <c r="J474" s="87"/>
      <c r="K474" s="88"/>
      <c r="L474" s="89"/>
      <c r="M474" s="90"/>
      <c r="N474" s="57"/>
      <c r="O474" s="57"/>
      <c r="P474" s="91"/>
    </row>
    <row r="475" spans="2:16" s="50" customFormat="1" ht="13.2">
      <c r="B475" s="86"/>
      <c r="C475" s="87"/>
      <c r="D475" s="87"/>
      <c r="E475" s="87"/>
      <c r="F475" s="87"/>
      <c r="G475" s="87"/>
      <c r="H475" s="87"/>
      <c r="I475" s="87"/>
      <c r="J475" s="87"/>
      <c r="K475" s="88"/>
      <c r="L475" s="89"/>
      <c r="M475" s="90"/>
      <c r="N475" s="57"/>
      <c r="O475" s="57"/>
      <c r="P475" s="91"/>
    </row>
    <row r="476" spans="2:16" s="50" customFormat="1" ht="13.2">
      <c r="B476" s="86"/>
      <c r="C476" s="87"/>
      <c r="D476" s="87"/>
      <c r="E476" s="87"/>
      <c r="F476" s="87"/>
      <c r="G476" s="87"/>
      <c r="H476" s="87"/>
      <c r="I476" s="87"/>
      <c r="J476" s="87"/>
      <c r="K476" s="88"/>
      <c r="L476" s="89"/>
      <c r="M476" s="90"/>
      <c r="N476" s="57"/>
      <c r="O476" s="57"/>
      <c r="P476" s="91"/>
    </row>
    <row r="477" spans="2:16" s="50" customFormat="1" ht="13.2">
      <c r="B477" s="86"/>
      <c r="C477" s="87"/>
      <c r="D477" s="87"/>
      <c r="E477" s="87"/>
      <c r="F477" s="87"/>
      <c r="G477" s="87"/>
      <c r="H477" s="87"/>
      <c r="I477" s="87"/>
      <c r="J477" s="87"/>
      <c r="K477" s="88"/>
      <c r="L477" s="89"/>
      <c r="M477" s="90"/>
      <c r="N477" s="57"/>
      <c r="O477" s="57"/>
      <c r="P477" s="91"/>
    </row>
    <row r="478" spans="2:16" s="50" customFormat="1" ht="13.2">
      <c r="B478" s="86"/>
      <c r="C478" s="87"/>
      <c r="D478" s="87"/>
      <c r="E478" s="87"/>
      <c r="F478" s="87"/>
      <c r="G478" s="87"/>
      <c r="H478" s="87"/>
      <c r="I478" s="87"/>
      <c r="J478" s="87"/>
      <c r="K478" s="88"/>
      <c r="L478" s="89"/>
      <c r="M478" s="90"/>
      <c r="N478" s="57"/>
      <c r="O478" s="57"/>
      <c r="P478" s="91"/>
    </row>
    <row r="479" spans="2:16" s="50" customFormat="1" ht="13.2">
      <c r="B479" s="86"/>
      <c r="C479" s="87"/>
      <c r="D479" s="87"/>
      <c r="E479" s="87"/>
      <c r="F479" s="87"/>
      <c r="G479" s="87"/>
      <c r="H479" s="87"/>
      <c r="I479" s="87"/>
      <c r="J479" s="87"/>
      <c r="K479" s="88"/>
      <c r="L479" s="89"/>
      <c r="M479" s="90"/>
      <c r="N479" s="57"/>
      <c r="O479" s="57"/>
      <c r="P479" s="91"/>
    </row>
    <row r="480" spans="2:16" s="50" customFormat="1" ht="13.2">
      <c r="B480" s="86"/>
      <c r="C480" s="87"/>
      <c r="D480" s="87"/>
      <c r="E480" s="87"/>
      <c r="F480" s="87"/>
      <c r="G480" s="87"/>
      <c r="H480" s="87"/>
      <c r="I480" s="87"/>
      <c r="J480" s="87"/>
      <c r="K480" s="88"/>
      <c r="L480" s="89"/>
      <c r="M480" s="90"/>
      <c r="N480" s="57"/>
      <c r="O480" s="57"/>
      <c r="P480" s="91"/>
    </row>
    <row r="481" spans="2:16" s="50" customFormat="1" ht="13.2">
      <c r="B481" s="86"/>
      <c r="C481" s="87"/>
      <c r="D481" s="87"/>
      <c r="E481" s="87"/>
      <c r="F481" s="87"/>
      <c r="G481" s="87"/>
      <c r="H481" s="87"/>
      <c r="I481" s="87"/>
      <c r="J481" s="87"/>
      <c r="K481" s="88"/>
      <c r="L481" s="89"/>
      <c r="M481" s="90"/>
      <c r="N481" s="57"/>
      <c r="O481" s="57"/>
      <c r="P481" s="91"/>
    </row>
    <row r="482" spans="2:16" s="50" customFormat="1" ht="13.2">
      <c r="B482" s="86"/>
      <c r="C482" s="87"/>
      <c r="D482" s="87"/>
      <c r="E482" s="87"/>
      <c r="F482" s="87"/>
      <c r="G482" s="87"/>
      <c r="H482" s="87"/>
      <c r="I482" s="87"/>
      <c r="J482" s="87"/>
      <c r="K482" s="88"/>
      <c r="L482" s="89"/>
      <c r="M482" s="90"/>
      <c r="N482" s="57"/>
      <c r="O482" s="57"/>
      <c r="P482" s="91"/>
    </row>
    <row r="483" spans="2:16" s="50" customFormat="1" ht="13.2">
      <c r="B483" s="86"/>
      <c r="C483" s="87"/>
      <c r="D483" s="87"/>
      <c r="E483" s="87"/>
      <c r="F483" s="87"/>
      <c r="G483" s="87"/>
      <c r="H483" s="87"/>
      <c r="I483" s="87"/>
      <c r="J483" s="87"/>
      <c r="K483" s="88"/>
      <c r="L483" s="89"/>
      <c r="M483" s="90"/>
      <c r="N483" s="57"/>
      <c r="O483" s="57"/>
      <c r="P483" s="91"/>
    </row>
    <row r="484" spans="2:16" s="50" customFormat="1" ht="13.2">
      <c r="B484" s="86"/>
      <c r="C484" s="87"/>
      <c r="D484" s="87"/>
      <c r="E484" s="87"/>
      <c r="F484" s="87"/>
      <c r="G484" s="87"/>
      <c r="H484" s="87"/>
      <c r="I484" s="87"/>
      <c r="J484" s="87"/>
      <c r="K484" s="88"/>
      <c r="L484" s="89"/>
      <c r="M484" s="90"/>
      <c r="N484" s="57"/>
      <c r="O484" s="57"/>
      <c r="P484" s="91"/>
    </row>
    <row r="485" spans="2:16" s="50" customFormat="1" ht="13.2">
      <c r="B485" s="86"/>
      <c r="C485" s="87"/>
      <c r="D485" s="87"/>
      <c r="E485" s="87"/>
      <c r="F485" s="87"/>
      <c r="G485" s="87"/>
      <c r="H485" s="87"/>
      <c r="I485" s="87"/>
      <c r="J485" s="87"/>
      <c r="K485" s="88"/>
      <c r="L485" s="89"/>
      <c r="M485" s="90"/>
      <c r="N485" s="57"/>
      <c r="O485" s="57"/>
      <c r="P485" s="91"/>
    </row>
    <row r="486" spans="2:16" s="50" customFormat="1" ht="13.2">
      <c r="B486" s="86"/>
      <c r="C486" s="87"/>
      <c r="D486" s="87"/>
      <c r="E486" s="87"/>
      <c r="F486" s="87"/>
      <c r="G486" s="87"/>
      <c r="H486" s="87"/>
      <c r="I486" s="87"/>
      <c r="J486" s="87"/>
      <c r="K486" s="88"/>
      <c r="L486" s="89"/>
      <c r="M486" s="90"/>
      <c r="N486" s="57"/>
      <c r="O486" s="57"/>
      <c r="P486" s="91"/>
    </row>
    <row r="487" spans="2:16" s="50" customFormat="1" ht="13.2">
      <c r="B487" s="86"/>
      <c r="C487" s="87"/>
      <c r="D487" s="87"/>
      <c r="E487" s="87"/>
      <c r="F487" s="87"/>
      <c r="G487" s="87"/>
      <c r="H487" s="87"/>
      <c r="I487" s="87"/>
      <c r="J487" s="87"/>
      <c r="K487" s="88"/>
      <c r="L487" s="89"/>
      <c r="M487" s="90"/>
      <c r="N487" s="57"/>
      <c r="O487" s="57"/>
      <c r="P487" s="91"/>
    </row>
    <row r="488" spans="2:16" s="50" customFormat="1" ht="13.2">
      <c r="B488" s="86"/>
      <c r="C488" s="87"/>
      <c r="D488" s="87"/>
      <c r="E488" s="87"/>
      <c r="F488" s="87"/>
      <c r="G488" s="87"/>
      <c r="H488" s="87"/>
      <c r="I488" s="87"/>
      <c r="J488" s="87"/>
      <c r="K488" s="88"/>
      <c r="L488" s="89"/>
      <c r="M488" s="90"/>
      <c r="N488" s="57"/>
      <c r="O488" s="57"/>
      <c r="P488" s="91"/>
    </row>
    <row r="489" spans="2:16" s="50" customFormat="1" ht="13.2">
      <c r="B489" s="86"/>
      <c r="C489" s="87"/>
      <c r="D489" s="87"/>
      <c r="E489" s="87"/>
      <c r="F489" s="87"/>
      <c r="G489" s="87"/>
      <c r="H489" s="87"/>
      <c r="I489" s="87"/>
      <c r="J489" s="87"/>
      <c r="K489" s="88"/>
      <c r="L489" s="89"/>
      <c r="M489" s="90"/>
      <c r="N489" s="57"/>
      <c r="O489" s="57"/>
      <c r="P489" s="91"/>
    </row>
    <row r="490" spans="2:16" s="50" customFormat="1" ht="13.2">
      <c r="B490" s="86"/>
      <c r="C490" s="87"/>
      <c r="D490" s="87"/>
      <c r="E490" s="87"/>
      <c r="F490" s="87"/>
      <c r="G490" s="87"/>
      <c r="H490" s="87"/>
      <c r="I490" s="87"/>
      <c r="J490" s="87"/>
      <c r="K490" s="88"/>
      <c r="L490" s="89"/>
      <c r="M490" s="90"/>
      <c r="N490" s="57"/>
      <c r="O490" s="57"/>
      <c r="P490" s="91"/>
    </row>
    <row r="491" spans="2:16" s="50" customFormat="1" ht="13.2">
      <c r="B491" s="86"/>
      <c r="C491" s="87"/>
      <c r="D491" s="87"/>
      <c r="E491" s="87"/>
      <c r="F491" s="87"/>
      <c r="G491" s="87"/>
      <c r="H491" s="87"/>
      <c r="I491" s="87"/>
      <c r="J491" s="87"/>
      <c r="K491" s="88"/>
      <c r="L491" s="89"/>
      <c r="M491" s="90"/>
      <c r="N491" s="57"/>
      <c r="O491" s="57"/>
      <c r="P491" s="91"/>
    </row>
    <row r="492" spans="2:16" s="50" customFormat="1" ht="13.2">
      <c r="B492" s="86"/>
      <c r="C492" s="87"/>
      <c r="D492" s="87"/>
      <c r="E492" s="87"/>
      <c r="F492" s="87"/>
      <c r="G492" s="87"/>
      <c r="H492" s="87"/>
      <c r="I492" s="87"/>
      <c r="J492" s="87"/>
      <c r="K492" s="88"/>
      <c r="L492" s="89"/>
      <c r="M492" s="90"/>
      <c r="N492" s="57"/>
      <c r="O492" s="57"/>
      <c r="P492" s="91"/>
    </row>
    <row r="493" spans="2:16" s="50" customFormat="1" ht="13.2">
      <c r="B493" s="86"/>
      <c r="C493" s="87"/>
      <c r="D493" s="87"/>
      <c r="E493" s="87"/>
      <c r="F493" s="87"/>
      <c r="G493" s="87"/>
      <c r="H493" s="87"/>
      <c r="I493" s="87"/>
      <c r="J493" s="87"/>
      <c r="K493" s="88"/>
      <c r="L493" s="89"/>
      <c r="M493" s="90"/>
      <c r="N493" s="57"/>
      <c r="O493" s="57"/>
      <c r="P493" s="91"/>
    </row>
    <row r="494" spans="2:16" s="50" customFormat="1" ht="13.2">
      <c r="B494" s="86"/>
      <c r="C494" s="87"/>
      <c r="D494" s="87"/>
      <c r="E494" s="87"/>
      <c r="F494" s="87"/>
      <c r="G494" s="87"/>
      <c r="H494" s="87"/>
      <c r="I494" s="87"/>
      <c r="J494" s="87"/>
      <c r="K494" s="88"/>
      <c r="L494" s="89"/>
      <c r="M494" s="90"/>
      <c r="N494" s="57"/>
      <c r="O494" s="57"/>
      <c r="P494" s="91"/>
    </row>
    <row r="495" spans="2:16" s="50" customFormat="1" ht="13.2">
      <c r="B495" s="86"/>
      <c r="C495" s="87"/>
      <c r="D495" s="87"/>
      <c r="E495" s="87"/>
      <c r="F495" s="87"/>
      <c r="G495" s="87"/>
      <c r="H495" s="87"/>
      <c r="I495" s="87"/>
      <c r="J495" s="87"/>
      <c r="K495" s="88"/>
      <c r="L495" s="89"/>
      <c r="M495" s="90"/>
      <c r="N495" s="57"/>
      <c r="O495" s="57"/>
      <c r="P495" s="91"/>
    </row>
    <row r="496" spans="2:16" s="50" customFormat="1" ht="13.2">
      <c r="B496" s="86"/>
      <c r="C496" s="87"/>
      <c r="D496" s="87"/>
      <c r="E496" s="87"/>
      <c r="F496" s="87"/>
      <c r="G496" s="87"/>
      <c r="H496" s="87"/>
      <c r="I496" s="87"/>
      <c r="J496" s="87"/>
      <c r="K496" s="88"/>
      <c r="L496" s="89"/>
      <c r="M496" s="90"/>
      <c r="N496" s="57"/>
      <c r="O496" s="57"/>
      <c r="P496" s="91"/>
    </row>
    <row r="497" spans="2:16" s="50" customFormat="1" ht="13.2">
      <c r="B497" s="86"/>
      <c r="C497" s="87"/>
      <c r="D497" s="87"/>
      <c r="E497" s="87"/>
      <c r="F497" s="87"/>
      <c r="G497" s="87"/>
      <c r="H497" s="87"/>
      <c r="I497" s="87"/>
      <c r="J497" s="87"/>
      <c r="K497" s="88"/>
      <c r="L497" s="89"/>
      <c r="M497" s="90"/>
      <c r="N497" s="57"/>
      <c r="O497" s="57"/>
      <c r="P497" s="91"/>
    </row>
    <row r="498" spans="2:16" s="50" customFormat="1" ht="13.2">
      <c r="B498" s="86"/>
      <c r="C498" s="87"/>
      <c r="D498" s="87"/>
      <c r="E498" s="87"/>
      <c r="F498" s="87"/>
      <c r="G498" s="87"/>
      <c r="H498" s="87"/>
      <c r="I498" s="87"/>
      <c r="J498" s="87"/>
      <c r="K498" s="88"/>
      <c r="L498" s="89"/>
      <c r="M498" s="90"/>
      <c r="N498" s="57"/>
      <c r="O498" s="57"/>
      <c r="P498" s="91"/>
    </row>
    <row r="499" spans="2:16" s="50" customFormat="1" ht="13.2">
      <c r="B499" s="86"/>
      <c r="C499" s="87"/>
      <c r="D499" s="87"/>
      <c r="E499" s="87"/>
      <c r="F499" s="87"/>
      <c r="G499" s="87"/>
      <c r="H499" s="87"/>
      <c r="I499" s="87"/>
      <c r="J499" s="87"/>
      <c r="K499" s="88"/>
      <c r="L499" s="89"/>
      <c r="M499" s="90"/>
      <c r="N499" s="57"/>
      <c r="O499" s="57"/>
      <c r="P499" s="91"/>
    </row>
    <row r="500" spans="2:16" s="50" customFormat="1" ht="13.2">
      <c r="B500" s="86"/>
      <c r="C500" s="87"/>
      <c r="D500" s="87"/>
      <c r="E500" s="87"/>
      <c r="F500" s="87"/>
      <c r="G500" s="87"/>
      <c r="H500" s="87"/>
      <c r="I500" s="87"/>
      <c r="J500" s="87"/>
      <c r="K500" s="88"/>
      <c r="L500" s="89"/>
      <c r="M500" s="90"/>
      <c r="N500" s="57"/>
      <c r="O500" s="57"/>
      <c r="P500" s="91"/>
    </row>
    <row r="501" spans="2:16" s="50" customFormat="1" ht="13.2">
      <c r="B501" s="86"/>
      <c r="C501" s="87"/>
      <c r="D501" s="87"/>
      <c r="E501" s="87"/>
      <c r="F501" s="87"/>
      <c r="G501" s="87"/>
      <c r="H501" s="87"/>
      <c r="I501" s="87"/>
      <c r="J501" s="87"/>
      <c r="K501" s="88"/>
      <c r="L501" s="89"/>
      <c r="M501" s="90"/>
      <c r="N501" s="57"/>
      <c r="O501" s="57"/>
      <c r="P501" s="91"/>
    </row>
    <row r="502" spans="2:16" s="50" customFormat="1" ht="13.2">
      <c r="B502" s="86"/>
      <c r="C502" s="87"/>
      <c r="D502" s="87"/>
      <c r="E502" s="87"/>
      <c r="F502" s="87"/>
      <c r="G502" s="87"/>
      <c r="H502" s="87"/>
      <c r="I502" s="87"/>
      <c r="J502" s="87"/>
      <c r="K502" s="88"/>
      <c r="L502" s="89"/>
      <c r="M502" s="90"/>
      <c r="N502" s="57"/>
      <c r="O502" s="57"/>
      <c r="P502" s="91"/>
    </row>
    <row r="503" spans="2:16" s="50" customFormat="1" ht="13.2">
      <c r="B503" s="86"/>
      <c r="C503" s="87"/>
      <c r="D503" s="87"/>
      <c r="E503" s="87"/>
      <c r="F503" s="87"/>
      <c r="G503" s="87"/>
      <c r="H503" s="87"/>
      <c r="I503" s="87"/>
      <c r="J503" s="87"/>
      <c r="K503" s="88"/>
      <c r="L503" s="89"/>
      <c r="M503" s="90"/>
      <c r="N503" s="57"/>
      <c r="O503" s="57"/>
      <c r="P503" s="91"/>
    </row>
    <row r="504" spans="2:16" s="50" customFormat="1" ht="13.2">
      <c r="B504" s="86"/>
      <c r="C504" s="87"/>
      <c r="D504" s="87"/>
      <c r="E504" s="87"/>
      <c r="F504" s="87"/>
      <c r="G504" s="87"/>
      <c r="H504" s="87"/>
      <c r="I504" s="87"/>
      <c r="J504" s="87"/>
      <c r="K504" s="88"/>
      <c r="L504" s="89"/>
      <c r="M504" s="90"/>
      <c r="N504" s="57"/>
      <c r="O504" s="57"/>
      <c r="P504" s="91"/>
    </row>
    <row r="505" spans="2:16" s="50" customFormat="1" ht="13.2">
      <c r="B505" s="86"/>
      <c r="C505" s="87"/>
      <c r="D505" s="87"/>
      <c r="E505" s="87"/>
      <c r="F505" s="87"/>
      <c r="G505" s="87"/>
      <c r="H505" s="87"/>
      <c r="I505" s="87"/>
      <c r="J505" s="87"/>
      <c r="K505" s="88"/>
      <c r="L505" s="89"/>
      <c r="M505" s="90"/>
      <c r="N505" s="57"/>
      <c r="O505" s="57"/>
      <c r="P505" s="91"/>
    </row>
    <row r="506" spans="2:16" s="50" customFormat="1" ht="13.2">
      <c r="B506" s="86"/>
      <c r="C506" s="87"/>
      <c r="D506" s="87"/>
      <c r="E506" s="87"/>
      <c r="F506" s="87"/>
      <c r="G506" s="87"/>
      <c r="H506" s="87"/>
      <c r="I506" s="87"/>
      <c r="J506" s="87"/>
      <c r="K506" s="88"/>
      <c r="L506" s="89"/>
      <c r="M506" s="90"/>
      <c r="N506" s="57"/>
      <c r="O506" s="57"/>
      <c r="P506" s="91"/>
    </row>
    <row r="507" spans="2:16" s="50" customFormat="1" ht="13.2">
      <c r="B507" s="86"/>
      <c r="C507" s="87"/>
      <c r="D507" s="87"/>
      <c r="E507" s="87"/>
      <c r="F507" s="87"/>
      <c r="G507" s="87"/>
      <c r="H507" s="87"/>
      <c r="I507" s="87"/>
      <c r="J507" s="87"/>
      <c r="K507" s="88"/>
      <c r="L507" s="89"/>
      <c r="M507" s="90"/>
      <c r="N507" s="57"/>
      <c r="O507" s="57"/>
      <c r="P507" s="91"/>
    </row>
    <row r="508" spans="2:16" s="50" customFormat="1" ht="13.2">
      <c r="B508" s="86"/>
      <c r="C508" s="87"/>
      <c r="D508" s="87"/>
      <c r="E508" s="87"/>
      <c r="F508" s="87"/>
      <c r="G508" s="87"/>
      <c r="H508" s="87"/>
      <c r="I508" s="87"/>
      <c r="J508" s="87"/>
      <c r="K508" s="88"/>
      <c r="L508" s="89"/>
      <c r="M508" s="90"/>
      <c r="N508" s="57"/>
      <c r="O508" s="57"/>
      <c r="P508" s="91"/>
    </row>
    <row r="509" spans="2:16" s="50" customFormat="1" ht="13.2">
      <c r="B509" s="86"/>
      <c r="C509" s="87"/>
      <c r="D509" s="87"/>
      <c r="E509" s="87"/>
      <c r="F509" s="87"/>
      <c r="G509" s="87"/>
      <c r="H509" s="87"/>
      <c r="I509" s="87"/>
      <c r="J509" s="87"/>
      <c r="K509" s="88"/>
      <c r="L509" s="89"/>
      <c r="M509" s="90"/>
      <c r="N509" s="57"/>
      <c r="O509" s="57"/>
      <c r="P509" s="91"/>
    </row>
    <row r="510" spans="2:16" s="50" customFormat="1" ht="13.2">
      <c r="B510" s="86"/>
      <c r="C510" s="87"/>
      <c r="D510" s="87"/>
      <c r="E510" s="87"/>
      <c r="F510" s="87"/>
      <c r="G510" s="87"/>
      <c r="H510" s="87"/>
      <c r="I510" s="87"/>
      <c r="J510" s="87"/>
      <c r="K510" s="88"/>
      <c r="L510" s="89"/>
      <c r="M510" s="90"/>
      <c r="N510" s="57"/>
      <c r="O510" s="57"/>
      <c r="P510" s="91"/>
    </row>
    <row r="511" spans="2:16" s="50" customFormat="1" ht="13.2">
      <c r="B511" s="86"/>
      <c r="C511" s="87"/>
      <c r="D511" s="87"/>
      <c r="E511" s="87"/>
      <c r="F511" s="87"/>
      <c r="G511" s="87"/>
      <c r="H511" s="87"/>
      <c r="I511" s="87"/>
      <c r="J511" s="87"/>
      <c r="K511" s="88"/>
      <c r="L511" s="89"/>
      <c r="M511" s="90"/>
      <c r="N511" s="57"/>
      <c r="O511" s="57"/>
      <c r="P511" s="91"/>
    </row>
    <row r="512" spans="2:16" s="50" customFormat="1" ht="13.2">
      <c r="B512" s="86"/>
      <c r="C512" s="87"/>
      <c r="D512" s="87"/>
      <c r="E512" s="87"/>
      <c r="F512" s="87"/>
      <c r="G512" s="87"/>
      <c r="H512" s="87"/>
      <c r="I512" s="87"/>
      <c r="J512" s="87"/>
      <c r="K512" s="88"/>
      <c r="L512" s="89"/>
      <c r="M512" s="90"/>
      <c r="N512" s="57"/>
      <c r="O512" s="57"/>
      <c r="P512" s="91"/>
    </row>
    <row r="513" spans="2:16" s="50" customFormat="1" ht="13.2">
      <c r="B513" s="86"/>
      <c r="C513" s="87"/>
      <c r="D513" s="87"/>
      <c r="E513" s="87"/>
      <c r="F513" s="87"/>
      <c r="G513" s="87"/>
      <c r="H513" s="87"/>
      <c r="I513" s="87"/>
      <c r="J513" s="87"/>
      <c r="K513" s="88"/>
      <c r="L513" s="89"/>
      <c r="M513" s="90"/>
      <c r="N513" s="57"/>
      <c r="O513" s="57"/>
      <c r="P513" s="91"/>
    </row>
    <row r="514" spans="2:16" s="50" customFormat="1" ht="13.2">
      <c r="B514" s="86"/>
      <c r="C514" s="87"/>
      <c r="D514" s="87"/>
      <c r="E514" s="87"/>
      <c r="F514" s="87"/>
      <c r="G514" s="87"/>
      <c r="H514" s="87"/>
      <c r="I514" s="87"/>
      <c r="J514" s="87"/>
      <c r="K514" s="88"/>
      <c r="L514" s="89"/>
      <c r="M514" s="90"/>
      <c r="N514" s="57"/>
      <c r="O514" s="57"/>
      <c r="P514" s="91"/>
    </row>
    <row r="515" spans="2:16" s="50" customFormat="1" ht="13.2">
      <c r="B515" s="86"/>
      <c r="C515" s="87"/>
      <c r="D515" s="87"/>
      <c r="E515" s="87"/>
      <c r="F515" s="87"/>
      <c r="G515" s="87"/>
      <c r="H515" s="87"/>
      <c r="I515" s="87"/>
      <c r="J515" s="87"/>
      <c r="K515" s="88"/>
      <c r="L515" s="89"/>
      <c r="M515" s="90"/>
      <c r="N515" s="57"/>
      <c r="O515" s="57"/>
      <c r="P515" s="91"/>
    </row>
    <row r="516" spans="2:16" s="50" customFormat="1" ht="13.2">
      <c r="B516" s="86"/>
      <c r="C516" s="87"/>
      <c r="D516" s="87"/>
      <c r="E516" s="87"/>
      <c r="F516" s="87"/>
      <c r="G516" s="87"/>
      <c r="H516" s="87"/>
      <c r="I516" s="87"/>
      <c r="J516" s="87"/>
      <c r="K516" s="88"/>
      <c r="L516" s="89"/>
      <c r="M516" s="90"/>
      <c r="N516" s="57"/>
      <c r="O516" s="57"/>
      <c r="P516" s="91"/>
    </row>
    <row r="517" spans="2:16" s="50" customFormat="1" ht="13.2">
      <c r="B517" s="86"/>
      <c r="C517" s="87"/>
      <c r="D517" s="87"/>
      <c r="E517" s="87"/>
      <c r="F517" s="87"/>
      <c r="G517" s="87"/>
      <c r="H517" s="87"/>
      <c r="I517" s="87"/>
      <c r="J517" s="87"/>
      <c r="K517" s="88"/>
      <c r="L517" s="89"/>
      <c r="M517" s="90"/>
      <c r="N517" s="57"/>
      <c r="O517" s="57"/>
      <c r="P517" s="91"/>
    </row>
    <row r="518" spans="2:16" s="50" customFormat="1" ht="13.2">
      <c r="B518" s="86"/>
      <c r="C518" s="87"/>
      <c r="D518" s="87"/>
      <c r="E518" s="87"/>
      <c r="F518" s="87"/>
      <c r="G518" s="87"/>
      <c r="H518" s="87"/>
      <c r="I518" s="87"/>
      <c r="J518" s="87"/>
      <c r="K518" s="88"/>
      <c r="L518" s="89"/>
      <c r="M518" s="90"/>
      <c r="N518" s="57"/>
      <c r="O518" s="57"/>
      <c r="P518" s="91"/>
    </row>
    <row r="519" spans="2:16" s="50" customFormat="1" ht="13.2">
      <c r="B519" s="86"/>
      <c r="C519" s="87"/>
      <c r="D519" s="87"/>
      <c r="E519" s="87"/>
      <c r="F519" s="87"/>
      <c r="G519" s="87"/>
      <c r="H519" s="87"/>
      <c r="I519" s="87"/>
      <c r="J519" s="87"/>
      <c r="K519" s="88"/>
      <c r="L519" s="89"/>
      <c r="M519" s="90"/>
      <c r="N519" s="57"/>
      <c r="O519" s="57"/>
      <c r="P519" s="91"/>
    </row>
    <row r="520" spans="2:16" s="50" customFormat="1" ht="13.2">
      <c r="B520" s="86"/>
      <c r="C520" s="87"/>
      <c r="D520" s="87"/>
      <c r="E520" s="87"/>
      <c r="F520" s="87"/>
      <c r="G520" s="87"/>
      <c r="H520" s="87"/>
      <c r="I520" s="87"/>
      <c r="J520" s="87"/>
      <c r="K520" s="88"/>
      <c r="L520" s="89"/>
      <c r="M520" s="90"/>
      <c r="N520" s="57"/>
      <c r="O520" s="57"/>
      <c r="P520" s="91"/>
    </row>
    <row r="521" spans="2:16" s="50" customFormat="1" ht="13.2">
      <c r="B521" s="86"/>
      <c r="C521" s="87"/>
      <c r="D521" s="87"/>
      <c r="E521" s="87"/>
      <c r="F521" s="87"/>
      <c r="G521" s="87"/>
      <c r="H521" s="87"/>
      <c r="I521" s="87"/>
      <c r="J521" s="87"/>
      <c r="K521" s="88"/>
      <c r="L521" s="89"/>
      <c r="M521" s="90"/>
      <c r="N521" s="57"/>
      <c r="O521" s="57"/>
      <c r="P521" s="91"/>
    </row>
    <row r="522" spans="2:16" s="50" customFormat="1" ht="13.2">
      <c r="B522" s="86"/>
      <c r="C522" s="87"/>
      <c r="D522" s="87"/>
      <c r="E522" s="87"/>
      <c r="F522" s="87"/>
      <c r="G522" s="87"/>
      <c r="H522" s="87"/>
      <c r="I522" s="87"/>
      <c r="J522" s="87"/>
      <c r="K522" s="88"/>
      <c r="L522" s="89"/>
      <c r="M522" s="90"/>
      <c r="N522" s="57"/>
      <c r="O522" s="57"/>
      <c r="P522" s="91"/>
    </row>
    <row r="523" spans="2:16" s="50" customFormat="1" ht="13.2">
      <c r="B523" s="86"/>
      <c r="C523" s="87"/>
      <c r="D523" s="87"/>
      <c r="E523" s="87"/>
      <c r="F523" s="87"/>
      <c r="G523" s="87"/>
      <c r="H523" s="87"/>
      <c r="I523" s="87"/>
      <c r="J523" s="87"/>
      <c r="K523" s="88"/>
      <c r="L523" s="89"/>
      <c r="M523" s="90"/>
      <c r="N523" s="57"/>
      <c r="O523" s="57"/>
      <c r="P523" s="91"/>
    </row>
    <row r="524" spans="2:16" s="50" customFormat="1" ht="13.2">
      <c r="B524" s="86"/>
      <c r="C524" s="87"/>
      <c r="D524" s="87"/>
      <c r="E524" s="87"/>
      <c r="F524" s="87"/>
      <c r="G524" s="87"/>
      <c r="H524" s="87"/>
      <c r="I524" s="87"/>
      <c r="J524" s="87"/>
      <c r="K524" s="88"/>
      <c r="L524" s="89"/>
      <c r="M524" s="90"/>
      <c r="N524" s="57"/>
      <c r="O524" s="57"/>
      <c r="P524" s="91"/>
    </row>
    <row r="525" spans="2:16" s="50" customFormat="1" ht="13.2">
      <c r="B525" s="86"/>
      <c r="C525" s="87"/>
      <c r="D525" s="87"/>
      <c r="E525" s="87"/>
      <c r="F525" s="87"/>
      <c r="G525" s="87"/>
      <c r="H525" s="87"/>
      <c r="I525" s="87"/>
      <c r="J525" s="87"/>
      <c r="K525" s="88"/>
      <c r="L525" s="89"/>
      <c r="M525" s="90"/>
      <c r="N525" s="57"/>
      <c r="O525" s="57"/>
      <c r="P525" s="91"/>
    </row>
    <row r="526" spans="2:16" s="50" customFormat="1" ht="13.2">
      <c r="B526" s="86"/>
      <c r="C526" s="87"/>
      <c r="D526" s="87"/>
      <c r="E526" s="87"/>
      <c r="F526" s="87"/>
      <c r="G526" s="87"/>
      <c r="H526" s="87"/>
      <c r="I526" s="87"/>
      <c r="J526" s="87"/>
      <c r="K526" s="88"/>
      <c r="L526" s="89"/>
      <c r="M526" s="90"/>
      <c r="N526" s="57"/>
      <c r="O526" s="57"/>
      <c r="P526" s="91"/>
    </row>
    <row r="527" spans="2:16" s="50" customFormat="1" ht="13.2">
      <c r="B527" s="86"/>
      <c r="C527" s="87"/>
      <c r="D527" s="87"/>
      <c r="E527" s="87"/>
      <c r="F527" s="87"/>
      <c r="G527" s="87"/>
      <c r="H527" s="87"/>
      <c r="I527" s="87"/>
      <c r="J527" s="87"/>
      <c r="K527" s="88"/>
      <c r="L527" s="89"/>
      <c r="M527" s="90"/>
      <c r="N527" s="57"/>
      <c r="O527" s="57"/>
      <c r="P527" s="91"/>
    </row>
    <row r="528" spans="2:16" s="50" customFormat="1" ht="13.2">
      <c r="B528" s="86"/>
      <c r="C528" s="87"/>
      <c r="D528" s="87"/>
      <c r="E528" s="87"/>
      <c r="F528" s="87"/>
      <c r="G528" s="87"/>
      <c r="H528" s="87"/>
      <c r="I528" s="87"/>
      <c r="J528" s="87"/>
      <c r="K528" s="88"/>
      <c r="L528" s="89"/>
      <c r="M528" s="90"/>
      <c r="N528" s="57"/>
      <c r="O528" s="57"/>
      <c r="P528" s="91"/>
    </row>
    <row r="529" spans="2:16" s="50" customFormat="1" ht="13.2">
      <c r="B529" s="86"/>
      <c r="C529" s="87"/>
      <c r="D529" s="87"/>
      <c r="E529" s="87"/>
      <c r="F529" s="87"/>
      <c r="G529" s="87"/>
      <c r="H529" s="87"/>
      <c r="I529" s="87"/>
      <c r="J529" s="87"/>
      <c r="K529" s="88"/>
      <c r="L529" s="89"/>
      <c r="M529" s="90"/>
      <c r="N529" s="57"/>
      <c r="O529" s="57"/>
      <c r="P529" s="91"/>
    </row>
    <row r="530" spans="2:16" s="50" customFormat="1" ht="13.2">
      <c r="B530" s="86"/>
      <c r="C530" s="87"/>
      <c r="D530" s="87"/>
      <c r="E530" s="87"/>
      <c r="F530" s="87"/>
      <c r="G530" s="87"/>
      <c r="H530" s="87"/>
      <c r="I530" s="87"/>
      <c r="J530" s="87"/>
      <c r="K530" s="88"/>
      <c r="L530" s="89"/>
      <c r="M530" s="90"/>
      <c r="N530" s="57"/>
      <c r="O530" s="57"/>
      <c r="P530" s="91"/>
    </row>
    <row r="531" spans="2:16" s="50" customFormat="1" ht="13.2">
      <c r="B531" s="86"/>
      <c r="C531" s="87"/>
      <c r="D531" s="87"/>
      <c r="E531" s="87"/>
      <c r="F531" s="87"/>
      <c r="G531" s="87"/>
      <c r="H531" s="87"/>
      <c r="I531" s="87"/>
      <c r="J531" s="87"/>
      <c r="K531" s="88"/>
      <c r="L531" s="89"/>
      <c r="M531" s="90"/>
      <c r="N531" s="57"/>
      <c r="O531" s="57"/>
      <c r="P531" s="91"/>
    </row>
    <row r="532" spans="2:16" s="50" customFormat="1" ht="13.2">
      <c r="B532" s="86"/>
      <c r="C532" s="87"/>
      <c r="D532" s="87"/>
      <c r="E532" s="87"/>
      <c r="F532" s="87"/>
      <c r="G532" s="87"/>
      <c r="H532" s="87"/>
      <c r="I532" s="87"/>
      <c r="J532" s="87"/>
      <c r="K532" s="88"/>
      <c r="L532" s="89"/>
      <c r="M532" s="90"/>
      <c r="N532" s="57"/>
      <c r="O532" s="57"/>
      <c r="P532" s="91"/>
    </row>
    <row r="533" spans="2:16" s="50" customFormat="1" ht="13.2">
      <c r="B533" s="86"/>
      <c r="C533" s="87"/>
      <c r="D533" s="87"/>
      <c r="E533" s="87"/>
      <c r="F533" s="87"/>
      <c r="G533" s="87"/>
      <c r="H533" s="87"/>
      <c r="I533" s="87"/>
      <c r="J533" s="87"/>
      <c r="K533" s="88"/>
      <c r="L533" s="89"/>
      <c r="M533" s="90"/>
      <c r="N533" s="57"/>
      <c r="O533" s="57"/>
      <c r="P533" s="91"/>
    </row>
    <row r="534" spans="2:16" s="50" customFormat="1" ht="13.2">
      <c r="B534" s="86"/>
      <c r="C534" s="87"/>
      <c r="D534" s="87"/>
      <c r="E534" s="87"/>
      <c r="F534" s="87"/>
      <c r="G534" s="87"/>
      <c r="H534" s="87"/>
      <c r="I534" s="87"/>
      <c r="J534" s="87"/>
      <c r="K534" s="88"/>
      <c r="L534" s="89"/>
      <c r="M534" s="90"/>
      <c r="N534" s="57"/>
      <c r="O534" s="57"/>
      <c r="P534" s="91"/>
    </row>
    <row r="535" spans="2:16" s="50" customFormat="1" ht="13.2">
      <c r="B535" s="86"/>
      <c r="C535" s="87"/>
      <c r="D535" s="87"/>
      <c r="E535" s="87"/>
      <c r="F535" s="87"/>
      <c r="G535" s="87"/>
      <c r="H535" s="87"/>
      <c r="I535" s="87"/>
      <c r="J535" s="87"/>
      <c r="K535" s="88"/>
      <c r="L535" s="89"/>
      <c r="M535" s="90"/>
      <c r="N535" s="57"/>
      <c r="O535" s="57"/>
      <c r="P535" s="91"/>
    </row>
    <row r="536" spans="2:16" s="50" customFormat="1" ht="13.2">
      <c r="B536" s="86"/>
      <c r="C536" s="87"/>
      <c r="D536" s="87"/>
      <c r="E536" s="87"/>
      <c r="F536" s="87"/>
      <c r="G536" s="87"/>
      <c r="H536" s="87"/>
      <c r="I536" s="87"/>
      <c r="J536" s="87"/>
      <c r="K536" s="88"/>
      <c r="L536" s="89"/>
      <c r="M536" s="90"/>
      <c r="N536" s="57"/>
      <c r="O536" s="57"/>
      <c r="P536" s="91"/>
    </row>
    <row r="537" spans="2:16" s="50" customFormat="1" ht="13.2">
      <c r="B537" s="86"/>
      <c r="C537" s="87"/>
      <c r="D537" s="87"/>
      <c r="E537" s="87"/>
      <c r="F537" s="87"/>
      <c r="G537" s="87"/>
      <c r="H537" s="87"/>
      <c r="I537" s="87"/>
      <c r="J537" s="87"/>
      <c r="K537" s="88"/>
      <c r="L537" s="89"/>
      <c r="M537" s="90"/>
      <c r="N537" s="57"/>
      <c r="O537" s="57"/>
      <c r="P537" s="91"/>
    </row>
    <row r="538" spans="2:16" s="50" customFormat="1" ht="13.2">
      <c r="B538" s="86"/>
      <c r="C538" s="87"/>
      <c r="D538" s="87"/>
      <c r="E538" s="87"/>
      <c r="F538" s="87"/>
      <c r="G538" s="87"/>
      <c r="H538" s="87"/>
      <c r="I538" s="87"/>
      <c r="J538" s="87"/>
      <c r="K538" s="88"/>
      <c r="L538" s="89"/>
      <c r="M538" s="90"/>
      <c r="N538" s="57"/>
      <c r="O538" s="57"/>
      <c r="P538" s="91"/>
    </row>
    <row r="539" spans="2:16" s="50" customFormat="1" ht="13.2">
      <c r="B539" s="86"/>
      <c r="C539" s="87"/>
      <c r="D539" s="87"/>
      <c r="E539" s="87"/>
      <c r="F539" s="87"/>
      <c r="G539" s="87"/>
      <c r="H539" s="87"/>
      <c r="I539" s="87"/>
      <c r="J539" s="87"/>
      <c r="K539" s="88"/>
      <c r="L539" s="89"/>
      <c r="M539" s="90"/>
      <c r="N539" s="57"/>
      <c r="O539" s="57"/>
      <c r="P539" s="91"/>
    </row>
    <row r="540" spans="2:16" s="50" customFormat="1" ht="13.2">
      <c r="B540" s="86"/>
      <c r="C540" s="87"/>
      <c r="D540" s="87"/>
      <c r="E540" s="87"/>
      <c r="F540" s="87"/>
      <c r="G540" s="87"/>
      <c r="H540" s="87"/>
      <c r="I540" s="87"/>
      <c r="J540" s="87"/>
      <c r="K540" s="88"/>
      <c r="L540" s="89"/>
      <c r="M540" s="90"/>
      <c r="N540" s="57"/>
      <c r="O540" s="57"/>
      <c r="P540" s="91"/>
    </row>
    <row r="541" spans="2:16" s="50" customFormat="1" ht="13.2">
      <c r="B541" s="86"/>
      <c r="C541" s="87"/>
      <c r="D541" s="87"/>
      <c r="E541" s="87"/>
      <c r="F541" s="87"/>
      <c r="G541" s="87"/>
      <c r="H541" s="87"/>
      <c r="I541" s="87"/>
      <c r="J541" s="87"/>
      <c r="K541" s="88"/>
      <c r="L541" s="89"/>
      <c r="M541" s="90"/>
      <c r="N541" s="57"/>
      <c r="O541" s="57"/>
      <c r="P541" s="91"/>
    </row>
    <row r="542" spans="2:16" s="50" customFormat="1" ht="13.2">
      <c r="B542" s="86"/>
      <c r="C542" s="87"/>
      <c r="D542" s="87"/>
      <c r="E542" s="87"/>
      <c r="F542" s="87"/>
      <c r="G542" s="87"/>
      <c r="H542" s="87"/>
      <c r="I542" s="87"/>
      <c r="J542" s="87"/>
      <c r="K542" s="88"/>
      <c r="L542" s="89"/>
      <c r="M542" s="90"/>
      <c r="N542" s="57"/>
      <c r="O542" s="57"/>
      <c r="P542" s="91"/>
    </row>
    <row r="543" spans="2:16" s="50" customFormat="1" ht="13.2">
      <c r="B543" s="86"/>
      <c r="C543" s="87"/>
      <c r="D543" s="87"/>
      <c r="E543" s="87"/>
      <c r="F543" s="87"/>
      <c r="G543" s="87"/>
      <c r="H543" s="87"/>
      <c r="I543" s="87"/>
      <c r="J543" s="87"/>
      <c r="K543" s="88"/>
      <c r="L543" s="89"/>
      <c r="M543" s="90"/>
      <c r="N543" s="57"/>
      <c r="O543" s="57"/>
      <c r="P543" s="91"/>
    </row>
    <row r="544" spans="2:16" s="50" customFormat="1" ht="13.2">
      <c r="B544" s="86"/>
      <c r="C544" s="87"/>
      <c r="D544" s="87"/>
      <c r="E544" s="87"/>
      <c r="F544" s="87"/>
      <c r="G544" s="87"/>
      <c r="H544" s="87"/>
      <c r="I544" s="87"/>
      <c r="J544" s="87"/>
      <c r="K544" s="88"/>
      <c r="L544" s="89"/>
      <c r="M544" s="90"/>
      <c r="N544" s="57"/>
      <c r="O544" s="57"/>
      <c r="P544" s="91"/>
    </row>
    <row r="545" spans="2:16" s="50" customFormat="1" ht="13.2">
      <c r="B545" s="86"/>
      <c r="C545" s="87"/>
      <c r="D545" s="87"/>
      <c r="E545" s="87"/>
      <c r="F545" s="87"/>
      <c r="G545" s="87"/>
      <c r="H545" s="87"/>
      <c r="I545" s="87"/>
      <c r="J545" s="87"/>
      <c r="K545" s="88"/>
      <c r="L545" s="89"/>
      <c r="M545" s="90"/>
      <c r="N545" s="57"/>
      <c r="O545" s="57"/>
      <c r="P545" s="91"/>
    </row>
    <row r="546" spans="2:16" s="50" customFormat="1" ht="13.2">
      <c r="B546" s="86"/>
      <c r="C546" s="87"/>
      <c r="D546" s="87"/>
      <c r="E546" s="87"/>
      <c r="F546" s="87"/>
      <c r="G546" s="87"/>
      <c r="H546" s="87"/>
      <c r="I546" s="87"/>
      <c r="J546" s="87"/>
      <c r="K546" s="88"/>
      <c r="L546" s="89"/>
      <c r="M546" s="90"/>
      <c r="N546" s="57"/>
      <c r="O546" s="57"/>
      <c r="P546" s="91"/>
    </row>
    <row r="547" spans="2:16" s="50" customFormat="1" ht="13.2">
      <c r="B547" s="86"/>
      <c r="C547" s="87"/>
      <c r="D547" s="87"/>
      <c r="E547" s="87"/>
      <c r="F547" s="87"/>
      <c r="G547" s="87"/>
      <c r="H547" s="87"/>
      <c r="I547" s="87"/>
      <c r="J547" s="87"/>
      <c r="K547" s="88"/>
      <c r="L547" s="89"/>
      <c r="M547" s="90"/>
      <c r="N547" s="57"/>
      <c r="O547" s="57"/>
      <c r="P547" s="91"/>
    </row>
    <row r="548" spans="2:16" s="50" customFormat="1" ht="13.2">
      <c r="B548" s="86"/>
      <c r="C548" s="87"/>
      <c r="D548" s="87"/>
      <c r="E548" s="87"/>
      <c r="F548" s="87"/>
      <c r="G548" s="87"/>
      <c r="H548" s="87"/>
      <c r="I548" s="87"/>
      <c r="J548" s="87"/>
      <c r="K548" s="88"/>
      <c r="L548" s="89"/>
      <c r="M548" s="90"/>
      <c r="N548" s="57"/>
      <c r="O548" s="57"/>
      <c r="P548" s="91"/>
    </row>
    <row r="549" spans="2:16" s="50" customFormat="1" ht="13.2">
      <c r="B549" s="86"/>
      <c r="C549" s="87"/>
      <c r="D549" s="87"/>
      <c r="E549" s="87"/>
      <c r="F549" s="87"/>
      <c r="G549" s="87"/>
      <c r="H549" s="87"/>
      <c r="I549" s="87"/>
      <c r="J549" s="87"/>
      <c r="K549" s="88"/>
      <c r="L549" s="89"/>
      <c r="M549" s="90"/>
      <c r="N549" s="57"/>
      <c r="O549" s="57"/>
      <c r="P549" s="91"/>
    </row>
    <row r="550" spans="2:16" s="50" customFormat="1" ht="13.2">
      <c r="B550" s="86"/>
      <c r="C550" s="87"/>
      <c r="D550" s="87"/>
      <c r="E550" s="87"/>
      <c r="F550" s="87"/>
      <c r="G550" s="87"/>
      <c r="H550" s="87"/>
      <c r="I550" s="87"/>
      <c r="J550" s="87"/>
      <c r="K550" s="88"/>
      <c r="L550" s="89"/>
      <c r="M550" s="90"/>
      <c r="N550" s="57"/>
      <c r="O550" s="57"/>
      <c r="P550" s="91"/>
    </row>
    <row r="551" spans="2:16" s="50" customFormat="1" ht="13.2">
      <c r="B551" s="86"/>
      <c r="C551" s="87"/>
      <c r="D551" s="87"/>
      <c r="E551" s="87"/>
      <c r="F551" s="87"/>
      <c r="G551" s="87"/>
      <c r="H551" s="87"/>
      <c r="I551" s="87"/>
      <c r="J551" s="87"/>
      <c r="K551" s="88"/>
      <c r="L551" s="89"/>
      <c r="M551" s="90"/>
      <c r="N551" s="57"/>
      <c r="O551" s="57"/>
      <c r="P551" s="91"/>
    </row>
    <row r="552" spans="2:16" s="50" customFormat="1" ht="13.2">
      <c r="B552" s="86"/>
      <c r="C552" s="87"/>
      <c r="D552" s="87"/>
      <c r="E552" s="87"/>
      <c r="F552" s="87"/>
      <c r="G552" s="87"/>
      <c r="H552" s="87"/>
      <c r="I552" s="87"/>
      <c r="J552" s="87"/>
      <c r="K552" s="88"/>
      <c r="L552" s="89"/>
      <c r="M552" s="90"/>
      <c r="N552" s="57"/>
      <c r="O552" s="57"/>
      <c r="P552" s="91"/>
    </row>
    <row r="553" spans="2:16" s="50" customFormat="1" ht="13.2">
      <c r="B553" s="86"/>
      <c r="C553" s="87"/>
      <c r="D553" s="87"/>
      <c r="E553" s="87"/>
      <c r="F553" s="87"/>
      <c r="G553" s="87"/>
      <c r="H553" s="87"/>
      <c r="I553" s="87"/>
      <c r="J553" s="87"/>
      <c r="K553" s="88"/>
      <c r="L553" s="89"/>
      <c r="M553" s="90"/>
      <c r="N553" s="57"/>
      <c r="O553" s="57"/>
      <c r="P553" s="91"/>
    </row>
    <row r="554" spans="2:16" s="50" customFormat="1" ht="13.2">
      <c r="B554" s="86"/>
      <c r="C554" s="87"/>
      <c r="D554" s="87"/>
      <c r="E554" s="87"/>
      <c r="F554" s="87"/>
      <c r="G554" s="87"/>
      <c r="H554" s="87"/>
      <c r="I554" s="87"/>
      <c r="J554" s="87"/>
      <c r="K554" s="88"/>
      <c r="L554" s="89"/>
      <c r="M554" s="90"/>
      <c r="N554" s="57"/>
      <c r="O554" s="57"/>
      <c r="P554" s="91"/>
    </row>
    <row r="555" spans="2:16" s="50" customFormat="1" ht="13.2">
      <c r="B555" s="86"/>
      <c r="C555" s="87"/>
      <c r="D555" s="87"/>
      <c r="E555" s="87"/>
      <c r="F555" s="87"/>
      <c r="G555" s="87"/>
      <c r="H555" s="87"/>
      <c r="I555" s="87"/>
      <c r="J555" s="87"/>
      <c r="K555" s="88"/>
      <c r="L555" s="89"/>
      <c r="M555" s="90"/>
      <c r="N555" s="57"/>
      <c r="O555" s="57"/>
      <c r="P555" s="91"/>
    </row>
    <row r="556" spans="2:16" s="50" customFormat="1" ht="13.2">
      <c r="B556" s="86"/>
      <c r="C556" s="87"/>
      <c r="D556" s="87"/>
      <c r="E556" s="87"/>
      <c r="F556" s="87"/>
      <c r="G556" s="87"/>
      <c r="H556" s="87"/>
      <c r="I556" s="87"/>
      <c r="J556" s="87"/>
      <c r="K556" s="88"/>
      <c r="L556" s="89"/>
      <c r="M556" s="90"/>
      <c r="N556" s="57"/>
      <c r="O556" s="57"/>
      <c r="P556" s="91"/>
    </row>
    <row r="557" spans="2:16" s="50" customFormat="1" ht="13.2">
      <c r="B557" s="86"/>
      <c r="C557" s="87"/>
      <c r="D557" s="87"/>
      <c r="E557" s="87"/>
      <c r="F557" s="87"/>
      <c r="G557" s="87"/>
      <c r="H557" s="87"/>
      <c r="I557" s="87"/>
      <c r="J557" s="87"/>
      <c r="K557" s="88"/>
      <c r="L557" s="89"/>
      <c r="M557" s="90"/>
      <c r="N557" s="57"/>
      <c r="O557" s="57"/>
      <c r="P557" s="91"/>
    </row>
    <row r="558" spans="2:16" s="50" customFormat="1" ht="13.2">
      <c r="B558" s="86"/>
      <c r="C558" s="87"/>
      <c r="D558" s="87"/>
      <c r="E558" s="87"/>
      <c r="F558" s="87"/>
      <c r="G558" s="87"/>
      <c r="H558" s="87"/>
      <c r="I558" s="87"/>
      <c r="J558" s="87"/>
      <c r="K558" s="88"/>
      <c r="L558" s="89"/>
      <c r="M558" s="90"/>
      <c r="N558" s="57"/>
      <c r="O558" s="57"/>
      <c r="P558" s="91"/>
    </row>
    <row r="559" spans="2:16" s="50" customFormat="1" ht="13.2">
      <c r="B559" s="86"/>
      <c r="C559" s="87"/>
      <c r="D559" s="87"/>
      <c r="E559" s="87"/>
      <c r="F559" s="87"/>
      <c r="G559" s="87"/>
      <c r="H559" s="87"/>
      <c r="I559" s="87"/>
      <c r="J559" s="87"/>
      <c r="K559" s="88"/>
      <c r="L559" s="89"/>
      <c r="M559" s="90"/>
      <c r="N559" s="57"/>
      <c r="O559" s="57"/>
      <c r="P559" s="91"/>
    </row>
    <row r="560" spans="2:16" s="50" customFormat="1" ht="13.2">
      <c r="B560" s="86"/>
      <c r="C560" s="87"/>
      <c r="D560" s="87"/>
      <c r="E560" s="87"/>
      <c r="F560" s="87"/>
      <c r="G560" s="87"/>
      <c r="H560" s="87"/>
      <c r="I560" s="87"/>
      <c r="J560" s="87"/>
      <c r="K560" s="88"/>
      <c r="L560" s="89"/>
      <c r="M560" s="90"/>
      <c r="N560" s="57"/>
      <c r="O560" s="57"/>
      <c r="P560" s="91"/>
    </row>
    <row r="561" spans="2:16" s="50" customFormat="1" ht="13.2">
      <c r="B561" s="86"/>
      <c r="C561" s="87"/>
      <c r="D561" s="87"/>
      <c r="E561" s="87"/>
      <c r="F561" s="87"/>
      <c r="G561" s="87"/>
      <c r="H561" s="87"/>
      <c r="I561" s="87"/>
      <c r="J561" s="87"/>
      <c r="K561" s="88"/>
      <c r="L561" s="89"/>
      <c r="M561" s="90"/>
      <c r="N561" s="57"/>
      <c r="O561" s="57"/>
      <c r="P561" s="91"/>
    </row>
    <row r="562" spans="2:16" s="50" customFormat="1" ht="13.2">
      <c r="B562" s="86"/>
      <c r="C562" s="87"/>
      <c r="D562" s="87"/>
      <c r="E562" s="87"/>
      <c r="F562" s="87"/>
      <c r="G562" s="87"/>
      <c r="H562" s="87"/>
      <c r="I562" s="87"/>
      <c r="J562" s="87"/>
      <c r="K562" s="88"/>
      <c r="L562" s="89"/>
      <c r="M562" s="90"/>
      <c r="N562" s="57"/>
      <c r="O562" s="57"/>
      <c r="P562" s="91"/>
    </row>
    <row r="563" spans="2:16" s="50" customFormat="1" ht="13.2">
      <c r="B563" s="86"/>
      <c r="C563" s="87"/>
      <c r="D563" s="87"/>
      <c r="E563" s="87"/>
      <c r="F563" s="87"/>
      <c r="G563" s="87"/>
      <c r="H563" s="87"/>
      <c r="I563" s="87"/>
      <c r="J563" s="87"/>
      <c r="K563" s="88"/>
      <c r="L563" s="89"/>
      <c r="M563" s="90"/>
      <c r="N563" s="57"/>
      <c r="O563" s="57"/>
      <c r="P563" s="91"/>
    </row>
    <row r="564" spans="2:16" s="50" customFormat="1" ht="13.2">
      <c r="B564" s="86"/>
      <c r="C564" s="87"/>
      <c r="D564" s="87"/>
      <c r="E564" s="87"/>
      <c r="F564" s="87"/>
      <c r="G564" s="87"/>
      <c r="H564" s="87"/>
      <c r="I564" s="87"/>
      <c r="J564" s="87"/>
      <c r="K564" s="88"/>
      <c r="L564" s="89"/>
      <c r="M564" s="90"/>
      <c r="N564" s="57"/>
      <c r="O564" s="57"/>
      <c r="P564" s="91"/>
    </row>
    <row r="565" spans="2:16" s="50" customFormat="1" ht="13.2">
      <c r="B565" s="86"/>
      <c r="C565" s="87"/>
      <c r="D565" s="87"/>
      <c r="E565" s="87"/>
      <c r="F565" s="87"/>
      <c r="G565" s="87"/>
      <c r="H565" s="87"/>
      <c r="I565" s="87"/>
      <c r="J565" s="87"/>
      <c r="K565" s="88"/>
      <c r="L565" s="89"/>
      <c r="M565" s="90"/>
      <c r="N565" s="57"/>
      <c r="O565" s="57"/>
      <c r="P565" s="91"/>
    </row>
    <row r="566" spans="2:16" s="50" customFormat="1" ht="13.2">
      <c r="B566" s="86"/>
      <c r="C566" s="87"/>
      <c r="D566" s="87"/>
      <c r="E566" s="87"/>
      <c r="F566" s="87"/>
      <c r="G566" s="87"/>
      <c r="H566" s="87"/>
      <c r="I566" s="87"/>
      <c r="J566" s="87"/>
      <c r="K566" s="88"/>
      <c r="L566" s="89"/>
      <c r="M566" s="90"/>
      <c r="N566" s="57"/>
      <c r="O566" s="57"/>
      <c r="P566" s="91"/>
    </row>
    <row r="567" spans="2:16" s="50" customFormat="1" ht="13.2">
      <c r="B567" s="86"/>
      <c r="C567" s="87"/>
      <c r="D567" s="87"/>
      <c r="E567" s="87"/>
      <c r="F567" s="87"/>
      <c r="G567" s="87"/>
      <c r="H567" s="87"/>
      <c r="I567" s="87"/>
      <c r="J567" s="87"/>
      <c r="K567" s="88"/>
      <c r="L567" s="89"/>
      <c r="M567" s="90"/>
      <c r="N567" s="57"/>
      <c r="O567" s="57"/>
      <c r="P567" s="91"/>
    </row>
    <row r="568" spans="2:16" s="50" customFormat="1" ht="13.2">
      <c r="B568" s="86"/>
      <c r="C568" s="87"/>
      <c r="D568" s="87"/>
      <c r="E568" s="87"/>
      <c r="F568" s="87"/>
      <c r="G568" s="87"/>
      <c r="H568" s="87"/>
      <c r="I568" s="87"/>
      <c r="J568" s="87"/>
      <c r="K568" s="88"/>
      <c r="L568" s="89"/>
      <c r="M568" s="90"/>
      <c r="N568" s="57"/>
      <c r="O568" s="57"/>
      <c r="P568" s="91"/>
    </row>
    <row r="569" spans="2:16" s="50" customFormat="1" ht="13.2">
      <c r="B569" s="86"/>
      <c r="C569" s="87"/>
      <c r="D569" s="87"/>
      <c r="E569" s="87"/>
      <c r="F569" s="87"/>
      <c r="G569" s="87"/>
      <c r="H569" s="87"/>
      <c r="I569" s="87"/>
      <c r="J569" s="87"/>
      <c r="K569" s="88"/>
      <c r="L569" s="89"/>
      <c r="M569" s="90"/>
      <c r="N569" s="57"/>
      <c r="O569" s="57"/>
      <c r="P569" s="91"/>
    </row>
    <row r="570" spans="2:16" s="50" customFormat="1" ht="13.2">
      <c r="B570" s="86"/>
      <c r="C570" s="87"/>
      <c r="D570" s="87"/>
      <c r="E570" s="87"/>
      <c r="F570" s="87"/>
      <c r="G570" s="87"/>
      <c r="H570" s="87"/>
      <c r="I570" s="87"/>
      <c r="J570" s="87"/>
      <c r="K570" s="88"/>
      <c r="L570" s="89"/>
      <c r="M570" s="90"/>
      <c r="N570" s="57"/>
      <c r="O570" s="57"/>
      <c r="P570" s="91"/>
    </row>
    <row r="571" spans="2:16" s="50" customFormat="1" ht="13.2">
      <c r="B571" s="86"/>
      <c r="C571" s="87"/>
      <c r="D571" s="87"/>
      <c r="E571" s="87"/>
      <c r="F571" s="87"/>
      <c r="G571" s="87"/>
      <c r="H571" s="87"/>
      <c r="I571" s="87"/>
      <c r="J571" s="87"/>
      <c r="K571" s="88"/>
      <c r="L571" s="89"/>
      <c r="M571" s="90"/>
      <c r="N571" s="57"/>
      <c r="O571" s="57"/>
      <c r="P571" s="91"/>
    </row>
    <row r="572" spans="2:16" s="50" customFormat="1" ht="13.2">
      <c r="B572" s="86"/>
      <c r="C572" s="87"/>
      <c r="D572" s="87"/>
      <c r="E572" s="87"/>
      <c r="F572" s="87"/>
      <c r="G572" s="87"/>
      <c r="H572" s="87"/>
      <c r="I572" s="87"/>
      <c r="J572" s="87"/>
      <c r="K572" s="88"/>
      <c r="L572" s="89"/>
      <c r="M572" s="90"/>
      <c r="N572" s="57"/>
      <c r="O572" s="57"/>
      <c r="P572" s="91"/>
    </row>
    <row r="573" spans="2:16" s="50" customFormat="1" ht="13.2">
      <c r="B573" s="86"/>
      <c r="C573" s="87"/>
      <c r="D573" s="87"/>
      <c r="E573" s="87"/>
      <c r="F573" s="87"/>
      <c r="G573" s="87"/>
      <c r="H573" s="87"/>
      <c r="I573" s="87"/>
      <c r="J573" s="87"/>
      <c r="K573" s="88"/>
      <c r="L573" s="89"/>
      <c r="M573" s="90"/>
      <c r="N573" s="57"/>
      <c r="O573" s="57"/>
      <c r="P573" s="91"/>
    </row>
    <row r="574" spans="2:16" s="50" customFormat="1" ht="13.2">
      <c r="B574" s="86"/>
      <c r="C574" s="87"/>
      <c r="D574" s="87"/>
      <c r="E574" s="87"/>
      <c r="F574" s="87"/>
      <c r="G574" s="87"/>
      <c r="H574" s="87"/>
      <c r="I574" s="87"/>
      <c r="J574" s="87"/>
      <c r="K574" s="88"/>
      <c r="L574" s="89"/>
      <c r="M574" s="90"/>
      <c r="N574" s="57"/>
      <c r="O574" s="57"/>
      <c r="P574" s="91"/>
    </row>
    <row r="575" spans="2:16" s="50" customFormat="1" ht="13.2">
      <c r="B575" s="86"/>
      <c r="C575" s="87"/>
      <c r="D575" s="87"/>
      <c r="E575" s="87"/>
      <c r="F575" s="87"/>
      <c r="G575" s="87"/>
      <c r="H575" s="87"/>
      <c r="I575" s="87"/>
      <c r="J575" s="87"/>
      <c r="K575" s="88"/>
      <c r="L575" s="89"/>
      <c r="M575" s="90"/>
      <c r="N575" s="57"/>
      <c r="O575" s="57"/>
      <c r="P575" s="91"/>
    </row>
    <row r="576" spans="2:16" s="50" customFormat="1" ht="13.2">
      <c r="B576" s="86"/>
      <c r="C576" s="87"/>
      <c r="D576" s="87"/>
      <c r="E576" s="87"/>
      <c r="F576" s="87"/>
      <c r="G576" s="87"/>
      <c r="H576" s="87"/>
      <c r="I576" s="87"/>
      <c r="J576" s="87"/>
      <c r="K576" s="88"/>
      <c r="L576" s="89"/>
      <c r="M576" s="90"/>
      <c r="N576" s="57"/>
      <c r="O576" s="57"/>
      <c r="P576" s="91"/>
    </row>
    <row r="577" spans="2:16" s="50" customFormat="1" ht="13.2">
      <c r="B577" s="86"/>
      <c r="C577" s="87"/>
      <c r="D577" s="87"/>
      <c r="E577" s="87"/>
      <c r="F577" s="87"/>
      <c r="G577" s="87"/>
      <c r="H577" s="87"/>
      <c r="I577" s="87"/>
      <c r="J577" s="87"/>
      <c r="K577" s="88"/>
      <c r="L577" s="89"/>
      <c r="M577" s="90"/>
      <c r="N577" s="57"/>
      <c r="O577" s="57"/>
      <c r="P577" s="91"/>
    </row>
    <row r="578" spans="2:16" s="50" customFormat="1" ht="13.2">
      <c r="B578" s="86"/>
      <c r="C578" s="87"/>
      <c r="D578" s="87"/>
      <c r="E578" s="87"/>
      <c r="F578" s="87"/>
      <c r="G578" s="87"/>
      <c r="H578" s="87"/>
      <c r="I578" s="87"/>
      <c r="J578" s="87"/>
      <c r="K578" s="88"/>
      <c r="L578" s="89"/>
      <c r="M578" s="90"/>
      <c r="N578" s="57"/>
      <c r="O578" s="57"/>
      <c r="P578" s="91"/>
    </row>
    <row r="579" spans="2:16" s="50" customFormat="1" ht="13.2">
      <c r="B579" s="86"/>
      <c r="C579" s="87"/>
      <c r="D579" s="87"/>
      <c r="E579" s="87"/>
      <c r="F579" s="87"/>
      <c r="G579" s="87"/>
      <c r="H579" s="87"/>
      <c r="I579" s="87"/>
      <c r="J579" s="87"/>
      <c r="K579" s="88"/>
      <c r="L579" s="89"/>
      <c r="M579" s="90"/>
      <c r="N579" s="57"/>
      <c r="O579" s="57"/>
      <c r="P579" s="91"/>
    </row>
    <row r="580" spans="2:16" s="50" customFormat="1" ht="13.2">
      <c r="B580" s="86"/>
      <c r="C580" s="87"/>
      <c r="D580" s="87"/>
      <c r="E580" s="87"/>
      <c r="F580" s="87"/>
      <c r="G580" s="87"/>
      <c r="H580" s="87"/>
      <c r="I580" s="87"/>
      <c r="J580" s="87"/>
      <c r="K580" s="88"/>
      <c r="L580" s="89"/>
      <c r="M580" s="90"/>
      <c r="N580" s="57"/>
      <c r="O580" s="57"/>
      <c r="P580" s="91"/>
    </row>
    <row r="581" spans="2:16" s="50" customFormat="1" ht="13.2">
      <c r="B581" s="86"/>
      <c r="C581" s="87"/>
      <c r="D581" s="87"/>
      <c r="E581" s="87"/>
      <c r="F581" s="87"/>
      <c r="G581" s="87"/>
      <c r="H581" s="87"/>
      <c r="I581" s="87"/>
      <c r="J581" s="87"/>
      <c r="K581" s="88"/>
      <c r="L581" s="89"/>
      <c r="M581" s="90"/>
      <c r="N581" s="57"/>
      <c r="O581" s="57"/>
      <c r="P581" s="91"/>
    </row>
    <row r="582" spans="2:16" s="50" customFormat="1" ht="13.2">
      <c r="B582" s="86"/>
      <c r="C582" s="87"/>
      <c r="D582" s="87"/>
      <c r="E582" s="87"/>
      <c r="F582" s="87"/>
      <c r="G582" s="87"/>
      <c r="H582" s="87"/>
      <c r="I582" s="87"/>
      <c r="J582" s="87"/>
      <c r="K582" s="88"/>
      <c r="L582" s="89"/>
      <c r="M582" s="90"/>
      <c r="N582" s="57"/>
      <c r="O582" s="57"/>
      <c r="P582" s="91"/>
    </row>
    <row r="583" spans="2:16" s="50" customFormat="1" ht="13.2">
      <c r="B583" s="86"/>
      <c r="C583" s="87"/>
      <c r="D583" s="87"/>
      <c r="E583" s="87"/>
      <c r="F583" s="87"/>
      <c r="G583" s="87"/>
      <c r="H583" s="87"/>
      <c r="I583" s="87"/>
      <c r="J583" s="87"/>
      <c r="K583" s="88"/>
      <c r="L583" s="89"/>
      <c r="M583" s="90"/>
      <c r="N583" s="57"/>
      <c r="O583" s="57"/>
      <c r="P583" s="91"/>
    </row>
    <row r="584" spans="2:16" s="50" customFormat="1" ht="13.2">
      <c r="B584" s="86"/>
      <c r="C584" s="87"/>
      <c r="D584" s="87"/>
      <c r="E584" s="87"/>
      <c r="F584" s="87"/>
      <c r="G584" s="87"/>
      <c r="H584" s="87"/>
      <c r="I584" s="87"/>
      <c r="J584" s="87"/>
      <c r="K584" s="88"/>
      <c r="L584" s="89"/>
      <c r="M584" s="90"/>
      <c r="N584" s="57"/>
      <c r="O584" s="57"/>
      <c r="P584" s="91"/>
    </row>
    <row r="585" spans="2:16" s="50" customFormat="1" ht="13.2">
      <c r="B585" s="86"/>
      <c r="C585" s="87"/>
      <c r="D585" s="87"/>
      <c r="E585" s="87"/>
      <c r="F585" s="87"/>
      <c r="G585" s="87"/>
      <c r="H585" s="87"/>
      <c r="I585" s="87"/>
      <c r="J585" s="87"/>
      <c r="K585" s="88"/>
      <c r="L585" s="89"/>
      <c r="M585" s="90"/>
      <c r="N585" s="57"/>
      <c r="O585" s="57"/>
      <c r="P585" s="91"/>
    </row>
    <row r="586" spans="2:16" s="50" customFormat="1" ht="13.2">
      <c r="B586" s="86"/>
      <c r="C586" s="87"/>
      <c r="D586" s="87"/>
      <c r="E586" s="87"/>
      <c r="F586" s="87"/>
      <c r="G586" s="87"/>
      <c r="H586" s="87"/>
      <c r="I586" s="87"/>
      <c r="J586" s="87"/>
      <c r="K586" s="88"/>
      <c r="L586" s="89"/>
      <c r="M586" s="90"/>
      <c r="N586" s="57"/>
      <c r="O586" s="57"/>
      <c r="P586" s="91"/>
    </row>
    <row r="587" spans="2:16" s="50" customFormat="1" ht="13.2">
      <c r="B587" s="86"/>
      <c r="C587" s="87"/>
      <c r="D587" s="87"/>
      <c r="E587" s="87"/>
      <c r="F587" s="87"/>
      <c r="G587" s="87"/>
      <c r="H587" s="87"/>
      <c r="I587" s="87"/>
      <c r="J587" s="87"/>
      <c r="K587" s="88"/>
      <c r="L587" s="89"/>
      <c r="M587" s="90"/>
      <c r="N587" s="57"/>
      <c r="O587" s="57"/>
      <c r="P587" s="91"/>
    </row>
    <row r="588" spans="2:16" s="50" customFormat="1" ht="13.2">
      <c r="B588" s="86"/>
      <c r="C588" s="87"/>
      <c r="D588" s="87"/>
      <c r="E588" s="87"/>
      <c r="F588" s="87"/>
      <c r="G588" s="87"/>
      <c r="H588" s="87"/>
      <c r="I588" s="87"/>
      <c r="J588" s="87"/>
      <c r="K588" s="88"/>
      <c r="L588" s="89"/>
      <c r="M588" s="90"/>
      <c r="N588" s="57"/>
      <c r="O588" s="57"/>
      <c r="P588" s="91"/>
    </row>
    <row r="589" spans="2:16" s="50" customFormat="1" ht="13.2">
      <c r="B589" s="86"/>
      <c r="C589" s="87"/>
      <c r="D589" s="87"/>
      <c r="E589" s="87"/>
      <c r="F589" s="87"/>
      <c r="G589" s="87"/>
      <c r="H589" s="87"/>
      <c r="I589" s="87"/>
      <c r="J589" s="87"/>
      <c r="K589" s="88"/>
      <c r="L589" s="89"/>
      <c r="M589" s="90"/>
      <c r="N589" s="57"/>
      <c r="O589" s="57"/>
      <c r="P589" s="91"/>
    </row>
    <row r="590" spans="2:16" s="50" customFormat="1" ht="13.2">
      <c r="B590" s="86"/>
      <c r="C590" s="87"/>
      <c r="D590" s="87"/>
      <c r="E590" s="87"/>
      <c r="F590" s="87"/>
      <c r="G590" s="87"/>
      <c r="H590" s="87"/>
      <c r="I590" s="87"/>
      <c r="J590" s="87"/>
      <c r="K590" s="88"/>
      <c r="L590" s="89"/>
      <c r="M590" s="90"/>
      <c r="N590" s="57"/>
      <c r="O590" s="57"/>
      <c r="P590" s="91"/>
    </row>
    <row r="591" spans="2:16" s="50" customFormat="1" ht="13.2">
      <c r="B591" s="86"/>
      <c r="C591" s="87"/>
      <c r="D591" s="87"/>
      <c r="E591" s="87"/>
      <c r="F591" s="87"/>
      <c r="G591" s="87"/>
      <c r="H591" s="87"/>
      <c r="I591" s="87"/>
      <c r="J591" s="87"/>
      <c r="K591" s="88"/>
      <c r="L591" s="89"/>
      <c r="M591" s="90"/>
      <c r="N591" s="57"/>
      <c r="O591" s="57"/>
      <c r="P591" s="91"/>
    </row>
    <row r="592" spans="2:16" s="50" customFormat="1" ht="13.2">
      <c r="B592" s="86"/>
      <c r="C592" s="87"/>
      <c r="D592" s="87"/>
      <c r="E592" s="87"/>
      <c r="F592" s="87"/>
      <c r="G592" s="87"/>
      <c r="H592" s="87"/>
      <c r="I592" s="87"/>
      <c r="J592" s="87"/>
      <c r="K592" s="88"/>
      <c r="L592" s="89"/>
      <c r="M592" s="90"/>
      <c r="N592" s="57"/>
      <c r="O592" s="57"/>
      <c r="P592" s="91"/>
    </row>
    <row r="593" spans="2:16" s="50" customFormat="1" ht="13.2">
      <c r="B593" s="86"/>
      <c r="C593" s="87"/>
      <c r="D593" s="87"/>
      <c r="E593" s="87"/>
      <c r="F593" s="87"/>
      <c r="G593" s="87"/>
      <c r="H593" s="87"/>
      <c r="I593" s="87"/>
      <c r="J593" s="87"/>
      <c r="K593" s="88"/>
      <c r="L593" s="89"/>
      <c r="M593" s="90"/>
      <c r="N593" s="57"/>
      <c r="O593" s="57"/>
      <c r="P593" s="91"/>
    </row>
    <row r="594" spans="2:16" s="50" customFormat="1" ht="13.2">
      <c r="B594" s="86"/>
      <c r="C594" s="87"/>
      <c r="D594" s="87"/>
      <c r="E594" s="87"/>
      <c r="F594" s="87"/>
      <c r="G594" s="87"/>
      <c r="H594" s="87"/>
      <c r="I594" s="87"/>
      <c r="J594" s="87"/>
      <c r="K594" s="88"/>
      <c r="L594" s="89"/>
      <c r="M594" s="90"/>
      <c r="N594" s="57"/>
      <c r="O594" s="57"/>
      <c r="P594" s="91"/>
    </row>
    <row r="595" spans="2:16" s="50" customFormat="1" ht="13.2">
      <c r="B595" s="86"/>
      <c r="C595" s="87"/>
      <c r="D595" s="87"/>
      <c r="E595" s="87"/>
      <c r="F595" s="87"/>
      <c r="G595" s="87"/>
      <c r="H595" s="87"/>
      <c r="I595" s="87"/>
      <c r="J595" s="87"/>
      <c r="K595" s="88"/>
      <c r="L595" s="89"/>
      <c r="M595" s="90"/>
      <c r="N595" s="57"/>
      <c r="O595" s="57"/>
      <c r="P595" s="91"/>
    </row>
    <row r="596" spans="2:16" s="50" customFormat="1" ht="13.2">
      <c r="B596" s="86"/>
      <c r="C596" s="87"/>
      <c r="D596" s="87"/>
      <c r="E596" s="87"/>
      <c r="F596" s="87"/>
      <c r="G596" s="87"/>
      <c r="H596" s="87"/>
      <c r="I596" s="87"/>
      <c r="J596" s="87"/>
      <c r="K596" s="88"/>
      <c r="L596" s="89"/>
      <c r="M596" s="90"/>
      <c r="N596" s="57"/>
      <c r="O596" s="57"/>
      <c r="P596" s="91"/>
    </row>
    <row r="597" spans="2:16" s="50" customFormat="1" ht="13.2">
      <c r="B597" s="86"/>
      <c r="C597" s="87"/>
      <c r="D597" s="87"/>
      <c r="E597" s="87"/>
      <c r="F597" s="87"/>
      <c r="G597" s="87"/>
      <c r="H597" s="87"/>
      <c r="I597" s="87"/>
      <c r="J597" s="87"/>
      <c r="K597" s="88"/>
      <c r="L597" s="89"/>
      <c r="M597" s="90"/>
      <c r="N597" s="57"/>
      <c r="O597" s="57"/>
      <c r="P597" s="91"/>
    </row>
    <row r="598" spans="2:16" s="50" customFormat="1" ht="13.2">
      <c r="B598" s="86"/>
      <c r="C598" s="87"/>
      <c r="D598" s="87"/>
      <c r="E598" s="87"/>
      <c r="F598" s="87"/>
      <c r="G598" s="87"/>
      <c r="H598" s="87"/>
      <c r="I598" s="87"/>
      <c r="J598" s="87"/>
      <c r="K598" s="88"/>
      <c r="L598" s="89"/>
      <c r="M598" s="90"/>
      <c r="N598" s="57"/>
      <c r="O598" s="57"/>
      <c r="P598" s="91"/>
    </row>
    <row r="599" spans="2:16" s="50" customFormat="1" ht="13.2">
      <c r="B599" s="86"/>
      <c r="C599" s="87"/>
      <c r="D599" s="87"/>
      <c r="E599" s="87"/>
      <c r="F599" s="87"/>
      <c r="G599" s="87"/>
      <c r="H599" s="87"/>
      <c r="I599" s="87"/>
      <c r="J599" s="87"/>
      <c r="K599" s="88"/>
      <c r="L599" s="89"/>
      <c r="M599" s="90"/>
      <c r="N599" s="57"/>
      <c r="O599" s="57"/>
      <c r="P599" s="91"/>
    </row>
    <row r="600" spans="2:16" s="50" customFormat="1" ht="13.2">
      <c r="B600" s="86"/>
      <c r="C600" s="87"/>
      <c r="D600" s="87"/>
      <c r="E600" s="87"/>
      <c r="F600" s="87"/>
      <c r="G600" s="87"/>
      <c r="H600" s="87"/>
      <c r="I600" s="87"/>
      <c r="J600" s="87"/>
      <c r="K600" s="88"/>
      <c r="L600" s="89"/>
      <c r="M600" s="90"/>
      <c r="N600" s="57"/>
      <c r="O600" s="57"/>
      <c r="P600" s="91"/>
    </row>
    <row r="601" spans="2:16" s="50" customFormat="1" ht="13.2">
      <c r="B601" s="86"/>
      <c r="C601" s="87"/>
      <c r="D601" s="87"/>
      <c r="E601" s="87"/>
      <c r="F601" s="87"/>
      <c r="G601" s="87"/>
      <c r="H601" s="87"/>
      <c r="I601" s="87"/>
      <c r="J601" s="87"/>
      <c r="K601" s="88"/>
      <c r="L601" s="89"/>
      <c r="M601" s="90"/>
      <c r="N601" s="57"/>
      <c r="O601" s="57"/>
      <c r="P601" s="91"/>
    </row>
    <row r="602" spans="2:16" s="50" customFormat="1" ht="13.2">
      <c r="B602" s="86"/>
      <c r="C602" s="87"/>
      <c r="D602" s="87"/>
      <c r="E602" s="87"/>
      <c r="F602" s="87"/>
      <c r="G602" s="87"/>
      <c r="H602" s="87"/>
      <c r="I602" s="87"/>
      <c r="J602" s="87"/>
      <c r="K602" s="88"/>
      <c r="L602" s="89"/>
      <c r="M602" s="90"/>
      <c r="N602" s="57"/>
      <c r="O602" s="57"/>
      <c r="P602" s="91"/>
    </row>
    <row r="603" spans="2:16" s="50" customFormat="1" ht="13.2">
      <c r="B603" s="86"/>
      <c r="C603" s="87"/>
      <c r="D603" s="87"/>
      <c r="E603" s="87"/>
      <c r="F603" s="87"/>
      <c r="G603" s="87"/>
      <c r="H603" s="87"/>
      <c r="I603" s="87"/>
      <c r="J603" s="87"/>
      <c r="K603" s="88"/>
      <c r="L603" s="89"/>
      <c r="M603" s="90"/>
      <c r="N603" s="57"/>
      <c r="O603" s="57"/>
      <c r="P603" s="91"/>
    </row>
    <row r="604" spans="2:16" s="50" customFormat="1" ht="13.2">
      <c r="B604" s="86"/>
      <c r="C604" s="87"/>
      <c r="D604" s="87"/>
      <c r="E604" s="87"/>
      <c r="F604" s="87"/>
      <c r="G604" s="87"/>
      <c r="H604" s="87"/>
      <c r="I604" s="87"/>
      <c r="J604" s="87"/>
      <c r="K604" s="88"/>
      <c r="L604" s="89"/>
      <c r="M604" s="90"/>
      <c r="N604" s="57"/>
      <c r="O604" s="57"/>
      <c r="P604" s="91"/>
    </row>
    <row r="605" spans="2:16" s="50" customFormat="1" ht="13.2">
      <c r="B605" s="86"/>
      <c r="C605" s="87"/>
      <c r="D605" s="87"/>
      <c r="E605" s="87"/>
      <c r="F605" s="87"/>
      <c r="G605" s="87"/>
      <c r="H605" s="87"/>
      <c r="I605" s="87"/>
      <c r="J605" s="87"/>
      <c r="K605" s="88"/>
      <c r="L605" s="89"/>
      <c r="M605" s="90"/>
      <c r="N605" s="57"/>
      <c r="O605" s="57"/>
      <c r="P605" s="91"/>
    </row>
    <row r="606" spans="2:16" s="50" customFormat="1" ht="13.2">
      <c r="B606" s="86"/>
      <c r="C606" s="87"/>
      <c r="D606" s="87"/>
      <c r="E606" s="87"/>
      <c r="F606" s="87"/>
      <c r="G606" s="87"/>
      <c r="H606" s="87"/>
      <c r="I606" s="87"/>
      <c r="J606" s="87"/>
      <c r="K606" s="88"/>
      <c r="L606" s="89"/>
      <c r="M606" s="90"/>
      <c r="N606" s="57"/>
      <c r="O606" s="57"/>
      <c r="P606" s="91"/>
    </row>
    <row r="607" spans="2:16" s="50" customFormat="1" ht="13.2">
      <c r="B607" s="86"/>
      <c r="C607" s="87"/>
      <c r="D607" s="87"/>
      <c r="E607" s="87"/>
      <c r="F607" s="87"/>
      <c r="G607" s="87"/>
      <c r="H607" s="87"/>
      <c r="I607" s="87"/>
      <c r="J607" s="87"/>
      <c r="K607" s="88"/>
      <c r="L607" s="89"/>
      <c r="M607" s="90"/>
      <c r="N607" s="57"/>
      <c r="O607" s="57"/>
      <c r="P607" s="91"/>
    </row>
    <row r="608" spans="2:16" s="50" customFormat="1" ht="13.2">
      <c r="B608" s="86"/>
      <c r="C608" s="87"/>
      <c r="D608" s="87"/>
      <c r="E608" s="87"/>
      <c r="F608" s="87"/>
      <c r="G608" s="87"/>
      <c r="H608" s="87"/>
      <c r="I608" s="87"/>
      <c r="J608" s="87"/>
      <c r="K608" s="88"/>
      <c r="L608" s="89"/>
      <c r="M608" s="90"/>
      <c r="N608" s="57"/>
      <c r="O608" s="57"/>
      <c r="P608" s="91"/>
    </row>
    <row r="609" spans="2:16" s="50" customFormat="1" ht="13.2">
      <c r="B609" s="86"/>
      <c r="C609" s="87"/>
      <c r="D609" s="87"/>
      <c r="E609" s="87"/>
      <c r="F609" s="87"/>
      <c r="G609" s="87"/>
      <c r="H609" s="87"/>
      <c r="I609" s="87"/>
      <c r="J609" s="87"/>
      <c r="K609" s="88"/>
      <c r="L609" s="89"/>
      <c r="M609" s="90"/>
      <c r="N609" s="57"/>
      <c r="O609" s="57"/>
      <c r="P609" s="91"/>
    </row>
    <row r="610" spans="2:16" s="50" customFormat="1" ht="13.2">
      <c r="B610" s="86"/>
      <c r="C610" s="87"/>
      <c r="D610" s="87"/>
      <c r="E610" s="87"/>
      <c r="F610" s="87"/>
      <c r="G610" s="87"/>
      <c r="H610" s="87"/>
      <c r="I610" s="87"/>
      <c r="J610" s="87"/>
      <c r="K610" s="88"/>
      <c r="L610" s="89"/>
      <c r="M610" s="90"/>
      <c r="N610" s="57"/>
      <c r="O610" s="57"/>
      <c r="P610" s="91"/>
    </row>
    <row r="611" spans="2:16" s="50" customFormat="1" ht="13.2">
      <c r="B611" s="86"/>
      <c r="C611" s="87"/>
      <c r="D611" s="87"/>
      <c r="E611" s="87"/>
      <c r="F611" s="87"/>
      <c r="G611" s="87"/>
      <c r="H611" s="87"/>
      <c r="I611" s="87"/>
      <c r="J611" s="87"/>
      <c r="K611" s="88"/>
      <c r="L611" s="89"/>
      <c r="M611" s="90"/>
      <c r="N611" s="57"/>
      <c r="O611" s="57"/>
      <c r="P611" s="91"/>
    </row>
    <row r="612" spans="2:16" s="50" customFormat="1" ht="13.2">
      <c r="B612" s="86"/>
      <c r="C612" s="87"/>
      <c r="D612" s="87"/>
      <c r="E612" s="87"/>
      <c r="F612" s="87"/>
      <c r="G612" s="87"/>
      <c r="H612" s="87"/>
      <c r="I612" s="87"/>
      <c r="J612" s="87"/>
      <c r="K612" s="88"/>
      <c r="L612" s="89"/>
      <c r="M612" s="90"/>
      <c r="N612" s="57"/>
      <c r="O612" s="57"/>
      <c r="P612" s="91"/>
    </row>
    <row r="613" spans="2:16" s="50" customFormat="1" ht="13.2">
      <c r="B613" s="86"/>
      <c r="C613" s="87"/>
      <c r="D613" s="87"/>
      <c r="E613" s="87"/>
      <c r="F613" s="87"/>
      <c r="G613" s="87"/>
      <c r="H613" s="87"/>
      <c r="I613" s="87"/>
      <c r="J613" s="87"/>
      <c r="K613" s="88"/>
      <c r="L613" s="89"/>
      <c r="M613" s="90"/>
      <c r="N613" s="57"/>
      <c r="O613" s="57"/>
      <c r="P613" s="91"/>
    </row>
    <row r="614" spans="2:16" s="50" customFormat="1" ht="13.2">
      <c r="B614" s="86"/>
      <c r="C614" s="87"/>
      <c r="D614" s="87"/>
      <c r="E614" s="87"/>
      <c r="F614" s="87"/>
      <c r="G614" s="87"/>
      <c r="H614" s="87"/>
      <c r="I614" s="87"/>
      <c r="J614" s="87"/>
      <c r="K614" s="88"/>
      <c r="L614" s="89"/>
      <c r="M614" s="90"/>
      <c r="N614" s="57"/>
      <c r="O614" s="57"/>
      <c r="P614" s="91"/>
    </row>
    <row r="615" spans="2:16" s="50" customFormat="1" ht="13.2">
      <c r="B615" s="86"/>
      <c r="C615" s="87"/>
      <c r="D615" s="87"/>
      <c r="E615" s="87"/>
      <c r="F615" s="87"/>
      <c r="G615" s="87"/>
      <c r="H615" s="87"/>
      <c r="I615" s="87"/>
      <c r="J615" s="87"/>
      <c r="K615" s="88"/>
      <c r="L615" s="89"/>
      <c r="M615" s="90"/>
      <c r="N615" s="57"/>
      <c r="O615" s="57"/>
      <c r="P615" s="91"/>
    </row>
    <row r="616" spans="2:16" s="50" customFormat="1" ht="13.2">
      <c r="B616" s="86"/>
      <c r="C616" s="87"/>
      <c r="D616" s="87"/>
      <c r="E616" s="87"/>
      <c r="F616" s="87"/>
      <c r="G616" s="87"/>
      <c r="H616" s="87"/>
      <c r="I616" s="87"/>
      <c r="J616" s="87"/>
      <c r="K616" s="88"/>
      <c r="L616" s="89"/>
      <c r="M616" s="90"/>
      <c r="N616" s="57"/>
      <c r="O616" s="57"/>
      <c r="P616" s="91"/>
    </row>
    <row r="617" spans="2:16" s="50" customFormat="1" ht="13.2">
      <c r="B617" s="86"/>
      <c r="C617" s="87"/>
      <c r="D617" s="87"/>
      <c r="E617" s="87"/>
      <c r="F617" s="87"/>
      <c r="G617" s="87"/>
      <c r="H617" s="87"/>
      <c r="I617" s="87"/>
      <c r="J617" s="87"/>
      <c r="K617" s="88"/>
      <c r="L617" s="89"/>
      <c r="M617" s="90"/>
      <c r="N617" s="57"/>
      <c r="O617" s="57"/>
      <c r="P617" s="91"/>
    </row>
    <row r="618" spans="2:16" s="50" customFormat="1" ht="13.2">
      <c r="B618" s="86"/>
      <c r="C618" s="87"/>
      <c r="D618" s="87"/>
      <c r="E618" s="87"/>
      <c r="F618" s="87"/>
      <c r="G618" s="87"/>
      <c r="H618" s="87"/>
      <c r="I618" s="87"/>
      <c r="J618" s="87"/>
      <c r="K618" s="88"/>
      <c r="L618" s="89"/>
      <c r="M618" s="90"/>
      <c r="N618" s="57"/>
      <c r="O618" s="57"/>
      <c r="P618" s="91"/>
    </row>
    <row r="619" spans="2:16" s="50" customFormat="1" ht="13.2">
      <c r="B619" s="86"/>
      <c r="C619" s="87"/>
      <c r="D619" s="87"/>
      <c r="E619" s="87"/>
      <c r="F619" s="87"/>
      <c r="G619" s="87"/>
      <c r="H619" s="87"/>
      <c r="I619" s="87"/>
      <c r="J619" s="87"/>
      <c r="K619" s="88"/>
      <c r="L619" s="89"/>
      <c r="M619" s="90"/>
      <c r="N619" s="57"/>
      <c r="O619" s="57"/>
      <c r="P619" s="91"/>
    </row>
    <row r="620" spans="2:16" s="50" customFormat="1" ht="13.2">
      <c r="B620" s="86"/>
      <c r="C620" s="87"/>
      <c r="D620" s="87"/>
      <c r="E620" s="87"/>
      <c r="F620" s="87"/>
      <c r="G620" s="87"/>
      <c r="H620" s="87"/>
      <c r="I620" s="87"/>
      <c r="J620" s="87"/>
      <c r="K620" s="88"/>
      <c r="L620" s="89"/>
      <c r="M620" s="90"/>
      <c r="N620" s="57"/>
      <c r="O620" s="57"/>
      <c r="P620" s="91"/>
    </row>
    <row r="621" spans="2:16" s="50" customFormat="1" ht="13.2">
      <c r="B621" s="86"/>
      <c r="C621" s="87"/>
      <c r="D621" s="87"/>
      <c r="E621" s="87"/>
      <c r="F621" s="87"/>
      <c r="G621" s="87"/>
      <c r="H621" s="87"/>
      <c r="I621" s="87"/>
      <c r="J621" s="87"/>
      <c r="K621" s="88"/>
      <c r="L621" s="89"/>
      <c r="M621" s="90"/>
      <c r="N621" s="57"/>
      <c r="O621" s="57"/>
      <c r="P621" s="91"/>
    </row>
    <row r="622" spans="2:16" s="50" customFormat="1" ht="13.2">
      <c r="B622" s="86"/>
      <c r="C622" s="87"/>
      <c r="D622" s="87"/>
      <c r="E622" s="87"/>
      <c r="F622" s="87"/>
      <c r="G622" s="87"/>
      <c r="H622" s="87"/>
      <c r="I622" s="87"/>
      <c r="J622" s="87"/>
      <c r="K622" s="88"/>
      <c r="L622" s="89"/>
      <c r="M622" s="90"/>
      <c r="N622" s="57"/>
      <c r="O622" s="57"/>
      <c r="P622" s="91"/>
    </row>
    <row r="623" spans="2:16" s="50" customFormat="1" ht="13.2">
      <c r="B623" s="86"/>
      <c r="C623" s="87"/>
      <c r="D623" s="87"/>
      <c r="E623" s="87"/>
      <c r="F623" s="87"/>
      <c r="G623" s="87"/>
      <c r="H623" s="87"/>
      <c r="I623" s="87"/>
      <c r="J623" s="87"/>
      <c r="K623" s="88"/>
      <c r="L623" s="89"/>
      <c r="M623" s="90"/>
      <c r="N623" s="57"/>
      <c r="O623" s="57"/>
      <c r="P623" s="91"/>
    </row>
    <row r="624" spans="2:16" s="50" customFormat="1" ht="13.2">
      <c r="B624" s="86"/>
      <c r="C624" s="87"/>
      <c r="D624" s="87"/>
      <c r="E624" s="87"/>
      <c r="F624" s="87"/>
      <c r="G624" s="87"/>
      <c r="H624" s="87"/>
      <c r="I624" s="87"/>
      <c r="J624" s="87"/>
      <c r="K624" s="88"/>
      <c r="L624" s="89"/>
      <c r="M624" s="90"/>
      <c r="N624" s="57"/>
      <c r="O624" s="57"/>
      <c r="P624" s="91"/>
    </row>
    <row r="625" spans="2:16" s="50" customFormat="1" ht="13.2">
      <c r="B625" s="86"/>
      <c r="C625" s="87"/>
      <c r="D625" s="87"/>
      <c r="E625" s="87"/>
      <c r="F625" s="87"/>
      <c r="G625" s="87"/>
      <c r="H625" s="87"/>
      <c r="I625" s="87"/>
      <c r="J625" s="87"/>
      <c r="K625" s="88"/>
      <c r="L625" s="89"/>
      <c r="M625" s="90"/>
      <c r="N625" s="57"/>
      <c r="O625" s="57"/>
      <c r="P625" s="91"/>
    </row>
    <row r="626" spans="2:16" s="50" customFormat="1" ht="13.2">
      <c r="B626" s="86"/>
      <c r="C626" s="87"/>
      <c r="D626" s="87"/>
      <c r="E626" s="87"/>
      <c r="F626" s="87"/>
      <c r="G626" s="87"/>
      <c r="H626" s="87"/>
      <c r="I626" s="87"/>
      <c r="J626" s="87"/>
      <c r="K626" s="88"/>
      <c r="L626" s="89"/>
      <c r="M626" s="90"/>
      <c r="N626" s="57"/>
      <c r="O626" s="57"/>
      <c r="P626" s="91"/>
    </row>
    <row r="627" spans="2:16" s="50" customFormat="1" ht="13.2">
      <c r="B627" s="86"/>
      <c r="C627" s="87"/>
      <c r="D627" s="87"/>
      <c r="E627" s="87"/>
      <c r="F627" s="87"/>
      <c r="G627" s="87"/>
      <c r="H627" s="87"/>
      <c r="I627" s="87"/>
      <c r="J627" s="87"/>
      <c r="K627" s="88"/>
      <c r="L627" s="89"/>
      <c r="M627" s="90"/>
      <c r="N627" s="57"/>
      <c r="O627" s="57"/>
      <c r="P627" s="91"/>
    </row>
    <row r="628" spans="2:16" s="50" customFormat="1" ht="13.2">
      <c r="B628" s="86"/>
      <c r="C628" s="87"/>
      <c r="D628" s="87"/>
      <c r="E628" s="87"/>
      <c r="F628" s="87"/>
      <c r="G628" s="87"/>
      <c r="H628" s="87"/>
      <c r="I628" s="87"/>
      <c r="J628" s="87"/>
      <c r="K628" s="88"/>
      <c r="L628" s="89"/>
      <c r="M628" s="90"/>
      <c r="N628" s="57"/>
      <c r="O628" s="57"/>
      <c r="P628" s="91"/>
    </row>
    <row r="629" spans="2:16" s="50" customFormat="1" ht="13.2">
      <c r="B629" s="86"/>
      <c r="C629" s="87"/>
      <c r="D629" s="87"/>
      <c r="E629" s="87"/>
      <c r="F629" s="87"/>
      <c r="G629" s="87"/>
      <c r="H629" s="87"/>
      <c r="I629" s="87"/>
      <c r="J629" s="87"/>
      <c r="K629" s="88"/>
      <c r="L629" s="89"/>
      <c r="M629" s="90"/>
      <c r="N629" s="57"/>
      <c r="O629" s="57"/>
      <c r="P629" s="91"/>
    </row>
    <row r="630" spans="2:16" s="50" customFormat="1" ht="13.2">
      <c r="B630" s="86"/>
      <c r="C630" s="87"/>
      <c r="D630" s="87"/>
      <c r="E630" s="87"/>
      <c r="F630" s="87"/>
      <c r="G630" s="87"/>
      <c r="H630" s="87"/>
      <c r="I630" s="87"/>
      <c r="J630" s="87"/>
      <c r="K630" s="88"/>
      <c r="L630" s="89"/>
      <c r="M630" s="90"/>
      <c r="N630" s="57"/>
      <c r="O630" s="57"/>
      <c r="P630" s="91"/>
    </row>
    <row r="631" spans="2:16" s="50" customFormat="1" ht="13.2">
      <c r="B631" s="86"/>
      <c r="C631" s="87"/>
      <c r="D631" s="87"/>
      <c r="E631" s="87"/>
      <c r="F631" s="87"/>
      <c r="G631" s="87"/>
      <c r="H631" s="87"/>
      <c r="I631" s="87"/>
      <c r="J631" s="87"/>
      <c r="K631" s="88"/>
      <c r="L631" s="89"/>
      <c r="M631" s="90"/>
      <c r="N631" s="57"/>
      <c r="O631" s="57"/>
      <c r="P631" s="91"/>
    </row>
    <row r="632" spans="2:16" s="50" customFormat="1" ht="13.2">
      <c r="B632" s="86"/>
      <c r="C632" s="87"/>
      <c r="D632" s="87"/>
      <c r="E632" s="87"/>
      <c r="F632" s="87"/>
      <c r="G632" s="87"/>
      <c r="H632" s="87"/>
      <c r="I632" s="87"/>
      <c r="J632" s="87"/>
      <c r="K632" s="88"/>
      <c r="L632" s="89"/>
      <c r="M632" s="90"/>
      <c r="N632" s="57"/>
      <c r="O632" s="57"/>
      <c r="P632" s="91"/>
    </row>
    <row r="633" spans="2:16" s="50" customFormat="1" ht="13.2">
      <c r="B633" s="86"/>
      <c r="C633" s="87"/>
      <c r="D633" s="87"/>
      <c r="E633" s="87"/>
      <c r="F633" s="87"/>
      <c r="G633" s="87"/>
      <c r="H633" s="87"/>
      <c r="I633" s="87"/>
      <c r="J633" s="87"/>
      <c r="K633" s="88"/>
      <c r="L633" s="89"/>
      <c r="M633" s="90"/>
      <c r="N633" s="57"/>
      <c r="O633" s="57"/>
      <c r="P633" s="91"/>
    </row>
    <row r="634" spans="2:16" s="50" customFormat="1" ht="13.2">
      <c r="B634" s="86"/>
      <c r="C634" s="87"/>
      <c r="D634" s="87"/>
      <c r="E634" s="87"/>
      <c r="F634" s="87"/>
      <c r="G634" s="87"/>
      <c r="H634" s="87"/>
      <c r="I634" s="87"/>
      <c r="J634" s="87"/>
      <c r="K634" s="88"/>
      <c r="L634" s="89"/>
      <c r="M634" s="90"/>
      <c r="N634" s="57"/>
      <c r="O634" s="57"/>
      <c r="P634" s="91"/>
    </row>
    <row r="635" spans="2:16" s="50" customFormat="1" ht="13.2">
      <c r="B635" s="86"/>
      <c r="C635" s="87"/>
      <c r="D635" s="87"/>
      <c r="E635" s="87"/>
      <c r="F635" s="87"/>
      <c r="G635" s="87"/>
      <c r="H635" s="87"/>
      <c r="I635" s="87"/>
      <c r="J635" s="87"/>
      <c r="K635" s="88"/>
      <c r="L635" s="89"/>
      <c r="M635" s="90"/>
      <c r="N635" s="57"/>
      <c r="O635" s="57"/>
      <c r="P635" s="91"/>
    </row>
    <row r="636" spans="2:16" s="50" customFormat="1" ht="13.2">
      <c r="B636" s="86"/>
      <c r="C636" s="87"/>
      <c r="D636" s="87"/>
      <c r="E636" s="87"/>
      <c r="F636" s="87"/>
      <c r="G636" s="87"/>
      <c r="H636" s="87"/>
      <c r="I636" s="87"/>
      <c r="J636" s="87"/>
      <c r="K636" s="88"/>
      <c r="L636" s="89"/>
      <c r="M636" s="90"/>
      <c r="N636" s="57"/>
      <c r="O636" s="57"/>
      <c r="P636" s="91"/>
    </row>
    <row r="637" spans="2:16" s="50" customFormat="1" ht="13.2">
      <c r="B637" s="86"/>
      <c r="C637" s="87"/>
      <c r="D637" s="87"/>
      <c r="E637" s="87"/>
      <c r="F637" s="87"/>
      <c r="G637" s="87"/>
      <c r="H637" s="87"/>
      <c r="I637" s="87"/>
      <c r="J637" s="87"/>
      <c r="K637" s="88"/>
      <c r="L637" s="89"/>
      <c r="M637" s="90"/>
      <c r="N637" s="57"/>
      <c r="O637" s="57"/>
      <c r="P637" s="91"/>
    </row>
    <row r="638" spans="2:16" s="50" customFormat="1" ht="13.2">
      <c r="B638" s="86"/>
      <c r="C638" s="87"/>
      <c r="D638" s="87"/>
      <c r="E638" s="87"/>
      <c r="F638" s="87"/>
      <c r="G638" s="87"/>
      <c r="H638" s="87"/>
      <c r="I638" s="87"/>
      <c r="J638" s="87"/>
      <c r="K638" s="88"/>
      <c r="L638" s="89"/>
      <c r="M638" s="90"/>
      <c r="N638" s="57"/>
      <c r="O638" s="57"/>
      <c r="P638" s="91"/>
    </row>
    <row r="639" spans="2:16" s="50" customFormat="1" ht="13.2">
      <c r="B639" s="86"/>
      <c r="C639" s="87"/>
      <c r="D639" s="87"/>
      <c r="E639" s="87"/>
      <c r="F639" s="87"/>
      <c r="G639" s="87"/>
      <c r="H639" s="87"/>
      <c r="I639" s="87"/>
      <c r="J639" s="87"/>
      <c r="K639" s="88"/>
      <c r="L639" s="89"/>
      <c r="M639" s="90"/>
      <c r="N639" s="57"/>
      <c r="O639" s="57"/>
      <c r="P639" s="91"/>
    </row>
    <row r="640" spans="2:16" s="50" customFormat="1" ht="13.2">
      <c r="B640" s="86"/>
      <c r="C640" s="87"/>
      <c r="D640" s="87"/>
      <c r="E640" s="87"/>
      <c r="F640" s="87"/>
      <c r="G640" s="87"/>
      <c r="H640" s="87"/>
      <c r="I640" s="87"/>
      <c r="J640" s="87"/>
      <c r="K640" s="88"/>
      <c r="L640" s="89"/>
      <c r="M640" s="90"/>
      <c r="N640" s="57"/>
      <c r="O640" s="57"/>
      <c r="P640" s="91"/>
    </row>
    <row r="641" spans="2:16" s="50" customFormat="1" ht="13.2">
      <c r="B641" s="86"/>
      <c r="C641" s="87"/>
      <c r="D641" s="87"/>
      <c r="E641" s="87"/>
      <c r="F641" s="87"/>
      <c r="G641" s="87"/>
      <c r="H641" s="87"/>
      <c r="I641" s="87"/>
      <c r="J641" s="87"/>
      <c r="K641" s="88"/>
      <c r="L641" s="89"/>
      <c r="M641" s="90"/>
      <c r="N641" s="57"/>
      <c r="O641" s="57"/>
      <c r="P641" s="91"/>
    </row>
    <row r="642" spans="2:16" s="50" customFormat="1" ht="13.2">
      <c r="B642" s="86"/>
      <c r="C642" s="87"/>
      <c r="D642" s="87"/>
      <c r="E642" s="87"/>
      <c r="F642" s="87"/>
      <c r="G642" s="87"/>
      <c r="H642" s="87"/>
      <c r="I642" s="87"/>
      <c r="J642" s="87"/>
      <c r="K642" s="88"/>
      <c r="L642" s="89"/>
      <c r="M642" s="90"/>
      <c r="N642" s="57"/>
      <c r="O642" s="57"/>
      <c r="P642" s="91"/>
    </row>
    <row r="643" spans="2:16" s="50" customFormat="1" ht="13.2">
      <c r="B643" s="86"/>
      <c r="C643" s="87"/>
      <c r="D643" s="87"/>
      <c r="E643" s="87"/>
      <c r="F643" s="87"/>
      <c r="G643" s="87"/>
      <c r="H643" s="87"/>
      <c r="I643" s="87"/>
      <c r="J643" s="87"/>
      <c r="K643" s="88"/>
      <c r="L643" s="89"/>
      <c r="M643" s="90"/>
      <c r="N643" s="57"/>
      <c r="O643" s="57"/>
      <c r="P643" s="91"/>
    </row>
    <row r="644" spans="2:16" s="50" customFormat="1" ht="13.2">
      <c r="B644" s="86"/>
      <c r="C644" s="87"/>
      <c r="D644" s="87"/>
      <c r="E644" s="87"/>
      <c r="F644" s="87"/>
      <c r="G644" s="87"/>
      <c r="H644" s="87"/>
      <c r="I644" s="87"/>
      <c r="J644" s="87"/>
      <c r="K644" s="88"/>
      <c r="L644" s="89"/>
      <c r="M644" s="90"/>
      <c r="N644" s="57"/>
      <c r="O644" s="57"/>
      <c r="P644" s="91"/>
    </row>
    <row r="645" spans="2:16" s="50" customFormat="1" ht="13.2">
      <c r="B645" s="86"/>
      <c r="C645" s="87"/>
      <c r="D645" s="87"/>
      <c r="E645" s="87"/>
      <c r="F645" s="87"/>
      <c r="G645" s="87"/>
      <c r="H645" s="87"/>
      <c r="I645" s="87"/>
      <c r="J645" s="87"/>
      <c r="K645" s="88"/>
      <c r="L645" s="89"/>
      <c r="M645" s="90"/>
      <c r="N645" s="57"/>
      <c r="O645" s="57"/>
      <c r="P645" s="91"/>
    </row>
    <row r="646" spans="2:16" s="50" customFormat="1" ht="13.2">
      <c r="B646" s="86"/>
      <c r="C646" s="87"/>
      <c r="D646" s="87"/>
      <c r="E646" s="87"/>
      <c r="F646" s="87"/>
      <c r="G646" s="87"/>
      <c r="H646" s="87"/>
      <c r="I646" s="87"/>
      <c r="J646" s="87"/>
      <c r="K646" s="88"/>
      <c r="L646" s="89"/>
      <c r="M646" s="90"/>
      <c r="N646" s="57"/>
      <c r="O646" s="57"/>
      <c r="P646" s="91"/>
    </row>
    <row r="647" spans="2:16" s="50" customFormat="1" ht="13.2">
      <c r="B647" s="86"/>
      <c r="C647" s="87"/>
      <c r="D647" s="87"/>
      <c r="E647" s="87"/>
      <c r="F647" s="87"/>
      <c r="G647" s="87"/>
      <c r="H647" s="87"/>
      <c r="I647" s="87"/>
      <c r="J647" s="87"/>
      <c r="K647" s="88"/>
      <c r="L647" s="89"/>
      <c r="M647" s="90"/>
      <c r="N647" s="57"/>
      <c r="O647" s="57"/>
      <c r="P647" s="91"/>
    </row>
    <row r="648" spans="2:16" s="50" customFormat="1" ht="13.2">
      <c r="B648" s="86"/>
      <c r="C648" s="87"/>
      <c r="D648" s="87"/>
      <c r="E648" s="87"/>
      <c r="F648" s="87"/>
      <c r="G648" s="87"/>
      <c r="H648" s="87"/>
      <c r="I648" s="87"/>
      <c r="J648" s="87"/>
      <c r="K648" s="88"/>
      <c r="L648" s="89"/>
      <c r="M648" s="90"/>
      <c r="N648" s="57"/>
      <c r="O648" s="57"/>
      <c r="P648" s="91"/>
    </row>
    <row r="649" spans="2:16" s="50" customFormat="1" ht="13.2">
      <c r="B649" s="86"/>
      <c r="C649" s="87"/>
      <c r="D649" s="87"/>
      <c r="E649" s="87"/>
      <c r="F649" s="87"/>
      <c r="G649" s="87"/>
      <c r="H649" s="87"/>
      <c r="I649" s="87"/>
      <c r="J649" s="87"/>
      <c r="K649" s="88"/>
      <c r="L649" s="89"/>
      <c r="M649" s="90"/>
      <c r="N649" s="57"/>
      <c r="O649" s="57"/>
      <c r="P649" s="91"/>
    </row>
    <row r="650" spans="2:16" s="50" customFormat="1" ht="13.2">
      <c r="B650" s="86"/>
      <c r="C650" s="87"/>
      <c r="D650" s="87"/>
      <c r="E650" s="87"/>
      <c r="F650" s="87"/>
      <c r="G650" s="87"/>
      <c r="H650" s="87"/>
      <c r="I650" s="87"/>
      <c r="J650" s="87"/>
      <c r="K650" s="88"/>
      <c r="L650" s="89"/>
      <c r="M650" s="90"/>
      <c r="N650" s="57"/>
      <c r="O650" s="57"/>
      <c r="P650" s="91"/>
    </row>
    <row r="651" spans="2:16" s="50" customFormat="1" ht="13.2">
      <c r="B651" s="86"/>
      <c r="C651" s="87"/>
      <c r="D651" s="87"/>
      <c r="E651" s="87"/>
      <c r="F651" s="87"/>
      <c r="G651" s="87"/>
      <c r="H651" s="87"/>
      <c r="I651" s="87"/>
      <c r="J651" s="87"/>
      <c r="K651" s="88"/>
      <c r="L651" s="89"/>
      <c r="M651" s="90"/>
      <c r="N651" s="57"/>
      <c r="O651" s="57"/>
      <c r="P651" s="91"/>
    </row>
    <row r="652" spans="2:16" s="50" customFormat="1" ht="13.2">
      <c r="B652" s="86"/>
      <c r="C652" s="87"/>
      <c r="D652" s="87"/>
      <c r="E652" s="87"/>
      <c r="F652" s="87"/>
      <c r="G652" s="87"/>
      <c r="H652" s="87"/>
      <c r="I652" s="87"/>
      <c r="J652" s="87"/>
      <c r="K652" s="88"/>
      <c r="L652" s="89"/>
      <c r="M652" s="90"/>
      <c r="N652" s="57"/>
      <c r="O652" s="57"/>
      <c r="P652" s="91"/>
    </row>
    <row r="653" spans="2:16" s="50" customFormat="1" ht="13.2">
      <c r="B653" s="86"/>
      <c r="C653" s="87"/>
      <c r="D653" s="87"/>
      <c r="E653" s="87"/>
      <c r="F653" s="87"/>
      <c r="G653" s="87"/>
      <c r="H653" s="87"/>
      <c r="I653" s="87"/>
      <c r="J653" s="87"/>
      <c r="K653" s="88"/>
      <c r="L653" s="89"/>
      <c r="M653" s="90"/>
      <c r="N653" s="57"/>
      <c r="O653" s="57"/>
      <c r="P653" s="91"/>
    </row>
    <row r="654" spans="2:16" s="50" customFormat="1" ht="13.2">
      <c r="B654" s="86"/>
      <c r="C654" s="87"/>
      <c r="D654" s="87"/>
      <c r="E654" s="87"/>
      <c r="F654" s="87"/>
      <c r="G654" s="87"/>
      <c r="H654" s="87"/>
      <c r="I654" s="87"/>
      <c r="J654" s="87"/>
      <c r="K654" s="88"/>
      <c r="L654" s="89"/>
      <c r="M654" s="90"/>
      <c r="N654" s="57"/>
      <c r="O654" s="57"/>
      <c r="P654" s="91"/>
    </row>
    <row r="655" spans="2:16" s="50" customFormat="1" ht="13.2">
      <c r="B655" s="86"/>
      <c r="C655" s="87"/>
      <c r="D655" s="87"/>
      <c r="E655" s="87"/>
      <c r="F655" s="87"/>
      <c r="G655" s="87"/>
      <c r="H655" s="87"/>
      <c r="I655" s="87"/>
      <c r="J655" s="87"/>
      <c r="K655" s="88"/>
      <c r="L655" s="89"/>
      <c r="M655" s="90"/>
      <c r="N655" s="57"/>
      <c r="O655" s="57"/>
      <c r="P655" s="91"/>
    </row>
    <row r="656" spans="2:16" s="50" customFormat="1" ht="13.2">
      <c r="B656" s="86"/>
      <c r="C656" s="87"/>
      <c r="D656" s="87"/>
      <c r="E656" s="87"/>
      <c r="F656" s="87"/>
      <c r="G656" s="87"/>
      <c r="H656" s="87"/>
      <c r="I656" s="87"/>
      <c r="J656" s="87"/>
      <c r="K656" s="88"/>
      <c r="L656" s="89"/>
      <c r="M656" s="90"/>
      <c r="N656" s="57"/>
      <c r="O656" s="57"/>
      <c r="P656" s="91"/>
    </row>
    <row r="657" spans="2:16" s="50" customFormat="1" ht="13.2">
      <c r="B657" s="86"/>
      <c r="C657" s="87"/>
      <c r="D657" s="87"/>
      <c r="E657" s="87"/>
      <c r="F657" s="87"/>
      <c r="G657" s="87"/>
      <c r="H657" s="87"/>
      <c r="I657" s="87"/>
      <c r="J657" s="87"/>
      <c r="K657" s="88"/>
      <c r="L657" s="89"/>
      <c r="M657" s="90"/>
      <c r="N657" s="57"/>
      <c r="O657" s="57"/>
      <c r="P657" s="91"/>
    </row>
    <row r="658" spans="2:16" s="50" customFormat="1" ht="13.2">
      <c r="B658" s="86"/>
      <c r="C658" s="87"/>
      <c r="D658" s="87"/>
      <c r="E658" s="87"/>
      <c r="F658" s="87"/>
      <c r="G658" s="87"/>
      <c r="H658" s="87"/>
      <c r="I658" s="87"/>
      <c r="J658" s="87"/>
      <c r="K658" s="88"/>
      <c r="L658" s="89"/>
      <c r="M658" s="90"/>
      <c r="N658" s="57"/>
      <c r="O658" s="57"/>
      <c r="P658" s="91"/>
    </row>
    <row r="659" spans="2:16" s="50" customFormat="1" ht="13.2">
      <c r="B659" s="86"/>
      <c r="C659" s="87"/>
      <c r="D659" s="87"/>
      <c r="E659" s="87"/>
      <c r="F659" s="87"/>
      <c r="G659" s="87"/>
      <c r="H659" s="87"/>
      <c r="I659" s="87"/>
      <c r="J659" s="87"/>
      <c r="K659" s="88"/>
      <c r="L659" s="89"/>
      <c r="M659" s="90"/>
      <c r="N659" s="57"/>
      <c r="O659" s="57"/>
      <c r="P659" s="91"/>
    </row>
    <row r="660" spans="2:16" s="50" customFormat="1" ht="13.2">
      <c r="B660" s="86"/>
      <c r="C660" s="87"/>
      <c r="D660" s="87"/>
      <c r="E660" s="87"/>
      <c r="F660" s="87"/>
      <c r="G660" s="87"/>
      <c r="H660" s="87"/>
      <c r="I660" s="87"/>
      <c r="J660" s="87"/>
      <c r="K660" s="88"/>
      <c r="L660" s="89"/>
      <c r="M660" s="90"/>
      <c r="N660" s="57"/>
      <c r="O660" s="57"/>
      <c r="P660" s="91"/>
    </row>
    <row r="661" spans="2:16" s="50" customFormat="1" ht="13.2">
      <c r="B661" s="86"/>
      <c r="C661" s="87"/>
      <c r="D661" s="87"/>
      <c r="E661" s="87"/>
      <c r="F661" s="87"/>
      <c r="G661" s="87"/>
      <c r="H661" s="87"/>
      <c r="I661" s="87"/>
      <c r="J661" s="87"/>
      <c r="K661" s="88"/>
      <c r="L661" s="89"/>
      <c r="M661" s="90"/>
      <c r="N661" s="57"/>
      <c r="O661" s="57"/>
      <c r="P661" s="91"/>
    </row>
    <row r="662" spans="2:16" s="50" customFormat="1" ht="13.2">
      <c r="B662" s="86"/>
      <c r="C662" s="87"/>
      <c r="D662" s="87"/>
      <c r="E662" s="87"/>
      <c r="F662" s="87"/>
      <c r="G662" s="87"/>
      <c r="H662" s="87"/>
      <c r="I662" s="87"/>
      <c r="J662" s="87"/>
      <c r="K662" s="88"/>
      <c r="L662" s="89"/>
      <c r="M662" s="90"/>
      <c r="N662" s="57"/>
      <c r="O662" s="57"/>
      <c r="P662" s="91"/>
    </row>
    <row r="663" spans="2:16" s="50" customFormat="1" ht="13.2">
      <c r="B663" s="86"/>
      <c r="C663" s="87"/>
      <c r="D663" s="87"/>
      <c r="E663" s="87"/>
      <c r="F663" s="87"/>
      <c r="G663" s="87"/>
      <c r="H663" s="87"/>
      <c r="I663" s="87"/>
      <c r="J663" s="87"/>
      <c r="K663" s="88"/>
      <c r="L663" s="89"/>
      <c r="M663" s="90"/>
      <c r="N663" s="57"/>
      <c r="O663" s="57"/>
      <c r="P663" s="91"/>
    </row>
    <row r="664" spans="2:16" s="50" customFormat="1" ht="13.2">
      <c r="B664" s="86"/>
      <c r="C664" s="87"/>
      <c r="D664" s="87"/>
      <c r="E664" s="87"/>
      <c r="F664" s="87"/>
      <c r="G664" s="87"/>
      <c r="H664" s="87"/>
      <c r="I664" s="87"/>
      <c r="J664" s="87"/>
      <c r="K664" s="88"/>
      <c r="L664" s="89"/>
      <c r="M664" s="90"/>
      <c r="N664" s="57"/>
      <c r="O664" s="57"/>
      <c r="P664" s="91"/>
    </row>
    <row r="665" spans="2:16" s="50" customFormat="1" ht="13.2">
      <c r="B665" s="86"/>
      <c r="C665" s="87"/>
      <c r="D665" s="87"/>
      <c r="E665" s="87"/>
      <c r="F665" s="87"/>
      <c r="G665" s="87"/>
      <c r="H665" s="87"/>
      <c r="I665" s="87"/>
      <c r="J665" s="87"/>
      <c r="K665" s="88"/>
      <c r="L665" s="89"/>
      <c r="M665" s="90"/>
      <c r="N665" s="57"/>
      <c r="O665" s="57"/>
      <c r="P665" s="91"/>
    </row>
    <row r="666" spans="2:16" s="50" customFormat="1" ht="13.2">
      <c r="B666" s="86"/>
      <c r="C666" s="87"/>
      <c r="D666" s="87"/>
      <c r="E666" s="87"/>
      <c r="F666" s="87"/>
      <c r="G666" s="87"/>
      <c r="H666" s="87"/>
      <c r="I666" s="87"/>
      <c r="J666" s="87"/>
      <c r="K666" s="88"/>
      <c r="L666" s="89"/>
      <c r="M666" s="90"/>
      <c r="N666" s="57"/>
      <c r="O666" s="57"/>
      <c r="P666" s="91"/>
    </row>
    <row r="667" spans="2:16" s="50" customFormat="1" ht="13.2">
      <c r="B667" s="86"/>
      <c r="C667" s="87"/>
      <c r="D667" s="87"/>
      <c r="E667" s="87"/>
      <c r="F667" s="87"/>
      <c r="G667" s="87"/>
      <c r="H667" s="87"/>
      <c r="I667" s="87"/>
      <c r="J667" s="87"/>
      <c r="K667" s="88"/>
      <c r="L667" s="89"/>
      <c r="M667" s="90"/>
      <c r="N667" s="57"/>
      <c r="O667" s="57"/>
      <c r="P667" s="91"/>
    </row>
    <row r="668" spans="2:16" s="50" customFormat="1" ht="13.2">
      <c r="B668" s="86"/>
      <c r="C668" s="87"/>
      <c r="D668" s="87"/>
      <c r="E668" s="87"/>
      <c r="F668" s="87"/>
      <c r="G668" s="87"/>
      <c r="H668" s="87"/>
      <c r="I668" s="87"/>
      <c r="J668" s="87"/>
      <c r="K668" s="88"/>
      <c r="L668" s="89"/>
      <c r="M668" s="90"/>
      <c r="N668" s="57"/>
      <c r="O668" s="57"/>
      <c r="P668" s="91"/>
    </row>
    <row r="669" spans="2:16" s="50" customFormat="1" ht="13.2">
      <c r="B669" s="86"/>
      <c r="C669" s="87"/>
      <c r="D669" s="87"/>
      <c r="E669" s="87"/>
      <c r="F669" s="87"/>
      <c r="G669" s="87"/>
      <c r="H669" s="87"/>
      <c r="I669" s="87"/>
      <c r="J669" s="87"/>
      <c r="K669" s="88"/>
      <c r="L669" s="89"/>
      <c r="M669" s="90"/>
      <c r="N669" s="57"/>
      <c r="O669" s="57"/>
      <c r="P669" s="91"/>
    </row>
    <row r="670" spans="2:16" s="50" customFormat="1" ht="13.2">
      <c r="B670" s="86"/>
      <c r="C670" s="87"/>
      <c r="D670" s="87"/>
      <c r="E670" s="87"/>
      <c r="F670" s="87"/>
      <c r="G670" s="87"/>
      <c r="H670" s="87"/>
      <c r="I670" s="87"/>
      <c r="J670" s="87"/>
      <c r="K670" s="88"/>
      <c r="L670" s="89"/>
      <c r="M670" s="90"/>
      <c r="N670" s="57"/>
      <c r="O670" s="57"/>
      <c r="P670" s="91"/>
    </row>
    <row r="671" spans="2:16" s="50" customFormat="1" ht="13.2">
      <c r="B671" s="86"/>
      <c r="C671" s="87"/>
      <c r="D671" s="87"/>
      <c r="E671" s="87"/>
      <c r="F671" s="87"/>
      <c r="G671" s="87"/>
      <c r="H671" s="87"/>
      <c r="I671" s="87"/>
      <c r="J671" s="87"/>
      <c r="K671" s="88"/>
      <c r="L671" s="89"/>
      <c r="M671" s="90"/>
      <c r="N671" s="57"/>
      <c r="O671" s="57"/>
      <c r="P671" s="91"/>
    </row>
    <row r="672" spans="2:16" s="50" customFormat="1" ht="13.2">
      <c r="B672" s="86"/>
      <c r="C672" s="87"/>
      <c r="D672" s="87"/>
      <c r="E672" s="87"/>
      <c r="F672" s="87"/>
      <c r="G672" s="87"/>
      <c r="H672" s="87"/>
      <c r="I672" s="87"/>
      <c r="J672" s="87"/>
      <c r="K672" s="88"/>
      <c r="L672" s="89"/>
      <c r="M672" s="90"/>
      <c r="N672" s="57"/>
      <c r="O672" s="57"/>
      <c r="P672" s="91"/>
    </row>
    <row r="673" spans="2:16" s="50" customFormat="1" ht="13.2">
      <c r="B673" s="86"/>
      <c r="C673" s="87"/>
      <c r="D673" s="87"/>
      <c r="E673" s="87"/>
      <c r="F673" s="87"/>
      <c r="G673" s="87"/>
      <c r="H673" s="87"/>
      <c r="I673" s="87"/>
      <c r="J673" s="87"/>
      <c r="K673" s="88"/>
      <c r="L673" s="89"/>
      <c r="M673" s="90"/>
      <c r="N673" s="57"/>
      <c r="O673" s="57"/>
      <c r="P673" s="91"/>
    </row>
    <row r="674" spans="2:16" s="50" customFormat="1" ht="13.2">
      <c r="B674" s="86"/>
      <c r="C674" s="87"/>
      <c r="D674" s="87"/>
      <c r="E674" s="87"/>
      <c r="F674" s="87"/>
      <c r="G674" s="87"/>
      <c r="H674" s="87"/>
      <c r="I674" s="87"/>
      <c r="J674" s="87"/>
      <c r="K674" s="88"/>
      <c r="L674" s="89"/>
      <c r="M674" s="90"/>
      <c r="N674" s="57"/>
      <c r="O674" s="57"/>
      <c r="P674" s="91"/>
    </row>
    <row r="675" spans="2:16" s="50" customFormat="1" ht="13.2">
      <c r="B675" s="86"/>
      <c r="C675" s="87"/>
      <c r="D675" s="87"/>
      <c r="E675" s="87"/>
      <c r="F675" s="87"/>
      <c r="G675" s="87"/>
      <c r="H675" s="87"/>
      <c r="I675" s="87"/>
      <c r="J675" s="87"/>
      <c r="K675" s="88"/>
      <c r="L675" s="89"/>
      <c r="M675" s="90"/>
      <c r="N675" s="57"/>
      <c r="O675" s="57"/>
      <c r="P675" s="91"/>
    </row>
    <row r="676" spans="2:16" s="50" customFormat="1" ht="13.2">
      <c r="B676" s="86"/>
      <c r="C676" s="87"/>
      <c r="D676" s="87"/>
      <c r="E676" s="87"/>
      <c r="F676" s="87"/>
      <c r="G676" s="87"/>
      <c r="H676" s="87"/>
      <c r="I676" s="87"/>
      <c r="J676" s="87"/>
      <c r="K676" s="88"/>
      <c r="L676" s="89"/>
      <c r="M676" s="90"/>
      <c r="N676" s="57"/>
      <c r="O676" s="57"/>
      <c r="P676" s="91"/>
    </row>
    <row r="677" spans="2:16" s="50" customFormat="1" ht="13.2">
      <c r="B677" s="86"/>
      <c r="C677" s="87"/>
      <c r="D677" s="87"/>
      <c r="E677" s="87"/>
      <c r="F677" s="87"/>
      <c r="G677" s="87"/>
      <c r="H677" s="87"/>
      <c r="I677" s="87"/>
      <c r="J677" s="87"/>
      <c r="K677" s="88"/>
      <c r="L677" s="89"/>
      <c r="M677" s="90"/>
      <c r="N677" s="57"/>
      <c r="O677" s="57"/>
      <c r="P677" s="91"/>
    </row>
    <row r="678" spans="2:16" s="50" customFormat="1" ht="13.2">
      <c r="B678" s="86"/>
      <c r="C678" s="87"/>
      <c r="D678" s="87"/>
      <c r="E678" s="87"/>
      <c r="F678" s="87"/>
      <c r="G678" s="87"/>
      <c r="H678" s="87"/>
      <c r="I678" s="87"/>
      <c r="J678" s="87"/>
      <c r="K678" s="88"/>
      <c r="L678" s="89"/>
      <c r="M678" s="90"/>
      <c r="N678" s="57"/>
      <c r="O678" s="57"/>
      <c r="P678" s="91"/>
    </row>
    <row r="679" spans="2:16" s="50" customFormat="1" ht="13.2">
      <c r="B679" s="86"/>
      <c r="C679" s="87"/>
      <c r="D679" s="87"/>
      <c r="E679" s="87"/>
      <c r="F679" s="87"/>
      <c r="G679" s="87"/>
      <c r="H679" s="87"/>
      <c r="I679" s="87"/>
      <c r="J679" s="87"/>
      <c r="K679" s="88"/>
      <c r="L679" s="89"/>
      <c r="M679" s="90"/>
      <c r="N679" s="57"/>
      <c r="O679" s="57"/>
      <c r="P679" s="91"/>
    </row>
    <row r="680" spans="2:16" s="50" customFormat="1" ht="13.2">
      <c r="B680" s="86"/>
      <c r="C680" s="87"/>
      <c r="D680" s="87"/>
      <c r="E680" s="87"/>
      <c r="F680" s="87"/>
      <c r="G680" s="87"/>
      <c r="H680" s="87"/>
      <c r="I680" s="87"/>
      <c r="J680" s="87"/>
      <c r="K680" s="88"/>
      <c r="L680" s="89"/>
      <c r="M680" s="90"/>
      <c r="N680" s="57"/>
      <c r="O680" s="57"/>
      <c r="P680" s="91"/>
    </row>
    <row r="681" spans="2:16" s="50" customFormat="1" ht="13.2">
      <c r="B681" s="86"/>
      <c r="C681" s="87"/>
      <c r="D681" s="87"/>
      <c r="E681" s="87"/>
      <c r="F681" s="87"/>
      <c r="G681" s="87"/>
      <c r="H681" s="87"/>
      <c r="I681" s="87"/>
      <c r="J681" s="87"/>
      <c r="K681" s="88"/>
      <c r="L681" s="89"/>
      <c r="M681" s="90"/>
      <c r="N681" s="57"/>
      <c r="O681" s="57"/>
      <c r="P681" s="91"/>
    </row>
    <row r="682" spans="2:16" s="50" customFormat="1" ht="13.2">
      <c r="B682" s="86"/>
      <c r="C682" s="87"/>
      <c r="D682" s="87"/>
      <c r="E682" s="87"/>
      <c r="F682" s="87"/>
      <c r="G682" s="87"/>
      <c r="H682" s="87"/>
      <c r="I682" s="87"/>
      <c r="J682" s="87"/>
      <c r="K682" s="88"/>
      <c r="L682" s="89"/>
      <c r="M682" s="90"/>
      <c r="N682" s="57"/>
      <c r="O682" s="57"/>
      <c r="P682" s="91"/>
    </row>
    <row r="683" spans="2:16" s="50" customFormat="1" ht="13.2">
      <c r="B683" s="86"/>
      <c r="C683" s="87"/>
      <c r="D683" s="87"/>
      <c r="E683" s="87"/>
      <c r="F683" s="87"/>
      <c r="G683" s="87"/>
      <c r="H683" s="87"/>
      <c r="I683" s="87"/>
      <c r="J683" s="87"/>
      <c r="K683" s="88"/>
      <c r="L683" s="89"/>
      <c r="M683" s="90"/>
      <c r="N683" s="57"/>
      <c r="O683" s="57"/>
      <c r="P683" s="91"/>
    </row>
    <row r="684" spans="2:16" s="50" customFormat="1" ht="13.2">
      <c r="B684" s="86"/>
      <c r="C684" s="87"/>
      <c r="D684" s="87"/>
      <c r="E684" s="87"/>
      <c r="F684" s="87"/>
      <c r="G684" s="87"/>
      <c r="H684" s="87"/>
      <c r="I684" s="87"/>
      <c r="J684" s="87"/>
      <c r="K684" s="88"/>
      <c r="L684" s="89"/>
      <c r="M684" s="90"/>
      <c r="N684" s="57"/>
      <c r="O684" s="57"/>
      <c r="P684" s="91"/>
    </row>
    <row r="685" spans="2:16" s="50" customFormat="1" ht="13.2">
      <c r="B685" s="86"/>
      <c r="C685" s="87"/>
      <c r="D685" s="87"/>
      <c r="E685" s="87"/>
      <c r="F685" s="87"/>
      <c r="G685" s="87"/>
      <c r="H685" s="87"/>
      <c r="I685" s="87"/>
      <c r="J685" s="87"/>
      <c r="K685" s="88"/>
      <c r="L685" s="89"/>
      <c r="M685" s="90"/>
      <c r="N685" s="57"/>
      <c r="O685" s="57"/>
      <c r="P685" s="91"/>
    </row>
    <row r="686" spans="2:16" s="50" customFormat="1" ht="13.2">
      <c r="B686" s="86"/>
      <c r="C686" s="87"/>
      <c r="D686" s="87"/>
      <c r="E686" s="87"/>
      <c r="F686" s="87"/>
      <c r="G686" s="87"/>
      <c r="H686" s="87"/>
      <c r="I686" s="87"/>
      <c r="J686" s="87"/>
      <c r="K686" s="88"/>
      <c r="L686" s="89"/>
      <c r="M686" s="90"/>
      <c r="N686" s="57"/>
      <c r="O686" s="57"/>
      <c r="P686" s="91"/>
    </row>
    <row r="687" spans="2:16" s="50" customFormat="1" ht="13.2">
      <c r="B687" s="86"/>
      <c r="C687" s="87"/>
      <c r="D687" s="87"/>
      <c r="E687" s="87"/>
      <c r="F687" s="87"/>
      <c r="G687" s="87"/>
      <c r="H687" s="87"/>
      <c r="I687" s="87"/>
      <c r="J687" s="87"/>
      <c r="K687" s="88"/>
      <c r="L687" s="89"/>
      <c r="M687" s="90"/>
      <c r="N687" s="57"/>
      <c r="O687" s="57"/>
      <c r="P687" s="91"/>
    </row>
    <row r="688" spans="2:16" s="50" customFormat="1" ht="13.2">
      <c r="B688" s="86"/>
      <c r="C688" s="87"/>
      <c r="D688" s="87"/>
      <c r="E688" s="87"/>
      <c r="F688" s="87"/>
      <c r="G688" s="87"/>
      <c r="H688" s="87"/>
      <c r="I688" s="87"/>
      <c r="J688" s="87"/>
      <c r="K688" s="88"/>
      <c r="L688" s="89"/>
      <c r="M688" s="90"/>
      <c r="N688" s="57"/>
      <c r="O688" s="57"/>
      <c r="P688" s="91"/>
    </row>
    <row r="689" spans="2:16" s="50" customFormat="1" ht="13.2">
      <c r="B689" s="86"/>
      <c r="C689" s="87"/>
      <c r="D689" s="87"/>
      <c r="E689" s="87"/>
      <c r="F689" s="87"/>
      <c r="G689" s="87"/>
      <c r="H689" s="87"/>
      <c r="I689" s="87"/>
      <c r="J689" s="87"/>
      <c r="K689" s="88"/>
      <c r="L689" s="89"/>
      <c r="M689" s="90"/>
      <c r="N689" s="57"/>
      <c r="O689" s="57"/>
      <c r="P689" s="91"/>
    </row>
    <row r="690" spans="2:16" s="50" customFormat="1" ht="13.2">
      <c r="B690" s="86"/>
      <c r="C690" s="87"/>
      <c r="D690" s="87"/>
      <c r="E690" s="87"/>
      <c r="F690" s="87"/>
      <c r="G690" s="87"/>
      <c r="H690" s="87"/>
      <c r="I690" s="87"/>
      <c r="J690" s="87"/>
      <c r="K690" s="88"/>
      <c r="L690" s="89"/>
      <c r="M690" s="90"/>
      <c r="N690" s="57"/>
      <c r="O690" s="57"/>
      <c r="P690" s="91"/>
    </row>
    <row r="691" spans="2:16" s="50" customFormat="1" ht="13.2">
      <c r="B691" s="86"/>
      <c r="C691" s="87"/>
      <c r="D691" s="87"/>
      <c r="E691" s="87"/>
      <c r="F691" s="87"/>
      <c r="G691" s="87"/>
      <c r="H691" s="87"/>
      <c r="I691" s="87"/>
      <c r="J691" s="87"/>
      <c r="K691" s="88"/>
      <c r="L691" s="89"/>
      <c r="M691" s="90"/>
      <c r="N691" s="57"/>
      <c r="O691" s="57"/>
      <c r="P691" s="91"/>
    </row>
    <row r="692" spans="2:16" s="50" customFormat="1" ht="13.2">
      <c r="B692" s="86"/>
      <c r="C692" s="87"/>
      <c r="D692" s="87"/>
      <c r="E692" s="87"/>
      <c r="F692" s="87"/>
      <c r="G692" s="87"/>
      <c r="H692" s="87"/>
      <c r="I692" s="87"/>
      <c r="J692" s="87"/>
      <c r="K692" s="88"/>
      <c r="L692" s="89"/>
      <c r="M692" s="90"/>
      <c r="N692" s="57"/>
      <c r="O692" s="57"/>
      <c r="P692" s="91"/>
    </row>
    <row r="693" spans="2:16" s="50" customFormat="1" ht="13.2">
      <c r="B693" s="86"/>
      <c r="C693" s="87"/>
      <c r="D693" s="87"/>
      <c r="E693" s="87"/>
      <c r="F693" s="87"/>
      <c r="G693" s="87"/>
      <c r="H693" s="87"/>
      <c r="I693" s="87"/>
      <c r="J693" s="87"/>
      <c r="K693" s="88"/>
      <c r="L693" s="89"/>
      <c r="M693" s="90"/>
      <c r="N693" s="57"/>
      <c r="O693" s="57"/>
      <c r="P693" s="91"/>
    </row>
    <row r="694" spans="2:16" s="50" customFormat="1" ht="13.2">
      <c r="B694" s="86"/>
      <c r="C694" s="87"/>
      <c r="D694" s="87"/>
      <c r="E694" s="87"/>
      <c r="F694" s="87"/>
      <c r="G694" s="87"/>
      <c r="H694" s="87"/>
      <c r="I694" s="87"/>
      <c r="J694" s="87"/>
      <c r="K694" s="88"/>
      <c r="L694" s="89"/>
      <c r="M694" s="90"/>
      <c r="N694" s="57"/>
      <c r="O694" s="57"/>
      <c r="P694" s="91"/>
    </row>
    <row r="695" spans="2:16" s="50" customFormat="1" ht="13.2">
      <c r="B695" s="86"/>
      <c r="C695" s="87"/>
      <c r="D695" s="87"/>
      <c r="E695" s="87"/>
      <c r="F695" s="87"/>
      <c r="G695" s="87"/>
      <c r="H695" s="87"/>
      <c r="I695" s="87"/>
      <c r="J695" s="87"/>
      <c r="K695" s="88"/>
      <c r="L695" s="89"/>
      <c r="M695" s="90"/>
      <c r="N695" s="57"/>
      <c r="O695" s="57"/>
      <c r="P695" s="91"/>
    </row>
    <row r="696" spans="2:16" s="50" customFormat="1" ht="13.2">
      <c r="B696" s="86"/>
      <c r="C696" s="87"/>
      <c r="D696" s="87"/>
      <c r="E696" s="87"/>
      <c r="F696" s="87"/>
      <c r="G696" s="87"/>
      <c r="H696" s="87"/>
      <c r="I696" s="87"/>
      <c r="J696" s="87"/>
      <c r="K696" s="88"/>
      <c r="L696" s="89"/>
      <c r="M696" s="90"/>
      <c r="N696" s="57"/>
      <c r="O696" s="57"/>
      <c r="P696" s="91"/>
    </row>
    <row r="697" spans="2:16" s="50" customFormat="1" ht="13.2">
      <c r="B697" s="86"/>
      <c r="C697" s="87"/>
      <c r="D697" s="87"/>
      <c r="E697" s="87"/>
      <c r="F697" s="87"/>
      <c r="G697" s="87"/>
      <c r="H697" s="87"/>
      <c r="I697" s="87"/>
      <c r="J697" s="87"/>
      <c r="K697" s="88"/>
      <c r="L697" s="89"/>
      <c r="M697" s="90"/>
      <c r="N697" s="57"/>
      <c r="O697" s="57"/>
      <c r="P697" s="91"/>
    </row>
    <row r="698" spans="2:16" s="50" customFormat="1" ht="13.2">
      <c r="B698" s="86"/>
      <c r="C698" s="87"/>
      <c r="D698" s="87"/>
      <c r="E698" s="87"/>
      <c r="F698" s="87"/>
      <c r="G698" s="87"/>
      <c r="H698" s="87"/>
      <c r="I698" s="87"/>
      <c r="J698" s="87"/>
      <c r="K698" s="88"/>
      <c r="L698" s="89"/>
      <c r="M698" s="90"/>
      <c r="N698" s="57"/>
      <c r="O698" s="57"/>
      <c r="P698" s="91"/>
    </row>
    <row r="699" spans="2:16" s="50" customFormat="1" ht="13.2">
      <c r="B699" s="86"/>
      <c r="C699" s="87"/>
      <c r="D699" s="87"/>
      <c r="E699" s="87"/>
      <c r="F699" s="87"/>
      <c r="G699" s="87"/>
      <c r="H699" s="87"/>
      <c r="I699" s="87"/>
      <c r="J699" s="87"/>
      <c r="K699" s="88"/>
      <c r="L699" s="89"/>
      <c r="M699" s="90"/>
      <c r="N699" s="57"/>
      <c r="O699" s="57"/>
      <c r="P699" s="91"/>
    </row>
    <row r="700" spans="2:16" s="50" customFormat="1" ht="13.2">
      <c r="B700" s="86"/>
      <c r="C700" s="87"/>
      <c r="D700" s="87"/>
      <c r="E700" s="87"/>
      <c r="F700" s="87"/>
      <c r="G700" s="87"/>
      <c r="H700" s="87"/>
      <c r="I700" s="87"/>
      <c r="J700" s="87"/>
      <c r="K700" s="88"/>
      <c r="L700" s="89"/>
      <c r="M700" s="90"/>
      <c r="N700" s="57"/>
      <c r="O700" s="57"/>
      <c r="P700" s="91"/>
    </row>
    <row r="701" spans="2:16" s="50" customFormat="1" ht="13.2">
      <c r="B701" s="86"/>
      <c r="C701" s="87"/>
      <c r="D701" s="87"/>
      <c r="E701" s="87"/>
      <c r="F701" s="87"/>
      <c r="G701" s="87"/>
      <c r="H701" s="87"/>
      <c r="I701" s="87"/>
      <c r="J701" s="87"/>
      <c r="K701" s="88"/>
      <c r="L701" s="89"/>
      <c r="M701" s="90"/>
      <c r="N701" s="57"/>
      <c r="O701" s="57"/>
      <c r="P701" s="91"/>
    </row>
    <row r="702" spans="2:16" s="50" customFormat="1" ht="13.2">
      <c r="B702" s="86"/>
      <c r="C702" s="87"/>
      <c r="D702" s="87"/>
      <c r="E702" s="87"/>
      <c r="F702" s="87"/>
      <c r="G702" s="87"/>
      <c r="H702" s="87"/>
      <c r="I702" s="87"/>
      <c r="J702" s="87"/>
      <c r="K702" s="88"/>
      <c r="L702" s="89"/>
      <c r="M702" s="90"/>
      <c r="N702" s="57"/>
      <c r="O702" s="57"/>
      <c r="P702" s="91"/>
    </row>
    <row r="703" spans="2:16" s="50" customFormat="1" ht="13.2">
      <c r="B703" s="86"/>
      <c r="C703" s="87"/>
      <c r="D703" s="87"/>
      <c r="E703" s="87"/>
      <c r="F703" s="87"/>
      <c r="G703" s="87"/>
      <c r="H703" s="87"/>
      <c r="I703" s="87"/>
      <c r="J703" s="87"/>
      <c r="K703" s="88"/>
      <c r="L703" s="89"/>
      <c r="M703" s="90"/>
      <c r="N703" s="57"/>
      <c r="O703" s="57"/>
      <c r="P703" s="91"/>
    </row>
    <row r="704" spans="2:16" s="50" customFormat="1" ht="13.2">
      <c r="B704" s="86"/>
      <c r="C704" s="87"/>
      <c r="D704" s="87"/>
      <c r="E704" s="87"/>
      <c r="F704" s="87"/>
      <c r="G704" s="87"/>
      <c r="H704" s="87"/>
      <c r="I704" s="87"/>
      <c r="J704" s="87"/>
      <c r="K704" s="88"/>
      <c r="L704" s="89"/>
      <c r="M704" s="90"/>
      <c r="N704" s="57"/>
      <c r="O704" s="57"/>
      <c r="P704" s="91"/>
    </row>
    <row r="705" spans="2:16" s="50" customFormat="1" ht="13.2">
      <c r="B705" s="86"/>
      <c r="C705" s="87"/>
      <c r="D705" s="87"/>
      <c r="E705" s="87"/>
      <c r="F705" s="87"/>
      <c r="G705" s="87"/>
      <c r="H705" s="87"/>
      <c r="I705" s="87"/>
      <c r="J705" s="87"/>
      <c r="K705" s="88"/>
      <c r="L705" s="89"/>
      <c r="M705" s="90"/>
      <c r="N705" s="57"/>
      <c r="O705" s="57"/>
      <c r="P705" s="91"/>
    </row>
    <row r="706" spans="2:16" s="50" customFormat="1" ht="13.2">
      <c r="B706" s="86"/>
      <c r="C706" s="87"/>
      <c r="D706" s="87"/>
      <c r="E706" s="87"/>
      <c r="F706" s="87"/>
      <c r="G706" s="87"/>
      <c r="H706" s="87"/>
      <c r="I706" s="87"/>
      <c r="J706" s="87"/>
      <c r="K706" s="88"/>
      <c r="L706" s="89"/>
      <c r="M706" s="90"/>
      <c r="N706" s="57"/>
      <c r="O706" s="57"/>
      <c r="P706" s="91"/>
    </row>
    <row r="707" spans="2:16" s="50" customFormat="1" ht="13.2">
      <c r="B707" s="86"/>
      <c r="C707" s="87"/>
      <c r="D707" s="87"/>
      <c r="E707" s="87"/>
      <c r="F707" s="87"/>
      <c r="G707" s="87"/>
      <c r="H707" s="87"/>
      <c r="I707" s="87"/>
      <c r="J707" s="87"/>
      <c r="K707" s="88"/>
      <c r="L707" s="89"/>
      <c r="M707" s="90"/>
      <c r="N707" s="57"/>
      <c r="O707" s="57"/>
      <c r="P707" s="91"/>
    </row>
    <row r="708" spans="2:16" s="50" customFormat="1" ht="13.2">
      <c r="B708" s="86"/>
      <c r="C708" s="87"/>
      <c r="D708" s="87"/>
      <c r="E708" s="87"/>
      <c r="F708" s="87"/>
      <c r="G708" s="87"/>
      <c r="H708" s="87"/>
      <c r="I708" s="87"/>
      <c r="J708" s="87"/>
      <c r="K708" s="88"/>
      <c r="L708" s="89"/>
      <c r="M708" s="90"/>
      <c r="N708" s="57"/>
      <c r="O708" s="57"/>
      <c r="P708" s="91"/>
    </row>
    <row r="709" spans="2:16" s="50" customFormat="1" ht="13.2">
      <c r="B709" s="86"/>
      <c r="C709" s="87"/>
      <c r="D709" s="87"/>
      <c r="E709" s="87"/>
      <c r="F709" s="87"/>
      <c r="G709" s="87"/>
      <c r="H709" s="87"/>
      <c r="I709" s="87"/>
      <c r="J709" s="87"/>
      <c r="K709" s="88"/>
      <c r="L709" s="89"/>
      <c r="M709" s="90"/>
      <c r="N709" s="57"/>
      <c r="O709" s="57"/>
      <c r="P709" s="91"/>
    </row>
    <row r="710" spans="2:16" s="50" customFormat="1" ht="13.2">
      <c r="B710" s="86"/>
      <c r="C710" s="87"/>
      <c r="D710" s="87"/>
      <c r="E710" s="87"/>
      <c r="F710" s="87"/>
      <c r="G710" s="87"/>
      <c r="H710" s="87"/>
      <c r="I710" s="87"/>
      <c r="J710" s="87"/>
      <c r="K710" s="88"/>
      <c r="L710" s="89"/>
      <c r="M710" s="90"/>
      <c r="N710" s="57"/>
      <c r="O710" s="57"/>
      <c r="P710" s="91"/>
    </row>
    <row r="711" spans="2:16" s="50" customFormat="1" ht="13.2">
      <c r="B711" s="86"/>
      <c r="C711" s="87"/>
      <c r="D711" s="87"/>
      <c r="E711" s="87"/>
      <c r="F711" s="87"/>
      <c r="G711" s="87"/>
      <c r="H711" s="87"/>
      <c r="I711" s="87"/>
      <c r="J711" s="87"/>
      <c r="K711" s="88"/>
      <c r="L711" s="89"/>
      <c r="M711" s="90"/>
      <c r="N711" s="57"/>
      <c r="O711" s="57"/>
      <c r="P711" s="91"/>
    </row>
    <row r="712" spans="2:16" s="50" customFormat="1" ht="13.2">
      <c r="B712" s="86"/>
      <c r="C712" s="87"/>
      <c r="D712" s="87"/>
      <c r="E712" s="87"/>
      <c r="F712" s="87"/>
      <c r="G712" s="87"/>
      <c r="H712" s="87"/>
      <c r="I712" s="87"/>
      <c r="J712" s="87"/>
      <c r="K712" s="88"/>
      <c r="L712" s="89"/>
      <c r="M712" s="90"/>
      <c r="N712" s="57"/>
      <c r="O712" s="57"/>
      <c r="P712" s="91"/>
    </row>
    <row r="713" spans="2:16" s="50" customFormat="1" ht="13.2">
      <c r="B713" s="86"/>
      <c r="C713" s="87"/>
      <c r="D713" s="87"/>
      <c r="E713" s="87"/>
      <c r="F713" s="87"/>
      <c r="G713" s="87"/>
      <c r="H713" s="87"/>
      <c r="I713" s="87"/>
      <c r="J713" s="87"/>
      <c r="K713" s="88"/>
      <c r="L713" s="89"/>
      <c r="M713" s="90"/>
      <c r="N713" s="57"/>
      <c r="O713" s="57"/>
      <c r="P713" s="91"/>
    </row>
    <row r="714" spans="2:16" s="50" customFormat="1" ht="13.2">
      <c r="B714" s="86"/>
      <c r="C714" s="87"/>
      <c r="D714" s="87"/>
      <c r="E714" s="87"/>
      <c r="F714" s="87"/>
      <c r="G714" s="87"/>
      <c r="H714" s="87"/>
      <c r="I714" s="87"/>
      <c r="J714" s="87"/>
      <c r="K714" s="88"/>
      <c r="L714" s="89"/>
      <c r="M714" s="90"/>
      <c r="N714" s="57"/>
      <c r="O714" s="57"/>
      <c r="P714" s="91"/>
    </row>
    <row r="715" spans="2:16" s="50" customFormat="1" ht="13.2">
      <c r="B715" s="86"/>
      <c r="C715" s="87"/>
      <c r="D715" s="87"/>
      <c r="E715" s="87"/>
      <c r="F715" s="87"/>
      <c r="G715" s="87"/>
      <c r="H715" s="87"/>
      <c r="I715" s="87"/>
      <c r="J715" s="87"/>
      <c r="K715" s="88"/>
      <c r="L715" s="89"/>
      <c r="M715" s="90"/>
      <c r="N715" s="57"/>
      <c r="O715" s="57"/>
      <c r="P715" s="91"/>
    </row>
    <row r="716" spans="2:16" s="50" customFormat="1" ht="13.2">
      <c r="B716" s="86"/>
      <c r="C716" s="87"/>
      <c r="D716" s="87"/>
      <c r="E716" s="87"/>
      <c r="F716" s="87"/>
      <c r="G716" s="87"/>
      <c r="H716" s="87"/>
      <c r="I716" s="87"/>
      <c r="J716" s="87"/>
      <c r="K716" s="88"/>
      <c r="L716" s="89"/>
      <c r="M716" s="90"/>
      <c r="N716" s="57"/>
      <c r="O716" s="57"/>
      <c r="P716" s="91"/>
    </row>
    <row r="717" spans="2:16" s="50" customFormat="1" ht="13.2">
      <c r="B717" s="86"/>
      <c r="C717" s="87"/>
      <c r="D717" s="87"/>
      <c r="E717" s="87"/>
      <c r="F717" s="87"/>
      <c r="G717" s="87"/>
      <c r="H717" s="87"/>
      <c r="I717" s="87"/>
      <c r="J717" s="87"/>
      <c r="K717" s="88"/>
      <c r="L717" s="89"/>
      <c r="M717" s="90"/>
      <c r="N717" s="57"/>
      <c r="O717" s="57"/>
      <c r="P717" s="91"/>
    </row>
    <row r="718" spans="2:16" s="50" customFormat="1" ht="13.2">
      <c r="B718" s="86"/>
      <c r="C718" s="87"/>
      <c r="D718" s="87"/>
      <c r="E718" s="87"/>
      <c r="F718" s="87"/>
      <c r="G718" s="87"/>
      <c r="H718" s="87"/>
      <c r="I718" s="87"/>
      <c r="J718" s="87"/>
      <c r="K718" s="88"/>
      <c r="L718" s="89"/>
      <c r="M718" s="90"/>
      <c r="N718" s="57"/>
      <c r="O718" s="57"/>
      <c r="P718" s="91"/>
    </row>
    <row r="719" spans="2:16" s="50" customFormat="1" ht="13.2">
      <c r="B719" s="86"/>
      <c r="C719" s="87"/>
      <c r="D719" s="87"/>
      <c r="E719" s="87"/>
      <c r="F719" s="87"/>
      <c r="G719" s="87"/>
      <c r="H719" s="87"/>
      <c r="I719" s="87"/>
      <c r="J719" s="87"/>
      <c r="K719" s="88"/>
      <c r="L719" s="89"/>
      <c r="M719" s="90"/>
      <c r="N719" s="57"/>
      <c r="O719" s="57"/>
      <c r="P719" s="91"/>
    </row>
    <row r="720" spans="2:16" s="50" customFormat="1" ht="13.2">
      <c r="B720" s="86"/>
      <c r="C720" s="87"/>
      <c r="D720" s="87"/>
      <c r="E720" s="87"/>
      <c r="F720" s="87"/>
      <c r="G720" s="87"/>
      <c r="H720" s="87"/>
      <c r="I720" s="87"/>
      <c r="J720" s="87"/>
      <c r="K720" s="88"/>
      <c r="L720" s="89"/>
      <c r="M720" s="90"/>
      <c r="N720" s="57"/>
      <c r="O720" s="57"/>
      <c r="P720" s="91"/>
    </row>
    <row r="721" spans="2:16" s="50" customFormat="1" ht="13.2">
      <c r="B721" s="86"/>
      <c r="C721" s="87"/>
      <c r="D721" s="87"/>
      <c r="E721" s="87"/>
      <c r="F721" s="87"/>
      <c r="G721" s="87"/>
      <c r="H721" s="87"/>
      <c r="I721" s="87"/>
      <c r="J721" s="87"/>
      <c r="K721" s="88"/>
      <c r="L721" s="89"/>
      <c r="M721" s="90"/>
      <c r="N721" s="57"/>
      <c r="O721" s="57"/>
      <c r="P721" s="91"/>
    </row>
    <row r="722" spans="2:16" s="50" customFormat="1" ht="13.2">
      <c r="B722" s="86"/>
      <c r="C722" s="87"/>
      <c r="D722" s="87"/>
      <c r="E722" s="87"/>
      <c r="F722" s="87"/>
      <c r="G722" s="87"/>
      <c r="H722" s="87"/>
      <c r="I722" s="87"/>
      <c r="J722" s="87"/>
      <c r="K722" s="88"/>
      <c r="L722" s="89"/>
      <c r="M722" s="90"/>
      <c r="N722" s="57"/>
      <c r="O722" s="57"/>
      <c r="P722" s="91"/>
    </row>
    <row r="723" spans="2:16" s="50" customFormat="1" ht="13.2">
      <c r="B723" s="86"/>
      <c r="C723" s="87"/>
      <c r="D723" s="87"/>
      <c r="E723" s="87"/>
      <c r="F723" s="87"/>
      <c r="G723" s="87"/>
      <c r="H723" s="87"/>
      <c r="I723" s="87"/>
      <c r="J723" s="87"/>
      <c r="K723" s="88"/>
      <c r="L723" s="89"/>
      <c r="M723" s="90"/>
      <c r="N723" s="57"/>
      <c r="O723" s="57"/>
      <c r="P723" s="91"/>
    </row>
    <row r="724" spans="2:16" s="50" customFormat="1" ht="13.2">
      <c r="B724" s="86"/>
      <c r="C724" s="87"/>
      <c r="D724" s="87"/>
      <c r="E724" s="87"/>
      <c r="F724" s="87"/>
      <c r="G724" s="87"/>
      <c r="H724" s="87"/>
      <c r="I724" s="87"/>
      <c r="J724" s="87"/>
      <c r="K724" s="88"/>
      <c r="L724" s="89"/>
      <c r="M724" s="90"/>
      <c r="N724" s="57"/>
      <c r="O724" s="57"/>
      <c r="P724" s="91"/>
    </row>
    <row r="725" spans="2:16" s="50" customFormat="1" ht="13.2">
      <c r="B725" s="86"/>
      <c r="C725" s="87"/>
      <c r="D725" s="87"/>
      <c r="E725" s="87"/>
      <c r="F725" s="87"/>
      <c r="G725" s="87"/>
      <c r="H725" s="87"/>
      <c r="I725" s="87"/>
      <c r="J725" s="87"/>
      <c r="K725" s="88"/>
      <c r="L725" s="89"/>
      <c r="M725" s="90"/>
      <c r="N725" s="57"/>
      <c r="O725" s="57"/>
      <c r="P725" s="91"/>
    </row>
    <row r="726" spans="2:16" s="50" customFormat="1" ht="13.2">
      <c r="B726" s="86"/>
      <c r="C726" s="87"/>
      <c r="D726" s="87"/>
      <c r="E726" s="87"/>
      <c r="F726" s="87"/>
      <c r="G726" s="87"/>
      <c r="H726" s="87"/>
      <c r="I726" s="87"/>
      <c r="J726" s="87"/>
      <c r="K726" s="88"/>
      <c r="L726" s="89"/>
      <c r="M726" s="90"/>
      <c r="N726" s="57"/>
      <c r="O726" s="57"/>
      <c r="P726" s="91"/>
    </row>
    <row r="727" spans="2:16" s="50" customFormat="1" ht="13.2">
      <c r="B727" s="86"/>
      <c r="C727" s="87"/>
      <c r="D727" s="87"/>
      <c r="E727" s="87"/>
      <c r="F727" s="87"/>
      <c r="G727" s="87"/>
      <c r="H727" s="87"/>
      <c r="I727" s="87"/>
      <c r="J727" s="87"/>
      <c r="K727" s="88"/>
      <c r="L727" s="89"/>
      <c r="M727" s="90"/>
      <c r="N727" s="57"/>
      <c r="O727" s="57"/>
      <c r="P727" s="91"/>
    </row>
    <row r="728" spans="2:16" s="50" customFormat="1" ht="13.2">
      <c r="B728" s="86"/>
      <c r="C728" s="87"/>
      <c r="D728" s="87"/>
      <c r="E728" s="87"/>
      <c r="F728" s="87"/>
      <c r="G728" s="87"/>
      <c r="H728" s="87"/>
      <c r="I728" s="87"/>
      <c r="J728" s="87"/>
      <c r="K728" s="88"/>
      <c r="L728" s="89"/>
      <c r="M728" s="90"/>
      <c r="N728" s="57"/>
      <c r="O728" s="57"/>
      <c r="P728" s="91"/>
    </row>
    <row r="729" spans="2:16" s="50" customFormat="1" ht="13.2">
      <c r="B729" s="86"/>
      <c r="C729" s="87"/>
      <c r="D729" s="87"/>
      <c r="E729" s="87"/>
      <c r="F729" s="87"/>
      <c r="G729" s="87"/>
      <c r="H729" s="87"/>
      <c r="I729" s="87"/>
      <c r="J729" s="87"/>
      <c r="K729" s="88"/>
      <c r="L729" s="89"/>
      <c r="M729" s="90"/>
      <c r="N729" s="57"/>
      <c r="O729" s="57"/>
      <c r="P729" s="91"/>
    </row>
    <row r="730" spans="2:16" s="50" customFormat="1" ht="13.2">
      <c r="B730" s="86"/>
      <c r="C730" s="87"/>
      <c r="D730" s="87"/>
      <c r="E730" s="87"/>
      <c r="F730" s="87"/>
      <c r="G730" s="87"/>
      <c r="H730" s="87"/>
      <c r="I730" s="87"/>
      <c r="J730" s="87"/>
      <c r="K730" s="88"/>
      <c r="L730" s="89"/>
      <c r="M730" s="90"/>
      <c r="N730" s="57"/>
      <c r="O730" s="57"/>
      <c r="P730" s="91"/>
    </row>
    <row r="731" spans="2:16" s="50" customFormat="1" ht="13.2">
      <c r="B731" s="86"/>
      <c r="C731" s="87"/>
      <c r="D731" s="87"/>
      <c r="E731" s="87"/>
      <c r="F731" s="87"/>
      <c r="G731" s="87"/>
      <c r="H731" s="87"/>
      <c r="I731" s="87"/>
      <c r="J731" s="87"/>
      <c r="K731" s="88"/>
      <c r="L731" s="89"/>
      <c r="M731" s="90"/>
      <c r="N731" s="57"/>
      <c r="O731" s="57"/>
      <c r="P731" s="91"/>
    </row>
    <row r="732" spans="2:16" s="50" customFormat="1" ht="13.2">
      <c r="B732" s="86"/>
      <c r="C732" s="87"/>
      <c r="D732" s="87"/>
      <c r="E732" s="87"/>
      <c r="F732" s="87"/>
      <c r="G732" s="87"/>
      <c r="H732" s="87"/>
      <c r="I732" s="87"/>
      <c r="J732" s="87"/>
      <c r="K732" s="88"/>
      <c r="L732" s="89"/>
      <c r="M732" s="90"/>
      <c r="N732" s="57"/>
      <c r="O732" s="57"/>
      <c r="P732" s="91"/>
    </row>
    <row r="733" spans="2:16" s="50" customFormat="1" ht="13.2">
      <c r="B733" s="86"/>
      <c r="C733" s="87"/>
      <c r="D733" s="87"/>
      <c r="E733" s="87"/>
      <c r="F733" s="87"/>
      <c r="G733" s="87"/>
      <c r="H733" s="87"/>
      <c r="I733" s="87"/>
      <c r="J733" s="87"/>
      <c r="K733" s="88"/>
      <c r="L733" s="89"/>
      <c r="M733" s="90"/>
      <c r="N733" s="57"/>
      <c r="O733" s="57"/>
      <c r="P733" s="91"/>
    </row>
    <row r="734" spans="2:16" s="50" customFormat="1" ht="13.2">
      <c r="B734" s="86"/>
      <c r="C734" s="87"/>
      <c r="D734" s="87"/>
      <c r="E734" s="87"/>
      <c r="F734" s="87"/>
      <c r="G734" s="87"/>
      <c r="H734" s="87"/>
      <c r="I734" s="87"/>
      <c r="J734" s="87"/>
      <c r="K734" s="88"/>
      <c r="L734" s="89"/>
      <c r="M734" s="90"/>
      <c r="N734" s="57"/>
      <c r="O734" s="57"/>
      <c r="P734" s="91"/>
    </row>
    <row r="735" spans="2:16" s="50" customFormat="1" ht="13.2">
      <c r="B735" s="86"/>
      <c r="C735" s="87"/>
      <c r="D735" s="87"/>
      <c r="E735" s="87"/>
      <c r="F735" s="87"/>
      <c r="G735" s="87"/>
      <c r="H735" s="87"/>
      <c r="I735" s="87"/>
      <c r="J735" s="87"/>
      <c r="K735" s="88"/>
      <c r="L735" s="89"/>
      <c r="M735" s="90"/>
      <c r="N735" s="57"/>
      <c r="O735" s="57"/>
      <c r="P735" s="91"/>
    </row>
    <row r="736" spans="2:16" s="50" customFormat="1" ht="13.2">
      <c r="B736" s="86"/>
      <c r="C736" s="87"/>
      <c r="D736" s="87"/>
      <c r="E736" s="87"/>
      <c r="F736" s="87"/>
      <c r="G736" s="87"/>
      <c r="H736" s="87"/>
      <c r="I736" s="87"/>
      <c r="J736" s="87"/>
      <c r="K736" s="88"/>
      <c r="L736" s="89"/>
      <c r="M736" s="90"/>
      <c r="N736" s="57"/>
      <c r="O736" s="57"/>
      <c r="P736" s="91"/>
    </row>
    <row r="737" spans="2:16" s="50" customFormat="1" ht="13.2">
      <c r="B737" s="86"/>
      <c r="C737" s="87"/>
      <c r="D737" s="87"/>
      <c r="E737" s="87"/>
      <c r="F737" s="87"/>
      <c r="G737" s="87"/>
      <c r="H737" s="87"/>
      <c r="I737" s="87"/>
      <c r="J737" s="87"/>
      <c r="K737" s="88"/>
      <c r="L737" s="89"/>
      <c r="M737" s="90"/>
      <c r="N737" s="57"/>
      <c r="O737" s="57"/>
      <c r="P737" s="91"/>
    </row>
    <row r="738" spans="2:16" s="50" customFormat="1" ht="13.2">
      <c r="B738" s="86"/>
      <c r="C738" s="87"/>
      <c r="D738" s="87"/>
      <c r="E738" s="87"/>
      <c r="F738" s="87"/>
      <c r="G738" s="87"/>
      <c r="H738" s="87"/>
      <c r="I738" s="87"/>
      <c r="J738" s="87"/>
      <c r="K738" s="88"/>
      <c r="L738" s="89"/>
      <c r="M738" s="90"/>
      <c r="N738" s="57"/>
      <c r="O738" s="57"/>
      <c r="P738" s="91"/>
    </row>
    <row r="739" spans="2:16" s="50" customFormat="1" ht="13.2">
      <c r="B739" s="86"/>
      <c r="C739" s="87"/>
      <c r="D739" s="87"/>
      <c r="E739" s="87"/>
      <c r="F739" s="87"/>
      <c r="G739" s="87"/>
      <c r="H739" s="87"/>
      <c r="I739" s="87"/>
      <c r="J739" s="87"/>
      <c r="K739" s="88"/>
      <c r="L739" s="89"/>
      <c r="M739" s="90"/>
      <c r="N739" s="57"/>
      <c r="O739" s="57"/>
      <c r="P739" s="91"/>
    </row>
    <row r="740" spans="2:16" s="50" customFormat="1" ht="13.2">
      <c r="B740" s="86"/>
      <c r="C740" s="87"/>
      <c r="D740" s="87"/>
      <c r="E740" s="87"/>
      <c r="F740" s="87"/>
      <c r="G740" s="87"/>
      <c r="H740" s="87"/>
      <c r="I740" s="87"/>
      <c r="J740" s="87"/>
      <c r="K740" s="88"/>
      <c r="L740" s="89"/>
      <c r="M740" s="90"/>
      <c r="N740" s="57"/>
      <c r="O740" s="57"/>
      <c r="P740" s="91"/>
    </row>
    <row r="741" spans="2:16" s="50" customFormat="1" ht="13.2">
      <c r="B741" s="86"/>
      <c r="C741" s="87"/>
      <c r="D741" s="87"/>
      <c r="E741" s="87"/>
      <c r="F741" s="87"/>
      <c r="G741" s="87"/>
      <c r="H741" s="87"/>
      <c r="I741" s="87"/>
      <c r="J741" s="87"/>
      <c r="K741" s="88"/>
      <c r="L741" s="89"/>
      <c r="M741" s="90"/>
      <c r="N741" s="57"/>
      <c r="O741" s="57"/>
      <c r="P741" s="91"/>
    </row>
    <row r="742" spans="2:16" s="50" customFormat="1" ht="13.2">
      <c r="B742" s="86"/>
      <c r="C742" s="87"/>
      <c r="D742" s="87"/>
      <c r="E742" s="87"/>
      <c r="F742" s="87"/>
      <c r="G742" s="87"/>
      <c r="H742" s="87"/>
      <c r="I742" s="87"/>
      <c r="J742" s="87"/>
      <c r="K742" s="88"/>
      <c r="L742" s="89"/>
      <c r="M742" s="90"/>
      <c r="N742" s="57"/>
      <c r="O742" s="57"/>
      <c r="P742" s="91"/>
    </row>
    <row r="743" spans="2:16" s="50" customFormat="1" ht="13.2">
      <c r="B743" s="86"/>
      <c r="C743" s="87"/>
      <c r="D743" s="87"/>
      <c r="E743" s="87"/>
      <c r="F743" s="87"/>
      <c r="G743" s="87"/>
      <c r="H743" s="87"/>
      <c r="I743" s="87"/>
      <c r="J743" s="87"/>
      <c r="K743" s="88"/>
      <c r="L743" s="89"/>
      <c r="M743" s="90"/>
      <c r="N743" s="57"/>
      <c r="O743" s="57"/>
      <c r="P743" s="91"/>
    </row>
    <row r="744" spans="2:16" s="50" customFormat="1" ht="13.2">
      <c r="B744" s="86"/>
      <c r="C744" s="87"/>
      <c r="D744" s="87"/>
      <c r="E744" s="87"/>
      <c r="F744" s="87"/>
      <c r="G744" s="87"/>
      <c r="H744" s="87"/>
      <c r="I744" s="87"/>
      <c r="J744" s="87"/>
      <c r="K744" s="88"/>
      <c r="L744" s="89"/>
      <c r="M744" s="90"/>
      <c r="N744" s="57"/>
      <c r="O744" s="57"/>
      <c r="P744" s="91"/>
    </row>
    <row r="745" spans="2:16" s="50" customFormat="1" ht="13.2">
      <c r="B745" s="86"/>
      <c r="C745" s="87"/>
      <c r="D745" s="87"/>
      <c r="E745" s="87"/>
      <c r="F745" s="87"/>
      <c r="G745" s="87"/>
      <c r="H745" s="87"/>
      <c r="I745" s="87"/>
      <c r="J745" s="87"/>
      <c r="K745" s="88"/>
      <c r="L745" s="89"/>
      <c r="M745" s="90"/>
      <c r="N745" s="57"/>
      <c r="O745" s="57"/>
      <c r="P745" s="91"/>
    </row>
    <row r="746" spans="2:16" s="50" customFormat="1" ht="13.2">
      <c r="B746" s="86"/>
      <c r="C746" s="87"/>
      <c r="D746" s="87"/>
      <c r="E746" s="87"/>
      <c r="F746" s="87"/>
      <c r="G746" s="87"/>
      <c r="H746" s="87"/>
      <c r="I746" s="87"/>
      <c r="J746" s="87"/>
      <c r="K746" s="88"/>
      <c r="L746" s="89"/>
      <c r="M746" s="90"/>
      <c r="N746" s="57"/>
      <c r="O746" s="57"/>
      <c r="P746" s="91"/>
    </row>
    <row r="747" spans="2:16" s="50" customFormat="1" ht="13.2">
      <c r="B747" s="86"/>
      <c r="C747" s="87"/>
      <c r="D747" s="87"/>
      <c r="E747" s="87"/>
      <c r="F747" s="87"/>
      <c r="G747" s="87"/>
      <c r="H747" s="87"/>
      <c r="I747" s="87"/>
      <c r="J747" s="87"/>
      <c r="K747" s="88"/>
      <c r="L747" s="89"/>
      <c r="M747" s="90"/>
      <c r="N747" s="57"/>
      <c r="O747" s="57"/>
      <c r="P747" s="91"/>
    </row>
    <row r="748" spans="2:16" s="50" customFormat="1" ht="13.2">
      <c r="B748" s="86"/>
      <c r="C748" s="87"/>
      <c r="D748" s="87"/>
      <c r="E748" s="87"/>
      <c r="F748" s="87"/>
      <c r="G748" s="87"/>
      <c r="H748" s="87"/>
      <c r="I748" s="87"/>
      <c r="J748" s="87"/>
      <c r="K748" s="88"/>
      <c r="L748" s="89"/>
      <c r="M748" s="90"/>
      <c r="N748" s="57"/>
      <c r="O748" s="57"/>
      <c r="P748" s="91"/>
    </row>
    <row r="749" spans="2:16" s="50" customFormat="1" ht="13.2">
      <c r="B749" s="86"/>
      <c r="C749" s="87"/>
      <c r="D749" s="87"/>
      <c r="E749" s="87"/>
      <c r="F749" s="87"/>
      <c r="G749" s="87"/>
      <c r="H749" s="87"/>
      <c r="I749" s="87"/>
      <c r="J749" s="87"/>
      <c r="K749" s="88"/>
      <c r="L749" s="89"/>
      <c r="M749" s="90"/>
      <c r="N749" s="57"/>
      <c r="O749" s="57"/>
      <c r="P749" s="91"/>
    </row>
    <row r="750" spans="2:16" s="50" customFormat="1" ht="13.2">
      <c r="B750" s="86"/>
      <c r="C750" s="87"/>
      <c r="D750" s="87"/>
      <c r="E750" s="87"/>
      <c r="F750" s="87"/>
      <c r="G750" s="87"/>
      <c r="H750" s="87"/>
      <c r="I750" s="87"/>
      <c r="J750" s="87"/>
      <c r="K750" s="88"/>
      <c r="L750" s="89"/>
      <c r="M750" s="90"/>
      <c r="N750" s="57"/>
      <c r="O750" s="57"/>
      <c r="P750" s="91"/>
    </row>
    <row r="751" spans="2:16" s="50" customFormat="1" ht="13.2">
      <c r="B751" s="86"/>
      <c r="C751" s="87"/>
      <c r="D751" s="87"/>
      <c r="E751" s="87"/>
      <c r="F751" s="87"/>
      <c r="G751" s="87"/>
      <c r="H751" s="87"/>
      <c r="I751" s="87"/>
      <c r="J751" s="87"/>
      <c r="K751" s="88"/>
      <c r="L751" s="89"/>
      <c r="M751" s="90"/>
      <c r="N751" s="57"/>
      <c r="O751" s="57"/>
      <c r="P751" s="91"/>
    </row>
    <row r="752" spans="2:16" s="50" customFormat="1" ht="13.2">
      <c r="B752" s="86"/>
      <c r="C752" s="87"/>
      <c r="D752" s="87"/>
      <c r="E752" s="87"/>
      <c r="F752" s="87"/>
      <c r="G752" s="87"/>
      <c r="H752" s="87"/>
      <c r="I752" s="87"/>
      <c r="J752" s="87"/>
      <c r="K752" s="88"/>
      <c r="L752" s="89"/>
      <c r="M752" s="90"/>
      <c r="N752" s="57"/>
      <c r="O752" s="57"/>
      <c r="P752" s="91"/>
    </row>
    <row r="753" spans="2:16" s="50" customFormat="1" ht="13.2">
      <c r="B753" s="86"/>
      <c r="C753" s="87"/>
      <c r="D753" s="87"/>
      <c r="E753" s="87"/>
      <c r="F753" s="87"/>
      <c r="G753" s="87"/>
      <c r="H753" s="87"/>
      <c r="I753" s="87"/>
      <c r="J753" s="87"/>
      <c r="K753" s="88"/>
      <c r="L753" s="89"/>
      <c r="M753" s="90"/>
      <c r="N753" s="57"/>
      <c r="O753" s="57"/>
      <c r="P753" s="91"/>
    </row>
    <row r="754" spans="2:16" s="50" customFormat="1" ht="13.2">
      <c r="B754" s="86"/>
      <c r="C754" s="87"/>
      <c r="D754" s="87"/>
      <c r="E754" s="87"/>
      <c r="F754" s="87"/>
      <c r="G754" s="87"/>
      <c r="H754" s="87"/>
      <c r="I754" s="87"/>
      <c r="J754" s="87"/>
      <c r="K754" s="88"/>
      <c r="L754" s="89"/>
      <c r="M754" s="90"/>
      <c r="N754" s="57"/>
      <c r="O754" s="57"/>
      <c r="P754" s="91"/>
    </row>
    <row r="755" spans="2:16" s="50" customFormat="1" ht="13.2">
      <c r="B755" s="86"/>
      <c r="C755" s="87"/>
      <c r="D755" s="87"/>
      <c r="E755" s="87"/>
      <c r="F755" s="87"/>
      <c r="G755" s="87"/>
      <c r="H755" s="87"/>
      <c r="I755" s="87"/>
      <c r="J755" s="87"/>
      <c r="K755" s="88"/>
      <c r="L755" s="89"/>
      <c r="M755" s="90"/>
      <c r="N755" s="57"/>
      <c r="O755" s="57"/>
      <c r="P755" s="91"/>
    </row>
    <row r="756" spans="2:16" s="50" customFormat="1" ht="13.2">
      <c r="B756" s="86"/>
      <c r="C756" s="87"/>
      <c r="D756" s="87"/>
      <c r="E756" s="87"/>
      <c r="F756" s="87"/>
      <c r="G756" s="87"/>
      <c r="H756" s="87"/>
      <c r="I756" s="87"/>
      <c r="J756" s="87"/>
      <c r="K756" s="88"/>
      <c r="L756" s="89"/>
      <c r="M756" s="90"/>
      <c r="N756" s="57"/>
      <c r="O756" s="57"/>
      <c r="P756" s="91"/>
    </row>
    <row r="757" spans="2:16" s="50" customFormat="1" ht="13.2">
      <c r="B757" s="86"/>
      <c r="C757" s="87"/>
      <c r="D757" s="87"/>
      <c r="E757" s="87"/>
      <c r="F757" s="87"/>
      <c r="G757" s="87"/>
      <c r="H757" s="87"/>
      <c r="I757" s="87"/>
      <c r="J757" s="87"/>
      <c r="K757" s="88"/>
      <c r="L757" s="89"/>
      <c r="M757" s="90"/>
      <c r="N757" s="57"/>
      <c r="O757" s="57"/>
      <c r="P757" s="91"/>
    </row>
    <row r="758" spans="2:16" s="50" customFormat="1" ht="13.2">
      <c r="B758" s="86"/>
      <c r="C758" s="87"/>
      <c r="D758" s="87"/>
      <c r="E758" s="87"/>
      <c r="F758" s="87"/>
      <c r="G758" s="87"/>
      <c r="H758" s="87"/>
      <c r="I758" s="87"/>
      <c r="J758" s="87"/>
      <c r="K758" s="88"/>
      <c r="L758" s="89"/>
      <c r="M758" s="90"/>
      <c r="N758" s="57"/>
      <c r="O758" s="57"/>
      <c r="P758" s="91"/>
    </row>
    <row r="759" spans="2:16" s="50" customFormat="1" ht="13.2">
      <c r="B759" s="86"/>
      <c r="C759" s="87"/>
      <c r="D759" s="87"/>
      <c r="E759" s="87"/>
      <c r="F759" s="87"/>
      <c r="G759" s="87"/>
      <c r="H759" s="87"/>
      <c r="I759" s="87"/>
      <c r="J759" s="87"/>
      <c r="K759" s="88"/>
      <c r="L759" s="89"/>
      <c r="M759" s="90"/>
      <c r="N759" s="57"/>
      <c r="O759" s="57"/>
      <c r="P759" s="91"/>
    </row>
    <row r="760" spans="2:16" s="50" customFormat="1" ht="13.2">
      <c r="B760" s="86"/>
      <c r="C760" s="87"/>
      <c r="D760" s="87"/>
      <c r="E760" s="87"/>
      <c r="F760" s="87"/>
      <c r="G760" s="87"/>
      <c r="H760" s="87"/>
      <c r="I760" s="87"/>
      <c r="J760" s="87"/>
      <c r="K760" s="88"/>
      <c r="L760" s="89"/>
      <c r="M760" s="90"/>
      <c r="N760" s="57"/>
      <c r="O760" s="57"/>
      <c r="P760" s="91"/>
    </row>
    <row r="761" spans="2:16" s="50" customFormat="1" ht="13.2">
      <c r="B761" s="86"/>
      <c r="C761" s="87"/>
      <c r="D761" s="87"/>
      <c r="E761" s="87"/>
      <c r="F761" s="87"/>
      <c r="G761" s="87"/>
      <c r="H761" s="87"/>
      <c r="I761" s="87"/>
      <c r="J761" s="87"/>
      <c r="K761" s="88"/>
      <c r="L761" s="89"/>
      <c r="M761" s="90"/>
      <c r="N761" s="57"/>
      <c r="O761" s="57"/>
      <c r="P761" s="91"/>
    </row>
    <row r="762" spans="2:16" s="50" customFormat="1" ht="13.2">
      <c r="B762" s="86"/>
      <c r="C762" s="87"/>
      <c r="D762" s="87"/>
      <c r="E762" s="87"/>
      <c r="F762" s="87"/>
      <c r="G762" s="87"/>
      <c r="H762" s="87"/>
      <c r="I762" s="87"/>
      <c r="J762" s="87"/>
      <c r="K762" s="88"/>
      <c r="L762" s="89"/>
      <c r="M762" s="90"/>
      <c r="N762" s="57"/>
      <c r="O762" s="57"/>
      <c r="P762" s="91"/>
    </row>
    <row r="763" spans="2:16" s="50" customFormat="1" ht="13.2">
      <c r="B763" s="86"/>
      <c r="C763" s="87"/>
      <c r="D763" s="87"/>
      <c r="E763" s="87"/>
      <c r="F763" s="87"/>
      <c r="G763" s="87"/>
      <c r="H763" s="87"/>
      <c r="I763" s="87"/>
      <c r="J763" s="87"/>
      <c r="K763" s="88"/>
      <c r="L763" s="89"/>
      <c r="M763" s="90"/>
      <c r="N763" s="57"/>
      <c r="O763" s="57"/>
      <c r="P763" s="91"/>
    </row>
    <row r="764" spans="2:16" s="50" customFormat="1" ht="13.2">
      <c r="B764" s="86"/>
      <c r="C764" s="87"/>
      <c r="D764" s="87"/>
      <c r="E764" s="87"/>
      <c r="F764" s="87"/>
      <c r="G764" s="87"/>
      <c r="H764" s="87"/>
      <c r="I764" s="87"/>
      <c r="J764" s="87"/>
      <c r="K764" s="88"/>
      <c r="L764" s="89"/>
      <c r="M764" s="90"/>
      <c r="N764" s="57"/>
      <c r="O764" s="57"/>
      <c r="P764" s="91"/>
    </row>
    <row r="765" spans="2:16" s="50" customFormat="1" ht="13.2">
      <c r="B765" s="86"/>
      <c r="C765" s="87"/>
      <c r="D765" s="87"/>
      <c r="E765" s="87"/>
      <c r="F765" s="87"/>
      <c r="G765" s="87"/>
      <c r="H765" s="87"/>
      <c r="I765" s="87"/>
      <c r="J765" s="87"/>
      <c r="K765" s="88"/>
      <c r="L765" s="89"/>
      <c r="M765" s="90"/>
      <c r="N765" s="57"/>
      <c r="O765" s="57"/>
      <c r="P765" s="91"/>
    </row>
    <row r="766" spans="2:16" s="50" customFormat="1" ht="13.2">
      <c r="B766" s="86"/>
      <c r="C766" s="87"/>
      <c r="D766" s="87"/>
      <c r="E766" s="87"/>
      <c r="F766" s="87"/>
      <c r="G766" s="87"/>
      <c r="H766" s="87"/>
      <c r="I766" s="87"/>
      <c r="J766" s="87"/>
      <c r="K766" s="88"/>
      <c r="L766" s="89"/>
      <c r="M766" s="90"/>
      <c r="N766" s="57"/>
      <c r="O766" s="57"/>
      <c r="P766" s="91"/>
    </row>
    <row r="767" spans="2:16" s="50" customFormat="1" ht="13.2">
      <c r="B767" s="86"/>
      <c r="C767" s="87"/>
      <c r="D767" s="87"/>
      <c r="E767" s="87"/>
      <c r="F767" s="87"/>
      <c r="G767" s="87"/>
      <c r="H767" s="87"/>
      <c r="I767" s="87"/>
      <c r="J767" s="87"/>
      <c r="K767" s="88"/>
      <c r="L767" s="89"/>
      <c r="M767" s="90"/>
      <c r="N767" s="57"/>
      <c r="O767" s="57"/>
      <c r="P767" s="91"/>
    </row>
    <row r="768" spans="2:16" s="50" customFormat="1" ht="13.2">
      <c r="B768" s="86"/>
      <c r="C768" s="87"/>
      <c r="D768" s="87"/>
      <c r="E768" s="87"/>
      <c r="F768" s="87"/>
      <c r="G768" s="87"/>
      <c r="H768" s="87"/>
      <c r="I768" s="87"/>
      <c r="J768" s="87"/>
      <c r="K768" s="88"/>
      <c r="L768" s="89"/>
      <c r="M768" s="90"/>
      <c r="N768" s="57"/>
      <c r="O768" s="57"/>
      <c r="P768" s="91"/>
    </row>
    <row r="769" spans="2:16" s="50" customFormat="1" ht="13.2">
      <c r="B769" s="86"/>
      <c r="C769" s="87"/>
      <c r="D769" s="87"/>
      <c r="E769" s="87"/>
      <c r="F769" s="87"/>
      <c r="G769" s="87"/>
      <c r="H769" s="87"/>
      <c r="I769" s="87"/>
      <c r="J769" s="87"/>
      <c r="K769" s="88"/>
      <c r="L769" s="89"/>
      <c r="M769" s="90"/>
      <c r="N769" s="57"/>
      <c r="O769" s="57"/>
      <c r="P769" s="91"/>
    </row>
    <row r="770" spans="2:16" s="50" customFormat="1" ht="13.2">
      <c r="B770" s="86"/>
      <c r="C770" s="87"/>
      <c r="D770" s="87"/>
      <c r="E770" s="87"/>
      <c r="F770" s="87"/>
      <c r="G770" s="87"/>
      <c r="H770" s="87"/>
      <c r="I770" s="87"/>
      <c r="J770" s="87"/>
      <c r="K770" s="88"/>
      <c r="L770" s="89"/>
      <c r="M770" s="90"/>
      <c r="N770" s="57"/>
      <c r="O770" s="57"/>
      <c r="P770" s="91"/>
    </row>
    <row r="771" spans="2:16" s="50" customFormat="1" ht="13.2">
      <c r="B771" s="86"/>
      <c r="C771" s="87"/>
      <c r="D771" s="87"/>
      <c r="E771" s="87"/>
      <c r="F771" s="87"/>
      <c r="G771" s="87"/>
      <c r="H771" s="87"/>
      <c r="I771" s="87"/>
      <c r="J771" s="87"/>
      <c r="K771" s="88"/>
      <c r="L771" s="89"/>
      <c r="M771" s="90"/>
      <c r="N771" s="57"/>
      <c r="O771" s="57"/>
      <c r="P771" s="91"/>
    </row>
    <row r="772" spans="2:16" s="50" customFormat="1" ht="13.2">
      <c r="B772" s="86"/>
      <c r="C772" s="87"/>
      <c r="D772" s="87"/>
      <c r="E772" s="87"/>
      <c r="F772" s="87"/>
      <c r="G772" s="87"/>
      <c r="H772" s="87"/>
      <c r="I772" s="87"/>
      <c r="J772" s="87"/>
      <c r="K772" s="88"/>
      <c r="L772" s="89"/>
      <c r="M772" s="90"/>
      <c r="N772" s="57"/>
      <c r="O772" s="57"/>
      <c r="P772" s="91"/>
    </row>
    <row r="773" spans="2:16" s="50" customFormat="1" ht="13.2">
      <c r="B773" s="86"/>
      <c r="C773" s="87"/>
      <c r="D773" s="87"/>
      <c r="E773" s="87"/>
      <c r="F773" s="87"/>
      <c r="G773" s="87"/>
      <c r="H773" s="87"/>
      <c r="I773" s="87"/>
      <c r="J773" s="87"/>
      <c r="K773" s="88"/>
      <c r="L773" s="89"/>
      <c r="M773" s="90"/>
      <c r="N773" s="57"/>
      <c r="O773" s="57"/>
      <c r="P773" s="91"/>
    </row>
    <row r="774" spans="2:16" s="50" customFormat="1" ht="13.2">
      <c r="B774" s="86"/>
      <c r="C774" s="87"/>
      <c r="D774" s="87"/>
      <c r="E774" s="87"/>
      <c r="F774" s="87"/>
      <c r="G774" s="87"/>
      <c r="H774" s="87"/>
      <c r="I774" s="87"/>
      <c r="J774" s="87"/>
      <c r="K774" s="88"/>
      <c r="L774" s="89"/>
      <c r="M774" s="90"/>
      <c r="N774" s="57"/>
      <c r="O774" s="57"/>
      <c r="P774" s="91"/>
    </row>
    <row r="775" spans="2:16" s="50" customFormat="1" ht="13.2">
      <c r="B775" s="86"/>
      <c r="C775" s="87"/>
      <c r="D775" s="87"/>
      <c r="E775" s="87"/>
      <c r="F775" s="87"/>
      <c r="G775" s="87"/>
      <c r="H775" s="87"/>
      <c r="I775" s="87"/>
      <c r="J775" s="87"/>
      <c r="K775" s="88"/>
      <c r="L775" s="89"/>
      <c r="M775" s="90"/>
      <c r="N775" s="57"/>
      <c r="O775" s="57"/>
      <c r="P775" s="91"/>
    </row>
    <row r="776" spans="2:16" s="50" customFormat="1" ht="13.2">
      <c r="B776" s="86"/>
      <c r="C776" s="87"/>
      <c r="D776" s="87"/>
      <c r="E776" s="87"/>
      <c r="F776" s="87"/>
      <c r="G776" s="87"/>
      <c r="H776" s="87"/>
      <c r="I776" s="87"/>
      <c r="J776" s="87"/>
      <c r="K776" s="88"/>
      <c r="L776" s="89"/>
      <c r="M776" s="90"/>
      <c r="N776" s="57"/>
      <c r="O776" s="57"/>
      <c r="P776" s="91"/>
    </row>
    <row r="777" spans="2:16" s="50" customFormat="1" ht="13.2">
      <c r="B777" s="86"/>
      <c r="C777" s="87"/>
      <c r="D777" s="87"/>
      <c r="E777" s="87"/>
      <c r="F777" s="87"/>
      <c r="G777" s="87"/>
      <c r="H777" s="87"/>
      <c r="I777" s="87"/>
      <c r="J777" s="87"/>
      <c r="K777" s="88"/>
      <c r="L777" s="89"/>
      <c r="M777" s="90"/>
      <c r="N777" s="57"/>
      <c r="O777" s="57"/>
      <c r="P777" s="91"/>
    </row>
    <row r="778" spans="2:16" s="50" customFormat="1" ht="13.2">
      <c r="B778" s="86"/>
      <c r="C778" s="87"/>
      <c r="D778" s="87"/>
      <c r="E778" s="87"/>
      <c r="F778" s="87"/>
      <c r="G778" s="87"/>
      <c r="H778" s="87"/>
      <c r="I778" s="87"/>
      <c r="J778" s="87"/>
      <c r="K778" s="88"/>
      <c r="L778" s="89"/>
      <c r="M778" s="90"/>
      <c r="N778" s="57"/>
      <c r="O778" s="57"/>
      <c r="P778" s="91"/>
    </row>
    <row r="779" spans="2:16" s="50" customFormat="1" ht="13.2">
      <c r="B779" s="86"/>
      <c r="C779" s="87"/>
      <c r="D779" s="87"/>
      <c r="E779" s="87"/>
      <c r="F779" s="87"/>
      <c r="G779" s="87"/>
      <c r="H779" s="87"/>
      <c r="I779" s="87"/>
      <c r="J779" s="87"/>
      <c r="K779" s="88"/>
      <c r="L779" s="89"/>
      <c r="M779" s="90"/>
      <c r="N779" s="57"/>
      <c r="O779" s="57"/>
      <c r="P779" s="91"/>
    </row>
    <row r="780" spans="2:16" s="50" customFormat="1" ht="13.2">
      <c r="B780" s="86"/>
      <c r="C780" s="87"/>
      <c r="D780" s="87"/>
      <c r="E780" s="87"/>
      <c r="F780" s="87"/>
      <c r="G780" s="87"/>
      <c r="H780" s="87"/>
      <c r="I780" s="87"/>
      <c r="J780" s="87"/>
      <c r="K780" s="88"/>
      <c r="L780" s="89"/>
      <c r="M780" s="90"/>
      <c r="N780" s="57"/>
      <c r="O780" s="57"/>
      <c r="P780" s="91"/>
    </row>
    <row r="781" spans="2:16" s="50" customFormat="1" ht="13.2">
      <c r="B781" s="86"/>
      <c r="C781" s="87"/>
      <c r="D781" s="87"/>
      <c r="E781" s="87"/>
      <c r="F781" s="87"/>
      <c r="G781" s="87"/>
      <c r="H781" s="87"/>
      <c r="I781" s="87"/>
      <c r="J781" s="87"/>
      <c r="K781" s="88"/>
      <c r="L781" s="89"/>
      <c r="M781" s="90"/>
      <c r="N781" s="57"/>
      <c r="O781" s="57"/>
      <c r="P781" s="91"/>
    </row>
    <row r="782" spans="2:16" s="50" customFormat="1" ht="13.2">
      <c r="B782" s="86"/>
      <c r="C782" s="87"/>
      <c r="D782" s="87"/>
      <c r="E782" s="87"/>
      <c r="F782" s="87"/>
      <c r="G782" s="87"/>
      <c r="H782" s="87"/>
      <c r="I782" s="87"/>
      <c r="J782" s="87"/>
      <c r="K782" s="88"/>
      <c r="L782" s="89"/>
      <c r="M782" s="90"/>
      <c r="N782" s="57"/>
      <c r="O782" s="57"/>
      <c r="P782" s="91"/>
    </row>
    <row r="783" spans="2:16" s="50" customFormat="1" ht="13.2">
      <c r="B783" s="86"/>
      <c r="C783" s="87"/>
      <c r="D783" s="87"/>
      <c r="E783" s="87"/>
      <c r="F783" s="87"/>
      <c r="G783" s="87"/>
      <c r="H783" s="87"/>
      <c r="I783" s="87"/>
      <c r="J783" s="87"/>
      <c r="K783" s="88"/>
      <c r="L783" s="89"/>
      <c r="M783" s="90"/>
      <c r="N783" s="57"/>
      <c r="O783" s="57"/>
      <c r="P783" s="91"/>
    </row>
    <row r="784" spans="2:16" s="50" customFormat="1" ht="13.2">
      <c r="B784" s="86"/>
      <c r="C784" s="87"/>
      <c r="D784" s="87"/>
      <c r="E784" s="87"/>
      <c r="F784" s="87"/>
      <c r="G784" s="87"/>
      <c r="H784" s="87"/>
      <c r="I784" s="87"/>
      <c r="J784" s="87"/>
      <c r="K784" s="88"/>
      <c r="L784" s="89"/>
      <c r="M784" s="90"/>
      <c r="N784" s="57"/>
      <c r="O784" s="57"/>
      <c r="P784" s="91"/>
    </row>
    <row r="785" spans="2:16" s="50" customFormat="1" ht="13.2">
      <c r="B785" s="86"/>
      <c r="C785" s="87"/>
      <c r="D785" s="87"/>
      <c r="E785" s="87"/>
      <c r="F785" s="87"/>
      <c r="G785" s="87"/>
      <c r="H785" s="87"/>
      <c r="I785" s="87"/>
      <c r="J785" s="87"/>
      <c r="K785" s="88"/>
      <c r="L785" s="89"/>
      <c r="M785" s="90"/>
      <c r="N785" s="57"/>
      <c r="O785" s="57"/>
      <c r="P785" s="91"/>
    </row>
    <row r="786" spans="2:16" s="50" customFormat="1" ht="13.2">
      <c r="B786" s="86"/>
      <c r="C786" s="87"/>
      <c r="D786" s="87"/>
      <c r="E786" s="87"/>
      <c r="F786" s="87"/>
      <c r="G786" s="87"/>
      <c r="H786" s="87"/>
      <c r="I786" s="87"/>
      <c r="J786" s="87"/>
      <c r="K786" s="88"/>
      <c r="L786" s="89"/>
      <c r="M786" s="90"/>
      <c r="N786" s="57"/>
      <c r="O786" s="57"/>
      <c r="P786" s="91"/>
    </row>
    <row r="787" spans="2:16" s="50" customFormat="1" ht="13.2">
      <c r="B787" s="86"/>
      <c r="C787" s="87"/>
      <c r="D787" s="87"/>
      <c r="E787" s="87"/>
      <c r="F787" s="87"/>
      <c r="G787" s="87"/>
      <c r="H787" s="87"/>
      <c r="I787" s="87"/>
      <c r="J787" s="87"/>
      <c r="K787" s="88"/>
      <c r="L787" s="89"/>
      <c r="M787" s="90"/>
      <c r="N787" s="57"/>
      <c r="O787" s="57"/>
      <c r="P787" s="91"/>
    </row>
    <row r="788" spans="2:16" s="50" customFormat="1" ht="13.2">
      <c r="B788" s="86"/>
      <c r="C788" s="87"/>
      <c r="D788" s="87"/>
      <c r="E788" s="87"/>
      <c r="F788" s="87"/>
      <c r="G788" s="87"/>
      <c r="H788" s="87"/>
      <c r="I788" s="87"/>
      <c r="J788" s="87"/>
      <c r="K788" s="88"/>
      <c r="L788" s="89"/>
      <c r="M788" s="90"/>
      <c r="N788" s="57"/>
      <c r="O788" s="57"/>
      <c r="P788" s="91"/>
    </row>
    <row r="789" spans="2:16" s="50" customFormat="1" ht="13.2">
      <c r="B789" s="86"/>
      <c r="C789" s="87"/>
      <c r="D789" s="87"/>
      <c r="E789" s="87"/>
      <c r="F789" s="87"/>
      <c r="G789" s="87"/>
      <c r="H789" s="87"/>
      <c r="I789" s="87"/>
      <c r="J789" s="87"/>
      <c r="K789" s="88"/>
      <c r="L789" s="89"/>
      <c r="M789" s="90"/>
      <c r="N789" s="57"/>
      <c r="O789" s="57"/>
      <c r="P789" s="91"/>
    </row>
    <row r="790" spans="2:16" s="50" customFormat="1" ht="13.2">
      <c r="B790" s="86"/>
      <c r="C790" s="87"/>
      <c r="D790" s="87"/>
      <c r="E790" s="87"/>
      <c r="F790" s="87"/>
      <c r="G790" s="87"/>
      <c r="H790" s="87"/>
      <c r="I790" s="87"/>
      <c r="J790" s="87"/>
      <c r="K790" s="88"/>
      <c r="L790" s="89"/>
      <c r="M790" s="90"/>
      <c r="N790" s="57"/>
      <c r="O790" s="57"/>
      <c r="P790" s="91"/>
    </row>
    <row r="791" spans="2:16" s="50" customFormat="1" ht="13.2">
      <c r="B791" s="86"/>
      <c r="C791" s="87"/>
      <c r="D791" s="87"/>
      <c r="E791" s="87"/>
      <c r="F791" s="87"/>
      <c r="G791" s="87"/>
      <c r="H791" s="87"/>
      <c r="I791" s="87"/>
      <c r="J791" s="87"/>
      <c r="K791" s="88"/>
      <c r="L791" s="89"/>
      <c r="M791" s="90"/>
      <c r="N791" s="57"/>
      <c r="O791" s="57"/>
      <c r="P791" s="91"/>
    </row>
    <row r="792" spans="2:16" s="50" customFormat="1" ht="13.2">
      <c r="B792" s="86"/>
      <c r="C792" s="87"/>
      <c r="D792" s="87"/>
      <c r="E792" s="87"/>
      <c r="F792" s="87"/>
      <c r="G792" s="87"/>
      <c r="H792" s="87"/>
      <c r="I792" s="87"/>
      <c r="J792" s="87"/>
      <c r="K792" s="88"/>
      <c r="L792" s="89"/>
      <c r="M792" s="90"/>
      <c r="N792" s="57"/>
      <c r="O792" s="57"/>
      <c r="P792" s="91"/>
    </row>
    <row r="793" spans="2:16" s="50" customFormat="1" ht="13.2">
      <c r="B793" s="86"/>
      <c r="C793" s="87"/>
      <c r="D793" s="87"/>
      <c r="E793" s="87"/>
      <c r="F793" s="87"/>
      <c r="G793" s="87"/>
      <c r="H793" s="87"/>
      <c r="I793" s="87"/>
      <c r="J793" s="87"/>
      <c r="K793" s="88"/>
      <c r="L793" s="89"/>
      <c r="M793" s="90"/>
      <c r="N793" s="57"/>
      <c r="O793" s="57"/>
      <c r="P793" s="91"/>
    </row>
    <row r="794" spans="2:16" s="50" customFormat="1" ht="13.2">
      <c r="B794" s="86"/>
      <c r="C794" s="87"/>
      <c r="D794" s="87"/>
      <c r="E794" s="87"/>
      <c r="F794" s="87"/>
      <c r="G794" s="87"/>
      <c r="H794" s="87"/>
      <c r="I794" s="87"/>
      <c r="J794" s="87"/>
      <c r="K794" s="88"/>
      <c r="L794" s="89"/>
      <c r="M794" s="90"/>
      <c r="N794" s="57"/>
      <c r="O794" s="57"/>
      <c r="P794" s="91"/>
    </row>
    <row r="795" spans="2:16" s="50" customFormat="1" ht="13.2">
      <c r="B795" s="86"/>
      <c r="C795" s="87"/>
      <c r="D795" s="87"/>
      <c r="E795" s="87"/>
      <c r="F795" s="87"/>
      <c r="G795" s="87"/>
      <c r="H795" s="87"/>
      <c r="I795" s="87"/>
      <c r="J795" s="87"/>
      <c r="K795" s="88"/>
      <c r="L795" s="89"/>
      <c r="M795" s="90"/>
      <c r="N795" s="57"/>
      <c r="O795" s="57"/>
      <c r="P795" s="91"/>
    </row>
    <row r="796" spans="2:16" s="50" customFormat="1" ht="13.2">
      <c r="B796" s="86"/>
      <c r="C796" s="87"/>
      <c r="D796" s="87"/>
      <c r="E796" s="87"/>
      <c r="F796" s="87"/>
      <c r="G796" s="87"/>
      <c r="H796" s="87"/>
      <c r="I796" s="87"/>
      <c r="J796" s="87"/>
      <c r="K796" s="88"/>
      <c r="L796" s="89"/>
      <c r="M796" s="90"/>
      <c r="N796" s="57"/>
      <c r="O796" s="57"/>
      <c r="P796" s="91"/>
    </row>
    <row r="797" spans="2:16" s="50" customFormat="1" ht="13.2">
      <c r="B797" s="86"/>
      <c r="C797" s="87"/>
      <c r="D797" s="87"/>
      <c r="E797" s="87"/>
      <c r="F797" s="87"/>
      <c r="G797" s="87"/>
      <c r="H797" s="87"/>
      <c r="I797" s="87"/>
      <c r="J797" s="87"/>
      <c r="K797" s="88"/>
      <c r="L797" s="89"/>
      <c r="M797" s="90"/>
      <c r="N797" s="57"/>
      <c r="O797" s="57"/>
      <c r="P797" s="91"/>
    </row>
    <row r="798" spans="2:16" s="50" customFormat="1" ht="13.2">
      <c r="B798" s="86"/>
      <c r="C798" s="87"/>
      <c r="D798" s="87"/>
      <c r="E798" s="87"/>
      <c r="F798" s="87"/>
      <c r="G798" s="87"/>
      <c r="H798" s="87"/>
      <c r="I798" s="87"/>
      <c r="J798" s="87"/>
      <c r="K798" s="88"/>
      <c r="L798" s="89"/>
      <c r="M798" s="90"/>
      <c r="N798" s="57"/>
      <c r="O798" s="57"/>
      <c r="P798" s="91"/>
    </row>
    <row r="799" spans="2:16" s="50" customFormat="1" ht="13.2">
      <c r="B799" s="86"/>
      <c r="C799" s="87"/>
      <c r="D799" s="87"/>
      <c r="E799" s="87"/>
      <c r="F799" s="87"/>
      <c r="G799" s="87"/>
      <c r="H799" s="87"/>
      <c r="I799" s="87"/>
      <c r="J799" s="87"/>
      <c r="K799" s="88"/>
      <c r="L799" s="89"/>
      <c r="M799" s="90"/>
      <c r="N799" s="57"/>
      <c r="O799" s="57"/>
      <c r="P799" s="91"/>
    </row>
    <row r="800" spans="2:16" s="50" customFormat="1" ht="13.2">
      <c r="B800" s="86"/>
      <c r="C800" s="87"/>
      <c r="D800" s="87"/>
      <c r="E800" s="87"/>
      <c r="F800" s="87"/>
      <c r="G800" s="87"/>
      <c r="H800" s="87"/>
      <c r="I800" s="87"/>
      <c r="J800" s="87"/>
      <c r="K800" s="88"/>
      <c r="L800" s="89"/>
      <c r="M800" s="90"/>
      <c r="N800" s="57"/>
      <c r="O800" s="57"/>
      <c r="P800" s="91"/>
    </row>
    <row r="801" spans="2:16" s="50" customFormat="1" ht="13.2">
      <c r="B801" s="86"/>
      <c r="C801" s="87"/>
      <c r="D801" s="87"/>
      <c r="E801" s="87"/>
      <c r="F801" s="87"/>
      <c r="G801" s="87"/>
      <c r="H801" s="87"/>
      <c r="I801" s="87"/>
      <c r="J801" s="87"/>
      <c r="K801" s="88"/>
      <c r="L801" s="89"/>
      <c r="M801" s="90"/>
      <c r="N801" s="57"/>
      <c r="O801" s="57"/>
      <c r="P801" s="91"/>
    </row>
    <row r="802" spans="2:16" s="50" customFormat="1" ht="13.2">
      <c r="B802" s="86"/>
      <c r="C802" s="87"/>
      <c r="D802" s="87"/>
      <c r="E802" s="87"/>
      <c r="F802" s="87"/>
      <c r="G802" s="87"/>
      <c r="H802" s="87"/>
      <c r="I802" s="87"/>
      <c r="J802" s="87"/>
      <c r="K802" s="88"/>
      <c r="L802" s="89"/>
      <c r="M802" s="90"/>
      <c r="N802" s="57"/>
      <c r="O802" s="57"/>
      <c r="P802" s="91"/>
    </row>
    <row r="803" spans="2:16" s="50" customFormat="1" ht="13.2">
      <c r="B803" s="86"/>
      <c r="C803" s="87"/>
      <c r="D803" s="87"/>
      <c r="E803" s="87"/>
      <c r="F803" s="87"/>
      <c r="G803" s="87"/>
      <c r="H803" s="87"/>
      <c r="I803" s="87"/>
      <c r="J803" s="87"/>
      <c r="K803" s="88"/>
      <c r="L803" s="89"/>
      <c r="M803" s="90"/>
      <c r="N803" s="57"/>
      <c r="O803" s="57"/>
      <c r="P803" s="91"/>
    </row>
    <row r="804" spans="2:16" s="50" customFormat="1" ht="13.2">
      <c r="B804" s="86"/>
      <c r="C804" s="87"/>
      <c r="D804" s="87"/>
      <c r="E804" s="87"/>
      <c r="F804" s="87"/>
      <c r="G804" s="87"/>
      <c r="H804" s="87"/>
      <c r="I804" s="87"/>
      <c r="J804" s="87"/>
      <c r="K804" s="88"/>
      <c r="L804" s="89"/>
      <c r="M804" s="90"/>
      <c r="N804" s="57"/>
      <c r="O804" s="57"/>
      <c r="P804" s="91"/>
    </row>
    <row r="805" spans="2:16" s="50" customFormat="1" ht="13.2">
      <c r="B805" s="86"/>
      <c r="C805" s="87"/>
      <c r="D805" s="87"/>
      <c r="E805" s="87"/>
      <c r="F805" s="87"/>
      <c r="G805" s="87"/>
      <c r="H805" s="87"/>
      <c r="I805" s="87"/>
      <c r="J805" s="87"/>
      <c r="K805" s="88"/>
      <c r="L805" s="89"/>
      <c r="M805" s="90"/>
      <c r="N805" s="57"/>
      <c r="O805" s="57"/>
      <c r="P805" s="91"/>
    </row>
    <row r="806" spans="2:16" s="50" customFormat="1" ht="13.2">
      <c r="B806" s="86"/>
      <c r="C806" s="87"/>
      <c r="D806" s="87"/>
      <c r="E806" s="87"/>
      <c r="F806" s="87"/>
      <c r="G806" s="87"/>
      <c r="H806" s="87"/>
      <c r="I806" s="87"/>
      <c r="J806" s="87"/>
      <c r="K806" s="88"/>
      <c r="L806" s="89"/>
      <c r="M806" s="90"/>
      <c r="N806" s="57"/>
      <c r="O806" s="57"/>
      <c r="P806" s="91"/>
    </row>
    <row r="807" spans="2:16" s="50" customFormat="1" ht="13.2">
      <c r="B807" s="86"/>
      <c r="C807" s="87"/>
      <c r="D807" s="87"/>
      <c r="E807" s="87"/>
      <c r="F807" s="87"/>
      <c r="G807" s="87"/>
      <c r="H807" s="87"/>
      <c r="I807" s="87"/>
      <c r="J807" s="87"/>
      <c r="K807" s="88"/>
      <c r="L807" s="89"/>
      <c r="M807" s="90"/>
      <c r="N807" s="57"/>
      <c r="O807" s="57"/>
      <c r="P807" s="91"/>
    </row>
    <row r="808" spans="2:16" s="50" customFormat="1" ht="13.2">
      <c r="B808" s="86"/>
      <c r="C808" s="87"/>
      <c r="D808" s="87"/>
      <c r="E808" s="87"/>
      <c r="F808" s="87"/>
      <c r="G808" s="87"/>
      <c r="H808" s="87"/>
      <c r="I808" s="87"/>
      <c r="J808" s="87"/>
      <c r="K808" s="88"/>
      <c r="L808" s="89"/>
      <c r="M808" s="90"/>
      <c r="N808" s="57"/>
      <c r="O808" s="57"/>
      <c r="P808" s="91"/>
    </row>
    <row r="809" spans="2:16" s="50" customFormat="1" ht="13.2">
      <c r="B809" s="86"/>
      <c r="C809" s="87"/>
      <c r="D809" s="87"/>
      <c r="E809" s="87"/>
      <c r="F809" s="87"/>
      <c r="G809" s="87"/>
      <c r="H809" s="87"/>
      <c r="I809" s="87"/>
      <c r="J809" s="87"/>
      <c r="K809" s="88"/>
      <c r="L809" s="89"/>
      <c r="M809" s="90"/>
      <c r="N809" s="57"/>
      <c r="O809" s="57"/>
      <c r="P809" s="91"/>
    </row>
    <row r="810" spans="2:16" s="50" customFormat="1" ht="13.2">
      <c r="B810" s="86"/>
      <c r="C810" s="87"/>
      <c r="D810" s="87"/>
      <c r="E810" s="87"/>
      <c r="F810" s="87"/>
      <c r="G810" s="87"/>
      <c r="H810" s="87"/>
      <c r="I810" s="87"/>
      <c r="J810" s="87"/>
      <c r="K810" s="88"/>
      <c r="L810" s="89"/>
      <c r="M810" s="90"/>
      <c r="N810" s="57"/>
      <c r="O810" s="57"/>
      <c r="P810" s="91"/>
    </row>
    <row r="811" spans="2:16" s="50" customFormat="1" ht="13.2">
      <c r="B811" s="86"/>
      <c r="C811" s="87"/>
      <c r="D811" s="87"/>
      <c r="E811" s="87"/>
      <c r="F811" s="87"/>
      <c r="G811" s="87"/>
      <c r="H811" s="87"/>
      <c r="I811" s="87"/>
      <c r="J811" s="87"/>
      <c r="K811" s="88"/>
      <c r="L811" s="89"/>
      <c r="M811" s="90"/>
      <c r="N811" s="57"/>
      <c r="O811" s="57"/>
      <c r="P811" s="91"/>
    </row>
    <row r="812" spans="2:16" s="50" customFormat="1" ht="13.2">
      <c r="B812" s="86"/>
      <c r="C812" s="87"/>
      <c r="D812" s="87"/>
      <c r="E812" s="87"/>
      <c r="F812" s="87"/>
      <c r="G812" s="87"/>
      <c r="H812" s="87"/>
      <c r="I812" s="87"/>
      <c r="J812" s="87"/>
      <c r="K812" s="88"/>
      <c r="L812" s="89"/>
      <c r="M812" s="90"/>
      <c r="N812" s="57"/>
      <c r="O812" s="57"/>
      <c r="P812" s="91"/>
    </row>
    <row r="813" spans="2:16" s="50" customFormat="1" ht="13.2">
      <c r="B813" s="86"/>
      <c r="C813" s="87"/>
      <c r="D813" s="87"/>
      <c r="E813" s="87"/>
      <c r="F813" s="87"/>
      <c r="G813" s="87"/>
      <c r="H813" s="87"/>
      <c r="I813" s="87"/>
      <c r="J813" s="87"/>
      <c r="K813" s="88"/>
      <c r="L813" s="89"/>
      <c r="M813" s="90"/>
      <c r="N813" s="57"/>
      <c r="O813" s="57"/>
      <c r="P813" s="91"/>
    </row>
    <row r="814" spans="2:16" s="50" customFormat="1" ht="13.2">
      <c r="B814" s="86"/>
      <c r="C814" s="87"/>
      <c r="D814" s="87"/>
      <c r="E814" s="87"/>
      <c r="F814" s="87"/>
      <c r="G814" s="87"/>
      <c r="H814" s="87"/>
      <c r="I814" s="87"/>
      <c r="J814" s="87"/>
      <c r="K814" s="88"/>
      <c r="L814" s="89"/>
      <c r="M814" s="90"/>
      <c r="N814" s="57"/>
      <c r="O814" s="57"/>
      <c r="P814" s="91"/>
    </row>
    <row r="815" spans="2:16" s="50" customFormat="1" ht="13.2">
      <c r="B815" s="86"/>
      <c r="C815" s="87"/>
      <c r="D815" s="87"/>
      <c r="E815" s="87"/>
      <c r="F815" s="87"/>
      <c r="G815" s="87"/>
      <c r="H815" s="87"/>
      <c r="I815" s="87"/>
      <c r="J815" s="87"/>
      <c r="K815" s="88"/>
      <c r="L815" s="89"/>
      <c r="M815" s="90"/>
      <c r="N815" s="57"/>
      <c r="O815" s="57"/>
      <c r="P815" s="91"/>
    </row>
    <row r="816" spans="2:16" s="50" customFormat="1" ht="13.2">
      <c r="B816" s="86"/>
      <c r="C816" s="87"/>
      <c r="D816" s="87"/>
      <c r="E816" s="87"/>
      <c r="F816" s="87"/>
      <c r="G816" s="87"/>
      <c r="H816" s="87"/>
      <c r="I816" s="87"/>
      <c r="J816" s="87"/>
      <c r="K816" s="88"/>
      <c r="L816" s="89"/>
      <c r="M816" s="90"/>
      <c r="N816" s="57"/>
      <c r="O816" s="57"/>
      <c r="P816" s="91"/>
    </row>
    <row r="817" spans="2:16" s="50" customFormat="1" ht="13.2">
      <c r="B817" s="86"/>
      <c r="C817" s="87"/>
      <c r="D817" s="87"/>
      <c r="E817" s="87"/>
      <c r="F817" s="87"/>
      <c r="G817" s="87"/>
      <c r="H817" s="87"/>
      <c r="I817" s="87"/>
      <c r="J817" s="87"/>
      <c r="K817" s="88"/>
      <c r="L817" s="89"/>
      <c r="M817" s="90"/>
      <c r="N817" s="57"/>
      <c r="O817" s="57"/>
      <c r="P817" s="91"/>
    </row>
    <row r="818" spans="2:16" s="50" customFormat="1" ht="13.2">
      <c r="B818" s="86"/>
      <c r="C818" s="87"/>
      <c r="D818" s="87"/>
      <c r="E818" s="87"/>
      <c r="F818" s="87"/>
      <c r="G818" s="87"/>
      <c r="H818" s="87"/>
      <c r="I818" s="87"/>
      <c r="J818" s="87"/>
      <c r="K818" s="88"/>
      <c r="L818" s="89"/>
      <c r="M818" s="90"/>
      <c r="N818" s="57"/>
      <c r="O818" s="57"/>
      <c r="P818" s="91"/>
    </row>
    <row r="819" spans="2:16" s="50" customFormat="1" ht="13.2">
      <c r="B819" s="86"/>
      <c r="C819" s="87"/>
      <c r="D819" s="87"/>
      <c r="E819" s="87"/>
      <c r="F819" s="87"/>
      <c r="G819" s="87"/>
      <c r="H819" s="87"/>
      <c r="I819" s="87"/>
      <c r="J819" s="87"/>
      <c r="K819" s="88"/>
      <c r="L819" s="89"/>
      <c r="M819" s="90"/>
      <c r="N819" s="57"/>
      <c r="O819" s="57"/>
      <c r="P819" s="91"/>
    </row>
    <row r="820" spans="2:16" s="50" customFormat="1" ht="13.2">
      <c r="B820" s="86"/>
      <c r="C820" s="87"/>
      <c r="D820" s="87"/>
      <c r="E820" s="87"/>
      <c r="F820" s="87"/>
      <c r="G820" s="87"/>
      <c r="H820" s="87"/>
      <c r="I820" s="87"/>
      <c r="J820" s="87"/>
      <c r="K820" s="88"/>
      <c r="L820" s="89"/>
      <c r="M820" s="90"/>
      <c r="N820" s="57"/>
      <c r="O820" s="57"/>
      <c r="P820" s="91"/>
    </row>
    <row r="821" spans="2:16" s="50" customFormat="1" ht="13.2">
      <c r="B821" s="86"/>
      <c r="C821" s="87"/>
      <c r="D821" s="87"/>
      <c r="E821" s="87"/>
      <c r="F821" s="87"/>
      <c r="G821" s="87"/>
      <c r="H821" s="87"/>
      <c r="I821" s="87"/>
      <c r="J821" s="87"/>
      <c r="K821" s="88"/>
      <c r="L821" s="89"/>
      <c r="M821" s="90"/>
      <c r="N821" s="57"/>
      <c r="O821" s="57"/>
      <c r="P821" s="91"/>
    </row>
    <row r="822" spans="2:16" s="50" customFormat="1" ht="13.2">
      <c r="B822" s="86"/>
      <c r="C822" s="87"/>
      <c r="D822" s="87"/>
      <c r="E822" s="87"/>
      <c r="F822" s="87"/>
      <c r="G822" s="87"/>
      <c r="H822" s="87"/>
      <c r="I822" s="87"/>
      <c r="J822" s="87"/>
      <c r="K822" s="88"/>
      <c r="L822" s="89"/>
      <c r="M822" s="90"/>
      <c r="N822" s="57"/>
      <c r="O822" s="57"/>
      <c r="P822" s="91"/>
    </row>
    <row r="823" spans="2:16" s="50" customFormat="1" ht="13.2">
      <c r="B823" s="86"/>
      <c r="C823" s="87"/>
      <c r="D823" s="87"/>
      <c r="E823" s="87"/>
      <c r="F823" s="87"/>
      <c r="G823" s="87"/>
      <c r="H823" s="87"/>
      <c r="I823" s="87"/>
      <c r="J823" s="87"/>
      <c r="K823" s="88"/>
      <c r="L823" s="89"/>
      <c r="M823" s="90"/>
      <c r="N823" s="57"/>
      <c r="O823" s="57"/>
      <c r="P823" s="91"/>
    </row>
    <row r="824" spans="2:16" s="50" customFormat="1" ht="13.2">
      <c r="B824" s="86"/>
      <c r="C824" s="87"/>
      <c r="D824" s="87"/>
      <c r="E824" s="87"/>
      <c r="F824" s="87"/>
      <c r="G824" s="87"/>
      <c r="H824" s="87"/>
      <c r="I824" s="87"/>
      <c r="J824" s="87"/>
      <c r="K824" s="88"/>
      <c r="L824" s="89"/>
      <c r="M824" s="90"/>
      <c r="N824" s="57"/>
      <c r="O824" s="57"/>
      <c r="P824" s="91"/>
    </row>
    <row r="825" spans="2:16" s="50" customFormat="1" ht="13.2">
      <c r="B825" s="86"/>
      <c r="C825" s="87"/>
      <c r="D825" s="87"/>
      <c r="E825" s="87"/>
      <c r="F825" s="87"/>
      <c r="G825" s="87"/>
      <c r="H825" s="87"/>
      <c r="I825" s="87"/>
      <c r="J825" s="87"/>
      <c r="K825" s="88"/>
      <c r="L825" s="89"/>
      <c r="M825" s="90"/>
      <c r="N825" s="57"/>
      <c r="O825" s="57"/>
      <c r="P825" s="91"/>
    </row>
    <row r="826" spans="2:16" s="50" customFormat="1" ht="13.2">
      <c r="B826" s="86"/>
      <c r="C826" s="87"/>
      <c r="D826" s="87"/>
      <c r="E826" s="87"/>
      <c r="F826" s="87"/>
      <c r="G826" s="87"/>
      <c r="H826" s="87"/>
      <c r="I826" s="87"/>
      <c r="J826" s="87"/>
      <c r="K826" s="88"/>
      <c r="L826" s="89"/>
      <c r="M826" s="90"/>
      <c r="N826" s="57"/>
      <c r="O826" s="57"/>
      <c r="P826" s="91"/>
    </row>
    <row r="827" spans="2:16" s="50" customFormat="1" ht="13.2">
      <c r="B827" s="86"/>
      <c r="C827" s="87"/>
      <c r="D827" s="87"/>
      <c r="E827" s="87"/>
      <c r="F827" s="87"/>
      <c r="G827" s="87"/>
      <c r="H827" s="87"/>
      <c r="I827" s="87"/>
      <c r="J827" s="87"/>
      <c r="K827" s="88"/>
      <c r="L827" s="89"/>
      <c r="M827" s="90"/>
      <c r="N827" s="57"/>
      <c r="O827" s="57"/>
      <c r="P827" s="91"/>
    </row>
    <row r="828" spans="2:16" s="50" customFormat="1" ht="13.2">
      <c r="B828" s="86"/>
      <c r="C828" s="87"/>
      <c r="D828" s="87"/>
      <c r="E828" s="87"/>
      <c r="F828" s="87"/>
      <c r="G828" s="87"/>
      <c r="H828" s="87"/>
      <c r="I828" s="87"/>
      <c r="J828" s="87"/>
      <c r="K828" s="88"/>
      <c r="L828" s="89"/>
      <c r="M828" s="90"/>
      <c r="N828" s="57"/>
      <c r="O828" s="57"/>
      <c r="P828" s="91"/>
    </row>
    <row r="829" spans="2:16" s="50" customFormat="1" ht="13.2">
      <c r="B829" s="86"/>
      <c r="C829" s="87"/>
      <c r="D829" s="87"/>
      <c r="E829" s="87"/>
      <c r="F829" s="87"/>
      <c r="G829" s="87"/>
      <c r="H829" s="87"/>
      <c r="I829" s="87"/>
      <c r="J829" s="87"/>
      <c r="K829" s="88"/>
      <c r="L829" s="89"/>
      <c r="M829" s="90"/>
      <c r="N829" s="57"/>
      <c r="O829" s="57"/>
      <c r="P829" s="91"/>
    </row>
    <row r="830" spans="2:16" s="50" customFormat="1" ht="13.2">
      <c r="B830" s="86"/>
      <c r="C830" s="87"/>
      <c r="D830" s="87"/>
      <c r="E830" s="87"/>
      <c r="F830" s="87"/>
      <c r="G830" s="87"/>
      <c r="H830" s="87"/>
      <c r="I830" s="87"/>
      <c r="J830" s="87"/>
      <c r="K830" s="88"/>
      <c r="L830" s="89"/>
      <c r="M830" s="90"/>
      <c r="N830" s="57"/>
      <c r="O830" s="57"/>
      <c r="P830" s="91"/>
    </row>
    <row r="831" spans="2:16" s="50" customFormat="1" ht="13.2">
      <c r="B831" s="86"/>
      <c r="C831" s="87"/>
      <c r="D831" s="87"/>
      <c r="E831" s="87"/>
      <c r="F831" s="87"/>
      <c r="G831" s="87"/>
      <c r="H831" s="87"/>
      <c r="I831" s="87"/>
      <c r="J831" s="87"/>
      <c r="K831" s="88"/>
      <c r="L831" s="89"/>
      <c r="M831" s="90"/>
      <c r="N831" s="57"/>
      <c r="O831" s="57"/>
      <c r="P831" s="91"/>
    </row>
    <row r="832" spans="2:16" s="50" customFormat="1" ht="13.2">
      <c r="B832" s="86"/>
      <c r="C832" s="87"/>
      <c r="D832" s="87"/>
      <c r="E832" s="87"/>
      <c r="F832" s="87"/>
      <c r="G832" s="87"/>
      <c r="H832" s="87"/>
      <c r="I832" s="87"/>
      <c r="J832" s="87"/>
      <c r="K832" s="88"/>
      <c r="L832" s="89"/>
      <c r="M832" s="90"/>
      <c r="N832" s="57"/>
      <c r="O832" s="57"/>
      <c r="P832" s="91"/>
    </row>
    <row r="833" spans="2:16" s="50" customFormat="1" ht="13.2">
      <c r="B833" s="86"/>
      <c r="C833" s="87"/>
      <c r="D833" s="87"/>
      <c r="E833" s="87"/>
      <c r="F833" s="87"/>
      <c r="G833" s="87"/>
      <c r="H833" s="87"/>
      <c r="I833" s="87"/>
      <c r="J833" s="87"/>
      <c r="K833" s="88"/>
      <c r="L833" s="89"/>
      <c r="M833" s="90"/>
      <c r="N833" s="57"/>
      <c r="O833" s="57"/>
      <c r="P833" s="91"/>
    </row>
    <row r="834" spans="2:16" s="50" customFormat="1" ht="13.2">
      <c r="B834" s="86"/>
      <c r="C834" s="87"/>
      <c r="D834" s="87"/>
      <c r="E834" s="87"/>
      <c r="F834" s="87"/>
      <c r="G834" s="87"/>
      <c r="H834" s="87"/>
      <c r="I834" s="87"/>
      <c r="J834" s="87"/>
      <c r="K834" s="88"/>
      <c r="L834" s="89"/>
      <c r="M834" s="90"/>
      <c r="N834" s="57"/>
      <c r="O834" s="57"/>
      <c r="P834" s="91"/>
    </row>
    <row r="835" spans="2:16" s="50" customFormat="1" ht="13.2">
      <c r="B835" s="86"/>
      <c r="C835" s="87"/>
      <c r="D835" s="87"/>
      <c r="E835" s="87"/>
      <c r="F835" s="87"/>
      <c r="G835" s="87"/>
      <c r="H835" s="87"/>
      <c r="I835" s="87"/>
      <c r="J835" s="87"/>
      <c r="K835" s="88"/>
      <c r="L835" s="89"/>
      <c r="M835" s="90"/>
      <c r="N835" s="57"/>
      <c r="O835" s="57"/>
      <c r="P835" s="91"/>
    </row>
    <row r="836" spans="2:16" s="50" customFormat="1" ht="13.2">
      <c r="B836" s="86"/>
      <c r="C836" s="87"/>
      <c r="D836" s="87"/>
      <c r="E836" s="87"/>
      <c r="F836" s="87"/>
      <c r="G836" s="87"/>
      <c r="H836" s="87"/>
      <c r="I836" s="87"/>
      <c r="J836" s="87"/>
      <c r="K836" s="88"/>
      <c r="L836" s="89"/>
      <c r="M836" s="90"/>
      <c r="N836" s="57"/>
      <c r="O836" s="57"/>
      <c r="P836" s="91"/>
    </row>
    <row r="837" spans="2:16" s="50" customFormat="1" ht="13.2">
      <c r="B837" s="86"/>
      <c r="C837" s="87"/>
      <c r="D837" s="87"/>
      <c r="E837" s="87"/>
      <c r="F837" s="87"/>
      <c r="G837" s="87"/>
      <c r="H837" s="87"/>
      <c r="I837" s="87"/>
      <c r="J837" s="87"/>
      <c r="K837" s="88"/>
      <c r="L837" s="89"/>
      <c r="M837" s="90"/>
      <c r="N837" s="57"/>
      <c r="O837" s="57"/>
      <c r="P837" s="91"/>
    </row>
    <row r="838" spans="2:16" s="50" customFormat="1" ht="13.2">
      <c r="B838" s="86"/>
      <c r="C838" s="87"/>
      <c r="D838" s="87"/>
      <c r="E838" s="87"/>
      <c r="F838" s="87"/>
      <c r="G838" s="87"/>
      <c r="H838" s="87"/>
      <c r="I838" s="87"/>
      <c r="J838" s="87"/>
      <c r="K838" s="88"/>
      <c r="L838" s="89"/>
      <c r="M838" s="90"/>
      <c r="N838" s="57"/>
      <c r="O838" s="57"/>
      <c r="P838" s="91"/>
    </row>
    <row r="839" spans="2:16" s="50" customFormat="1" ht="13.2">
      <c r="B839" s="86"/>
      <c r="C839" s="87"/>
      <c r="D839" s="87"/>
      <c r="E839" s="87"/>
      <c r="F839" s="87"/>
      <c r="G839" s="87"/>
      <c r="H839" s="87"/>
      <c r="I839" s="87"/>
      <c r="J839" s="87"/>
      <c r="K839" s="88"/>
      <c r="L839" s="89"/>
      <c r="M839" s="90"/>
      <c r="N839" s="57"/>
      <c r="O839" s="57"/>
      <c r="P839" s="91"/>
    </row>
    <row r="840" spans="2:16" s="50" customFormat="1" ht="13.2">
      <c r="B840" s="86"/>
      <c r="C840" s="87"/>
      <c r="D840" s="87"/>
      <c r="E840" s="87"/>
      <c r="F840" s="87"/>
      <c r="G840" s="87"/>
      <c r="H840" s="87"/>
      <c r="I840" s="87"/>
      <c r="J840" s="87"/>
      <c r="K840" s="88"/>
      <c r="L840" s="89"/>
      <c r="M840" s="90"/>
      <c r="N840" s="57"/>
      <c r="O840" s="57"/>
      <c r="P840" s="91"/>
    </row>
    <row r="841" spans="2:16" s="50" customFormat="1" ht="13.2">
      <c r="B841" s="86"/>
      <c r="C841" s="87"/>
      <c r="D841" s="87"/>
      <c r="E841" s="87"/>
      <c r="F841" s="87"/>
      <c r="G841" s="87"/>
      <c r="H841" s="87"/>
      <c r="I841" s="87"/>
      <c r="J841" s="87"/>
      <c r="K841" s="88"/>
      <c r="L841" s="89"/>
      <c r="M841" s="90"/>
      <c r="N841" s="57"/>
      <c r="O841" s="57"/>
      <c r="P841" s="91"/>
    </row>
    <row r="842" spans="2:16" s="50" customFormat="1" ht="13.2">
      <c r="B842" s="86"/>
      <c r="C842" s="87"/>
      <c r="D842" s="87"/>
      <c r="E842" s="87"/>
      <c r="F842" s="87"/>
      <c r="G842" s="87"/>
      <c r="H842" s="87"/>
      <c r="I842" s="87"/>
      <c r="J842" s="87"/>
      <c r="K842" s="88"/>
      <c r="L842" s="89"/>
      <c r="M842" s="90"/>
      <c r="N842" s="57"/>
      <c r="O842" s="57"/>
      <c r="P842" s="91"/>
    </row>
    <row r="843" spans="2:16" s="50" customFormat="1" ht="13.2">
      <c r="B843" s="86"/>
      <c r="C843" s="87"/>
      <c r="D843" s="87"/>
      <c r="E843" s="87"/>
      <c r="F843" s="87"/>
      <c r="G843" s="87"/>
      <c r="H843" s="87"/>
      <c r="I843" s="87"/>
      <c r="J843" s="87"/>
      <c r="K843" s="88"/>
      <c r="L843" s="89"/>
      <c r="M843" s="90"/>
      <c r="N843" s="57"/>
      <c r="O843" s="57"/>
      <c r="P843" s="91"/>
    </row>
    <row r="844" spans="2:16" s="50" customFormat="1" ht="13.2">
      <c r="B844" s="86"/>
      <c r="C844" s="87"/>
      <c r="D844" s="87"/>
      <c r="E844" s="87"/>
      <c r="F844" s="87"/>
      <c r="G844" s="87"/>
      <c r="H844" s="87"/>
      <c r="I844" s="87"/>
      <c r="J844" s="87"/>
      <c r="K844" s="88"/>
      <c r="L844" s="89"/>
      <c r="M844" s="90"/>
      <c r="N844" s="57"/>
      <c r="O844" s="57"/>
      <c r="P844" s="91"/>
    </row>
    <row r="845" spans="2:16" s="50" customFormat="1" ht="13.2">
      <c r="B845" s="86"/>
      <c r="C845" s="87"/>
      <c r="D845" s="87"/>
      <c r="E845" s="87"/>
      <c r="F845" s="87"/>
      <c r="G845" s="87"/>
      <c r="H845" s="87"/>
      <c r="I845" s="87"/>
      <c r="J845" s="87"/>
      <c r="K845" s="88"/>
      <c r="L845" s="89"/>
      <c r="M845" s="90"/>
      <c r="N845" s="57"/>
      <c r="O845" s="57"/>
      <c r="P845" s="91"/>
    </row>
    <row r="846" spans="2:16" s="50" customFormat="1" ht="13.2">
      <c r="B846" s="86"/>
      <c r="C846" s="87"/>
      <c r="D846" s="87"/>
      <c r="E846" s="87"/>
      <c r="F846" s="87"/>
      <c r="G846" s="87"/>
      <c r="H846" s="87"/>
      <c r="I846" s="87"/>
      <c r="J846" s="87"/>
      <c r="K846" s="88"/>
      <c r="L846" s="89"/>
      <c r="M846" s="90"/>
      <c r="N846" s="57"/>
      <c r="O846" s="57"/>
      <c r="P846" s="91"/>
    </row>
    <row r="847" spans="2:16" s="50" customFormat="1" ht="13.2">
      <c r="B847" s="86"/>
      <c r="C847" s="87"/>
      <c r="D847" s="87"/>
      <c r="E847" s="87"/>
      <c r="F847" s="87"/>
      <c r="G847" s="87"/>
      <c r="H847" s="87"/>
      <c r="I847" s="87"/>
      <c r="J847" s="87"/>
      <c r="K847" s="88"/>
      <c r="L847" s="89"/>
      <c r="M847" s="90"/>
      <c r="N847" s="57"/>
      <c r="O847" s="57"/>
      <c r="P847" s="91"/>
    </row>
    <row r="848" spans="2:16" s="50" customFormat="1" ht="13.2">
      <c r="B848" s="86"/>
      <c r="C848" s="87"/>
      <c r="D848" s="87"/>
      <c r="E848" s="87"/>
      <c r="F848" s="87"/>
      <c r="G848" s="87"/>
      <c r="H848" s="87"/>
      <c r="I848" s="87"/>
      <c r="J848" s="87"/>
      <c r="K848" s="88"/>
      <c r="L848" s="89"/>
      <c r="M848" s="90"/>
      <c r="N848" s="57"/>
      <c r="O848" s="57"/>
      <c r="P848" s="91"/>
    </row>
    <row r="849" spans="2:16" s="50" customFormat="1" ht="13.2">
      <c r="B849" s="86"/>
      <c r="C849" s="87"/>
      <c r="D849" s="87"/>
      <c r="E849" s="87"/>
      <c r="F849" s="87"/>
      <c r="G849" s="87"/>
      <c r="H849" s="87"/>
      <c r="I849" s="87"/>
      <c r="J849" s="87"/>
      <c r="K849" s="88"/>
      <c r="L849" s="89"/>
      <c r="M849" s="90"/>
      <c r="N849" s="57"/>
      <c r="O849" s="57"/>
      <c r="P849" s="91"/>
    </row>
    <row r="850" spans="2:16" s="50" customFormat="1" ht="13.2">
      <c r="B850" s="86"/>
      <c r="C850" s="87"/>
      <c r="D850" s="87"/>
      <c r="E850" s="87"/>
      <c r="F850" s="87"/>
      <c r="G850" s="87"/>
      <c r="H850" s="87"/>
      <c r="I850" s="87"/>
      <c r="J850" s="87"/>
      <c r="K850" s="88"/>
      <c r="L850" s="89"/>
      <c r="M850" s="90"/>
      <c r="N850" s="57"/>
      <c r="O850" s="57"/>
      <c r="P850" s="91"/>
    </row>
    <row r="851" spans="2:16" s="50" customFormat="1" ht="13.2">
      <c r="B851" s="86"/>
      <c r="C851" s="87"/>
      <c r="D851" s="87"/>
      <c r="E851" s="87"/>
      <c r="F851" s="87"/>
      <c r="G851" s="87"/>
      <c r="H851" s="87"/>
      <c r="I851" s="87"/>
      <c r="J851" s="87"/>
      <c r="K851" s="88"/>
      <c r="L851" s="89"/>
      <c r="M851" s="90"/>
      <c r="N851" s="57"/>
      <c r="O851" s="57"/>
      <c r="P851" s="91"/>
    </row>
    <row r="852" spans="2:16" s="50" customFormat="1" ht="13.2">
      <c r="B852" s="86"/>
      <c r="C852" s="87"/>
      <c r="D852" s="87"/>
      <c r="E852" s="87"/>
      <c r="F852" s="87"/>
      <c r="G852" s="87"/>
      <c r="H852" s="87"/>
      <c r="I852" s="87"/>
      <c r="J852" s="87"/>
      <c r="K852" s="88"/>
      <c r="L852" s="89"/>
      <c r="M852" s="90"/>
      <c r="N852" s="57"/>
      <c r="O852" s="57"/>
      <c r="P852" s="91"/>
    </row>
    <row r="853" spans="2:16" s="50" customFormat="1" ht="13.2">
      <c r="B853" s="86"/>
      <c r="C853" s="87"/>
      <c r="D853" s="87"/>
      <c r="E853" s="87"/>
      <c r="F853" s="87"/>
      <c r="G853" s="87"/>
      <c r="H853" s="87"/>
      <c r="I853" s="87"/>
      <c r="J853" s="87"/>
      <c r="K853" s="88"/>
      <c r="L853" s="89"/>
      <c r="M853" s="90"/>
      <c r="N853" s="57"/>
      <c r="O853" s="57"/>
      <c r="P853" s="91"/>
    </row>
    <row r="854" spans="2:16" s="50" customFormat="1" ht="13.2">
      <c r="B854" s="86"/>
      <c r="C854" s="87"/>
      <c r="D854" s="87"/>
      <c r="E854" s="87"/>
      <c r="F854" s="87"/>
      <c r="G854" s="87"/>
      <c r="H854" s="87"/>
      <c r="I854" s="87"/>
      <c r="J854" s="87"/>
      <c r="K854" s="88"/>
      <c r="L854" s="89"/>
      <c r="M854" s="90"/>
      <c r="N854" s="57"/>
      <c r="O854" s="57"/>
      <c r="P854" s="91"/>
    </row>
    <row r="855" spans="2:16" s="50" customFormat="1" ht="13.2">
      <c r="B855" s="86"/>
      <c r="C855" s="87"/>
      <c r="D855" s="87"/>
      <c r="E855" s="87"/>
      <c r="F855" s="87"/>
      <c r="G855" s="87"/>
      <c r="H855" s="87"/>
      <c r="I855" s="87"/>
      <c r="J855" s="87"/>
      <c r="K855" s="88"/>
      <c r="L855" s="89"/>
      <c r="M855" s="90"/>
      <c r="N855" s="57"/>
      <c r="O855" s="57"/>
      <c r="P855" s="91"/>
    </row>
    <row r="856" spans="2:16" s="50" customFormat="1" ht="13.2">
      <c r="B856" s="86"/>
      <c r="C856" s="87"/>
      <c r="D856" s="87"/>
      <c r="E856" s="87"/>
      <c r="F856" s="87"/>
      <c r="G856" s="87"/>
      <c r="H856" s="87"/>
      <c r="I856" s="87"/>
      <c r="J856" s="87"/>
      <c r="K856" s="88"/>
      <c r="L856" s="89"/>
      <c r="M856" s="90"/>
      <c r="N856" s="57"/>
      <c r="O856" s="57"/>
      <c r="P856" s="91"/>
    </row>
    <row r="857" spans="2:16" s="50" customFormat="1" ht="13.2">
      <c r="B857" s="86"/>
      <c r="C857" s="87"/>
      <c r="D857" s="87"/>
      <c r="E857" s="87"/>
      <c r="F857" s="87"/>
      <c r="G857" s="87"/>
      <c r="H857" s="87"/>
      <c r="I857" s="87"/>
      <c r="J857" s="87"/>
      <c r="K857" s="88"/>
      <c r="L857" s="89"/>
      <c r="M857" s="90"/>
      <c r="N857" s="57"/>
      <c r="O857" s="57"/>
      <c r="P857" s="91"/>
    </row>
    <row r="858" spans="2:16" s="50" customFormat="1" ht="13.2">
      <c r="B858" s="86"/>
      <c r="C858" s="87"/>
      <c r="D858" s="87"/>
      <c r="E858" s="87"/>
      <c r="F858" s="87"/>
      <c r="G858" s="87"/>
      <c r="H858" s="87"/>
      <c r="I858" s="87"/>
      <c r="J858" s="87"/>
      <c r="K858" s="88"/>
      <c r="L858" s="89"/>
      <c r="M858" s="90"/>
      <c r="N858" s="57"/>
      <c r="O858" s="57"/>
      <c r="P858" s="91"/>
    </row>
    <row r="859" spans="2:16" s="50" customFormat="1" ht="13.2">
      <c r="B859" s="86"/>
      <c r="C859" s="87"/>
      <c r="D859" s="87"/>
      <c r="E859" s="87"/>
      <c r="F859" s="87"/>
      <c r="G859" s="87"/>
      <c r="H859" s="87"/>
      <c r="I859" s="87"/>
      <c r="J859" s="87"/>
      <c r="K859" s="88"/>
      <c r="L859" s="89"/>
      <c r="M859" s="90"/>
      <c r="N859" s="57"/>
      <c r="O859" s="57"/>
      <c r="P859" s="91"/>
    </row>
    <row r="860" spans="2:16" s="50" customFormat="1" ht="13.2">
      <c r="B860" s="86"/>
      <c r="C860" s="87"/>
      <c r="D860" s="87"/>
      <c r="E860" s="87"/>
      <c r="F860" s="87"/>
      <c r="G860" s="87"/>
      <c r="H860" s="87"/>
      <c r="I860" s="87"/>
      <c r="J860" s="87"/>
      <c r="K860" s="88"/>
      <c r="L860" s="89"/>
      <c r="M860" s="90"/>
      <c r="N860" s="57"/>
      <c r="O860" s="57"/>
      <c r="P860" s="91"/>
    </row>
    <row r="861" spans="2:16" s="50" customFormat="1" ht="13.2">
      <c r="B861" s="86"/>
      <c r="C861" s="87"/>
      <c r="D861" s="87"/>
      <c r="E861" s="87"/>
      <c r="F861" s="87"/>
      <c r="G861" s="87"/>
      <c r="H861" s="87"/>
      <c r="I861" s="87"/>
      <c r="J861" s="87"/>
      <c r="K861" s="88"/>
      <c r="L861" s="89"/>
      <c r="M861" s="90"/>
      <c r="N861" s="57"/>
      <c r="O861" s="57"/>
      <c r="P861" s="91"/>
    </row>
    <row r="862" spans="2:16" s="50" customFormat="1" ht="13.2">
      <c r="B862" s="86"/>
      <c r="C862" s="87"/>
      <c r="D862" s="87"/>
      <c r="E862" s="87"/>
      <c r="F862" s="87"/>
      <c r="G862" s="87"/>
      <c r="H862" s="87"/>
      <c r="I862" s="87"/>
      <c r="J862" s="87"/>
      <c r="K862" s="88"/>
      <c r="L862" s="89"/>
      <c r="M862" s="90"/>
      <c r="N862" s="57"/>
      <c r="O862" s="57"/>
      <c r="P862" s="91"/>
    </row>
    <row r="863" spans="2:16" s="50" customFormat="1" ht="13.2">
      <c r="B863" s="86"/>
      <c r="C863" s="87"/>
      <c r="D863" s="87"/>
      <c r="E863" s="87"/>
      <c r="F863" s="87"/>
      <c r="G863" s="87"/>
      <c r="H863" s="87"/>
      <c r="I863" s="87"/>
      <c r="J863" s="87"/>
      <c r="K863" s="88"/>
      <c r="L863" s="89"/>
      <c r="M863" s="90"/>
      <c r="N863" s="57"/>
      <c r="O863" s="57"/>
      <c r="P863" s="91"/>
    </row>
    <row r="864" spans="2:16" s="50" customFormat="1" ht="13.2">
      <c r="B864" s="86"/>
      <c r="C864" s="87"/>
      <c r="D864" s="87"/>
      <c r="E864" s="87"/>
      <c r="F864" s="87"/>
      <c r="G864" s="87"/>
      <c r="H864" s="87"/>
      <c r="I864" s="87"/>
      <c r="J864" s="87"/>
      <c r="K864" s="88"/>
      <c r="L864" s="89"/>
      <c r="M864" s="90"/>
      <c r="N864" s="57"/>
      <c r="O864" s="57"/>
      <c r="P864" s="91"/>
    </row>
    <row r="865" spans="2:16" s="50" customFormat="1" ht="13.2">
      <c r="B865" s="86"/>
      <c r="C865" s="87"/>
      <c r="D865" s="87"/>
      <c r="E865" s="87"/>
      <c r="F865" s="87"/>
      <c r="G865" s="87"/>
      <c r="H865" s="87"/>
      <c r="I865" s="87"/>
      <c r="J865" s="87"/>
      <c r="K865" s="88"/>
      <c r="L865" s="89"/>
      <c r="M865" s="90"/>
      <c r="N865" s="57"/>
      <c r="O865" s="57"/>
      <c r="P865" s="91"/>
    </row>
    <row r="866" spans="2:16" s="50" customFormat="1" ht="13.2">
      <c r="B866" s="86"/>
      <c r="C866" s="87"/>
      <c r="D866" s="87"/>
      <c r="E866" s="87"/>
      <c r="F866" s="87"/>
      <c r="G866" s="87"/>
      <c r="H866" s="87"/>
      <c r="I866" s="87"/>
      <c r="J866" s="87"/>
      <c r="K866" s="88"/>
      <c r="L866" s="89"/>
      <c r="M866" s="90"/>
      <c r="N866" s="57"/>
      <c r="O866" s="57"/>
      <c r="P866" s="91"/>
    </row>
    <row r="867" spans="2:16" s="50" customFormat="1" ht="13.2">
      <c r="B867" s="86"/>
      <c r="C867" s="87"/>
      <c r="D867" s="87"/>
      <c r="E867" s="87"/>
      <c r="F867" s="87"/>
      <c r="G867" s="87"/>
      <c r="H867" s="87"/>
      <c r="I867" s="87"/>
      <c r="J867" s="87"/>
      <c r="K867" s="88"/>
      <c r="L867" s="89"/>
      <c r="M867" s="90"/>
      <c r="N867" s="57"/>
      <c r="O867" s="57"/>
      <c r="P867" s="91"/>
    </row>
    <row r="868" spans="2:16" s="50" customFormat="1" ht="13.2">
      <c r="B868" s="86"/>
      <c r="C868" s="87"/>
      <c r="D868" s="87"/>
      <c r="E868" s="87"/>
      <c r="F868" s="87"/>
      <c r="G868" s="87"/>
      <c r="H868" s="87"/>
      <c r="I868" s="87"/>
      <c r="J868" s="87"/>
      <c r="K868" s="88"/>
      <c r="L868" s="89"/>
      <c r="M868" s="90"/>
      <c r="N868" s="57"/>
      <c r="O868" s="57"/>
      <c r="P868" s="91"/>
    </row>
    <row r="869" spans="2:16" s="50" customFormat="1" ht="13.2">
      <c r="B869" s="86"/>
      <c r="C869" s="87"/>
      <c r="D869" s="87"/>
      <c r="E869" s="87"/>
      <c r="F869" s="87"/>
      <c r="G869" s="87"/>
      <c r="H869" s="87"/>
      <c r="I869" s="87"/>
      <c r="J869" s="87"/>
      <c r="K869" s="88"/>
      <c r="L869" s="89"/>
      <c r="M869" s="90"/>
      <c r="N869" s="57"/>
      <c r="O869" s="57"/>
      <c r="P869" s="91"/>
    </row>
    <row r="870" spans="2:16" s="50" customFormat="1" ht="13.2">
      <c r="B870" s="86"/>
      <c r="C870" s="87"/>
      <c r="D870" s="87"/>
      <c r="E870" s="87"/>
      <c r="F870" s="87"/>
      <c r="G870" s="87"/>
      <c r="H870" s="87"/>
      <c r="I870" s="87"/>
      <c r="J870" s="87"/>
      <c r="K870" s="88"/>
      <c r="L870" s="89"/>
      <c r="M870" s="90"/>
      <c r="N870" s="57"/>
      <c r="O870" s="57"/>
      <c r="P870" s="91"/>
    </row>
    <row r="871" spans="2:16" s="50" customFormat="1" ht="13.2">
      <c r="B871" s="86"/>
      <c r="C871" s="87"/>
      <c r="D871" s="87"/>
      <c r="E871" s="87"/>
      <c r="F871" s="87"/>
      <c r="G871" s="87"/>
      <c r="H871" s="87"/>
      <c r="I871" s="87"/>
      <c r="J871" s="87"/>
      <c r="K871" s="88"/>
      <c r="L871" s="89"/>
      <c r="M871" s="90"/>
      <c r="N871" s="57"/>
      <c r="O871" s="57"/>
      <c r="P871" s="91"/>
    </row>
    <row r="872" spans="2:16" s="50" customFormat="1" ht="13.2">
      <c r="B872" s="86"/>
      <c r="C872" s="87"/>
      <c r="D872" s="87"/>
      <c r="E872" s="87"/>
      <c r="F872" s="87"/>
      <c r="G872" s="87"/>
      <c r="H872" s="87"/>
      <c r="I872" s="87"/>
      <c r="J872" s="87"/>
      <c r="K872" s="88"/>
      <c r="L872" s="89"/>
      <c r="M872" s="90"/>
      <c r="N872" s="57"/>
      <c r="O872" s="57"/>
      <c r="P872" s="91"/>
    </row>
    <row r="873" spans="2:16" s="50" customFormat="1" ht="13.2">
      <c r="B873" s="86"/>
      <c r="C873" s="87"/>
      <c r="D873" s="87"/>
      <c r="E873" s="87"/>
      <c r="F873" s="87"/>
      <c r="G873" s="87"/>
      <c r="H873" s="87"/>
      <c r="I873" s="87"/>
      <c r="J873" s="87"/>
      <c r="K873" s="88"/>
      <c r="L873" s="89"/>
      <c r="M873" s="90"/>
      <c r="N873" s="57"/>
      <c r="O873" s="57"/>
      <c r="P873" s="91"/>
    </row>
    <row r="874" spans="2:16" s="50" customFormat="1" ht="13.2">
      <c r="B874" s="86"/>
      <c r="C874" s="87"/>
      <c r="D874" s="87"/>
      <c r="E874" s="87"/>
      <c r="F874" s="87"/>
      <c r="G874" s="87"/>
      <c r="H874" s="87"/>
      <c r="I874" s="87"/>
      <c r="J874" s="87"/>
      <c r="K874" s="88"/>
      <c r="L874" s="89"/>
      <c r="M874" s="90"/>
      <c r="N874" s="57"/>
      <c r="O874" s="57"/>
      <c r="P874" s="91"/>
    </row>
    <row r="875" spans="2:16" s="50" customFormat="1" ht="13.2">
      <c r="B875" s="86"/>
      <c r="C875" s="87"/>
      <c r="D875" s="87"/>
      <c r="E875" s="87"/>
      <c r="F875" s="87"/>
      <c r="G875" s="87"/>
      <c r="H875" s="87"/>
      <c r="I875" s="87"/>
      <c r="J875" s="87"/>
      <c r="K875" s="88"/>
      <c r="L875" s="89"/>
      <c r="M875" s="90"/>
      <c r="N875" s="57"/>
      <c r="O875" s="57"/>
      <c r="P875" s="91"/>
    </row>
    <row r="876" spans="2:16" s="50" customFormat="1" ht="13.2">
      <c r="B876" s="86"/>
      <c r="C876" s="87"/>
      <c r="D876" s="87"/>
      <c r="E876" s="87"/>
      <c r="F876" s="87"/>
      <c r="G876" s="87"/>
      <c r="H876" s="87"/>
      <c r="I876" s="87"/>
      <c r="J876" s="87"/>
      <c r="K876" s="88"/>
      <c r="L876" s="89"/>
      <c r="M876" s="90"/>
      <c r="N876" s="57"/>
      <c r="O876" s="57"/>
      <c r="P876" s="91"/>
    </row>
    <row r="877" spans="2:16" s="50" customFormat="1" ht="13.2">
      <c r="B877" s="86"/>
      <c r="C877" s="87"/>
      <c r="D877" s="87"/>
      <c r="E877" s="87"/>
      <c r="F877" s="87"/>
      <c r="G877" s="87"/>
      <c r="H877" s="87"/>
      <c r="I877" s="87"/>
      <c r="J877" s="87"/>
      <c r="K877" s="88"/>
      <c r="L877" s="89"/>
      <c r="M877" s="90"/>
      <c r="N877" s="57"/>
      <c r="O877" s="57"/>
      <c r="P877" s="91"/>
    </row>
    <row r="878" spans="2:16" s="50" customFormat="1" ht="13.2">
      <c r="B878" s="86"/>
      <c r="C878" s="87"/>
      <c r="D878" s="87"/>
      <c r="E878" s="87"/>
      <c r="F878" s="87"/>
      <c r="G878" s="87"/>
      <c r="H878" s="87"/>
      <c r="I878" s="87"/>
      <c r="J878" s="87"/>
      <c r="K878" s="88"/>
      <c r="L878" s="89"/>
      <c r="M878" s="90"/>
      <c r="N878" s="57"/>
      <c r="O878" s="57"/>
      <c r="P878" s="91"/>
    </row>
    <row r="879" spans="2:16" s="50" customFormat="1" ht="13.2">
      <c r="B879" s="86"/>
      <c r="C879" s="87"/>
      <c r="D879" s="87"/>
      <c r="E879" s="87"/>
      <c r="F879" s="87"/>
      <c r="G879" s="87"/>
      <c r="H879" s="87"/>
      <c r="I879" s="87"/>
      <c r="J879" s="87"/>
      <c r="K879" s="88"/>
      <c r="L879" s="89"/>
      <c r="M879" s="90"/>
      <c r="N879" s="57"/>
      <c r="O879" s="57"/>
      <c r="P879" s="91"/>
    </row>
    <row r="880" spans="2:16" s="50" customFormat="1" ht="13.2">
      <c r="B880" s="86"/>
      <c r="C880" s="87"/>
      <c r="D880" s="87"/>
      <c r="E880" s="87"/>
      <c r="F880" s="87"/>
      <c r="G880" s="87"/>
      <c r="H880" s="87"/>
      <c r="I880" s="87"/>
      <c r="J880" s="87"/>
      <c r="K880" s="88"/>
      <c r="L880" s="89"/>
      <c r="M880" s="90"/>
      <c r="N880" s="57"/>
      <c r="O880" s="57"/>
      <c r="P880" s="91"/>
    </row>
    <row r="881" spans="2:16" s="50" customFormat="1" ht="13.2">
      <c r="B881" s="86"/>
      <c r="C881" s="87"/>
      <c r="D881" s="87"/>
      <c r="E881" s="87"/>
      <c r="F881" s="87"/>
      <c r="G881" s="87"/>
      <c r="H881" s="87"/>
      <c r="I881" s="87"/>
      <c r="J881" s="87"/>
      <c r="K881" s="88"/>
      <c r="L881" s="89"/>
      <c r="M881" s="90"/>
      <c r="N881" s="57"/>
      <c r="O881" s="57"/>
      <c r="P881" s="91"/>
    </row>
    <row r="882" spans="2:16" s="50" customFormat="1" ht="13.2">
      <c r="B882" s="86"/>
      <c r="C882" s="87"/>
      <c r="D882" s="87"/>
      <c r="E882" s="87"/>
      <c r="F882" s="87"/>
      <c r="G882" s="87"/>
      <c r="H882" s="87"/>
      <c r="I882" s="87"/>
      <c r="J882" s="87"/>
      <c r="K882" s="88"/>
      <c r="L882" s="89"/>
      <c r="M882" s="90"/>
      <c r="N882" s="57"/>
      <c r="O882" s="57"/>
      <c r="P882" s="91"/>
    </row>
    <row r="883" spans="2:16" s="50" customFormat="1" ht="13.2">
      <c r="B883" s="86"/>
      <c r="C883" s="87"/>
      <c r="D883" s="87"/>
      <c r="E883" s="87"/>
      <c r="F883" s="87"/>
      <c r="G883" s="87"/>
      <c r="H883" s="87"/>
      <c r="I883" s="87"/>
      <c r="J883" s="87"/>
      <c r="K883" s="88"/>
      <c r="L883" s="89"/>
      <c r="M883" s="90"/>
      <c r="N883" s="57"/>
      <c r="O883" s="57"/>
      <c r="P883" s="91"/>
    </row>
    <row r="884" spans="2:16" s="50" customFormat="1" ht="13.2">
      <c r="B884" s="86"/>
      <c r="C884" s="87"/>
      <c r="D884" s="87"/>
      <c r="E884" s="87"/>
      <c r="F884" s="87"/>
      <c r="G884" s="87"/>
      <c r="H884" s="87"/>
      <c r="I884" s="87"/>
      <c r="J884" s="87"/>
      <c r="K884" s="88"/>
      <c r="L884" s="89"/>
      <c r="M884" s="90"/>
      <c r="N884" s="57"/>
      <c r="O884" s="57"/>
      <c r="P884" s="91"/>
    </row>
    <row r="885" spans="2:16" s="50" customFormat="1" ht="13.2">
      <c r="B885" s="86"/>
      <c r="C885" s="87"/>
      <c r="D885" s="87"/>
      <c r="E885" s="87"/>
      <c r="F885" s="87"/>
      <c r="G885" s="87"/>
      <c r="H885" s="87"/>
      <c r="I885" s="87"/>
      <c r="J885" s="87"/>
      <c r="K885" s="88"/>
      <c r="L885" s="89"/>
      <c r="M885" s="90"/>
      <c r="N885" s="57"/>
      <c r="O885" s="57"/>
      <c r="P885" s="91"/>
    </row>
    <row r="886" spans="2:16" s="50" customFormat="1" ht="13.2">
      <c r="B886" s="86"/>
      <c r="C886" s="87"/>
      <c r="D886" s="87"/>
      <c r="E886" s="87"/>
      <c r="F886" s="87"/>
      <c r="G886" s="87"/>
      <c r="H886" s="87"/>
      <c r="I886" s="87"/>
      <c r="J886" s="87"/>
      <c r="K886" s="88"/>
      <c r="L886" s="89"/>
      <c r="M886" s="90"/>
      <c r="N886" s="57"/>
      <c r="O886" s="57"/>
      <c r="P886" s="91"/>
    </row>
    <row r="887" spans="2:16" s="50" customFormat="1" ht="13.2">
      <c r="B887" s="86"/>
      <c r="C887" s="87"/>
      <c r="D887" s="87"/>
      <c r="E887" s="87"/>
      <c r="F887" s="87"/>
      <c r="G887" s="87"/>
      <c r="H887" s="87"/>
      <c r="I887" s="87"/>
      <c r="J887" s="87"/>
      <c r="K887" s="88"/>
      <c r="L887" s="89"/>
      <c r="M887" s="90"/>
      <c r="N887" s="57"/>
      <c r="O887" s="57"/>
      <c r="P887" s="91"/>
    </row>
    <row r="888" spans="2:16" s="50" customFormat="1" ht="13.2">
      <c r="B888" s="86"/>
      <c r="C888" s="87"/>
      <c r="D888" s="87"/>
      <c r="E888" s="87"/>
      <c r="F888" s="87"/>
      <c r="G888" s="87"/>
      <c r="H888" s="87"/>
      <c r="I888" s="87"/>
      <c r="J888" s="87"/>
      <c r="K888" s="88"/>
      <c r="L888" s="89"/>
      <c r="M888" s="90"/>
      <c r="N888" s="57"/>
      <c r="O888" s="57"/>
      <c r="P888" s="91"/>
    </row>
    <row r="889" spans="2:16" s="50" customFormat="1" ht="13.2">
      <c r="B889" s="86"/>
      <c r="C889" s="87"/>
      <c r="D889" s="87"/>
      <c r="E889" s="87"/>
      <c r="F889" s="87"/>
      <c r="G889" s="87"/>
      <c r="H889" s="87"/>
      <c r="I889" s="87"/>
      <c r="J889" s="87"/>
      <c r="K889" s="88"/>
      <c r="L889" s="89"/>
      <c r="M889" s="90"/>
      <c r="N889" s="57"/>
      <c r="O889" s="57"/>
      <c r="P889" s="91"/>
    </row>
    <row r="890" spans="2:16" s="50" customFormat="1" ht="13.2">
      <c r="B890" s="86"/>
      <c r="C890" s="87"/>
      <c r="D890" s="87"/>
      <c r="E890" s="87"/>
      <c r="F890" s="87"/>
      <c r="G890" s="87"/>
      <c r="H890" s="87"/>
      <c r="I890" s="87"/>
      <c r="J890" s="87"/>
      <c r="K890" s="88"/>
      <c r="L890" s="89"/>
      <c r="M890" s="90"/>
      <c r="N890" s="57"/>
      <c r="O890" s="57"/>
      <c r="P890" s="91"/>
    </row>
    <row r="891" spans="2:16" s="50" customFormat="1" ht="13.2">
      <c r="B891" s="86"/>
      <c r="C891" s="87"/>
      <c r="D891" s="87"/>
      <c r="E891" s="87"/>
      <c r="F891" s="87"/>
      <c r="G891" s="87"/>
      <c r="H891" s="87"/>
      <c r="I891" s="87"/>
      <c r="J891" s="87"/>
      <c r="K891" s="88"/>
      <c r="L891" s="89"/>
      <c r="M891" s="90"/>
      <c r="N891" s="57"/>
      <c r="O891" s="57"/>
      <c r="P891" s="91"/>
    </row>
    <row r="892" spans="2:16" s="50" customFormat="1" ht="13.2">
      <c r="B892" s="86"/>
      <c r="C892" s="87"/>
      <c r="D892" s="87"/>
      <c r="E892" s="87"/>
      <c r="F892" s="87"/>
      <c r="G892" s="87"/>
      <c r="H892" s="87"/>
      <c r="I892" s="87"/>
      <c r="J892" s="87"/>
      <c r="K892" s="88"/>
      <c r="L892" s="89"/>
      <c r="M892" s="90"/>
      <c r="N892" s="57"/>
      <c r="O892" s="57"/>
      <c r="P892" s="91"/>
    </row>
    <row r="893" spans="2:16" s="50" customFormat="1" ht="13.2">
      <c r="B893" s="86"/>
      <c r="C893" s="87"/>
      <c r="D893" s="87"/>
      <c r="E893" s="87"/>
      <c r="F893" s="87"/>
      <c r="G893" s="87"/>
      <c r="H893" s="87"/>
      <c r="I893" s="87"/>
      <c r="J893" s="87"/>
      <c r="K893" s="88"/>
      <c r="L893" s="89"/>
      <c r="M893" s="90"/>
      <c r="N893" s="57"/>
      <c r="O893" s="57"/>
      <c r="P893" s="91"/>
    </row>
    <row r="894" spans="2:16" s="50" customFormat="1" ht="13.2">
      <c r="B894" s="86"/>
      <c r="C894" s="87"/>
      <c r="D894" s="87"/>
      <c r="E894" s="87"/>
      <c r="F894" s="87"/>
      <c r="G894" s="87"/>
      <c r="H894" s="87"/>
      <c r="I894" s="87"/>
      <c r="J894" s="87"/>
      <c r="K894" s="88"/>
      <c r="L894" s="89"/>
      <c r="M894" s="90"/>
      <c r="N894" s="57"/>
      <c r="O894" s="57"/>
      <c r="P894" s="91"/>
    </row>
    <row r="895" spans="2:16" s="50" customFormat="1" ht="13.2">
      <c r="B895" s="86"/>
      <c r="C895" s="87"/>
      <c r="D895" s="87"/>
      <c r="E895" s="87"/>
      <c r="F895" s="87"/>
      <c r="G895" s="87"/>
      <c r="H895" s="87"/>
      <c r="I895" s="87"/>
      <c r="J895" s="87"/>
      <c r="K895" s="88"/>
      <c r="L895" s="89"/>
      <c r="M895" s="90"/>
      <c r="N895" s="57"/>
      <c r="O895" s="57"/>
      <c r="P895" s="91"/>
    </row>
    <row r="896" spans="2:16" s="50" customFormat="1" ht="13.2">
      <c r="B896" s="86"/>
      <c r="C896" s="87"/>
      <c r="D896" s="87"/>
      <c r="E896" s="87"/>
      <c r="F896" s="87"/>
      <c r="G896" s="87"/>
      <c r="H896" s="87"/>
      <c r="I896" s="87"/>
      <c r="J896" s="87"/>
      <c r="K896" s="88"/>
      <c r="L896" s="89"/>
      <c r="M896" s="90"/>
      <c r="N896" s="57"/>
      <c r="O896" s="57"/>
      <c r="P896" s="91"/>
    </row>
    <row r="897" spans="2:16" s="50" customFormat="1" ht="13.2">
      <c r="B897" s="86"/>
      <c r="C897" s="87"/>
      <c r="D897" s="87"/>
      <c r="E897" s="87"/>
      <c r="F897" s="87"/>
      <c r="G897" s="87"/>
      <c r="H897" s="87"/>
      <c r="I897" s="87"/>
      <c r="J897" s="87"/>
      <c r="K897" s="88"/>
      <c r="L897" s="89"/>
      <c r="M897" s="90"/>
      <c r="N897" s="57"/>
      <c r="O897" s="57"/>
      <c r="P897" s="91"/>
    </row>
    <row r="898" spans="2:16" s="50" customFormat="1" ht="13.2">
      <c r="B898" s="86"/>
      <c r="C898" s="87"/>
      <c r="D898" s="87"/>
      <c r="E898" s="87"/>
      <c r="F898" s="87"/>
      <c r="G898" s="87"/>
      <c r="H898" s="87"/>
      <c r="I898" s="87"/>
      <c r="J898" s="87"/>
      <c r="K898" s="88"/>
      <c r="L898" s="89"/>
      <c r="M898" s="90"/>
      <c r="N898" s="57"/>
      <c r="O898" s="57"/>
      <c r="P898" s="91"/>
    </row>
    <row r="899" spans="2:16" s="50" customFormat="1" ht="13.2">
      <c r="B899" s="86"/>
      <c r="C899" s="87"/>
      <c r="D899" s="87"/>
      <c r="E899" s="87"/>
      <c r="F899" s="87"/>
      <c r="G899" s="87"/>
      <c r="H899" s="87"/>
      <c r="I899" s="87"/>
      <c r="J899" s="87"/>
      <c r="K899" s="88"/>
      <c r="L899" s="89"/>
      <c r="M899" s="90"/>
      <c r="N899" s="57"/>
      <c r="O899" s="57"/>
      <c r="P899" s="91"/>
    </row>
    <row r="900" spans="2:16" s="50" customFormat="1" ht="13.2">
      <c r="B900" s="86"/>
      <c r="C900" s="87"/>
      <c r="D900" s="87"/>
      <c r="E900" s="87"/>
      <c r="F900" s="87"/>
      <c r="G900" s="87"/>
      <c r="H900" s="87"/>
      <c r="I900" s="87"/>
      <c r="J900" s="87"/>
      <c r="K900" s="88"/>
      <c r="L900" s="89"/>
      <c r="M900" s="90"/>
      <c r="N900" s="57"/>
      <c r="O900" s="57"/>
      <c r="P900" s="91"/>
    </row>
    <row r="901" spans="2:16" s="50" customFormat="1" ht="13.2">
      <c r="B901" s="86"/>
      <c r="C901" s="87"/>
      <c r="D901" s="87"/>
      <c r="E901" s="87"/>
      <c r="F901" s="87"/>
      <c r="G901" s="87"/>
      <c r="H901" s="87"/>
      <c r="I901" s="87"/>
      <c r="J901" s="87"/>
      <c r="K901" s="88"/>
      <c r="L901" s="89"/>
      <c r="M901" s="90"/>
      <c r="N901" s="57"/>
      <c r="O901" s="57"/>
      <c r="P901" s="91"/>
    </row>
    <row r="902" spans="2:16" s="50" customFormat="1" ht="13.2">
      <c r="B902" s="86"/>
      <c r="C902" s="87"/>
      <c r="D902" s="87"/>
      <c r="E902" s="87"/>
      <c r="F902" s="87"/>
      <c r="G902" s="87"/>
      <c r="H902" s="87"/>
      <c r="I902" s="87"/>
      <c r="J902" s="87"/>
      <c r="K902" s="88"/>
      <c r="L902" s="89"/>
      <c r="M902" s="90"/>
      <c r="N902" s="57"/>
      <c r="O902" s="57"/>
      <c r="P902" s="91"/>
    </row>
    <row r="903" spans="2:16" s="50" customFormat="1" ht="13.2">
      <c r="B903" s="86"/>
      <c r="C903" s="87"/>
      <c r="D903" s="87"/>
      <c r="E903" s="87"/>
      <c r="F903" s="87"/>
      <c r="G903" s="87"/>
      <c r="H903" s="87"/>
      <c r="I903" s="87"/>
      <c r="J903" s="87"/>
      <c r="K903" s="88"/>
      <c r="L903" s="89"/>
      <c r="M903" s="90"/>
      <c r="N903" s="57"/>
      <c r="O903" s="57"/>
      <c r="P903" s="91"/>
    </row>
    <row r="904" spans="2:16" s="50" customFormat="1" ht="13.2">
      <c r="B904" s="86"/>
      <c r="C904" s="87"/>
      <c r="D904" s="87"/>
      <c r="E904" s="87"/>
      <c r="F904" s="87"/>
      <c r="G904" s="87"/>
      <c r="H904" s="87"/>
      <c r="I904" s="87"/>
      <c r="J904" s="87"/>
      <c r="K904" s="88"/>
      <c r="L904" s="89"/>
      <c r="M904" s="90"/>
      <c r="N904" s="57"/>
      <c r="O904" s="57"/>
      <c r="P904" s="91"/>
    </row>
    <row r="905" spans="2:16" s="50" customFormat="1" ht="13.2">
      <c r="B905" s="86"/>
      <c r="C905" s="87"/>
      <c r="D905" s="87"/>
      <c r="E905" s="87"/>
      <c r="F905" s="87"/>
      <c r="G905" s="87"/>
      <c r="H905" s="87"/>
      <c r="I905" s="87"/>
      <c r="J905" s="87"/>
      <c r="K905" s="88"/>
      <c r="L905" s="89"/>
      <c r="M905" s="90"/>
      <c r="N905" s="57"/>
      <c r="O905" s="57"/>
      <c r="P905" s="91"/>
    </row>
    <row r="906" spans="2:16" s="50" customFormat="1" ht="13.2">
      <c r="B906" s="86"/>
      <c r="C906" s="87"/>
      <c r="D906" s="87"/>
      <c r="E906" s="87"/>
      <c r="F906" s="87"/>
      <c r="G906" s="87"/>
      <c r="H906" s="87"/>
      <c r="I906" s="87"/>
      <c r="J906" s="87"/>
      <c r="K906" s="88"/>
      <c r="L906" s="89"/>
      <c r="M906" s="90"/>
      <c r="N906" s="57"/>
      <c r="O906" s="57"/>
      <c r="P906" s="91"/>
    </row>
    <row r="907" spans="2:16" s="50" customFormat="1" ht="13.2">
      <c r="B907" s="86"/>
      <c r="C907" s="87"/>
      <c r="D907" s="87"/>
      <c r="E907" s="87"/>
      <c r="F907" s="87"/>
      <c r="G907" s="87"/>
      <c r="H907" s="87"/>
      <c r="I907" s="87"/>
      <c r="J907" s="87"/>
      <c r="K907" s="88"/>
      <c r="L907" s="89"/>
      <c r="M907" s="90"/>
      <c r="N907" s="57"/>
      <c r="O907" s="57"/>
      <c r="P907" s="91"/>
    </row>
    <row r="908" spans="2:16" s="50" customFormat="1" ht="13.2">
      <c r="B908" s="86"/>
      <c r="C908" s="87"/>
      <c r="D908" s="87"/>
      <c r="E908" s="87"/>
      <c r="F908" s="87"/>
      <c r="G908" s="87"/>
      <c r="H908" s="87"/>
      <c r="I908" s="87"/>
      <c r="J908" s="87"/>
      <c r="K908" s="88"/>
      <c r="L908" s="89"/>
      <c r="M908" s="90"/>
      <c r="N908" s="57"/>
      <c r="O908" s="57"/>
      <c r="P908" s="91"/>
    </row>
    <row r="909" spans="2:16" s="50" customFormat="1" ht="13.2">
      <c r="B909" s="86"/>
      <c r="C909" s="87"/>
      <c r="D909" s="87"/>
      <c r="E909" s="87"/>
      <c r="F909" s="87"/>
      <c r="G909" s="87"/>
      <c r="H909" s="87"/>
      <c r="I909" s="87"/>
      <c r="J909" s="87"/>
      <c r="K909" s="88"/>
      <c r="L909" s="89"/>
      <c r="M909" s="90"/>
      <c r="N909" s="57"/>
      <c r="O909" s="57"/>
      <c r="P909" s="91"/>
    </row>
    <row r="910" spans="2:16" s="50" customFormat="1" ht="13.2">
      <c r="B910" s="86"/>
      <c r="C910" s="87"/>
      <c r="D910" s="87"/>
      <c r="E910" s="87"/>
      <c r="F910" s="87"/>
      <c r="G910" s="87"/>
      <c r="H910" s="87"/>
      <c r="I910" s="87"/>
      <c r="J910" s="87"/>
      <c r="K910" s="88"/>
      <c r="L910" s="89"/>
      <c r="M910" s="90"/>
      <c r="N910" s="57"/>
      <c r="O910" s="57"/>
      <c r="P910" s="91"/>
    </row>
    <row r="911" spans="2:16" s="50" customFormat="1" ht="13.2">
      <c r="B911" s="86"/>
      <c r="C911" s="87"/>
      <c r="D911" s="87"/>
      <c r="E911" s="87"/>
      <c r="F911" s="87"/>
      <c r="G911" s="87"/>
      <c r="H911" s="87"/>
      <c r="I911" s="87"/>
      <c r="J911" s="87"/>
      <c r="K911" s="88"/>
      <c r="L911" s="89"/>
      <c r="M911" s="90"/>
      <c r="N911" s="57"/>
      <c r="O911" s="57"/>
      <c r="P911" s="91"/>
    </row>
    <row r="912" spans="2:16" s="50" customFormat="1" ht="13.2">
      <c r="B912" s="86"/>
      <c r="C912" s="87"/>
      <c r="D912" s="87"/>
      <c r="E912" s="87"/>
      <c r="F912" s="87"/>
      <c r="G912" s="87"/>
      <c r="H912" s="87"/>
      <c r="I912" s="87"/>
      <c r="J912" s="87"/>
      <c r="K912" s="88"/>
      <c r="L912" s="89"/>
      <c r="M912" s="90"/>
      <c r="N912" s="57"/>
      <c r="O912" s="57"/>
      <c r="P912" s="91"/>
    </row>
    <row r="913" spans="2:16" s="50" customFormat="1" ht="13.2">
      <c r="B913" s="86"/>
      <c r="C913" s="87"/>
      <c r="D913" s="87"/>
      <c r="E913" s="87"/>
      <c r="F913" s="87"/>
      <c r="G913" s="87"/>
      <c r="H913" s="87"/>
      <c r="I913" s="87"/>
      <c r="J913" s="87"/>
      <c r="K913" s="88"/>
      <c r="L913" s="89"/>
      <c r="M913" s="90"/>
      <c r="N913" s="57"/>
      <c r="O913" s="57"/>
      <c r="P913" s="91"/>
    </row>
    <row r="914" spans="2:16" s="50" customFormat="1" ht="13.2">
      <c r="B914" s="86"/>
      <c r="C914" s="87"/>
      <c r="D914" s="87"/>
      <c r="E914" s="87"/>
      <c r="F914" s="87"/>
      <c r="G914" s="87"/>
      <c r="H914" s="87"/>
      <c r="I914" s="87"/>
      <c r="J914" s="87"/>
      <c r="K914" s="88"/>
      <c r="L914" s="89"/>
      <c r="M914" s="90"/>
      <c r="N914" s="57"/>
      <c r="O914" s="57"/>
      <c r="P914" s="91"/>
    </row>
    <row r="915" spans="2:16" s="50" customFormat="1" ht="13.2">
      <c r="B915" s="86"/>
      <c r="C915" s="87"/>
      <c r="D915" s="87"/>
      <c r="E915" s="87"/>
      <c r="F915" s="87"/>
      <c r="G915" s="87"/>
      <c r="H915" s="87"/>
      <c r="I915" s="87"/>
      <c r="J915" s="87"/>
      <c r="K915" s="88"/>
      <c r="L915" s="89"/>
      <c r="M915" s="90"/>
      <c r="N915" s="57"/>
      <c r="O915" s="57"/>
      <c r="P915" s="91"/>
    </row>
    <row r="916" spans="2:16" s="50" customFormat="1" ht="13.2">
      <c r="B916" s="86"/>
      <c r="C916" s="87"/>
      <c r="D916" s="87"/>
      <c r="E916" s="87"/>
      <c r="F916" s="87"/>
      <c r="G916" s="87"/>
      <c r="H916" s="87"/>
      <c r="I916" s="87"/>
      <c r="J916" s="87"/>
      <c r="K916" s="88"/>
      <c r="L916" s="89"/>
      <c r="M916" s="90"/>
      <c r="N916" s="57"/>
      <c r="O916" s="57"/>
      <c r="P916" s="91"/>
    </row>
    <row r="917" spans="2:16" s="50" customFormat="1" ht="13.2">
      <c r="B917" s="86"/>
      <c r="C917" s="87"/>
      <c r="D917" s="87"/>
      <c r="E917" s="87"/>
      <c r="F917" s="87"/>
      <c r="G917" s="87"/>
      <c r="H917" s="87"/>
      <c r="I917" s="87"/>
      <c r="J917" s="87"/>
      <c r="K917" s="88"/>
      <c r="L917" s="89"/>
      <c r="M917" s="90"/>
      <c r="N917" s="57"/>
      <c r="O917" s="57"/>
      <c r="P917" s="91"/>
    </row>
    <row r="918" spans="2:16" s="50" customFormat="1" ht="13.2">
      <c r="B918" s="86"/>
      <c r="C918" s="87"/>
      <c r="D918" s="87"/>
      <c r="E918" s="87"/>
      <c r="F918" s="87"/>
      <c r="G918" s="87"/>
      <c r="H918" s="87"/>
      <c r="I918" s="87"/>
      <c r="J918" s="87"/>
      <c r="K918" s="88"/>
      <c r="L918" s="89"/>
      <c r="M918" s="90"/>
      <c r="N918" s="57"/>
      <c r="O918" s="57"/>
      <c r="P918" s="91"/>
    </row>
    <row r="919" spans="2:16" s="50" customFormat="1" ht="13.2">
      <c r="B919" s="86"/>
      <c r="C919" s="87"/>
      <c r="D919" s="87"/>
      <c r="E919" s="87"/>
      <c r="F919" s="87"/>
      <c r="G919" s="87"/>
      <c r="H919" s="87"/>
      <c r="I919" s="87"/>
      <c r="J919" s="87"/>
      <c r="K919" s="88"/>
      <c r="L919" s="89"/>
      <c r="M919" s="90"/>
      <c r="N919" s="57"/>
      <c r="O919" s="57"/>
      <c r="P919" s="91"/>
    </row>
    <row r="920" spans="2:16" s="50" customFormat="1" ht="13.2">
      <c r="B920" s="86"/>
      <c r="C920" s="87"/>
      <c r="D920" s="87"/>
      <c r="E920" s="87"/>
      <c r="F920" s="87"/>
      <c r="G920" s="87"/>
      <c r="H920" s="87"/>
      <c r="I920" s="87"/>
      <c r="J920" s="87"/>
      <c r="K920" s="88"/>
      <c r="L920" s="89"/>
      <c r="M920" s="90"/>
      <c r="N920" s="57"/>
      <c r="O920" s="57"/>
      <c r="P920" s="91"/>
    </row>
    <row r="921" spans="2:16" s="50" customFormat="1" ht="13.2">
      <c r="B921" s="86"/>
      <c r="C921" s="87"/>
      <c r="D921" s="87"/>
      <c r="E921" s="87"/>
      <c r="F921" s="87"/>
      <c r="G921" s="87"/>
      <c r="H921" s="87"/>
      <c r="I921" s="87"/>
      <c r="J921" s="87"/>
      <c r="K921" s="88"/>
      <c r="L921" s="89"/>
      <c r="M921" s="90"/>
      <c r="N921" s="57"/>
      <c r="O921" s="57"/>
      <c r="P921" s="91"/>
    </row>
    <row r="922" spans="2:16" s="50" customFormat="1" ht="13.2">
      <c r="B922" s="86"/>
      <c r="C922" s="87"/>
      <c r="D922" s="87"/>
      <c r="E922" s="87"/>
      <c r="F922" s="87"/>
      <c r="G922" s="87"/>
      <c r="H922" s="87"/>
      <c r="I922" s="87"/>
      <c r="J922" s="87"/>
      <c r="K922" s="88"/>
      <c r="L922" s="89"/>
      <c r="M922" s="90"/>
      <c r="N922" s="57"/>
      <c r="O922" s="57"/>
      <c r="P922" s="91"/>
    </row>
    <row r="923" spans="2:16" s="50" customFormat="1" ht="13.2">
      <c r="B923" s="86"/>
      <c r="C923" s="87"/>
      <c r="D923" s="87"/>
      <c r="E923" s="87"/>
      <c r="F923" s="87"/>
      <c r="G923" s="87"/>
      <c r="H923" s="87"/>
      <c r="I923" s="87"/>
      <c r="J923" s="87"/>
      <c r="K923" s="88"/>
      <c r="L923" s="89"/>
      <c r="M923" s="90"/>
      <c r="N923" s="57"/>
      <c r="O923" s="57"/>
      <c r="P923" s="91"/>
    </row>
    <row r="924" spans="2:16" s="50" customFormat="1" ht="13.2">
      <c r="B924" s="86"/>
      <c r="C924" s="87"/>
      <c r="D924" s="87"/>
      <c r="E924" s="87"/>
      <c r="F924" s="87"/>
      <c r="G924" s="87"/>
      <c r="H924" s="87"/>
      <c r="I924" s="87"/>
      <c r="J924" s="87"/>
      <c r="K924" s="88"/>
      <c r="L924" s="89"/>
      <c r="M924" s="90"/>
      <c r="N924" s="57"/>
      <c r="O924" s="57"/>
      <c r="P924" s="91"/>
    </row>
    <row r="925" spans="2:16" s="50" customFormat="1" ht="13.2">
      <c r="B925" s="86"/>
      <c r="C925" s="87"/>
      <c r="D925" s="87"/>
      <c r="E925" s="87"/>
      <c r="F925" s="87"/>
      <c r="G925" s="87"/>
      <c r="H925" s="87"/>
      <c r="I925" s="87"/>
      <c r="J925" s="87"/>
      <c r="K925" s="88"/>
      <c r="L925" s="89"/>
      <c r="M925" s="90"/>
      <c r="N925" s="57"/>
      <c r="O925" s="57"/>
      <c r="P925" s="91"/>
    </row>
    <row r="926" spans="2:16" s="50" customFormat="1" ht="13.2">
      <c r="B926" s="86"/>
      <c r="C926" s="87"/>
      <c r="D926" s="87"/>
      <c r="E926" s="87"/>
      <c r="F926" s="87"/>
      <c r="G926" s="87"/>
      <c r="H926" s="87"/>
      <c r="I926" s="87"/>
      <c r="J926" s="87"/>
      <c r="K926" s="88"/>
      <c r="L926" s="89"/>
      <c r="M926" s="90"/>
      <c r="N926" s="57"/>
      <c r="O926" s="57"/>
      <c r="P926" s="91"/>
    </row>
    <row r="927" spans="2:16" s="50" customFormat="1" ht="13.2">
      <c r="B927" s="86"/>
      <c r="C927" s="87"/>
      <c r="D927" s="87"/>
      <c r="E927" s="87"/>
      <c r="F927" s="87"/>
      <c r="G927" s="87"/>
      <c r="H927" s="87"/>
      <c r="I927" s="87"/>
      <c r="J927" s="87"/>
      <c r="K927" s="88"/>
      <c r="L927" s="89"/>
      <c r="M927" s="90"/>
      <c r="N927" s="57"/>
      <c r="O927" s="57"/>
      <c r="P927" s="91"/>
    </row>
    <row r="928" spans="2:16" s="50" customFormat="1" ht="13.2">
      <c r="B928" s="86"/>
      <c r="C928" s="87"/>
      <c r="D928" s="87"/>
      <c r="E928" s="87"/>
      <c r="F928" s="87"/>
      <c r="G928" s="87"/>
      <c r="H928" s="87"/>
      <c r="I928" s="87"/>
      <c r="J928" s="87"/>
      <c r="K928" s="88"/>
      <c r="L928" s="89"/>
      <c r="M928" s="90"/>
      <c r="N928" s="57"/>
      <c r="O928" s="57"/>
      <c r="P928" s="91"/>
    </row>
    <row r="929" spans="2:16" s="50" customFormat="1" ht="13.2">
      <c r="B929" s="86"/>
      <c r="C929" s="87"/>
      <c r="D929" s="87"/>
      <c r="E929" s="87"/>
      <c r="F929" s="87"/>
      <c r="G929" s="87"/>
      <c r="H929" s="87"/>
      <c r="I929" s="87"/>
      <c r="J929" s="87"/>
      <c r="K929" s="88"/>
      <c r="L929" s="89"/>
      <c r="M929" s="90"/>
      <c r="N929" s="57"/>
      <c r="O929" s="57"/>
      <c r="P929" s="91"/>
    </row>
    <row r="930" spans="2:16" s="50" customFormat="1" ht="13.2">
      <c r="B930" s="86"/>
      <c r="C930" s="87"/>
      <c r="D930" s="87"/>
      <c r="E930" s="87"/>
      <c r="F930" s="87"/>
      <c r="G930" s="87"/>
      <c r="H930" s="87"/>
      <c r="I930" s="87"/>
      <c r="J930" s="87"/>
      <c r="K930" s="88"/>
      <c r="L930" s="89"/>
      <c r="M930" s="90"/>
      <c r="N930" s="57"/>
      <c r="O930" s="57"/>
      <c r="P930" s="91"/>
    </row>
    <row r="931" spans="2:16" s="50" customFormat="1" ht="13.2">
      <c r="B931" s="86"/>
      <c r="C931" s="87"/>
      <c r="D931" s="87"/>
      <c r="E931" s="87"/>
      <c r="F931" s="87"/>
      <c r="G931" s="87"/>
      <c r="H931" s="87"/>
      <c r="I931" s="87"/>
      <c r="J931" s="87"/>
      <c r="K931" s="88"/>
      <c r="L931" s="89"/>
      <c r="M931" s="90"/>
      <c r="N931" s="57"/>
      <c r="O931" s="57"/>
      <c r="P931" s="91"/>
    </row>
    <row r="932" spans="2:16" s="50" customFormat="1" ht="13.2">
      <c r="B932" s="86"/>
      <c r="C932" s="87"/>
      <c r="D932" s="87"/>
      <c r="E932" s="87"/>
      <c r="F932" s="87"/>
      <c r="G932" s="87"/>
      <c r="H932" s="87"/>
      <c r="I932" s="87"/>
      <c r="J932" s="87"/>
      <c r="K932" s="88"/>
      <c r="L932" s="89"/>
      <c r="M932" s="90"/>
      <c r="N932" s="57"/>
      <c r="O932" s="57"/>
      <c r="P932" s="91"/>
    </row>
    <row r="933" spans="2:16" s="50" customFormat="1" ht="13.2">
      <c r="B933" s="86"/>
      <c r="C933" s="87"/>
      <c r="D933" s="87"/>
      <c r="E933" s="87"/>
      <c r="F933" s="87"/>
      <c r="G933" s="87"/>
      <c r="H933" s="87"/>
      <c r="I933" s="87"/>
      <c r="J933" s="87"/>
      <c r="K933" s="88"/>
      <c r="L933" s="89"/>
      <c r="M933" s="90"/>
      <c r="N933" s="57"/>
      <c r="O933" s="57"/>
      <c r="P933" s="91"/>
    </row>
    <row r="934" spans="2:16" s="50" customFormat="1" ht="13.2">
      <c r="B934" s="86"/>
      <c r="C934" s="87"/>
      <c r="D934" s="87"/>
      <c r="E934" s="87"/>
      <c r="F934" s="87"/>
      <c r="G934" s="87"/>
      <c r="H934" s="87"/>
      <c r="I934" s="87"/>
      <c r="J934" s="87"/>
      <c r="K934" s="88"/>
      <c r="L934" s="89"/>
      <c r="M934" s="90"/>
      <c r="N934" s="57"/>
      <c r="O934" s="57"/>
      <c r="P934" s="91"/>
    </row>
    <row r="935" spans="2:16" s="50" customFormat="1" ht="13.2">
      <c r="B935" s="86"/>
      <c r="C935" s="87"/>
      <c r="D935" s="87"/>
      <c r="E935" s="87"/>
      <c r="F935" s="87"/>
      <c r="G935" s="87"/>
      <c r="H935" s="87"/>
      <c r="I935" s="87"/>
      <c r="J935" s="87"/>
      <c r="K935" s="88"/>
      <c r="L935" s="89"/>
      <c r="M935" s="90"/>
      <c r="N935" s="57"/>
      <c r="O935" s="57"/>
      <c r="P935" s="91"/>
    </row>
    <row r="936" spans="2:16" s="50" customFormat="1" ht="13.2">
      <c r="B936" s="86"/>
      <c r="C936" s="87"/>
      <c r="D936" s="87"/>
      <c r="E936" s="87"/>
      <c r="F936" s="87"/>
      <c r="G936" s="87"/>
      <c r="H936" s="87"/>
      <c r="I936" s="87"/>
      <c r="J936" s="87"/>
      <c r="K936" s="88"/>
      <c r="L936" s="89"/>
      <c r="M936" s="90"/>
      <c r="N936" s="57"/>
      <c r="O936" s="57"/>
      <c r="P936" s="91"/>
    </row>
    <row r="937" spans="2:16" s="50" customFormat="1" ht="13.2">
      <c r="B937" s="86"/>
      <c r="C937" s="87"/>
      <c r="D937" s="87"/>
      <c r="E937" s="87"/>
      <c r="F937" s="87"/>
      <c r="G937" s="87"/>
      <c r="H937" s="87"/>
      <c r="I937" s="87"/>
      <c r="J937" s="87"/>
      <c r="K937" s="88"/>
      <c r="L937" s="89"/>
      <c r="M937" s="90"/>
      <c r="N937" s="57"/>
      <c r="O937" s="57"/>
      <c r="P937" s="91"/>
    </row>
    <row r="938" spans="2:16" s="50" customFormat="1" ht="13.2">
      <c r="B938" s="86"/>
      <c r="C938" s="87"/>
      <c r="D938" s="87"/>
      <c r="E938" s="87"/>
      <c r="F938" s="87"/>
      <c r="G938" s="87"/>
      <c r="H938" s="87"/>
      <c r="I938" s="87"/>
      <c r="J938" s="87"/>
      <c r="K938" s="88"/>
      <c r="L938" s="89"/>
      <c r="M938" s="90"/>
      <c r="N938" s="57"/>
      <c r="O938" s="57"/>
      <c r="P938" s="91"/>
    </row>
    <row r="939" spans="2:16" s="50" customFormat="1" ht="13.2">
      <c r="B939" s="86"/>
      <c r="C939" s="87"/>
      <c r="D939" s="87"/>
      <c r="E939" s="87"/>
      <c r="F939" s="87"/>
      <c r="G939" s="87"/>
      <c r="H939" s="87"/>
      <c r="I939" s="87"/>
      <c r="J939" s="87"/>
      <c r="K939" s="88"/>
      <c r="L939" s="89"/>
      <c r="M939" s="90"/>
      <c r="N939" s="57"/>
      <c r="O939" s="57"/>
      <c r="P939" s="91"/>
    </row>
    <row r="940" spans="2:16" s="50" customFormat="1" ht="13.2">
      <c r="B940" s="86"/>
      <c r="C940" s="87"/>
      <c r="D940" s="87"/>
      <c r="E940" s="87"/>
      <c r="F940" s="87"/>
      <c r="G940" s="87"/>
      <c r="H940" s="87"/>
      <c r="I940" s="87"/>
      <c r="J940" s="87"/>
      <c r="K940" s="88"/>
      <c r="L940" s="89"/>
      <c r="M940" s="90"/>
      <c r="N940" s="57"/>
      <c r="O940" s="57"/>
      <c r="P940" s="91"/>
    </row>
    <row r="941" spans="2:16" s="50" customFormat="1" ht="13.2">
      <c r="B941" s="86"/>
      <c r="C941" s="87"/>
      <c r="D941" s="87"/>
      <c r="E941" s="87"/>
      <c r="F941" s="87"/>
      <c r="G941" s="87"/>
      <c r="H941" s="87"/>
      <c r="I941" s="87"/>
      <c r="J941" s="87"/>
      <c r="K941" s="88"/>
      <c r="L941" s="89"/>
      <c r="M941" s="90"/>
      <c r="N941" s="57"/>
      <c r="O941" s="57"/>
      <c r="P941" s="91"/>
    </row>
    <row r="942" spans="2:16" s="50" customFormat="1" ht="13.2">
      <c r="B942" s="86"/>
      <c r="C942" s="87"/>
      <c r="D942" s="87"/>
      <c r="E942" s="87"/>
      <c r="F942" s="87"/>
      <c r="G942" s="87"/>
      <c r="H942" s="87"/>
      <c r="I942" s="87"/>
      <c r="J942" s="87"/>
      <c r="K942" s="88"/>
      <c r="L942" s="89"/>
      <c r="M942" s="90"/>
      <c r="N942" s="57"/>
      <c r="O942" s="57"/>
      <c r="P942" s="91"/>
    </row>
    <row r="943" spans="2:16" s="50" customFormat="1" ht="13.2">
      <c r="B943" s="86"/>
      <c r="C943" s="87"/>
      <c r="D943" s="87"/>
      <c r="E943" s="87"/>
      <c r="F943" s="87"/>
      <c r="G943" s="87"/>
      <c r="H943" s="87"/>
      <c r="I943" s="87"/>
      <c r="J943" s="87"/>
      <c r="K943" s="88"/>
      <c r="L943" s="89"/>
      <c r="M943" s="90"/>
      <c r="N943" s="57"/>
      <c r="O943" s="57"/>
      <c r="P943" s="91"/>
    </row>
    <row r="944" spans="2:16" s="50" customFormat="1" ht="13.2">
      <c r="B944" s="86"/>
      <c r="C944" s="87"/>
      <c r="D944" s="87"/>
      <c r="E944" s="87"/>
      <c r="F944" s="87"/>
      <c r="G944" s="87"/>
      <c r="H944" s="87"/>
      <c r="I944" s="87"/>
      <c r="J944" s="87"/>
      <c r="K944" s="88"/>
      <c r="L944" s="89"/>
      <c r="M944" s="90"/>
      <c r="N944" s="57"/>
      <c r="O944" s="57"/>
      <c r="P944" s="91"/>
    </row>
    <row r="945" spans="2:16" s="50" customFormat="1" ht="13.2">
      <c r="B945" s="86"/>
      <c r="C945" s="87"/>
      <c r="D945" s="87"/>
      <c r="E945" s="87"/>
      <c r="F945" s="87"/>
      <c r="G945" s="87"/>
      <c r="H945" s="87"/>
      <c r="I945" s="87"/>
      <c r="J945" s="87"/>
      <c r="K945" s="88"/>
      <c r="L945" s="89"/>
      <c r="M945" s="90"/>
      <c r="N945" s="57"/>
      <c r="O945" s="57"/>
      <c r="P945" s="91"/>
    </row>
    <row r="946" spans="2:16" s="50" customFormat="1" ht="13.2">
      <c r="B946" s="86"/>
      <c r="C946" s="87"/>
      <c r="D946" s="87"/>
      <c r="E946" s="87"/>
      <c r="F946" s="87"/>
      <c r="G946" s="87"/>
      <c r="H946" s="87"/>
      <c r="I946" s="87"/>
      <c r="J946" s="87"/>
      <c r="K946" s="88"/>
      <c r="L946" s="89"/>
      <c r="M946" s="90"/>
      <c r="N946" s="57"/>
      <c r="O946" s="57"/>
      <c r="P946" s="91"/>
    </row>
    <row r="947" spans="2:16" s="50" customFormat="1" ht="13.2">
      <c r="B947" s="86"/>
      <c r="C947" s="87"/>
      <c r="D947" s="87"/>
      <c r="E947" s="87"/>
      <c r="F947" s="87"/>
      <c r="G947" s="87"/>
      <c r="H947" s="87"/>
      <c r="I947" s="87"/>
      <c r="J947" s="87"/>
      <c r="K947" s="88"/>
      <c r="L947" s="89"/>
      <c r="M947" s="90"/>
      <c r="N947" s="57"/>
      <c r="O947" s="57"/>
      <c r="P947" s="91"/>
    </row>
    <row r="948" spans="2:16" s="50" customFormat="1" ht="13.2">
      <c r="B948" s="86"/>
      <c r="C948" s="87"/>
      <c r="D948" s="87"/>
      <c r="E948" s="87"/>
      <c r="F948" s="87"/>
      <c r="G948" s="87"/>
      <c r="H948" s="87"/>
      <c r="I948" s="87"/>
      <c r="J948" s="87"/>
      <c r="K948" s="88"/>
      <c r="L948" s="89"/>
      <c r="M948" s="90"/>
      <c r="N948" s="57"/>
      <c r="O948" s="57"/>
      <c r="P948" s="91"/>
    </row>
    <row r="949" spans="2:16" s="50" customFormat="1" ht="13.2">
      <c r="B949" s="86"/>
      <c r="C949" s="87"/>
      <c r="D949" s="87"/>
      <c r="E949" s="87"/>
      <c r="F949" s="87"/>
      <c r="G949" s="87"/>
      <c r="H949" s="87"/>
      <c r="I949" s="87"/>
      <c r="J949" s="87"/>
      <c r="K949" s="88"/>
      <c r="L949" s="89"/>
      <c r="M949" s="90"/>
      <c r="N949" s="57"/>
      <c r="O949" s="57"/>
      <c r="P949" s="91"/>
    </row>
    <row r="950" spans="2:16" s="50" customFormat="1" ht="13.2">
      <c r="B950" s="86"/>
      <c r="C950" s="87"/>
      <c r="D950" s="87"/>
      <c r="E950" s="87"/>
      <c r="F950" s="87"/>
      <c r="G950" s="87"/>
      <c r="H950" s="87"/>
      <c r="I950" s="87"/>
      <c r="J950" s="87"/>
      <c r="K950" s="88"/>
      <c r="L950" s="89"/>
      <c r="M950" s="90"/>
      <c r="N950" s="57"/>
      <c r="O950" s="57"/>
      <c r="P950" s="91"/>
    </row>
    <row r="951" spans="2:16" s="50" customFormat="1" ht="13.2">
      <c r="B951" s="86"/>
      <c r="C951" s="87"/>
      <c r="D951" s="87"/>
      <c r="E951" s="87"/>
      <c r="F951" s="87"/>
      <c r="G951" s="87"/>
      <c r="H951" s="87"/>
      <c r="I951" s="87"/>
      <c r="J951" s="87"/>
      <c r="K951" s="88"/>
      <c r="L951" s="89"/>
      <c r="M951" s="90"/>
      <c r="N951" s="57"/>
      <c r="O951" s="57"/>
      <c r="P951" s="91"/>
    </row>
    <row r="952" spans="2:16" s="50" customFormat="1" ht="13.2">
      <c r="B952" s="86"/>
      <c r="C952" s="87"/>
      <c r="D952" s="87"/>
      <c r="E952" s="87"/>
      <c r="F952" s="87"/>
      <c r="G952" s="87"/>
      <c r="H952" s="87"/>
      <c r="I952" s="87"/>
      <c r="J952" s="87"/>
      <c r="K952" s="88"/>
      <c r="L952" s="89"/>
      <c r="M952" s="90"/>
      <c r="N952" s="57"/>
      <c r="O952" s="57"/>
      <c r="P952" s="91"/>
    </row>
    <row r="953" spans="2:16" s="50" customFormat="1" ht="13.2">
      <c r="B953" s="86"/>
      <c r="C953" s="87"/>
      <c r="D953" s="87"/>
      <c r="E953" s="87"/>
      <c r="F953" s="87"/>
      <c r="G953" s="87"/>
      <c r="H953" s="87"/>
      <c r="I953" s="87"/>
      <c r="J953" s="87"/>
      <c r="K953" s="88"/>
      <c r="L953" s="89"/>
      <c r="M953" s="90"/>
      <c r="N953" s="57"/>
      <c r="O953" s="57"/>
      <c r="P953" s="91"/>
    </row>
    <row r="954" spans="2:16" s="50" customFormat="1" ht="13.2">
      <c r="B954" s="86"/>
      <c r="C954" s="87"/>
      <c r="D954" s="87"/>
      <c r="E954" s="87"/>
      <c r="F954" s="87"/>
      <c r="G954" s="87"/>
      <c r="H954" s="87"/>
      <c r="I954" s="87"/>
      <c r="J954" s="87"/>
      <c r="K954" s="88"/>
      <c r="L954" s="89"/>
      <c r="M954" s="90"/>
      <c r="N954" s="57"/>
      <c r="O954" s="57"/>
      <c r="P954" s="91"/>
    </row>
    <row r="955" spans="2:16" s="50" customFormat="1" ht="13.2">
      <c r="B955" s="86"/>
      <c r="C955" s="87"/>
      <c r="D955" s="87"/>
      <c r="E955" s="87"/>
      <c r="F955" s="87"/>
      <c r="G955" s="87"/>
      <c r="H955" s="87"/>
      <c r="I955" s="87"/>
      <c r="J955" s="87"/>
      <c r="K955" s="88"/>
      <c r="L955" s="89"/>
      <c r="M955" s="90"/>
      <c r="N955" s="57"/>
      <c r="O955" s="57"/>
      <c r="P955" s="91"/>
    </row>
    <row r="956" spans="2:16" s="50" customFormat="1" ht="13.2">
      <c r="B956" s="86"/>
      <c r="C956" s="87"/>
      <c r="D956" s="87"/>
      <c r="E956" s="87"/>
      <c r="F956" s="87"/>
      <c r="G956" s="87"/>
      <c r="H956" s="87"/>
      <c r="I956" s="87"/>
      <c r="J956" s="87"/>
      <c r="K956" s="88"/>
      <c r="L956" s="89"/>
      <c r="M956" s="90"/>
      <c r="N956" s="57"/>
      <c r="O956" s="57"/>
      <c r="P956" s="91"/>
    </row>
    <row r="957" spans="2:16" s="50" customFormat="1" ht="13.2">
      <c r="B957" s="86"/>
      <c r="C957" s="87"/>
      <c r="D957" s="87"/>
      <c r="E957" s="87"/>
      <c r="F957" s="87"/>
      <c r="G957" s="87"/>
      <c r="H957" s="87"/>
      <c r="I957" s="87"/>
      <c r="J957" s="87"/>
      <c r="K957" s="88"/>
      <c r="L957" s="89"/>
      <c r="M957" s="90"/>
      <c r="N957" s="57"/>
      <c r="O957" s="57"/>
      <c r="P957" s="91"/>
    </row>
    <row r="958" spans="2:16" s="50" customFormat="1" ht="13.2">
      <c r="B958" s="86"/>
      <c r="C958" s="87"/>
      <c r="D958" s="87"/>
      <c r="E958" s="87"/>
      <c r="F958" s="87"/>
      <c r="G958" s="87"/>
      <c r="H958" s="87"/>
      <c r="I958" s="87"/>
      <c r="J958" s="87"/>
      <c r="K958" s="88"/>
      <c r="L958" s="89"/>
      <c r="M958" s="90"/>
      <c r="N958" s="57"/>
      <c r="O958" s="57"/>
      <c r="P958" s="91"/>
    </row>
    <row r="959" spans="2:16" s="50" customFormat="1" ht="13.2">
      <c r="B959" s="86"/>
      <c r="C959" s="87"/>
      <c r="D959" s="87"/>
      <c r="E959" s="87"/>
      <c r="F959" s="87"/>
      <c r="G959" s="87"/>
      <c r="H959" s="87"/>
      <c r="I959" s="87"/>
      <c r="J959" s="87"/>
      <c r="K959" s="88"/>
      <c r="L959" s="89"/>
      <c r="M959" s="90"/>
      <c r="N959" s="57"/>
      <c r="O959" s="57"/>
      <c r="P959" s="91"/>
    </row>
    <row r="960" spans="2:16" s="50" customFormat="1" ht="13.2">
      <c r="B960" s="86"/>
      <c r="C960" s="87"/>
      <c r="D960" s="87"/>
      <c r="E960" s="87"/>
      <c r="F960" s="87"/>
      <c r="G960" s="87"/>
      <c r="H960" s="87"/>
      <c r="I960" s="87"/>
      <c r="J960" s="87"/>
      <c r="K960" s="88"/>
      <c r="L960" s="89"/>
      <c r="M960" s="90"/>
      <c r="N960" s="57"/>
      <c r="O960" s="57"/>
      <c r="P960" s="91"/>
    </row>
    <row r="961" spans="2:16" s="50" customFormat="1" ht="13.2">
      <c r="B961" s="86"/>
      <c r="C961" s="87"/>
      <c r="D961" s="87"/>
      <c r="E961" s="87"/>
      <c r="F961" s="87"/>
      <c r="G961" s="87"/>
      <c r="H961" s="87"/>
      <c r="I961" s="87"/>
      <c r="J961" s="87"/>
      <c r="K961" s="88"/>
      <c r="L961" s="89"/>
      <c r="M961" s="90"/>
      <c r="N961" s="57"/>
      <c r="O961" s="57"/>
      <c r="P961" s="91"/>
    </row>
    <row r="962" spans="2:16" s="50" customFormat="1" ht="13.2">
      <c r="B962" s="86"/>
      <c r="C962" s="87"/>
      <c r="D962" s="87"/>
      <c r="E962" s="87"/>
      <c r="F962" s="87"/>
      <c r="G962" s="87"/>
      <c r="H962" s="87"/>
      <c r="I962" s="87"/>
      <c r="J962" s="87"/>
      <c r="K962" s="88"/>
      <c r="L962" s="89"/>
      <c r="M962" s="90"/>
      <c r="N962" s="57"/>
      <c r="O962" s="57"/>
      <c r="P962" s="91"/>
    </row>
    <row r="963" spans="2:16" s="50" customFormat="1" ht="13.2">
      <c r="B963" s="86"/>
      <c r="C963" s="87"/>
      <c r="D963" s="87"/>
      <c r="E963" s="87"/>
      <c r="F963" s="87"/>
      <c r="G963" s="87"/>
      <c r="H963" s="87"/>
      <c r="I963" s="87"/>
      <c r="J963" s="87"/>
      <c r="K963" s="88"/>
      <c r="L963" s="89"/>
      <c r="M963" s="90"/>
      <c r="N963" s="57"/>
      <c r="O963" s="57"/>
      <c r="P963" s="91"/>
    </row>
    <row r="964" spans="2:16" s="50" customFormat="1" ht="13.2">
      <c r="B964" s="86"/>
      <c r="C964" s="87"/>
      <c r="D964" s="87"/>
      <c r="E964" s="87"/>
      <c r="F964" s="87"/>
      <c r="G964" s="87"/>
      <c r="H964" s="87"/>
      <c r="I964" s="87"/>
      <c r="J964" s="87"/>
      <c r="K964" s="88"/>
      <c r="L964" s="89"/>
      <c r="M964" s="90"/>
      <c r="N964" s="57"/>
      <c r="O964" s="57"/>
      <c r="P964" s="91"/>
    </row>
    <row r="965" spans="2:16" s="50" customFormat="1" ht="13.2">
      <c r="B965" s="86"/>
      <c r="C965" s="87"/>
      <c r="D965" s="87"/>
      <c r="E965" s="87"/>
      <c r="F965" s="87"/>
      <c r="G965" s="87"/>
      <c r="H965" s="87"/>
      <c r="I965" s="87"/>
      <c r="J965" s="87"/>
      <c r="K965" s="88"/>
      <c r="L965" s="89"/>
      <c r="M965" s="90"/>
      <c r="N965" s="57"/>
      <c r="O965" s="57"/>
      <c r="P965" s="91"/>
    </row>
    <row r="966" spans="2:16" s="50" customFormat="1" ht="13.2">
      <c r="B966" s="86"/>
      <c r="C966" s="87"/>
      <c r="D966" s="87"/>
      <c r="E966" s="87"/>
      <c r="F966" s="87"/>
      <c r="G966" s="87"/>
      <c r="H966" s="87"/>
      <c r="I966" s="87"/>
      <c r="J966" s="87"/>
      <c r="K966" s="88"/>
      <c r="L966" s="89"/>
      <c r="M966" s="90"/>
      <c r="N966" s="57"/>
      <c r="O966" s="57"/>
      <c r="P966" s="91"/>
    </row>
    <row r="967" spans="2:16" s="50" customFormat="1" ht="13.2">
      <c r="B967" s="86"/>
      <c r="C967" s="87"/>
      <c r="D967" s="87"/>
      <c r="E967" s="87"/>
      <c r="F967" s="87"/>
      <c r="G967" s="87"/>
      <c r="H967" s="87"/>
      <c r="I967" s="87"/>
      <c r="J967" s="87"/>
      <c r="K967" s="88"/>
      <c r="L967" s="89"/>
      <c r="M967" s="90"/>
      <c r="N967" s="57"/>
      <c r="O967" s="57"/>
      <c r="P967" s="91"/>
    </row>
    <row r="968" spans="2:16" s="50" customFormat="1" ht="13.2">
      <c r="B968" s="86"/>
      <c r="C968" s="87"/>
      <c r="D968" s="87"/>
      <c r="E968" s="87"/>
      <c r="F968" s="87"/>
      <c r="G968" s="87"/>
      <c r="H968" s="87"/>
      <c r="I968" s="87"/>
      <c r="J968" s="87"/>
      <c r="K968" s="88"/>
      <c r="L968" s="89"/>
      <c r="M968" s="90"/>
      <c r="N968" s="57"/>
      <c r="O968" s="57"/>
      <c r="P968" s="91"/>
    </row>
    <row r="969" spans="2:16" s="50" customFormat="1" ht="13.2">
      <c r="B969" s="86"/>
      <c r="C969" s="87"/>
      <c r="D969" s="87"/>
      <c r="E969" s="87"/>
      <c r="F969" s="87"/>
      <c r="G969" s="87"/>
      <c r="H969" s="87"/>
      <c r="I969" s="87"/>
      <c r="J969" s="87"/>
      <c r="K969" s="88"/>
      <c r="L969" s="89"/>
      <c r="M969" s="90"/>
      <c r="N969" s="57"/>
      <c r="O969" s="57"/>
      <c r="P969" s="91"/>
    </row>
    <row r="970" spans="2:16" s="50" customFormat="1" ht="13.2">
      <c r="B970" s="86"/>
      <c r="C970" s="87"/>
      <c r="D970" s="87"/>
      <c r="E970" s="87"/>
      <c r="F970" s="87"/>
      <c r="G970" s="87"/>
      <c r="H970" s="87"/>
      <c r="I970" s="87"/>
      <c r="J970" s="87"/>
      <c r="K970" s="88"/>
      <c r="L970" s="89"/>
      <c r="M970" s="90"/>
      <c r="N970" s="57"/>
      <c r="O970" s="57"/>
      <c r="P970" s="91"/>
    </row>
    <row r="971" spans="2:16" s="50" customFormat="1" ht="13.2">
      <c r="B971" s="86"/>
      <c r="C971" s="87"/>
      <c r="D971" s="87"/>
      <c r="E971" s="87"/>
      <c r="F971" s="87"/>
      <c r="G971" s="87"/>
      <c r="H971" s="87"/>
      <c r="I971" s="87"/>
      <c r="J971" s="87"/>
      <c r="K971" s="88"/>
      <c r="L971" s="89"/>
      <c r="M971" s="90"/>
      <c r="N971" s="57"/>
      <c r="O971" s="57"/>
      <c r="P971" s="91"/>
    </row>
    <row r="972" spans="2:16" s="50" customFormat="1" ht="13.2">
      <c r="B972" s="86"/>
      <c r="C972" s="87"/>
      <c r="D972" s="87"/>
      <c r="E972" s="87"/>
      <c r="F972" s="87"/>
      <c r="G972" s="87"/>
      <c r="H972" s="87"/>
      <c r="I972" s="87"/>
      <c r="J972" s="87"/>
      <c r="K972" s="88"/>
      <c r="L972" s="89"/>
      <c r="M972" s="90"/>
      <c r="N972" s="57"/>
      <c r="O972" s="57"/>
      <c r="P972" s="91"/>
    </row>
    <row r="973" spans="2:16" s="50" customFormat="1" ht="13.2">
      <c r="B973" s="86"/>
      <c r="C973" s="87"/>
      <c r="D973" s="87"/>
      <c r="E973" s="87"/>
      <c r="F973" s="87"/>
      <c r="G973" s="87"/>
      <c r="H973" s="87"/>
      <c r="I973" s="87"/>
      <c r="J973" s="87"/>
      <c r="K973" s="88"/>
      <c r="L973" s="89"/>
      <c r="M973" s="90"/>
      <c r="N973" s="57"/>
      <c r="O973" s="57"/>
      <c r="P973" s="91"/>
    </row>
    <row r="974" spans="2:16" s="50" customFormat="1" ht="13.2">
      <c r="B974" s="86"/>
      <c r="C974" s="87"/>
      <c r="D974" s="87"/>
      <c r="E974" s="87"/>
      <c r="F974" s="87"/>
      <c r="G974" s="87"/>
      <c r="H974" s="87"/>
      <c r="I974" s="87"/>
      <c r="J974" s="87"/>
      <c r="K974" s="88"/>
      <c r="L974" s="89"/>
      <c r="M974" s="90"/>
      <c r="N974" s="57"/>
      <c r="O974" s="57"/>
      <c r="P974" s="91"/>
    </row>
    <row r="975" spans="2:16" s="50" customFormat="1" ht="13.2">
      <c r="B975" s="86"/>
      <c r="C975" s="87"/>
      <c r="D975" s="87"/>
      <c r="E975" s="87"/>
      <c r="F975" s="87"/>
      <c r="G975" s="87"/>
      <c r="H975" s="87"/>
      <c r="I975" s="87"/>
      <c r="J975" s="87"/>
      <c r="K975" s="88"/>
      <c r="L975" s="89"/>
      <c r="M975" s="90"/>
      <c r="N975" s="57"/>
      <c r="O975" s="57"/>
      <c r="P975" s="91"/>
    </row>
    <row r="976" spans="2:16" s="50" customFormat="1" ht="13.2">
      <c r="B976" s="86"/>
      <c r="C976" s="87"/>
      <c r="D976" s="87"/>
      <c r="E976" s="87"/>
      <c r="F976" s="87"/>
      <c r="G976" s="87"/>
      <c r="H976" s="87"/>
      <c r="I976" s="87"/>
      <c r="J976" s="87"/>
      <c r="K976" s="88"/>
      <c r="L976" s="89"/>
      <c r="M976" s="90"/>
      <c r="N976" s="57"/>
      <c r="O976" s="57"/>
      <c r="P976" s="91"/>
    </row>
    <row r="977" spans="2:16" s="50" customFormat="1" ht="13.2">
      <c r="B977" s="86"/>
      <c r="C977" s="87"/>
      <c r="D977" s="87"/>
      <c r="E977" s="87"/>
      <c r="F977" s="87"/>
      <c r="G977" s="87"/>
      <c r="H977" s="87"/>
      <c r="I977" s="87"/>
      <c r="J977" s="87"/>
      <c r="K977" s="88"/>
      <c r="L977" s="89"/>
      <c r="M977" s="90"/>
      <c r="N977" s="57"/>
      <c r="O977" s="57"/>
      <c r="P977" s="91"/>
    </row>
    <row r="978" spans="2:16" s="50" customFormat="1" ht="13.2">
      <c r="B978" s="86"/>
      <c r="C978" s="87"/>
      <c r="D978" s="87"/>
      <c r="E978" s="87"/>
      <c r="F978" s="87"/>
      <c r="G978" s="87"/>
      <c r="H978" s="87"/>
      <c r="I978" s="87"/>
      <c r="J978" s="87"/>
      <c r="K978" s="88"/>
      <c r="L978" s="89"/>
      <c r="M978" s="90"/>
      <c r="N978" s="57"/>
      <c r="O978" s="57"/>
      <c r="P978" s="91"/>
    </row>
    <row r="979" spans="2:16" s="50" customFormat="1" ht="13.2">
      <c r="B979" s="86"/>
      <c r="C979" s="87"/>
      <c r="D979" s="87"/>
      <c r="E979" s="87"/>
      <c r="F979" s="87"/>
      <c r="G979" s="87"/>
      <c r="H979" s="87"/>
      <c r="I979" s="87"/>
      <c r="J979" s="87"/>
      <c r="K979" s="88"/>
      <c r="L979" s="89"/>
      <c r="M979" s="90"/>
      <c r="N979" s="57"/>
      <c r="O979" s="57"/>
      <c r="P979" s="91"/>
    </row>
    <row r="980" spans="2:16" s="50" customFormat="1" ht="13.2">
      <c r="B980" s="86"/>
      <c r="C980" s="87"/>
      <c r="D980" s="87"/>
      <c r="E980" s="87"/>
      <c r="F980" s="87"/>
      <c r="G980" s="87"/>
      <c r="H980" s="87"/>
      <c r="I980" s="87"/>
      <c r="J980" s="87"/>
      <c r="K980" s="88"/>
      <c r="L980" s="89"/>
      <c r="M980" s="90"/>
      <c r="N980" s="57"/>
      <c r="O980" s="57"/>
      <c r="P980" s="91"/>
    </row>
    <row r="981" spans="2:16" s="50" customFormat="1" ht="13.2">
      <c r="B981" s="86"/>
      <c r="C981" s="87"/>
      <c r="D981" s="87"/>
      <c r="E981" s="87"/>
      <c r="F981" s="87"/>
      <c r="G981" s="87"/>
      <c r="H981" s="87"/>
      <c r="I981" s="87"/>
      <c r="J981" s="87"/>
      <c r="K981" s="88"/>
      <c r="L981" s="89"/>
      <c r="M981" s="90"/>
      <c r="N981" s="57"/>
      <c r="O981" s="57"/>
      <c r="P981" s="91"/>
    </row>
    <row r="982" spans="2:16" s="50" customFormat="1" ht="13.2">
      <c r="B982" s="86"/>
      <c r="C982" s="87"/>
      <c r="D982" s="87"/>
      <c r="E982" s="87"/>
      <c r="F982" s="87"/>
      <c r="G982" s="87"/>
      <c r="H982" s="87"/>
      <c r="I982" s="87"/>
      <c r="J982" s="87"/>
      <c r="K982" s="88"/>
      <c r="L982" s="89"/>
      <c r="M982" s="90"/>
      <c r="N982" s="57"/>
      <c r="O982" s="57"/>
      <c r="P982" s="91"/>
    </row>
    <row r="983" spans="2:16" s="50" customFormat="1" ht="13.2">
      <c r="B983" s="86"/>
      <c r="C983" s="87"/>
      <c r="D983" s="87"/>
      <c r="E983" s="87"/>
      <c r="F983" s="87"/>
      <c r="G983" s="87"/>
      <c r="H983" s="87"/>
      <c r="I983" s="87"/>
      <c r="J983" s="87"/>
      <c r="K983" s="88"/>
      <c r="L983" s="89"/>
      <c r="M983" s="90"/>
      <c r="N983" s="57"/>
      <c r="O983" s="57"/>
      <c r="P983" s="91"/>
    </row>
    <row r="984" spans="2:16" s="50" customFormat="1" ht="13.2">
      <c r="B984" s="86"/>
      <c r="C984" s="87"/>
      <c r="D984" s="87"/>
      <c r="E984" s="87"/>
      <c r="F984" s="87"/>
      <c r="G984" s="87"/>
      <c r="H984" s="87"/>
      <c r="I984" s="87"/>
      <c r="J984" s="87"/>
      <c r="K984" s="88"/>
      <c r="L984" s="89"/>
      <c r="M984" s="90"/>
      <c r="N984" s="57"/>
      <c r="O984" s="57"/>
      <c r="P984" s="91"/>
    </row>
    <row r="985" spans="2:16" s="50" customFormat="1" ht="13.2">
      <c r="B985" s="86"/>
      <c r="C985" s="87"/>
      <c r="D985" s="87"/>
      <c r="E985" s="87"/>
      <c r="F985" s="87"/>
      <c r="G985" s="87"/>
      <c r="H985" s="87"/>
      <c r="I985" s="87"/>
      <c r="J985" s="87"/>
      <c r="K985" s="88"/>
      <c r="L985" s="89"/>
      <c r="M985" s="90"/>
      <c r="N985" s="57"/>
      <c r="O985" s="57"/>
      <c r="P985" s="91"/>
    </row>
    <row r="986" spans="2:16" s="50" customFormat="1" ht="13.2">
      <c r="B986" s="86"/>
      <c r="C986" s="87"/>
      <c r="D986" s="87"/>
      <c r="E986" s="87"/>
      <c r="F986" s="87"/>
      <c r="G986" s="87"/>
      <c r="H986" s="87"/>
      <c r="I986" s="87"/>
      <c r="J986" s="87"/>
      <c r="K986" s="88"/>
      <c r="L986" s="89"/>
      <c r="M986" s="90"/>
      <c r="N986" s="57"/>
      <c r="O986" s="57"/>
      <c r="P986" s="91"/>
    </row>
    <row r="987" spans="2:16" s="50" customFormat="1" ht="13.2">
      <c r="B987" s="86"/>
      <c r="C987" s="87"/>
      <c r="D987" s="87"/>
      <c r="E987" s="87"/>
      <c r="F987" s="87"/>
      <c r="G987" s="87"/>
      <c r="H987" s="87"/>
      <c r="I987" s="87"/>
      <c r="J987" s="87"/>
      <c r="K987" s="88"/>
      <c r="L987" s="89"/>
      <c r="M987" s="90"/>
      <c r="N987" s="57"/>
      <c r="O987" s="57"/>
      <c r="P987" s="91"/>
    </row>
    <row r="988" spans="2:16" s="50" customFormat="1" ht="13.2">
      <c r="B988" s="86"/>
      <c r="C988" s="87"/>
      <c r="D988" s="87"/>
      <c r="E988" s="87"/>
      <c r="F988" s="87"/>
      <c r="G988" s="87"/>
      <c r="H988" s="87"/>
      <c r="I988" s="87"/>
      <c r="J988" s="87"/>
      <c r="K988" s="88"/>
      <c r="L988" s="89"/>
      <c r="M988" s="90"/>
      <c r="N988" s="57"/>
      <c r="O988" s="57"/>
      <c r="P988" s="91"/>
    </row>
    <row r="989" spans="2:16" s="50" customFormat="1" ht="13.2">
      <c r="B989" s="86"/>
      <c r="C989" s="87"/>
      <c r="D989" s="87"/>
      <c r="E989" s="87"/>
      <c r="F989" s="87"/>
      <c r="G989" s="87"/>
      <c r="H989" s="87"/>
      <c r="I989" s="87"/>
      <c r="J989" s="87"/>
      <c r="K989" s="88"/>
      <c r="L989" s="89"/>
      <c r="M989" s="90"/>
      <c r="N989" s="57"/>
      <c r="O989" s="57"/>
      <c r="P989" s="91"/>
    </row>
    <row r="990" spans="2:16" s="50" customFormat="1" ht="13.2">
      <c r="B990" s="86"/>
      <c r="C990" s="87"/>
      <c r="D990" s="87"/>
      <c r="E990" s="87"/>
      <c r="F990" s="87"/>
      <c r="G990" s="87"/>
      <c r="H990" s="87"/>
      <c r="I990" s="87"/>
      <c r="J990" s="87"/>
      <c r="K990" s="88"/>
      <c r="L990" s="89"/>
      <c r="M990" s="90"/>
      <c r="N990" s="57"/>
      <c r="O990" s="57"/>
      <c r="P990" s="91"/>
    </row>
    <row r="991" spans="2:16" s="50" customFormat="1" ht="13.2">
      <c r="B991" s="86"/>
      <c r="C991" s="87"/>
      <c r="D991" s="87"/>
      <c r="E991" s="87"/>
      <c r="F991" s="87"/>
      <c r="G991" s="87"/>
      <c r="H991" s="87"/>
      <c r="I991" s="87"/>
      <c r="J991" s="87"/>
      <c r="K991" s="88"/>
      <c r="L991" s="89"/>
      <c r="M991" s="90"/>
      <c r="N991" s="57"/>
      <c r="O991" s="57"/>
      <c r="P991" s="91"/>
    </row>
    <row r="992" spans="2:16" s="50" customFormat="1" ht="13.2">
      <c r="B992" s="86"/>
      <c r="C992" s="87"/>
      <c r="D992" s="87"/>
      <c r="E992" s="87"/>
      <c r="F992" s="87"/>
      <c r="G992" s="87"/>
      <c r="H992" s="87"/>
      <c r="I992" s="87"/>
      <c r="J992" s="87"/>
      <c r="K992" s="88"/>
      <c r="L992" s="89"/>
      <c r="M992" s="90"/>
      <c r="N992" s="57"/>
      <c r="O992" s="57"/>
      <c r="P992" s="91"/>
    </row>
    <row r="993" spans="2:16" s="50" customFormat="1" ht="13.2">
      <c r="B993" s="86"/>
      <c r="C993" s="87"/>
      <c r="D993" s="87"/>
      <c r="E993" s="87"/>
      <c r="F993" s="87"/>
      <c r="G993" s="87"/>
      <c r="H993" s="87"/>
      <c r="I993" s="87"/>
      <c r="J993" s="87"/>
      <c r="K993" s="88"/>
      <c r="L993" s="89"/>
      <c r="M993" s="90"/>
      <c r="N993" s="57"/>
      <c r="O993" s="57"/>
      <c r="P993" s="91"/>
    </row>
    <row r="994" spans="2:16" s="50" customFormat="1" ht="13.2">
      <c r="B994" s="86"/>
      <c r="C994" s="87"/>
      <c r="D994" s="87"/>
      <c r="E994" s="87"/>
      <c r="F994" s="87"/>
      <c r="G994" s="87"/>
      <c r="H994" s="87"/>
      <c r="I994" s="87"/>
      <c r="J994" s="87"/>
      <c r="K994" s="88"/>
      <c r="L994" s="89"/>
      <c r="M994" s="90"/>
      <c r="N994" s="57"/>
      <c r="O994" s="57"/>
      <c r="P994" s="91"/>
    </row>
    <row r="995" spans="2:16" s="50" customFormat="1" ht="13.2">
      <c r="B995" s="86"/>
      <c r="C995" s="87"/>
      <c r="D995" s="87"/>
      <c r="E995" s="87"/>
      <c r="F995" s="87"/>
      <c r="G995" s="87"/>
      <c r="H995" s="87"/>
      <c r="I995" s="87"/>
      <c r="J995" s="87"/>
      <c r="K995" s="88"/>
      <c r="L995" s="89"/>
      <c r="M995" s="90"/>
      <c r="N995" s="57"/>
      <c r="O995" s="57"/>
      <c r="P995" s="91"/>
    </row>
    <row r="996" spans="2:16" s="50" customFormat="1" ht="13.2">
      <c r="B996" s="86"/>
      <c r="C996" s="87"/>
      <c r="D996" s="87"/>
      <c r="E996" s="87"/>
      <c r="F996" s="87"/>
      <c r="G996" s="87"/>
      <c r="H996" s="87"/>
      <c r="I996" s="87"/>
      <c r="J996" s="87"/>
      <c r="K996" s="88"/>
      <c r="L996" s="89"/>
      <c r="M996" s="90"/>
      <c r="N996" s="57"/>
      <c r="O996" s="57"/>
      <c r="P996" s="91"/>
    </row>
    <row r="997" spans="2:16" s="50" customFormat="1" ht="13.2">
      <c r="B997" s="86"/>
      <c r="C997" s="87"/>
      <c r="D997" s="87"/>
      <c r="E997" s="87"/>
      <c r="F997" s="87"/>
      <c r="G997" s="87"/>
      <c r="H997" s="87"/>
      <c r="I997" s="87"/>
      <c r="J997" s="87"/>
      <c r="K997" s="88"/>
      <c r="L997" s="89"/>
      <c r="M997" s="90"/>
      <c r="N997" s="57"/>
      <c r="O997" s="57"/>
      <c r="P997" s="91"/>
    </row>
    <row r="998" spans="2:16" s="50" customFormat="1" ht="13.2">
      <c r="B998" s="86"/>
      <c r="C998" s="87"/>
      <c r="D998" s="87"/>
      <c r="E998" s="87"/>
      <c r="F998" s="87"/>
      <c r="G998" s="87"/>
      <c r="H998" s="87"/>
      <c r="I998" s="87"/>
      <c r="J998" s="87"/>
      <c r="K998" s="88"/>
      <c r="L998" s="89"/>
      <c r="M998" s="90"/>
      <c r="N998" s="57"/>
      <c r="O998" s="57"/>
      <c r="P998" s="91"/>
    </row>
    <row r="999" spans="2:16" s="50" customFormat="1" ht="13.2">
      <c r="B999" s="86"/>
      <c r="C999" s="87"/>
      <c r="D999" s="87"/>
      <c r="E999" s="87"/>
      <c r="F999" s="87"/>
      <c r="G999" s="87"/>
      <c r="H999" s="87"/>
      <c r="I999" s="87"/>
      <c r="J999" s="87"/>
      <c r="K999" s="88"/>
      <c r="L999" s="89"/>
      <c r="M999" s="90"/>
      <c r="N999" s="57"/>
      <c r="O999" s="57"/>
      <c r="P999" s="91"/>
    </row>
    <row r="1000" spans="2:16" s="50" customFormat="1" ht="13.2">
      <c r="B1000" s="86"/>
      <c r="C1000" s="87"/>
      <c r="D1000" s="87"/>
      <c r="E1000" s="87"/>
      <c r="F1000" s="87"/>
      <c r="G1000" s="87"/>
      <c r="H1000" s="87"/>
      <c r="I1000" s="87"/>
      <c r="J1000" s="87"/>
      <c r="K1000" s="88"/>
      <c r="L1000" s="89"/>
      <c r="M1000" s="90"/>
      <c r="N1000" s="57"/>
      <c r="O1000" s="57"/>
      <c r="P1000" s="91"/>
    </row>
    <row r="1001" spans="2:16" s="50" customFormat="1" ht="13.2">
      <c r="B1001" s="86"/>
      <c r="C1001" s="87"/>
      <c r="D1001" s="87"/>
      <c r="E1001" s="87"/>
      <c r="F1001" s="87"/>
      <c r="G1001" s="87"/>
      <c r="H1001" s="87"/>
      <c r="I1001" s="87"/>
      <c r="J1001" s="87"/>
      <c r="K1001" s="88"/>
      <c r="L1001" s="89"/>
      <c r="M1001" s="90"/>
      <c r="N1001" s="57"/>
      <c r="O1001" s="57"/>
      <c r="P1001" s="91"/>
    </row>
    <row r="1002" spans="2:16" s="50" customFormat="1" ht="13.2">
      <c r="B1002" s="86"/>
      <c r="C1002" s="87"/>
      <c r="D1002" s="87"/>
      <c r="E1002" s="87"/>
      <c r="F1002" s="87"/>
      <c r="G1002" s="87"/>
      <c r="H1002" s="87"/>
      <c r="I1002" s="87"/>
      <c r="J1002" s="87"/>
      <c r="K1002" s="88"/>
      <c r="L1002" s="89"/>
      <c r="M1002" s="90"/>
      <c r="N1002" s="57"/>
      <c r="O1002" s="57"/>
      <c r="P1002" s="91"/>
    </row>
    <row r="1003" spans="2:16" s="50" customFormat="1" ht="13.2">
      <c r="B1003" s="86"/>
      <c r="C1003" s="87"/>
      <c r="D1003" s="87"/>
      <c r="E1003" s="87"/>
      <c r="F1003" s="87"/>
      <c r="G1003" s="87"/>
      <c r="H1003" s="87"/>
      <c r="I1003" s="87"/>
      <c r="J1003" s="87"/>
      <c r="K1003" s="88"/>
      <c r="L1003" s="89"/>
      <c r="M1003" s="90"/>
      <c r="N1003" s="57"/>
      <c r="O1003" s="57"/>
      <c r="P1003" s="91"/>
    </row>
    <row r="1004" spans="2:16" s="50" customFormat="1" ht="13.2">
      <c r="B1004" s="86"/>
      <c r="C1004" s="87"/>
      <c r="D1004" s="87"/>
      <c r="E1004" s="87"/>
      <c r="F1004" s="87"/>
      <c r="G1004" s="87"/>
      <c r="H1004" s="87"/>
      <c r="I1004" s="87"/>
      <c r="J1004" s="87"/>
      <c r="K1004" s="88"/>
      <c r="L1004" s="89"/>
      <c r="M1004" s="90"/>
      <c r="N1004" s="57"/>
      <c r="O1004" s="57"/>
      <c r="P1004" s="91"/>
    </row>
    <row r="1005" spans="2:16" s="50" customFormat="1" ht="13.2">
      <c r="B1005" s="86"/>
      <c r="C1005" s="87"/>
      <c r="D1005" s="87"/>
      <c r="E1005" s="87"/>
      <c r="F1005" s="87"/>
      <c r="G1005" s="87"/>
      <c r="H1005" s="87"/>
      <c r="I1005" s="87"/>
      <c r="J1005" s="87"/>
      <c r="K1005" s="88"/>
      <c r="L1005" s="89"/>
      <c r="M1005" s="90"/>
      <c r="N1005" s="57"/>
      <c r="O1005" s="57"/>
      <c r="P1005" s="91"/>
    </row>
    <row r="1006" spans="2:16" s="50" customFormat="1" ht="13.2">
      <c r="B1006" s="86"/>
      <c r="C1006" s="87"/>
      <c r="D1006" s="87"/>
      <c r="E1006" s="87"/>
      <c r="F1006" s="87"/>
      <c r="G1006" s="87"/>
      <c r="H1006" s="87"/>
      <c r="I1006" s="87"/>
      <c r="J1006" s="87"/>
      <c r="K1006" s="88"/>
      <c r="L1006" s="89"/>
      <c r="M1006" s="90"/>
      <c r="N1006" s="57"/>
      <c r="O1006" s="57"/>
      <c r="P1006" s="91"/>
    </row>
    <row r="1007" spans="2:16" s="50" customFormat="1" ht="13.2">
      <c r="B1007" s="86"/>
      <c r="C1007" s="87"/>
      <c r="D1007" s="87"/>
      <c r="E1007" s="87"/>
      <c r="F1007" s="87"/>
      <c r="G1007" s="87"/>
      <c r="H1007" s="87"/>
      <c r="I1007" s="87"/>
      <c r="J1007" s="87"/>
      <c r="K1007" s="88"/>
      <c r="L1007" s="89"/>
      <c r="M1007" s="90"/>
      <c r="N1007" s="57"/>
      <c r="O1007" s="57"/>
      <c r="P1007" s="91"/>
    </row>
    <row r="1008" spans="2:16" s="50" customFormat="1" ht="13.2">
      <c r="B1008" s="86"/>
      <c r="C1008" s="87"/>
      <c r="D1008" s="87"/>
      <c r="E1008" s="87"/>
      <c r="F1008" s="87"/>
      <c r="G1008" s="87"/>
      <c r="H1008" s="87"/>
      <c r="I1008" s="87"/>
      <c r="J1008" s="87"/>
      <c r="K1008" s="88"/>
      <c r="L1008" s="89"/>
      <c r="M1008" s="90"/>
      <c r="N1008" s="57"/>
      <c r="O1008" s="57"/>
      <c r="P1008" s="91"/>
    </row>
    <row r="1009" spans="2:16" s="50" customFormat="1" ht="13.2">
      <c r="B1009" s="86"/>
      <c r="C1009" s="87"/>
      <c r="D1009" s="87"/>
      <c r="E1009" s="87"/>
      <c r="F1009" s="87"/>
      <c r="G1009" s="87"/>
      <c r="H1009" s="87"/>
      <c r="I1009" s="87"/>
      <c r="J1009" s="87"/>
      <c r="K1009" s="88"/>
      <c r="L1009" s="89"/>
      <c r="M1009" s="90"/>
      <c r="N1009" s="57"/>
      <c r="O1009" s="57"/>
      <c r="P1009" s="91"/>
    </row>
    <row r="1010" spans="2:16" s="50" customFormat="1" ht="13.2">
      <c r="B1010" s="86"/>
      <c r="C1010" s="87"/>
      <c r="D1010" s="87"/>
      <c r="E1010" s="87"/>
      <c r="F1010" s="87"/>
      <c r="G1010" s="87"/>
      <c r="H1010" s="87"/>
      <c r="I1010" s="87"/>
      <c r="J1010" s="87"/>
      <c r="K1010" s="88"/>
      <c r="L1010" s="89"/>
      <c r="M1010" s="90"/>
      <c r="N1010" s="57"/>
      <c r="O1010" s="57"/>
      <c r="P1010" s="91"/>
    </row>
    <row r="1011" spans="2:16" s="50" customFormat="1" ht="13.2">
      <c r="B1011" s="86"/>
      <c r="C1011" s="87"/>
      <c r="D1011" s="87"/>
      <c r="E1011" s="87"/>
      <c r="F1011" s="87"/>
      <c r="G1011" s="87"/>
      <c r="H1011" s="87"/>
      <c r="I1011" s="87"/>
      <c r="J1011" s="87"/>
      <c r="K1011" s="88"/>
      <c r="L1011" s="89"/>
      <c r="M1011" s="90"/>
      <c r="N1011" s="57"/>
      <c r="O1011" s="57"/>
      <c r="P1011" s="91"/>
    </row>
    <row r="1012" spans="2:16" s="50" customFormat="1" ht="13.2">
      <c r="B1012" s="86"/>
      <c r="C1012" s="87"/>
      <c r="D1012" s="87"/>
      <c r="E1012" s="87"/>
      <c r="F1012" s="87"/>
      <c r="G1012" s="87"/>
      <c r="H1012" s="87"/>
      <c r="I1012" s="87"/>
      <c r="J1012" s="87"/>
      <c r="K1012" s="88"/>
      <c r="L1012" s="89"/>
      <c r="M1012" s="90"/>
      <c r="N1012" s="57"/>
      <c r="O1012" s="57"/>
      <c r="P1012" s="91"/>
    </row>
    <row r="1013" spans="2:16" s="50" customFormat="1" ht="13.2">
      <c r="B1013" s="86"/>
      <c r="C1013" s="87"/>
      <c r="D1013" s="87"/>
      <c r="E1013" s="87"/>
      <c r="F1013" s="87"/>
      <c r="G1013" s="87"/>
      <c r="H1013" s="87"/>
      <c r="I1013" s="87"/>
      <c r="J1013" s="87"/>
      <c r="K1013" s="88"/>
      <c r="L1013" s="89"/>
      <c r="M1013" s="90"/>
      <c r="N1013" s="57"/>
      <c r="O1013" s="57"/>
      <c r="P1013" s="91"/>
    </row>
    <row r="1014" spans="2:16" s="50" customFormat="1" ht="13.2">
      <c r="B1014" s="86"/>
      <c r="C1014" s="87"/>
      <c r="D1014" s="87"/>
      <c r="E1014" s="87"/>
      <c r="F1014" s="87"/>
      <c r="G1014" s="87"/>
      <c r="H1014" s="87"/>
      <c r="I1014" s="87"/>
      <c r="J1014" s="87"/>
      <c r="K1014" s="88"/>
      <c r="L1014" s="89"/>
      <c r="M1014" s="90"/>
      <c r="N1014" s="57"/>
      <c r="O1014" s="57"/>
      <c r="P1014" s="91"/>
    </row>
    <row r="1015" spans="2:16" s="50" customFormat="1" ht="13.2">
      <c r="B1015" s="86"/>
      <c r="C1015" s="87"/>
      <c r="D1015" s="87"/>
      <c r="E1015" s="87"/>
      <c r="F1015" s="87"/>
      <c r="G1015" s="87"/>
      <c r="H1015" s="87"/>
      <c r="I1015" s="87"/>
      <c r="J1015" s="87"/>
      <c r="K1015" s="88"/>
      <c r="L1015" s="89"/>
      <c r="M1015" s="90"/>
      <c r="N1015" s="57"/>
      <c r="O1015" s="57"/>
      <c r="P1015" s="91"/>
    </row>
    <row r="1016" spans="2:16" s="50" customFormat="1" ht="13.2">
      <c r="B1016" s="86"/>
      <c r="C1016" s="87"/>
      <c r="D1016" s="87"/>
      <c r="E1016" s="87"/>
      <c r="F1016" s="87"/>
      <c r="G1016" s="87"/>
      <c r="H1016" s="87"/>
      <c r="I1016" s="87"/>
      <c r="J1016" s="87"/>
      <c r="K1016" s="88"/>
      <c r="L1016" s="89"/>
      <c r="M1016" s="90"/>
      <c r="N1016" s="57"/>
      <c r="O1016" s="57"/>
      <c r="P1016" s="91"/>
    </row>
    <row r="1017" spans="2:16" s="50" customFormat="1" ht="13.2">
      <c r="B1017" s="86"/>
      <c r="C1017" s="87"/>
      <c r="D1017" s="87"/>
      <c r="E1017" s="87"/>
      <c r="F1017" s="87"/>
      <c r="G1017" s="87"/>
      <c r="H1017" s="87"/>
      <c r="I1017" s="87"/>
      <c r="J1017" s="87"/>
      <c r="K1017" s="88"/>
      <c r="L1017" s="89"/>
      <c r="M1017" s="90"/>
      <c r="N1017" s="57"/>
      <c r="O1017" s="57"/>
      <c r="P1017" s="91"/>
    </row>
    <row r="1018" spans="2:16" s="50" customFormat="1" ht="13.2">
      <c r="B1018" s="86"/>
      <c r="C1018" s="87"/>
      <c r="D1018" s="87"/>
      <c r="E1018" s="87"/>
      <c r="F1018" s="87"/>
      <c r="G1018" s="87"/>
      <c r="H1018" s="87"/>
      <c r="I1018" s="87"/>
      <c r="J1018" s="87"/>
      <c r="K1018" s="88"/>
      <c r="L1018" s="89"/>
      <c r="M1018" s="90"/>
      <c r="N1018" s="57"/>
      <c r="O1018" s="57"/>
      <c r="P1018" s="91"/>
    </row>
    <row r="1019" spans="2:16" s="50" customFormat="1" ht="13.2">
      <c r="B1019" s="86"/>
      <c r="C1019" s="87"/>
      <c r="D1019" s="87"/>
      <c r="E1019" s="87"/>
      <c r="F1019" s="87"/>
      <c r="G1019" s="87"/>
      <c r="H1019" s="87"/>
      <c r="I1019" s="87"/>
      <c r="J1019" s="87"/>
      <c r="K1019" s="88"/>
      <c r="L1019" s="89"/>
      <c r="M1019" s="90"/>
      <c r="N1019" s="57"/>
      <c r="O1019" s="57"/>
      <c r="P1019" s="91"/>
    </row>
    <row r="1020" spans="2:16" s="50" customFormat="1" ht="13.2">
      <c r="B1020" s="86"/>
      <c r="C1020" s="87"/>
      <c r="D1020" s="87"/>
      <c r="E1020" s="87"/>
      <c r="F1020" s="87"/>
      <c r="G1020" s="87"/>
      <c r="H1020" s="87"/>
      <c r="I1020" s="87"/>
      <c r="J1020" s="87"/>
      <c r="K1020" s="88"/>
      <c r="L1020" s="89"/>
      <c r="M1020" s="90"/>
      <c r="N1020" s="57"/>
      <c r="O1020" s="57"/>
      <c r="P1020" s="91"/>
    </row>
    <row r="1021" spans="2:16" s="50" customFormat="1" ht="13.2">
      <c r="B1021" s="86"/>
      <c r="C1021" s="87"/>
      <c r="D1021" s="87"/>
      <c r="E1021" s="87"/>
      <c r="F1021" s="87"/>
      <c r="G1021" s="87"/>
      <c r="H1021" s="87"/>
      <c r="I1021" s="87"/>
      <c r="J1021" s="87"/>
      <c r="K1021" s="88"/>
      <c r="L1021" s="89"/>
      <c r="M1021" s="90"/>
      <c r="N1021" s="57"/>
      <c r="O1021" s="57"/>
      <c r="P1021" s="91"/>
    </row>
    <row r="1022" spans="2:16" s="50" customFormat="1" ht="13.2">
      <c r="B1022" s="86"/>
      <c r="C1022" s="87"/>
      <c r="D1022" s="87"/>
      <c r="E1022" s="87"/>
      <c r="F1022" s="87"/>
      <c r="G1022" s="87"/>
      <c r="H1022" s="87"/>
      <c r="I1022" s="87"/>
      <c r="J1022" s="87"/>
      <c r="K1022" s="88"/>
      <c r="L1022" s="89"/>
      <c r="M1022" s="90"/>
      <c r="N1022" s="57"/>
      <c r="O1022" s="57"/>
      <c r="P1022" s="91"/>
    </row>
    <row r="1023" spans="2:16" s="50" customFormat="1" ht="13.2">
      <c r="B1023" s="86"/>
      <c r="C1023" s="87"/>
      <c r="D1023" s="87"/>
      <c r="E1023" s="87"/>
      <c r="F1023" s="87"/>
      <c r="G1023" s="87"/>
      <c r="H1023" s="87"/>
      <c r="I1023" s="87"/>
      <c r="J1023" s="87"/>
      <c r="K1023" s="88"/>
      <c r="L1023" s="89"/>
      <c r="M1023" s="90"/>
      <c r="N1023" s="57"/>
      <c r="O1023" s="57"/>
      <c r="P1023" s="91"/>
    </row>
    <row r="1024" spans="2:16" s="50" customFormat="1" ht="13.2">
      <c r="B1024" s="86"/>
      <c r="C1024" s="87"/>
      <c r="D1024" s="87"/>
      <c r="E1024" s="87"/>
      <c r="F1024" s="87"/>
      <c r="G1024" s="87"/>
      <c r="H1024" s="87"/>
      <c r="I1024" s="87"/>
      <c r="J1024" s="87"/>
      <c r="K1024" s="88"/>
      <c r="L1024" s="89"/>
      <c r="M1024" s="90"/>
      <c r="N1024" s="57"/>
      <c r="O1024" s="57"/>
      <c r="P1024" s="91"/>
    </row>
    <row r="1025" spans="2:16" s="50" customFormat="1" ht="13.2">
      <c r="B1025" s="86"/>
      <c r="C1025" s="87"/>
      <c r="D1025" s="87"/>
      <c r="E1025" s="87"/>
      <c r="F1025" s="87"/>
      <c r="G1025" s="87"/>
      <c r="H1025" s="87"/>
      <c r="I1025" s="87"/>
      <c r="J1025" s="87"/>
      <c r="K1025" s="88"/>
      <c r="L1025" s="89"/>
      <c r="M1025" s="90"/>
      <c r="N1025" s="57"/>
      <c r="O1025" s="57"/>
      <c r="P1025" s="91"/>
    </row>
    <row r="1026" spans="2:16" s="50" customFormat="1" ht="13.2">
      <c r="B1026" s="86"/>
      <c r="C1026" s="87"/>
      <c r="D1026" s="87"/>
      <c r="E1026" s="87"/>
      <c r="F1026" s="87"/>
      <c r="G1026" s="87"/>
      <c r="H1026" s="87"/>
      <c r="I1026" s="87"/>
      <c r="J1026" s="87"/>
      <c r="K1026" s="88"/>
      <c r="L1026" s="89"/>
      <c r="M1026" s="90"/>
      <c r="N1026" s="57"/>
      <c r="O1026" s="57"/>
      <c r="P1026" s="91"/>
    </row>
    <row r="1027" spans="2:16" s="50" customFormat="1" ht="13.2">
      <c r="B1027" s="86"/>
      <c r="C1027" s="87"/>
      <c r="D1027" s="87"/>
      <c r="E1027" s="87"/>
      <c r="F1027" s="87"/>
      <c r="G1027" s="87"/>
      <c r="H1027" s="87"/>
      <c r="I1027" s="87"/>
      <c r="J1027" s="87"/>
      <c r="K1027" s="88"/>
      <c r="L1027" s="89"/>
      <c r="M1027" s="90"/>
      <c r="N1027" s="57"/>
      <c r="O1027" s="57"/>
      <c r="P1027" s="91"/>
    </row>
    <row r="1028" spans="2:16" s="50" customFormat="1" ht="13.2">
      <c r="B1028" s="86"/>
      <c r="C1028" s="87"/>
      <c r="D1028" s="87"/>
      <c r="E1028" s="87"/>
      <c r="F1028" s="87"/>
      <c r="G1028" s="87"/>
      <c r="H1028" s="87"/>
      <c r="I1028" s="87"/>
      <c r="J1028" s="87"/>
      <c r="K1028" s="88"/>
      <c r="L1028" s="89"/>
      <c r="M1028" s="90"/>
      <c r="N1028" s="57"/>
      <c r="O1028" s="57"/>
      <c r="P1028" s="91"/>
    </row>
    <row r="1029" spans="2:16" s="50" customFormat="1" ht="13.2">
      <c r="B1029" s="86"/>
      <c r="C1029" s="87"/>
      <c r="D1029" s="87"/>
      <c r="E1029" s="87"/>
      <c r="F1029" s="87"/>
      <c r="G1029" s="87"/>
      <c r="H1029" s="87"/>
      <c r="I1029" s="87"/>
      <c r="J1029" s="87"/>
      <c r="K1029" s="88"/>
      <c r="L1029" s="89"/>
      <c r="M1029" s="90"/>
      <c r="N1029" s="57"/>
      <c r="O1029" s="57"/>
      <c r="P1029" s="91"/>
    </row>
    <row r="1030" spans="2:16" s="50" customFormat="1" ht="13.2">
      <c r="B1030" s="86"/>
      <c r="C1030" s="87"/>
      <c r="D1030" s="87"/>
      <c r="E1030" s="87"/>
      <c r="F1030" s="87"/>
      <c r="G1030" s="87"/>
      <c r="H1030" s="87"/>
      <c r="I1030" s="87"/>
      <c r="J1030" s="87"/>
      <c r="K1030" s="88"/>
      <c r="L1030" s="89"/>
      <c r="M1030" s="90"/>
      <c r="N1030" s="57"/>
      <c r="O1030" s="57"/>
      <c r="P1030" s="91"/>
    </row>
    <row r="1031" spans="2:16" s="50" customFormat="1" ht="13.2">
      <c r="B1031" s="86"/>
      <c r="C1031" s="87"/>
      <c r="D1031" s="87"/>
      <c r="E1031" s="87"/>
      <c r="F1031" s="87"/>
      <c r="G1031" s="87"/>
      <c r="H1031" s="87"/>
      <c r="I1031" s="87"/>
      <c r="J1031" s="87"/>
      <c r="K1031" s="88"/>
      <c r="L1031" s="89"/>
      <c r="M1031" s="90"/>
      <c r="N1031" s="57"/>
      <c r="O1031" s="57"/>
      <c r="P1031" s="91"/>
    </row>
    <row r="1032" spans="2:16" s="50" customFormat="1" ht="13.2">
      <c r="B1032" s="86"/>
      <c r="C1032" s="87"/>
      <c r="D1032" s="87"/>
      <c r="E1032" s="87"/>
      <c r="F1032" s="87"/>
      <c r="G1032" s="87"/>
      <c r="H1032" s="87"/>
      <c r="I1032" s="87"/>
      <c r="J1032" s="87"/>
      <c r="K1032" s="88"/>
      <c r="L1032" s="89"/>
      <c r="M1032" s="90"/>
      <c r="N1032" s="57"/>
      <c r="O1032" s="57"/>
      <c r="P1032" s="91"/>
    </row>
    <row r="1033" spans="2:16" s="50" customFormat="1" ht="13.2">
      <c r="B1033" s="86"/>
      <c r="C1033" s="87"/>
      <c r="D1033" s="87"/>
      <c r="E1033" s="87"/>
      <c r="F1033" s="87"/>
      <c r="G1033" s="87"/>
      <c r="H1033" s="87"/>
      <c r="I1033" s="87"/>
      <c r="J1033" s="87"/>
      <c r="K1033" s="88"/>
      <c r="L1033" s="89"/>
      <c r="M1033" s="90"/>
      <c r="N1033" s="57"/>
      <c r="O1033" s="57"/>
      <c r="P1033" s="91"/>
    </row>
    <row r="1034" spans="2:16" s="50" customFormat="1" ht="13.2">
      <c r="B1034" s="86"/>
      <c r="C1034" s="87"/>
      <c r="D1034" s="87"/>
      <c r="E1034" s="87"/>
      <c r="F1034" s="87"/>
      <c r="G1034" s="87"/>
      <c r="H1034" s="87"/>
      <c r="I1034" s="87"/>
      <c r="J1034" s="87"/>
      <c r="K1034" s="88"/>
      <c r="L1034" s="89"/>
      <c r="M1034" s="90"/>
      <c r="N1034" s="57"/>
      <c r="O1034" s="57"/>
      <c r="P1034" s="91"/>
    </row>
    <row r="1035" spans="2:16" s="50" customFormat="1" ht="13.2">
      <c r="B1035" s="86"/>
      <c r="C1035" s="87"/>
      <c r="D1035" s="87"/>
      <c r="E1035" s="87"/>
      <c r="F1035" s="87"/>
      <c r="G1035" s="87"/>
      <c r="H1035" s="87"/>
      <c r="I1035" s="87"/>
      <c r="J1035" s="87"/>
      <c r="K1035" s="88"/>
      <c r="L1035" s="89"/>
      <c r="M1035" s="90"/>
      <c r="N1035" s="57"/>
      <c r="O1035" s="57"/>
      <c r="P1035" s="91"/>
    </row>
    <row r="1036" spans="2:16" s="50" customFormat="1" ht="13.2">
      <c r="B1036" s="86"/>
      <c r="C1036" s="87"/>
      <c r="D1036" s="87"/>
      <c r="E1036" s="87"/>
      <c r="F1036" s="87"/>
      <c r="G1036" s="87"/>
      <c r="H1036" s="87"/>
      <c r="I1036" s="87"/>
      <c r="J1036" s="87"/>
      <c r="K1036" s="88"/>
      <c r="L1036" s="89"/>
      <c r="M1036" s="90"/>
      <c r="N1036" s="57"/>
      <c r="O1036" s="57"/>
      <c r="P1036" s="91"/>
    </row>
    <row r="1037" spans="2:16" s="50" customFormat="1" ht="13.2">
      <c r="B1037" s="86"/>
      <c r="C1037" s="87"/>
      <c r="D1037" s="87"/>
      <c r="E1037" s="87"/>
      <c r="F1037" s="87"/>
      <c r="G1037" s="87"/>
      <c r="H1037" s="87"/>
      <c r="I1037" s="87"/>
      <c r="J1037" s="87"/>
      <c r="K1037" s="88"/>
      <c r="L1037" s="89"/>
      <c r="M1037" s="90"/>
      <c r="N1037" s="57"/>
      <c r="O1037" s="57"/>
      <c r="P1037" s="91"/>
    </row>
    <row r="1038" spans="2:16" s="50" customFormat="1" ht="13.2">
      <c r="B1038" s="86"/>
      <c r="C1038" s="87"/>
      <c r="D1038" s="87"/>
      <c r="E1038" s="87"/>
      <c r="F1038" s="87"/>
      <c r="G1038" s="87"/>
      <c r="H1038" s="87"/>
      <c r="I1038" s="87"/>
      <c r="J1038" s="87"/>
      <c r="K1038" s="88"/>
      <c r="L1038" s="89"/>
      <c r="M1038" s="90"/>
      <c r="N1038" s="57"/>
      <c r="O1038" s="57"/>
      <c r="P1038" s="91"/>
    </row>
    <row r="1039" spans="2:16" s="50" customFormat="1" ht="13.2">
      <c r="B1039" s="86"/>
      <c r="C1039" s="87"/>
      <c r="D1039" s="87"/>
      <c r="E1039" s="87"/>
      <c r="F1039" s="87"/>
      <c r="G1039" s="87"/>
      <c r="H1039" s="87"/>
      <c r="I1039" s="87"/>
      <c r="J1039" s="87"/>
      <c r="K1039" s="88"/>
      <c r="L1039" s="89"/>
      <c r="M1039" s="90"/>
      <c r="N1039" s="57"/>
      <c r="O1039" s="57"/>
      <c r="P1039" s="91"/>
    </row>
    <row r="1040" spans="2:16" s="50" customFormat="1" ht="13.2">
      <c r="B1040" s="86"/>
      <c r="C1040" s="87"/>
      <c r="D1040" s="87"/>
      <c r="E1040" s="87"/>
      <c r="F1040" s="87"/>
      <c r="G1040" s="87"/>
      <c r="H1040" s="87"/>
      <c r="I1040" s="87"/>
      <c r="J1040" s="87"/>
      <c r="K1040" s="88"/>
      <c r="L1040" s="89"/>
      <c r="M1040" s="90"/>
      <c r="N1040" s="57"/>
      <c r="O1040" s="57"/>
      <c r="P1040" s="91"/>
    </row>
    <row r="1041" spans="2:16" s="50" customFormat="1" ht="13.2">
      <c r="B1041" s="86"/>
      <c r="C1041" s="87"/>
      <c r="D1041" s="87"/>
      <c r="E1041" s="87"/>
      <c r="F1041" s="87"/>
      <c r="G1041" s="87"/>
      <c r="H1041" s="87"/>
      <c r="I1041" s="87"/>
      <c r="J1041" s="87"/>
      <c r="K1041" s="88"/>
      <c r="L1041" s="89"/>
      <c r="M1041" s="90"/>
      <c r="N1041" s="57"/>
      <c r="O1041" s="57"/>
      <c r="P1041" s="91"/>
    </row>
    <row r="1042" spans="2:16" s="50" customFormat="1" ht="13.2">
      <c r="B1042" s="86"/>
      <c r="C1042" s="87"/>
      <c r="D1042" s="87"/>
      <c r="E1042" s="87"/>
      <c r="F1042" s="87"/>
      <c r="G1042" s="87"/>
      <c r="H1042" s="87"/>
      <c r="I1042" s="87"/>
      <c r="J1042" s="87"/>
      <c r="K1042" s="88"/>
      <c r="L1042" s="89"/>
      <c r="M1042" s="90"/>
      <c r="N1042" s="57"/>
      <c r="O1042" s="57"/>
      <c r="P1042" s="91"/>
    </row>
    <row r="1043" spans="2:16" s="50" customFormat="1" ht="13.2">
      <c r="B1043" s="86"/>
      <c r="C1043" s="87"/>
      <c r="D1043" s="87"/>
      <c r="E1043" s="87"/>
      <c r="F1043" s="87"/>
      <c r="G1043" s="87"/>
      <c r="H1043" s="87"/>
      <c r="I1043" s="87"/>
      <c r="J1043" s="87"/>
      <c r="K1043" s="88"/>
      <c r="L1043" s="89"/>
      <c r="M1043" s="90"/>
      <c r="N1043" s="57"/>
      <c r="O1043" s="57"/>
      <c r="P1043" s="91"/>
    </row>
    <row r="1044" spans="2:16" s="50" customFormat="1" ht="13.2">
      <c r="B1044" s="86"/>
      <c r="C1044" s="87"/>
      <c r="D1044" s="87"/>
      <c r="E1044" s="87"/>
      <c r="F1044" s="87"/>
      <c r="G1044" s="87"/>
      <c r="H1044" s="87"/>
      <c r="I1044" s="87"/>
      <c r="J1044" s="87"/>
      <c r="K1044" s="88"/>
      <c r="L1044" s="89"/>
      <c r="M1044" s="90"/>
      <c r="N1044" s="57"/>
      <c r="O1044" s="57"/>
      <c r="P1044" s="91"/>
    </row>
    <row r="1045" spans="2:16" s="50" customFormat="1" ht="13.2">
      <c r="B1045" s="86"/>
      <c r="C1045" s="87"/>
      <c r="D1045" s="87"/>
      <c r="E1045" s="87"/>
      <c r="F1045" s="87"/>
      <c r="G1045" s="87"/>
      <c r="H1045" s="87"/>
      <c r="I1045" s="87"/>
      <c r="J1045" s="87"/>
      <c r="K1045" s="88"/>
      <c r="L1045" s="89"/>
      <c r="M1045" s="90"/>
      <c r="N1045" s="57"/>
      <c r="O1045" s="57"/>
      <c r="P1045" s="91"/>
    </row>
    <row r="1046" spans="2:16" s="50" customFormat="1" ht="13.2">
      <c r="B1046" s="86"/>
      <c r="C1046" s="87"/>
      <c r="D1046" s="87"/>
      <c r="E1046" s="87"/>
      <c r="F1046" s="87"/>
      <c r="G1046" s="87"/>
      <c r="H1046" s="87"/>
      <c r="I1046" s="87"/>
      <c r="J1046" s="87"/>
      <c r="K1046" s="88"/>
      <c r="L1046" s="89"/>
      <c r="M1046" s="90"/>
      <c r="N1046" s="57"/>
      <c r="O1046" s="57"/>
      <c r="P1046" s="91"/>
    </row>
    <row r="1047" spans="2:16" s="50" customFormat="1" ht="13.2">
      <c r="B1047" s="86"/>
      <c r="C1047" s="87"/>
      <c r="D1047" s="87"/>
      <c r="E1047" s="87"/>
      <c r="F1047" s="87"/>
      <c r="G1047" s="87"/>
      <c r="H1047" s="87"/>
      <c r="I1047" s="87"/>
      <c r="J1047" s="87"/>
      <c r="K1047" s="88"/>
      <c r="L1047" s="89"/>
      <c r="M1047" s="90"/>
      <c r="N1047" s="57"/>
      <c r="O1047" s="57"/>
      <c r="P1047" s="91"/>
    </row>
    <row r="1048" spans="2:16" s="50" customFormat="1" ht="13.2">
      <c r="B1048" s="86"/>
      <c r="C1048" s="87"/>
      <c r="D1048" s="87"/>
      <c r="E1048" s="87"/>
      <c r="F1048" s="87"/>
      <c r="G1048" s="87"/>
      <c r="H1048" s="87"/>
      <c r="I1048" s="87"/>
      <c r="J1048" s="87"/>
      <c r="K1048" s="88"/>
      <c r="L1048" s="89"/>
      <c r="M1048" s="90"/>
      <c r="N1048" s="57"/>
      <c r="O1048" s="57"/>
      <c r="P1048" s="91"/>
    </row>
    <row r="1049" spans="2:16" s="50" customFormat="1" ht="13.2">
      <c r="B1049" s="86"/>
      <c r="C1049" s="87"/>
      <c r="D1049" s="87"/>
      <c r="E1049" s="87"/>
      <c r="F1049" s="87"/>
      <c r="G1049" s="87"/>
      <c r="H1049" s="87"/>
      <c r="I1049" s="87"/>
      <c r="J1049" s="87"/>
      <c r="K1049" s="88"/>
      <c r="L1049" s="89"/>
      <c r="M1049" s="90"/>
      <c r="N1049" s="57"/>
      <c r="O1049" s="57"/>
      <c r="P1049" s="91"/>
    </row>
    <row r="1050" spans="2:16" s="50" customFormat="1" ht="13.2">
      <c r="B1050" s="86"/>
      <c r="C1050" s="87"/>
      <c r="D1050" s="87"/>
      <c r="E1050" s="87"/>
      <c r="F1050" s="87"/>
      <c r="G1050" s="87"/>
      <c r="H1050" s="87"/>
      <c r="I1050" s="87"/>
      <c r="J1050" s="87"/>
      <c r="K1050" s="88"/>
      <c r="L1050" s="89"/>
      <c r="M1050" s="90"/>
      <c r="N1050" s="57"/>
      <c r="O1050" s="57"/>
      <c r="P1050" s="91"/>
    </row>
    <row r="1051" spans="2:16" s="50" customFormat="1" ht="13.2">
      <c r="B1051" s="86"/>
      <c r="C1051" s="87"/>
      <c r="D1051" s="87"/>
      <c r="E1051" s="87"/>
      <c r="F1051" s="87"/>
      <c r="G1051" s="87"/>
      <c r="H1051" s="87"/>
      <c r="I1051" s="87"/>
      <c r="J1051" s="87"/>
      <c r="K1051" s="88"/>
      <c r="L1051" s="89"/>
      <c r="M1051" s="90"/>
      <c r="N1051" s="57"/>
      <c r="O1051" s="57"/>
      <c r="P1051" s="91"/>
    </row>
    <row r="1052" spans="2:16" s="50" customFormat="1" ht="13.2">
      <c r="B1052" s="86"/>
      <c r="C1052" s="87"/>
      <c r="D1052" s="87"/>
      <c r="E1052" s="87"/>
      <c r="F1052" s="87"/>
      <c r="G1052" s="87"/>
      <c r="H1052" s="87"/>
      <c r="I1052" s="87"/>
      <c r="J1052" s="87"/>
      <c r="K1052" s="88"/>
      <c r="L1052" s="89"/>
      <c r="M1052" s="90"/>
      <c r="N1052" s="57"/>
      <c r="O1052" s="57"/>
      <c r="P1052" s="91"/>
    </row>
    <row r="1053" spans="2:16" s="50" customFormat="1" ht="13.2">
      <c r="B1053" s="86"/>
      <c r="C1053" s="87"/>
      <c r="D1053" s="87"/>
      <c r="E1053" s="87"/>
      <c r="F1053" s="87"/>
      <c r="G1053" s="87"/>
      <c r="H1053" s="87"/>
      <c r="I1053" s="87"/>
      <c r="J1053" s="87"/>
      <c r="K1053" s="88"/>
      <c r="L1053" s="89"/>
      <c r="M1053" s="90"/>
      <c r="N1053" s="57"/>
      <c r="O1053" s="57"/>
      <c r="P1053" s="91"/>
    </row>
    <row r="1054" spans="2:16" s="50" customFormat="1" ht="13.2">
      <c r="B1054" s="86"/>
      <c r="C1054" s="87"/>
      <c r="D1054" s="87"/>
      <c r="E1054" s="87"/>
      <c r="F1054" s="87"/>
      <c r="G1054" s="87"/>
      <c r="H1054" s="87"/>
      <c r="I1054" s="87"/>
      <c r="J1054" s="87"/>
      <c r="K1054" s="88"/>
      <c r="L1054" s="89"/>
      <c r="M1054" s="90"/>
      <c r="N1054" s="57"/>
      <c r="O1054" s="57"/>
      <c r="P1054" s="91"/>
    </row>
    <row r="1055" spans="2:16" s="50" customFormat="1" ht="13.2">
      <c r="B1055" s="86"/>
      <c r="C1055" s="87"/>
      <c r="D1055" s="87"/>
      <c r="E1055" s="87"/>
      <c r="F1055" s="87"/>
      <c r="G1055" s="87"/>
      <c r="H1055" s="87"/>
      <c r="I1055" s="87"/>
      <c r="J1055" s="87"/>
      <c r="K1055" s="88"/>
      <c r="L1055" s="89"/>
      <c r="M1055" s="90"/>
      <c r="N1055" s="57"/>
      <c r="O1055" s="57"/>
      <c r="P1055" s="91"/>
    </row>
    <row r="1056" spans="2:16" s="50" customFormat="1" ht="13.2">
      <c r="B1056" s="86"/>
      <c r="C1056" s="87"/>
      <c r="D1056" s="87"/>
      <c r="E1056" s="87"/>
      <c r="F1056" s="87"/>
      <c r="G1056" s="87"/>
      <c r="H1056" s="87"/>
      <c r="I1056" s="87"/>
      <c r="J1056" s="87"/>
      <c r="K1056" s="88"/>
      <c r="L1056" s="89"/>
      <c r="M1056" s="90"/>
      <c r="N1056" s="57"/>
      <c r="O1056" s="57"/>
      <c r="P1056" s="91"/>
    </row>
    <row r="1057" spans="2:16" s="50" customFormat="1" ht="13.2">
      <c r="B1057" s="86"/>
      <c r="C1057" s="87"/>
      <c r="D1057" s="87"/>
      <c r="E1057" s="87"/>
      <c r="F1057" s="87"/>
      <c r="G1057" s="87"/>
      <c r="H1057" s="87"/>
      <c r="I1057" s="87"/>
      <c r="J1057" s="87"/>
      <c r="K1057" s="88"/>
      <c r="L1057" s="89"/>
      <c r="M1057" s="90"/>
      <c r="N1057" s="57"/>
      <c r="O1057" s="57"/>
      <c r="P1057" s="91"/>
    </row>
    <row r="1058" spans="2:16" s="50" customFormat="1" ht="13.2">
      <c r="B1058" s="86"/>
      <c r="C1058" s="87"/>
      <c r="D1058" s="87"/>
      <c r="E1058" s="87"/>
      <c r="F1058" s="87"/>
      <c r="G1058" s="87"/>
      <c r="H1058" s="87"/>
      <c r="I1058" s="87"/>
      <c r="J1058" s="87"/>
      <c r="K1058" s="88"/>
      <c r="L1058" s="89"/>
      <c r="M1058" s="90"/>
      <c r="N1058" s="57"/>
      <c r="O1058" s="57"/>
      <c r="P1058" s="91"/>
    </row>
    <row r="1059" spans="2:16" s="50" customFormat="1" ht="13.2">
      <c r="B1059" s="86"/>
      <c r="C1059" s="87"/>
      <c r="D1059" s="87"/>
      <c r="E1059" s="87"/>
      <c r="F1059" s="87"/>
      <c r="G1059" s="87"/>
      <c r="H1059" s="87"/>
      <c r="I1059" s="87"/>
      <c r="J1059" s="87"/>
      <c r="K1059" s="88"/>
      <c r="L1059" s="89"/>
      <c r="M1059" s="90"/>
      <c r="N1059" s="57"/>
      <c r="O1059" s="57"/>
      <c r="P1059" s="91"/>
    </row>
    <row r="1060" spans="2:16" s="50" customFormat="1" ht="13.2">
      <c r="B1060" s="86"/>
      <c r="C1060" s="87"/>
      <c r="D1060" s="87"/>
      <c r="E1060" s="87"/>
      <c r="F1060" s="87"/>
      <c r="G1060" s="87"/>
      <c r="H1060" s="87"/>
      <c r="I1060" s="87"/>
      <c r="J1060" s="87"/>
      <c r="K1060" s="88"/>
      <c r="L1060" s="89"/>
      <c r="M1060" s="90"/>
      <c r="N1060" s="57"/>
      <c r="O1060" s="57"/>
      <c r="P1060" s="91"/>
    </row>
    <row r="1061" spans="2:16" s="50" customFormat="1" ht="13.2">
      <c r="B1061" s="86"/>
      <c r="C1061" s="87"/>
      <c r="D1061" s="87"/>
      <c r="E1061" s="87"/>
      <c r="F1061" s="87"/>
      <c r="G1061" s="87"/>
      <c r="H1061" s="87"/>
      <c r="I1061" s="87"/>
      <c r="J1061" s="87"/>
      <c r="K1061" s="88"/>
      <c r="L1061" s="89"/>
      <c r="M1061" s="90"/>
      <c r="N1061" s="57"/>
      <c r="O1061" s="57"/>
      <c r="P1061" s="91"/>
    </row>
    <row r="1062" spans="2:16" s="50" customFormat="1" ht="13.2">
      <c r="B1062" s="86"/>
      <c r="C1062" s="87"/>
      <c r="D1062" s="87"/>
      <c r="E1062" s="87"/>
      <c r="F1062" s="87"/>
      <c r="G1062" s="87"/>
      <c r="H1062" s="87"/>
      <c r="I1062" s="87"/>
      <c r="J1062" s="87"/>
      <c r="K1062" s="88"/>
      <c r="L1062" s="89"/>
      <c r="M1062" s="90"/>
      <c r="N1062" s="57"/>
      <c r="O1062" s="57"/>
      <c r="P1062" s="91"/>
    </row>
    <row r="1063" spans="2:16" s="50" customFormat="1" ht="13.2">
      <c r="B1063" s="86"/>
      <c r="C1063" s="87"/>
      <c r="D1063" s="87"/>
      <c r="E1063" s="87"/>
      <c r="F1063" s="87"/>
      <c r="G1063" s="87"/>
      <c r="H1063" s="87"/>
      <c r="I1063" s="87"/>
      <c r="J1063" s="87"/>
      <c r="K1063" s="88"/>
      <c r="L1063" s="89"/>
      <c r="M1063" s="90"/>
      <c r="N1063" s="57"/>
      <c r="O1063" s="57"/>
      <c r="P1063" s="91"/>
    </row>
    <row r="1064" spans="2:16" s="50" customFormat="1" ht="13.2">
      <c r="B1064" s="86"/>
      <c r="C1064" s="87"/>
      <c r="D1064" s="87"/>
      <c r="E1064" s="87"/>
      <c r="F1064" s="87"/>
      <c r="G1064" s="87"/>
      <c r="H1064" s="87"/>
      <c r="I1064" s="87"/>
      <c r="J1064" s="87"/>
      <c r="K1064" s="88"/>
      <c r="L1064" s="89"/>
      <c r="M1064" s="90"/>
      <c r="N1064" s="57"/>
      <c r="O1064" s="57"/>
      <c r="P1064" s="91"/>
    </row>
    <row r="1065" spans="2:16" s="50" customFormat="1" ht="13.2">
      <c r="B1065" s="86"/>
      <c r="C1065" s="87"/>
      <c r="D1065" s="87"/>
      <c r="E1065" s="87"/>
      <c r="F1065" s="87"/>
      <c r="G1065" s="87"/>
      <c r="H1065" s="87"/>
      <c r="I1065" s="87"/>
      <c r="J1065" s="87"/>
      <c r="K1065" s="88"/>
      <c r="L1065" s="89"/>
      <c r="M1065" s="90"/>
      <c r="N1065" s="57"/>
      <c r="O1065" s="57"/>
      <c r="P1065" s="91"/>
    </row>
    <row r="1066" spans="2:16" s="50" customFormat="1" ht="13.2">
      <c r="B1066" s="86"/>
      <c r="C1066" s="87"/>
      <c r="D1066" s="87"/>
      <c r="E1066" s="87"/>
      <c r="F1066" s="87"/>
      <c r="G1066" s="87"/>
      <c r="H1066" s="87"/>
      <c r="I1066" s="87"/>
      <c r="J1066" s="87"/>
      <c r="K1066" s="88"/>
      <c r="L1066" s="89"/>
      <c r="M1066" s="90"/>
      <c r="N1066" s="57"/>
      <c r="O1066" s="57"/>
      <c r="P1066" s="91"/>
    </row>
    <row r="1067" spans="2:16" s="50" customFormat="1" ht="13.2">
      <c r="B1067" s="86"/>
      <c r="C1067" s="87"/>
      <c r="D1067" s="87"/>
      <c r="E1067" s="87"/>
      <c r="F1067" s="87"/>
      <c r="G1067" s="87"/>
      <c r="H1067" s="87"/>
      <c r="I1067" s="87"/>
      <c r="J1067" s="87"/>
      <c r="K1067" s="88"/>
      <c r="L1067" s="89"/>
      <c r="M1067" s="90"/>
      <c r="N1067" s="57"/>
      <c r="O1067" s="57"/>
      <c r="P1067" s="91"/>
    </row>
    <row r="1068" spans="2:16" s="50" customFormat="1" ht="13.2">
      <c r="B1068" s="86"/>
      <c r="C1068" s="87"/>
      <c r="D1068" s="87"/>
      <c r="E1068" s="87"/>
      <c r="F1068" s="87"/>
      <c r="G1068" s="87"/>
      <c r="H1068" s="87"/>
      <c r="I1068" s="87"/>
      <c r="J1068" s="87"/>
      <c r="K1068" s="88"/>
      <c r="L1068" s="89"/>
      <c r="M1068" s="90"/>
      <c r="N1068" s="57"/>
      <c r="O1068" s="57"/>
      <c r="P1068" s="91"/>
    </row>
    <row r="1069" spans="2:16" s="50" customFormat="1" ht="13.2">
      <c r="B1069" s="86"/>
      <c r="C1069" s="87"/>
      <c r="D1069" s="87"/>
      <c r="E1069" s="87"/>
      <c r="F1069" s="87"/>
      <c r="G1069" s="87"/>
      <c r="H1069" s="87"/>
      <c r="I1069" s="87"/>
      <c r="J1069" s="87"/>
      <c r="K1069" s="88"/>
      <c r="L1069" s="89"/>
      <c r="M1069" s="90"/>
      <c r="N1069" s="57"/>
      <c r="O1069" s="57"/>
      <c r="P1069" s="91"/>
    </row>
    <row r="1070" spans="2:16" s="50" customFormat="1" ht="13.2">
      <c r="B1070" s="86"/>
      <c r="C1070" s="87"/>
      <c r="D1070" s="87"/>
      <c r="E1070" s="87"/>
      <c r="F1070" s="87"/>
      <c r="G1070" s="87"/>
      <c r="H1070" s="87"/>
      <c r="I1070" s="87"/>
      <c r="J1070" s="87"/>
      <c r="K1070" s="88"/>
      <c r="L1070" s="89"/>
      <c r="M1070" s="90"/>
      <c r="N1070" s="57"/>
      <c r="O1070" s="57"/>
      <c r="P1070" s="91"/>
    </row>
    <row r="1071" spans="2:16" s="50" customFormat="1" ht="13.2">
      <c r="B1071" s="86"/>
      <c r="C1071" s="87"/>
      <c r="D1071" s="87"/>
      <c r="E1071" s="87"/>
      <c r="F1071" s="87"/>
      <c r="G1071" s="87"/>
      <c r="H1071" s="87"/>
      <c r="I1071" s="87"/>
      <c r="J1071" s="87"/>
      <c r="K1071" s="88"/>
      <c r="L1071" s="89"/>
      <c r="M1071" s="90"/>
      <c r="N1071" s="57"/>
      <c r="O1071" s="57"/>
      <c r="P1071" s="91"/>
    </row>
    <row r="1072" spans="2:16" s="50" customFormat="1" ht="13.2">
      <c r="B1072" s="86"/>
      <c r="C1072" s="87"/>
      <c r="D1072" s="87"/>
      <c r="E1072" s="87"/>
      <c r="F1072" s="87"/>
      <c r="G1072" s="87"/>
      <c r="H1072" s="87"/>
      <c r="I1072" s="87"/>
      <c r="J1072" s="87"/>
      <c r="K1072" s="88"/>
      <c r="L1072" s="89"/>
      <c r="M1072" s="90"/>
      <c r="N1072" s="57"/>
      <c r="O1072" s="57"/>
      <c r="P1072" s="91"/>
    </row>
    <row r="1073" spans="2:16" s="50" customFormat="1" ht="13.2">
      <c r="B1073" s="86"/>
      <c r="C1073" s="87"/>
      <c r="D1073" s="87"/>
      <c r="E1073" s="87"/>
      <c r="F1073" s="87"/>
      <c r="G1073" s="87"/>
      <c r="H1073" s="87"/>
      <c r="I1073" s="87"/>
      <c r="J1073" s="87"/>
      <c r="K1073" s="88"/>
      <c r="L1073" s="89"/>
      <c r="M1073" s="90"/>
      <c r="N1073" s="57"/>
      <c r="O1073" s="57"/>
      <c r="P1073" s="91"/>
    </row>
    <row r="1074" spans="2:16" s="50" customFormat="1" ht="13.2">
      <c r="B1074" s="86"/>
      <c r="C1074" s="87"/>
      <c r="D1074" s="87"/>
      <c r="E1074" s="87"/>
      <c r="F1074" s="87"/>
      <c r="G1074" s="87"/>
      <c r="H1074" s="87"/>
      <c r="I1074" s="87"/>
      <c r="J1074" s="87"/>
      <c r="K1074" s="88"/>
      <c r="L1074" s="89"/>
      <c r="M1074" s="90"/>
      <c r="N1074" s="57"/>
      <c r="O1074" s="57"/>
      <c r="P1074" s="91"/>
    </row>
    <row r="1075" spans="2:16" s="50" customFormat="1" ht="13.2">
      <c r="B1075" s="86"/>
      <c r="C1075" s="87"/>
      <c r="D1075" s="87"/>
      <c r="E1075" s="87"/>
      <c r="F1075" s="87"/>
      <c r="G1075" s="87"/>
      <c r="H1075" s="87"/>
      <c r="I1075" s="87"/>
      <c r="J1075" s="87"/>
      <c r="K1075" s="88"/>
      <c r="L1075" s="89"/>
      <c r="M1075" s="90"/>
      <c r="N1075" s="57"/>
      <c r="O1075" s="57"/>
      <c r="P1075" s="91"/>
    </row>
    <row r="1076" spans="2:16" s="50" customFormat="1" ht="13.2">
      <c r="B1076" s="86"/>
      <c r="C1076" s="87"/>
      <c r="D1076" s="87"/>
      <c r="E1076" s="87"/>
      <c r="F1076" s="87"/>
      <c r="G1076" s="87"/>
      <c r="H1076" s="87"/>
      <c r="I1076" s="87"/>
      <c r="J1076" s="87"/>
      <c r="K1076" s="88"/>
      <c r="L1076" s="89"/>
      <c r="M1076" s="90"/>
      <c r="N1076" s="57"/>
      <c r="O1076" s="57"/>
      <c r="P1076" s="91"/>
    </row>
    <row r="1077" spans="2:16" s="50" customFormat="1" ht="13.2">
      <c r="B1077" s="86"/>
      <c r="C1077" s="87"/>
      <c r="D1077" s="87"/>
      <c r="E1077" s="87"/>
      <c r="F1077" s="87"/>
      <c r="G1077" s="87"/>
      <c r="H1077" s="87"/>
      <c r="I1077" s="87"/>
      <c r="J1077" s="87"/>
      <c r="K1077" s="88"/>
      <c r="L1077" s="89"/>
      <c r="M1077" s="90"/>
      <c r="N1077" s="57"/>
      <c r="O1077" s="57"/>
      <c r="P1077" s="91"/>
    </row>
    <row r="1078" spans="2:16" s="50" customFormat="1" ht="13.2">
      <c r="B1078" s="86"/>
      <c r="C1078" s="87"/>
      <c r="D1078" s="87"/>
      <c r="E1078" s="87"/>
      <c r="F1078" s="87"/>
      <c r="G1078" s="87"/>
      <c r="H1078" s="87"/>
      <c r="I1078" s="87"/>
      <c r="J1078" s="87"/>
      <c r="K1078" s="88"/>
      <c r="L1078" s="89"/>
      <c r="M1078" s="90"/>
      <c r="N1078" s="57"/>
      <c r="O1078" s="57"/>
      <c r="P1078" s="91"/>
    </row>
    <row r="1079" spans="2:16" s="50" customFormat="1" ht="13.2">
      <c r="B1079" s="86"/>
      <c r="C1079" s="87"/>
      <c r="D1079" s="87"/>
      <c r="E1079" s="87"/>
      <c r="F1079" s="87"/>
      <c r="G1079" s="87"/>
      <c r="H1079" s="87"/>
      <c r="I1079" s="87"/>
      <c r="J1079" s="87"/>
      <c r="K1079" s="88"/>
      <c r="L1079" s="89"/>
      <c r="M1079" s="90"/>
      <c r="N1079" s="57"/>
      <c r="O1079" s="57"/>
      <c r="P1079" s="91"/>
    </row>
    <row r="1080" spans="2:16" s="50" customFormat="1" ht="13.2">
      <c r="B1080" s="86"/>
      <c r="C1080" s="87"/>
      <c r="D1080" s="87"/>
      <c r="E1080" s="87"/>
      <c r="F1080" s="87"/>
      <c r="G1080" s="87"/>
      <c r="H1080" s="87"/>
      <c r="I1080" s="87"/>
      <c r="J1080" s="87"/>
      <c r="K1080" s="88"/>
      <c r="L1080" s="89"/>
      <c r="M1080" s="90"/>
      <c r="N1080" s="57"/>
      <c r="O1080" s="57"/>
      <c r="P1080" s="91"/>
    </row>
    <row r="1081" spans="2:16" s="50" customFormat="1" ht="13.2">
      <c r="B1081" s="86"/>
      <c r="C1081" s="87"/>
      <c r="D1081" s="87"/>
      <c r="E1081" s="87"/>
      <c r="F1081" s="87"/>
      <c r="G1081" s="87"/>
      <c r="H1081" s="87"/>
      <c r="I1081" s="87"/>
      <c r="J1081" s="87"/>
      <c r="K1081" s="88"/>
      <c r="L1081" s="89"/>
      <c r="M1081" s="90"/>
      <c r="N1081" s="57"/>
      <c r="O1081" s="57"/>
      <c r="P1081" s="91"/>
    </row>
    <row r="1082" spans="2:16" s="50" customFormat="1" ht="13.2">
      <c r="B1082" s="86"/>
      <c r="C1082" s="87"/>
      <c r="D1082" s="87"/>
      <c r="E1082" s="87"/>
      <c r="F1082" s="87"/>
      <c r="G1082" s="87"/>
      <c r="H1082" s="87"/>
      <c r="I1082" s="87"/>
      <c r="J1082" s="87"/>
      <c r="K1082" s="88"/>
      <c r="L1082" s="89"/>
      <c r="M1082" s="90"/>
      <c r="N1082" s="57"/>
      <c r="O1082" s="57"/>
      <c r="P1082" s="91"/>
    </row>
    <row r="1083" spans="2:16" s="50" customFormat="1" ht="13.2">
      <c r="B1083" s="86"/>
      <c r="C1083" s="87"/>
      <c r="D1083" s="87"/>
      <c r="E1083" s="87"/>
      <c r="F1083" s="87"/>
      <c r="G1083" s="87"/>
      <c r="H1083" s="87"/>
      <c r="I1083" s="87"/>
      <c r="J1083" s="87"/>
      <c r="K1083" s="88"/>
      <c r="L1083" s="89"/>
      <c r="M1083" s="90"/>
      <c r="N1083" s="57"/>
      <c r="O1083" s="57"/>
      <c r="P1083" s="91"/>
    </row>
    <row r="1084" spans="2:16" s="50" customFormat="1" ht="13.2">
      <c r="B1084" s="86"/>
      <c r="C1084" s="87"/>
      <c r="D1084" s="87"/>
      <c r="E1084" s="87"/>
      <c r="F1084" s="87"/>
      <c r="G1084" s="87"/>
      <c r="H1084" s="87"/>
      <c r="I1084" s="87"/>
      <c r="J1084" s="87"/>
      <c r="K1084" s="88"/>
      <c r="L1084" s="89"/>
      <c r="M1084" s="90"/>
      <c r="N1084" s="57"/>
      <c r="O1084" s="57"/>
      <c r="P1084" s="91"/>
    </row>
    <row r="1085" spans="2:16" s="50" customFormat="1" ht="13.2">
      <c r="B1085" s="86"/>
      <c r="C1085" s="87"/>
      <c r="D1085" s="87"/>
      <c r="E1085" s="87"/>
      <c r="F1085" s="87"/>
      <c r="G1085" s="87"/>
      <c r="H1085" s="87"/>
      <c r="I1085" s="87"/>
      <c r="J1085" s="87"/>
      <c r="K1085" s="88"/>
      <c r="L1085" s="89"/>
      <c r="M1085" s="90"/>
      <c r="N1085" s="57"/>
      <c r="O1085" s="57"/>
      <c r="P1085" s="91"/>
    </row>
    <row r="1086" spans="2:16" s="50" customFormat="1" ht="13.2">
      <c r="B1086" s="86"/>
      <c r="C1086" s="87"/>
      <c r="D1086" s="87"/>
      <c r="E1086" s="87"/>
      <c r="F1086" s="87"/>
      <c r="G1086" s="87"/>
      <c r="H1086" s="87"/>
      <c r="I1086" s="87"/>
      <c r="J1086" s="87"/>
      <c r="K1086" s="88"/>
      <c r="L1086" s="89"/>
      <c r="M1086" s="90"/>
      <c r="N1086" s="57"/>
      <c r="O1086" s="57"/>
      <c r="P1086" s="91"/>
    </row>
    <row r="1087" spans="2:16" s="50" customFormat="1" ht="13.2">
      <c r="B1087" s="86"/>
      <c r="C1087" s="87"/>
      <c r="D1087" s="87"/>
      <c r="E1087" s="87"/>
      <c r="F1087" s="87"/>
      <c r="G1087" s="87"/>
      <c r="H1087" s="87"/>
      <c r="I1087" s="87"/>
      <c r="J1087" s="87"/>
      <c r="K1087" s="88"/>
      <c r="L1087" s="89"/>
      <c r="M1087" s="90"/>
      <c r="N1087" s="57"/>
      <c r="O1087" s="57"/>
      <c r="P1087" s="91"/>
    </row>
    <row r="1088" spans="2:16" s="50" customFormat="1" ht="13.2">
      <c r="B1088" s="86"/>
      <c r="C1088" s="87"/>
      <c r="D1088" s="87"/>
      <c r="E1088" s="87"/>
      <c r="F1088" s="87"/>
      <c r="G1088" s="87"/>
      <c r="H1088" s="87"/>
      <c r="I1088" s="87"/>
      <c r="J1088" s="87"/>
      <c r="K1088" s="88"/>
      <c r="L1088" s="89"/>
      <c r="M1088" s="90"/>
      <c r="N1088" s="57"/>
      <c r="O1088" s="57"/>
      <c r="P1088" s="91"/>
    </row>
    <row r="1089" spans="2:16" s="50" customFormat="1" ht="13.2">
      <c r="B1089" s="86"/>
      <c r="C1089" s="87"/>
      <c r="D1089" s="87"/>
      <c r="E1089" s="87"/>
      <c r="F1089" s="87"/>
      <c r="G1089" s="87"/>
      <c r="H1089" s="87"/>
      <c r="I1089" s="87"/>
      <c r="J1089" s="87"/>
      <c r="K1089" s="88"/>
      <c r="L1089" s="89"/>
      <c r="M1089" s="90"/>
      <c r="N1089" s="57"/>
      <c r="O1089" s="57"/>
      <c r="P1089" s="91"/>
    </row>
    <row r="1090" spans="2:16" s="50" customFormat="1" ht="13.2">
      <c r="B1090" s="86"/>
      <c r="C1090" s="87"/>
      <c r="D1090" s="87"/>
      <c r="E1090" s="87"/>
      <c r="F1090" s="87"/>
      <c r="G1090" s="87"/>
      <c r="H1090" s="87"/>
      <c r="I1090" s="87"/>
      <c r="J1090" s="87"/>
      <c r="K1090" s="88"/>
      <c r="L1090" s="89"/>
      <c r="M1090" s="90"/>
      <c r="N1090" s="57"/>
      <c r="O1090" s="57"/>
      <c r="P1090" s="91"/>
    </row>
    <row r="1091" spans="2:16" s="50" customFormat="1" ht="13.2">
      <c r="B1091" s="86"/>
      <c r="C1091" s="87"/>
      <c r="D1091" s="87"/>
      <c r="E1091" s="87"/>
      <c r="F1091" s="87"/>
      <c r="G1091" s="87"/>
      <c r="H1091" s="87"/>
      <c r="I1091" s="87"/>
      <c r="J1091" s="87"/>
      <c r="K1091" s="88"/>
      <c r="L1091" s="89"/>
      <c r="M1091" s="90"/>
      <c r="N1091" s="57"/>
      <c r="O1091" s="57"/>
      <c r="P1091" s="91"/>
    </row>
    <row r="1092" spans="2:16" s="50" customFormat="1" ht="13.2">
      <c r="B1092" s="86"/>
      <c r="C1092" s="87"/>
      <c r="D1092" s="87"/>
      <c r="E1092" s="87"/>
      <c r="F1092" s="87"/>
      <c r="G1092" s="87"/>
      <c r="H1092" s="87"/>
      <c r="I1092" s="87"/>
      <c r="J1092" s="87"/>
      <c r="K1092" s="88"/>
      <c r="L1092" s="89"/>
      <c r="M1092" s="90"/>
      <c r="N1092" s="57"/>
      <c r="O1092" s="57"/>
      <c r="P1092" s="91"/>
    </row>
    <row r="1093" spans="2:16" s="50" customFormat="1" ht="13.2">
      <c r="B1093" s="86"/>
      <c r="C1093" s="87"/>
      <c r="D1093" s="87"/>
      <c r="E1093" s="87"/>
      <c r="F1093" s="87"/>
      <c r="G1093" s="87"/>
      <c r="H1093" s="87"/>
      <c r="I1093" s="87"/>
      <c r="J1093" s="87"/>
      <c r="K1093" s="88"/>
      <c r="L1093" s="89"/>
      <c r="M1093" s="90"/>
      <c r="N1093" s="57"/>
      <c r="O1093" s="57"/>
      <c r="P1093" s="91"/>
    </row>
    <row r="1094" spans="2:16" s="50" customFormat="1" ht="13.2">
      <c r="B1094" s="86"/>
      <c r="C1094" s="87"/>
      <c r="D1094" s="87"/>
      <c r="E1094" s="87"/>
      <c r="F1094" s="87"/>
      <c r="G1094" s="87"/>
      <c r="H1094" s="87"/>
      <c r="I1094" s="87"/>
      <c r="J1094" s="87"/>
      <c r="K1094" s="88"/>
      <c r="L1094" s="89"/>
      <c r="M1094" s="90"/>
      <c r="N1094" s="57"/>
      <c r="O1094" s="57"/>
      <c r="P1094" s="91"/>
    </row>
    <row r="1095" spans="2:16" s="50" customFormat="1" ht="13.2">
      <c r="B1095" s="86"/>
      <c r="C1095" s="87"/>
      <c r="D1095" s="87"/>
      <c r="E1095" s="87"/>
      <c r="F1095" s="87"/>
      <c r="G1095" s="87"/>
      <c r="H1095" s="87"/>
      <c r="I1095" s="87"/>
      <c r="J1095" s="87"/>
      <c r="K1095" s="88"/>
      <c r="L1095" s="89"/>
      <c r="M1095" s="90"/>
      <c r="N1095" s="57"/>
      <c r="O1095" s="57"/>
      <c r="P1095" s="91"/>
    </row>
    <row r="1096" spans="2:16" s="50" customFormat="1" ht="13.2">
      <c r="B1096" s="86"/>
      <c r="C1096" s="87"/>
      <c r="D1096" s="87"/>
      <c r="E1096" s="87"/>
      <c r="F1096" s="87"/>
      <c r="G1096" s="87"/>
      <c r="H1096" s="87"/>
      <c r="I1096" s="87"/>
      <c r="J1096" s="87"/>
      <c r="K1096" s="88"/>
      <c r="L1096" s="89"/>
      <c r="M1096" s="90"/>
      <c r="N1096" s="57"/>
      <c r="O1096" s="57"/>
      <c r="P1096" s="91"/>
    </row>
    <row r="1097" spans="2:16" s="50" customFormat="1" ht="13.2">
      <c r="B1097" s="86"/>
      <c r="C1097" s="87"/>
      <c r="D1097" s="87"/>
      <c r="E1097" s="87"/>
      <c r="F1097" s="87"/>
      <c r="G1097" s="87"/>
      <c r="H1097" s="87"/>
      <c r="I1097" s="87"/>
      <c r="J1097" s="87"/>
      <c r="K1097" s="88"/>
      <c r="L1097" s="89"/>
      <c r="M1097" s="90"/>
      <c r="N1097" s="57"/>
      <c r="O1097" s="57"/>
      <c r="P1097" s="91"/>
    </row>
    <row r="1098" spans="2:16" s="50" customFormat="1" ht="13.2">
      <c r="B1098" s="86"/>
      <c r="C1098" s="87"/>
      <c r="D1098" s="87"/>
      <c r="E1098" s="87"/>
      <c r="F1098" s="87"/>
      <c r="G1098" s="87"/>
      <c r="H1098" s="87"/>
      <c r="I1098" s="87"/>
      <c r="J1098" s="87"/>
      <c r="K1098" s="88"/>
      <c r="L1098" s="89"/>
      <c r="M1098" s="90"/>
      <c r="N1098" s="57"/>
      <c r="O1098" s="57"/>
      <c r="P1098" s="91"/>
    </row>
    <row r="1099" spans="2:16" s="50" customFormat="1" ht="13.2">
      <c r="B1099" s="86"/>
      <c r="C1099" s="87"/>
      <c r="D1099" s="87"/>
      <c r="E1099" s="87"/>
      <c r="F1099" s="87"/>
      <c r="G1099" s="87"/>
      <c r="H1099" s="87"/>
      <c r="I1099" s="87"/>
      <c r="J1099" s="87"/>
      <c r="K1099" s="88"/>
      <c r="L1099" s="89"/>
      <c r="M1099" s="90"/>
      <c r="N1099" s="57"/>
      <c r="O1099" s="57"/>
      <c r="P1099" s="91"/>
    </row>
    <row r="1100" spans="2:16" s="50" customFormat="1" ht="13.2">
      <c r="B1100" s="86"/>
      <c r="C1100" s="87"/>
      <c r="D1100" s="87"/>
      <c r="E1100" s="87"/>
      <c r="F1100" s="87"/>
      <c r="G1100" s="87"/>
      <c r="H1100" s="87"/>
      <c r="I1100" s="87"/>
      <c r="J1100" s="87"/>
      <c r="K1100" s="88"/>
      <c r="L1100" s="89"/>
      <c r="M1100" s="90"/>
      <c r="N1100" s="57"/>
      <c r="O1100" s="57"/>
      <c r="P1100" s="91"/>
    </row>
    <row r="1101" spans="2:16" s="50" customFormat="1" ht="13.2">
      <c r="B1101" s="86"/>
      <c r="C1101" s="87"/>
      <c r="D1101" s="87"/>
      <c r="E1101" s="87"/>
      <c r="F1101" s="87"/>
      <c r="G1101" s="87"/>
      <c r="H1101" s="87"/>
      <c r="I1101" s="87"/>
      <c r="J1101" s="87"/>
      <c r="K1101" s="88"/>
      <c r="L1101" s="89"/>
      <c r="M1101" s="90"/>
      <c r="N1101" s="57"/>
      <c r="O1101" s="57"/>
      <c r="P1101" s="91"/>
    </row>
    <row r="1102" spans="2:16" s="50" customFormat="1" ht="13.2">
      <c r="B1102" s="86"/>
      <c r="C1102" s="87"/>
      <c r="D1102" s="87"/>
      <c r="E1102" s="87"/>
      <c r="F1102" s="87"/>
      <c r="G1102" s="87"/>
      <c r="H1102" s="87"/>
      <c r="I1102" s="87"/>
      <c r="J1102" s="87"/>
      <c r="K1102" s="88"/>
      <c r="L1102" s="89"/>
      <c r="M1102" s="90"/>
      <c r="N1102" s="57"/>
      <c r="O1102" s="57"/>
      <c r="P1102" s="91"/>
    </row>
    <row r="1103" spans="2:16" s="50" customFormat="1" ht="13.2">
      <c r="B1103" s="86"/>
      <c r="C1103" s="87"/>
      <c r="D1103" s="87"/>
      <c r="E1103" s="87"/>
      <c r="F1103" s="87"/>
      <c r="G1103" s="87"/>
      <c r="H1103" s="87"/>
      <c r="I1103" s="87"/>
      <c r="J1103" s="87"/>
      <c r="K1103" s="88"/>
      <c r="L1103" s="89"/>
      <c r="M1103" s="90"/>
      <c r="N1103" s="57"/>
      <c r="O1103" s="57"/>
      <c r="P1103" s="91"/>
    </row>
    <row r="1104" spans="2:16" s="50" customFormat="1" ht="13.2">
      <c r="B1104" s="86"/>
      <c r="C1104" s="87"/>
      <c r="D1104" s="87"/>
      <c r="E1104" s="87"/>
      <c r="F1104" s="87"/>
      <c r="G1104" s="87"/>
      <c r="H1104" s="87"/>
      <c r="I1104" s="87"/>
      <c r="J1104" s="87"/>
      <c r="K1104" s="88"/>
      <c r="L1104" s="89"/>
      <c r="M1104" s="90"/>
      <c r="N1104" s="57"/>
      <c r="O1104" s="57"/>
      <c r="P1104" s="91"/>
    </row>
    <row r="1105" spans="2:16" s="50" customFormat="1" ht="13.2">
      <c r="B1105" s="86"/>
      <c r="C1105" s="87"/>
      <c r="D1105" s="87"/>
      <c r="E1105" s="87"/>
      <c r="F1105" s="87"/>
      <c r="G1105" s="87"/>
      <c r="H1105" s="87"/>
      <c r="I1105" s="87"/>
      <c r="J1105" s="87"/>
      <c r="K1105" s="88"/>
      <c r="L1105" s="89"/>
      <c r="M1105" s="90"/>
      <c r="N1105" s="57"/>
      <c r="O1105" s="57"/>
      <c r="P1105" s="91"/>
    </row>
    <row r="1106" spans="2:16" s="50" customFormat="1" ht="13.2">
      <c r="B1106" s="86"/>
      <c r="C1106" s="87"/>
      <c r="D1106" s="87"/>
      <c r="E1106" s="87"/>
      <c r="F1106" s="87"/>
      <c r="G1106" s="87"/>
      <c r="H1106" s="87"/>
      <c r="I1106" s="87"/>
      <c r="J1106" s="87"/>
      <c r="K1106" s="88"/>
      <c r="L1106" s="89"/>
      <c r="M1106" s="90"/>
      <c r="N1106" s="57"/>
      <c r="O1106" s="57"/>
      <c r="P1106" s="91"/>
    </row>
    <row r="1107" spans="2:16" s="50" customFormat="1" ht="13.2">
      <c r="B1107" s="86"/>
      <c r="C1107" s="87"/>
      <c r="D1107" s="87"/>
      <c r="E1107" s="87"/>
      <c r="F1107" s="87"/>
      <c r="G1107" s="87"/>
      <c r="H1107" s="87"/>
      <c r="I1107" s="87"/>
      <c r="J1107" s="87"/>
      <c r="K1107" s="88"/>
      <c r="L1107" s="89"/>
      <c r="M1107" s="90"/>
      <c r="N1107" s="57"/>
      <c r="O1107" s="57"/>
      <c r="P1107" s="91"/>
    </row>
    <row r="1108" spans="2:16" s="50" customFormat="1" ht="13.2">
      <c r="B1108" s="86"/>
      <c r="C1108" s="87"/>
      <c r="D1108" s="87"/>
      <c r="E1108" s="87"/>
      <c r="F1108" s="87"/>
      <c r="G1108" s="87"/>
      <c r="H1108" s="87"/>
      <c r="I1108" s="87"/>
      <c r="J1108" s="87"/>
      <c r="K1108" s="88"/>
      <c r="L1108" s="89"/>
      <c r="M1108" s="90"/>
      <c r="N1108" s="57"/>
      <c r="O1108" s="57"/>
      <c r="P1108" s="91"/>
    </row>
    <row r="1109" spans="2:16" s="50" customFormat="1" ht="13.2">
      <c r="B1109" s="86"/>
      <c r="C1109" s="87"/>
      <c r="D1109" s="87"/>
      <c r="E1109" s="87"/>
      <c r="F1109" s="87"/>
      <c r="G1109" s="87"/>
      <c r="H1109" s="87"/>
      <c r="I1109" s="87"/>
      <c r="J1109" s="87"/>
      <c r="K1109" s="88"/>
      <c r="L1109" s="89"/>
      <c r="M1109" s="90"/>
      <c r="N1109" s="57"/>
      <c r="O1109" s="57"/>
      <c r="P1109" s="91"/>
    </row>
    <row r="1110" spans="2:16" s="50" customFormat="1" ht="13.2">
      <c r="B1110" s="86"/>
      <c r="C1110" s="87"/>
      <c r="D1110" s="87"/>
      <c r="E1110" s="87"/>
      <c r="F1110" s="87"/>
      <c r="G1110" s="87"/>
      <c r="H1110" s="87"/>
      <c r="I1110" s="87"/>
      <c r="J1110" s="87"/>
      <c r="K1110" s="88"/>
      <c r="L1110" s="89"/>
      <c r="M1110" s="90"/>
      <c r="N1110" s="57"/>
      <c r="O1110" s="57"/>
      <c r="P1110" s="91"/>
    </row>
    <row r="1111" spans="2:16" s="50" customFormat="1" ht="13.2">
      <c r="B1111" s="86"/>
      <c r="C1111" s="87"/>
      <c r="D1111" s="87"/>
      <c r="E1111" s="87"/>
      <c r="F1111" s="87"/>
      <c r="G1111" s="87"/>
      <c r="H1111" s="87"/>
      <c r="I1111" s="87"/>
      <c r="J1111" s="87"/>
      <c r="K1111" s="88"/>
      <c r="L1111" s="89"/>
      <c r="M1111" s="90"/>
      <c r="N1111" s="57"/>
      <c r="O1111" s="57"/>
      <c r="P1111" s="91"/>
    </row>
    <row r="1112" spans="2:16" s="50" customFormat="1" ht="13.2">
      <c r="B1112" s="86"/>
      <c r="C1112" s="87"/>
      <c r="D1112" s="87"/>
      <c r="E1112" s="87"/>
      <c r="F1112" s="87"/>
      <c r="G1112" s="87"/>
      <c r="H1112" s="87"/>
      <c r="I1112" s="87"/>
      <c r="J1112" s="87"/>
      <c r="K1112" s="88"/>
      <c r="L1112" s="89"/>
      <c r="M1112" s="90"/>
      <c r="N1112" s="57"/>
      <c r="O1112" s="57"/>
      <c r="P1112" s="91"/>
    </row>
    <row r="1113" spans="2:16" s="50" customFormat="1" ht="13.2">
      <c r="B1113" s="86"/>
      <c r="C1113" s="87"/>
      <c r="D1113" s="87"/>
      <c r="E1113" s="87"/>
      <c r="F1113" s="87"/>
      <c r="G1113" s="87"/>
      <c r="H1113" s="87"/>
      <c r="I1113" s="87"/>
      <c r="J1113" s="87"/>
      <c r="K1113" s="88"/>
      <c r="L1113" s="89"/>
      <c r="M1113" s="90"/>
      <c r="N1113" s="57"/>
      <c r="O1113" s="57"/>
      <c r="P1113" s="91"/>
    </row>
    <row r="1114" spans="2:16" s="50" customFormat="1" ht="13.2">
      <c r="B1114" s="86"/>
      <c r="C1114" s="87"/>
      <c r="D1114" s="87"/>
      <c r="E1114" s="87"/>
      <c r="F1114" s="87"/>
      <c r="G1114" s="87"/>
      <c r="H1114" s="87"/>
      <c r="I1114" s="87"/>
      <c r="J1114" s="87"/>
      <c r="K1114" s="88"/>
      <c r="L1114" s="89"/>
      <c r="M1114" s="90"/>
      <c r="N1114" s="57"/>
      <c r="O1114" s="57"/>
      <c r="P1114" s="91"/>
    </row>
    <row r="1115" spans="2:16" s="50" customFormat="1" ht="13.2">
      <c r="B1115" s="86"/>
      <c r="C1115" s="87"/>
      <c r="D1115" s="87"/>
      <c r="E1115" s="87"/>
      <c r="F1115" s="87"/>
      <c r="G1115" s="87"/>
      <c r="H1115" s="87"/>
      <c r="I1115" s="87"/>
      <c r="J1115" s="87"/>
      <c r="K1115" s="88"/>
      <c r="L1115" s="89"/>
      <c r="M1115" s="90"/>
      <c r="N1115" s="57"/>
      <c r="O1115" s="57"/>
      <c r="P1115" s="91"/>
    </row>
    <row r="1116" spans="2:16" s="50" customFormat="1" ht="13.2">
      <c r="B1116" s="86"/>
      <c r="C1116" s="87"/>
      <c r="D1116" s="87"/>
      <c r="E1116" s="87"/>
      <c r="F1116" s="87"/>
      <c r="G1116" s="87"/>
      <c r="H1116" s="87"/>
      <c r="I1116" s="87"/>
      <c r="J1116" s="87"/>
      <c r="K1116" s="88"/>
      <c r="L1116" s="89"/>
      <c r="M1116" s="90"/>
      <c r="N1116" s="57"/>
      <c r="O1116" s="57"/>
      <c r="P1116" s="91"/>
    </row>
    <row r="1117" spans="2:16" s="50" customFormat="1" ht="13.2">
      <c r="B1117" s="86"/>
      <c r="C1117" s="87"/>
      <c r="D1117" s="87"/>
      <c r="E1117" s="87"/>
      <c r="F1117" s="87"/>
      <c r="G1117" s="87"/>
      <c r="H1117" s="87"/>
      <c r="I1117" s="87"/>
      <c r="J1117" s="87"/>
      <c r="K1117" s="88"/>
      <c r="L1117" s="89"/>
      <c r="M1117" s="90"/>
      <c r="N1117" s="57"/>
      <c r="O1117" s="57"/>
      <c r="P1117" s="91"/>
    </row>
    <row r="1118" spans="2:16" s="50" customFormat="1" ht="13.2">
      <c r="B1118" s="86"/>
      <c r="C1118" s="87"/>
      <c r="D1118" s="87"/>
      <c r="E1118" s="87"/>
      <c r="F1118" s="87"/>
      <c r="G1118" s="87"/>
      <c r="H1118" s="87"/>
      <c r="I1118" s="87"/>
      <c r="J1118" s="87"/>
      <c r="K1118" s="88"/>
      <c r="L1118" s="89"/>
      <c r="M1118" s="90"/>
      <c r="N1118" s="57"/>
      <c r="O1118" s="57"/>
      <c r="P1118" s="91"/>
    </row>
    <row r="1119" spans="2:16" s="50" customFormat="1" ht="13.2">
      <c r="B1119" s="86"/>
      <c r="C1119" s="87"/>
      <c r="D1119" s="87"/>
      <c r="E1119" s="87"/>
      <c r="F1119" s="87"/>
      <c r="G1119" s="87"/>
      <c r="H1119" s="87"/>
      <c r="I1119" s="87"/>
      <c r="J1119" s="87"/>
      <c r="K1119" s="88"/>
      <c r="L1119" s="89"/>
      <c r="M1119" s="90"/>
      <c r="N1119" s="57"/>
      <c r="O1119" s="57"/>
      <c r="P1119" s="91"/>
    </row>
    <row r="1120" spans="2:16" s="50" customFormat="1" ht="13.2">
      <c r="B1120" s="86"/>
      <c r="C1120" s="87"/>
      <c r="D1120" s="87"/>
      <c r="E1120" s="87"/>
      <c r="F1120" s="87"/>
      <c r="G1120" s="87"/>
      <c r="H1120" s="87"/>
      <c r="I1120" s="87"/>
      <c r="J1120" s="87"/>
      <c r="K1120" s="88"/>
      <c r="L1120" s="89"/>
      <c r="M1120" s="90"/>
      <c r="N1120" s="57"/>
      <c r="O1120" s="57"/>
      <c r="P1120" s="91"/>
    </row>
    <row r="1121" spans="2:16" s="50" customFormat="1" ht="13.2">
      <c r="B1121" s="86"/>
      <c r="C1121" s="87"/>
      <c r="D1121" s="87"/>
      <c r="E1121" s="87"/>
      <c r="F1121" s="87"/>
      <c r="G1121" s="87"/>
      <c r="H1121" s="87"/>
      <c r="I1121" s="87"/>
      <c r="J1121" s="87"/>
      <c r="K1121" s="88"/>
      <c r="L1121" s="89"/>
      <c r="M1121" s="90"/>
      <c r="N1121" s="57"/>
      <c r="O1121" s="57"/>
      <c r="P1121" s="91"/>
    </row>
    <row r="1122" spans="2:16" s="50" customFormat="1" ht="13.2">
      <c r="B1122" s="86"/>
      <c r="C1122" s="87"/>
      <c r="D1122" s="87"/>
      <c r="E1122" s="87"/>
      <c r="F1122" s="87"/>
      <c r="G1122" s="87"/>
      <c r="H1122" s="87"/>
      <c r="I1122" s="87"/>
      <c r="J1122" s="87"/>
      <c r="K1122" s="88"/>
      <c r="L1122" s="89"/>
      <c r="M1122" s="90"/>
      <c r="N1122" s="57"/>
      <c r="O1122" s="57"/>
      <c r="P1122" s="91"/>
    </row>
    <row r="1123" spans="2:16" s="50" customFormat="1" ht="13.2">
      <c r="B1123" s="86"/>
      <c r="C1123" s="87"/>
      <c r="D1123" s="87"/>
      <c r="E1123" s="87"/>
      <c r="F1123" s="87"/>
      <c r="G1123" s="87"/>
      <c r="H1123" s="87"/>
      <c r="I1123" s="87"/>
      <c r="J1123" s="87"/>
      <c r="K1123" s="88"/>
      <c r="L1123" s="89"/>
      <c r="M1123" s="90"/>
      <c r="N1123" s="57"/>
      <c r="O1123" s="57"/>
      <c r="P1123" s="91"/>
    </row>
    <row r="1124" spans="2:16" s="50" customFormat="1" ht="13.2">
      <c r="B1124" s="86"/>
      <c r="C1124" s="87"/>
      <c r="D1124" s="87"/>
      <c r="E1124" s="87"/>
      <c r="F1124" s="87"/>
      <c r="G1124" s="87"/>
      <c r="H1124" s="87"/>
      <c r="I1124" s="87"/>
      <c r="J1124" s="87"/>
      <c r="K1124" s="88"/>
      <c r="L1124" s="89"/>
      <c r="M1124" s="90"/>
      <c r="N1124" s="57"/>
      <c r="O1124" s="57"/>
      <c r="P1124" s="91"/>
    </row>
    <row r="1125" spans="2:16" s="50" customFormat="1" ht="13.2">
      <c r="B1125" s="86"/>
      <c r="C1125" s="87"/>
      <c r="D1125" s="87"/>
      <c r="E1125" s="87"/>
      <c r="F1125" s="87"/>
      <c r="G1125" s="87"/>
      <c r="H1125" s="87"/>
      <c r="I1125" s="87"/>
      <c r="J1125" s="87"/>
      <c r="K1125" s="88"/>
      <c r="L1125" s="89"/>
      <c r="M1125" s="90"/>
      <c r="N1125" s="57"/>
      <c r="O1125" s="57"/>
      <c r="P1125" s="91"/>
    </row>
    <row r="1126" spans="2:16" s="50" customFormat="1" ht="13.2">
      <c r="B1126" s="86"/>
      <c r="C1126" s="87"/>
      <c r="D1126" s="87"/>
      <c r="E1126" s="87"/>
      <c r="F1126" s="87"/>
      <c r="G1126" s="87"/>
      <c r="H1126" s="87"/>
      <c r="I1126" s="87"/>
      <c r="J1126" s="87"/>
      <c r="K1126" s="88"/>
      <c r="L1126" s="89"/>
      <c r="M1126" s="90"/>
      <c r="N1126" s="57"/>
      <c r="O1126" s="57"/>
      <c r="P1126" s="91"/>
    </row>
    <row r="1127" spans="2:16" s="50" customFormat="1" ht="13.2">
      <c r="B1127" s="86"/>
      <c r="C1127" s="87"/>
      <c r="D1127" s="87"/>
      <c r="E1127" s="87"/>
      <c r="F1127" s="87"/>
      <c r="G1127" s="87"/>
      <c r="H1127" s="87"/>
      <c r="I1127" s="87"/>
      <c r="J1127" s="87"/>
      <c r="K1127" s="88"/>
      <c r="L1127" s="89"/>
      <c r="M1127" s="90"/>
      <c r="N1127" s="57"/>
      <c r="O1127" s="57"/>
      <c r="P1127" s="91"/>
    </row>
    <row r="1128" spans="2:16" s="50" customFormat="1" ht="13.2">
      <c r="B1128" s="86"/>
      <c r="C1128" s="87"/>
      <c r="D1128" s="87"/>
      <c r="E1128" s="87"/>
      <c r="F1128" s="87"/>
      <c r="G1128" s="87"/>
      <c r="H1128" s="87"/>
      <c r="I1128" s="87"/>
      <c r="J1128" s="87"/>
      <c r="K1128" s="88"/>
      <c r="L1128" s="89"/>
      <c r="M1128" s="90"/>
      <c r="N1128" s="57"/>
      <c r="O1128" s="57"/>
      <c r="P1128" s="91"/>
    </row>
    <row r="1129" spans="2:16" s="50" customFormat="1" ht="13.2">
      <c r="B1129" s="86"/>
      <c r="C1129" s="87"/>
      <c r="D1129" s="87"/>
      <c r="E1129" s="87"/>
      <c r="F1129" s="87"/>
      <c r="G1129" s="87"/>
      <c r="H1129" s="87"/>
      <c r="I1129" s="87"/>
      <c r="J1129" s="87"/>
      <c r="K1129" s="88"/>
      <c r="L1129" s="89"/>
      <c r="M1129" s="90"/>
      <c r="N1129" s="57"/>
      <c r="O1129" s="57"/>
      <c r="P1129" s="91"/>
    </row>
    <row r="1130" spans="2:16" s="50" customFormat="1" ht="13.2">
      <c r="B1130" s="86"/>
      <c r="C1130" s="87"/>
      <c r="D1130" s="87"/>
      <c r="E1130" s="87"/>
      <c r="F1130" s="87"/>
      <c r="G1130" s="87"/>
      <c r="H1130" s="87"/>
      <c r="I1130" s="87"/>
      <c r="J1130" s="87"/>
      <c r="K1130" s="88"/>
      <c r="L1130" s="89"/>
      <c r="M1130" s="90"/>
      <c r="N1130" s="57"/>
      <c r="O1130" s="57"/>
      <c r="P1130" s="91"/>
    </row>
    <row r="1131" spans="2:16" s="50" customFormat="1" ht="13.2">
      <c r="B1131" s="86"/>
      <c r="C1131" s="87"/>
      <c r="D1131" s="87"/>
      <c r="E1131" s="87"/>
      <c r="F1131" s="87"/>
      <c r="G1131" s="87"/>
      <c r="H1131" s="87"/>
      <c r="I1131" s="87"/>
      <c r="J1131" s="87"/>
      <c r="K1131" s="88"/>
      <c r="L1131" s="89"/>
      <c r="M1131" s="90"/>
      <c r="N1131" s="57"/>
      <c r="O1131" s="57"/>
      <c r="P1131" s="91"/>
    </row>
    <row r="1132" spans="2:16" s="50" customFormat="1" ht="13.2">
      <c r="B1132" s="86"/>
      <c r="C1132" s="87"/>
      <c r="D1132" s="87"/>
      <c r="E1132" s="87"/>
      <c r="F1132" s="87"/>
      <c r="G1132" s="87"/>
      <c r="H1132" s="87"/>
      <c r="I1132" s="87"/>
      <c r="J1132" s="87"/>
      <c r="K1132" s="88"/>
      <c r="L1132" s="89"/>
      <c r="M1132" s="90"/>
      <c r="N1132" s="57"/>
      <c r="O1132" s="57"/>
      <c r="P1132" s="91"/>
    </row>
    <row r="1133" spans="2:16" s="50" customFormat="1" ht="13.2">
      <c r="B1133" s="86"/>
      <c r="C1133" s="87"/>
      <c r="D1133" s="87"/>
      <c r="E1133" s="87"/>
      <c r="F1133" s="87"/>
      <c r="G1133" s="87"/>
      <c r="H1133" s="87"/>
      <c r="I1133" s="87"/>
      <c r="J1133" s="87"/>
      <c r="K1133" s="88"/>
      <c r="L1133" s="89"/>
      <c r="M1133" s="90"/>
      <c r="N1133" s="57"/>
      <c r="O1133" s="57"/>
      <c r="P1133" s="91"/>
    </row>
    <row r="1134" spans="2:16" s="50" customFormat="1" ht="13.2">
      <c r="B1134" s="86"/>
      <c r="C1134" s="87"/>
      <c r="D1134" s="87"/>
      <c r="E1134" s="87"/>
      <c r="F1134" s="87"/>
      <c r="G1134" s="87"/>
      <c r="H1134" s="87"/>
      <c r="I1134" s="87"/>
      <c r="J1134" s="87"/>
      <c r="K1134" s="88"/>
      <c r="L1134" s="89"/>
      <c r="M1134" s="90"/>
      <c r="N1134" s="57"/>
      <c r="O1134" s="57"/>
      <c r="P1134" s="91"/>
    </row>
    <row r="1135" spans="2:16" s="50" customFormat="1" ht="13.2">
      <c r="B1135" s="86"/>
      <c r="C1135" s="87"/>
      <c r="D1135" s="87"/>
      <c r="E1135" s="87"/>
      <c r="F1135" s="87"/>
      <c r="G1135" s="87"/>
      <c r="H1135" s="87"/>
      <c r="I1135" s="87"/>
      <c r="J1135" s="87"/>
      <c r="K1135" s="88"/>
      <c r="L1135" s="89"/>
      <c r="M1135" s="90"/>
      <c r="N1135" s="57"/>
      <c r="O1135" s="57"/>
      <c r="P1135" s="91"/>
    </row>
    <row r="1136" spans="2:16" s="50" customFormat="1" ht="13.2">
      <c r="B1136" s="86"/>
      <c r="C1136" s="87"/>
      <c r="D1136" s="87"/>
      <c r="E1136" s="87"/>
      <c r="F1136" s="87"/>
      <c r="G1136" s="87"/>
      <c r="H1136" s="87"/>
      <c r="I1136" s="87"/>
      <c r="J1136" s="87"/>
      <c r="K1136" s="88"/>
      <c r="L1136" s="89"/>
      <c r="M1136" s="90"/>
      <c r="N1136" s="57"/>
      <c r="O1136" s="57"/>
      <c r="P1136" s="91"/>
    </row>
    <row r="1137" spans="2:16" s="50" customFormat="1" ht="13.2">
      <c r="B1137" s="86"/>
      <c r="C1137" s="87"/>
      <c r="D1137" s="87"/>
      <c r="E1137" s="87"/>
      <c r="F1137" s="87"/>
      <c r="G1137" s="87"/>
      <c r="H1137" s="87"/>
      <c r="I1137" s="87"/>
      <c r="J1137" s="87"/>
      <c r="K1137" s="88"/>
      <c r="L1137" s="89"/>
      <c r="M1137" s="90"/>
      <c r="N1137" s="57"/>
      <c r="O1137" s="57"/>
      <c r="P1137" s="91"/>
    </row>
    <row r="1138" spans="2:16" s="50" customFormat="1" ht="13.2">
      <c r="B1138" s="86"/>
      <c r="C1138" s="87"/>
      <c r="D1138" s="87"/>
      <c r="E1138" s="87"/>
      <c r="F1138" s="87"/>
      <c r="G1138" s="87"/>
      <c r="H1138" s="87"/>
      <c r="I1138" s="87"/>
      <c r="J1138" s="87"/>
      <c r="K1138" s="88"/>
      <c r="L1138" s="89"/>
      <c r="M1138" s="90"/>
      <c r="N1138" s="57"/>
      <c r="O1138" s="57"/>
      <c r="P1138" s="91"/>
    </row>
    <row r="1139" spans="2:16" s="50" customFormat="1" ht="13.2">
      <c r="B1139" s="86"/>
      <c r="C1139" s="87"/>
      <c r="D1139" s="87"/>
      <c r="E1139" s="87"/>
      <c r="F1139" s="87"/>
      <c r="G1139" s="87"/>
      <c r="H1139" s="87"/>
      <c r="I1139" s="87"/>
      <c r="J1139" s="87"/>
      <c r="K1139" s="88"/>
      <c r="L1139" s="89"/>
      <c r="M1139" s="90"/>
      <c r="N1139" s="57"/>
      <c r="O1139" s="57"/>
      <c r="P1139" s="91"/>
    </row>
    <row r="1140" spans="2:16" s="50" customFormat="1" ht="13.2">
      <c r="B1140" s="86"/>
      <c r="C1140" s="87"/>
      <c r="D1140" s="87"/>
      <c r="E1140" s="87"/>
      <c r="F1140" s="87"/>
      <c r="G1140" s="87"/>
      <c r="H1140" s="87"/>
      <c r="I1140" s="87"/>
      <c r="J1140" s="87"/>
      <c r="K1140" s="88"/>
      <c r="L1140" s="89"/>
      <c r="M1140" s="90"/>
      <c r="N1140" s="57"/>
      <c r="O1140" s="57"/>
      <c r="P1140" s="91"/>
    </row>
    <row r="1141" spans="2:16" s="50" customFormat="1" ht="13.2">
      <c r="B1141" s="86"/>
      <c r="C1141" s="87"/>
      <c r="D1141" s="87"/>
      <c r="E1141" s="87"/>
      <c r="F1141" s="87"/>
      <c r="G1141" s="87"/>
      <c r="H1141" s="87"/>
      <c r="I1141" s="87"/>
      <c r="J1141" s="87"/>
      <c r="K1141" s="88"/>
      <c r="L1141" s="89"/>
      <c r="M1141" s="90"/>
      <c r="N1141" s="57"/>
      <c r="O1141" s="57"/>
      <c r="P1141" s="91"/>
    </row>
    <row r="1142" spans="2:16" s="50" customFormat="1" ht="13.2">
      <c r="B1142" s="86"/>
      <c r="C1142" s="87"/>
      <c r="D1142" s="87"/>
      <c r="E1142" s="87"/>
      <c r="F1142" s="87"/>
      <c r="G1142" s="87"/>
      <c r="H1142" s="87"/>
      <c r="I1142" s="87"/>
      <c r="J1142" s="87"/>
      <c r="K1142" s="88"/>
      <c r="L1142" s="89"/>
      <c r="M1142" s="90"/>
      <c r="N1142" s="57"/>
      <c r="O1142" s="57"/>
      <c r="P1142" s="91"/>
    </row>
    <row r="1143" spans="2:16" s="50" customFormat="1" ht="13.2">
      <c r="B1143" s="86"/>
      <c r="C1143" s="87"/>
      <c r="D1143" s="87"/>
      <c r="E1143" s="87"/>
      <c r="F1143" s="87"/>
      <c r="G1143" s="87"/>
      <c r="H1143" s="87"/>
      <c r="I1143" s="87"/>
      <c r="J1143" s="87"/>
      <c r="K1143" s="88"/>
      <c r="L1143" s="89"/>
      <c r="M1143" s="90"/>
      <c r="N1143" s="57"/>
      <c r="O1143" s="57"/>
      <c r="P1143" s="91"/>
    </row>
    <row r="1144" spans="2:16" s="50" customFormat="1" ht="13.2">
      <c r="B1144" s="86"/>
      <c r="C1144" s="87"/>
      <c r="D1144" s="87"/>
      <c r="E1144" s="87"/>
      <c r="F1144" s="87"/>
      <c r="G1144" s="87"/>
      <c r="H1144" s="87"/>
      <c r="I1144" s="87"/>
      <c r="J1144" s="87"/>
      <c r="K1144" s="88"/>
      <c r="L1144" s="89"/>
      <c r="M1144" s="90"/>
      <c r="N1144" s="57"/>
      <c r="O1144" s="57"/>
      <c r="P1144" s="91"/>
    </row>
    <row r="1145" spans="2:16" s="50" customFormat="1" ht="13.2">
      <c r="B1145" s="86"/>
      <c r="C1145" s="87"/>
      <c r="D1145" s="87"/>
      <c r="E1145" s="87"/>
      <c r="F1145" s="87"/>
      <c r="G1145" s="87"/>
      <c r="H1145" s="87"/>
      <c r="I1145" s="87"/>
      <c r="J1145" s="87"/>
      <c r="K1145" s="88"/>
      <c r="L1145" s="89"/>
      <c r="M1145" s="90"/>
      <c r="N1145" s="57"/>
      <c r="O1145" s="57"/>
      <c r="P1145" s="91"/>
    </row>
    <row r="1146" spans="2:16" s="50" customFormat="1" ht="13.2">
      <c r="B1146" s="86"/>
      <c r="C1146" s="87"/>
      <c r="D1146" s="87"/>
      <c r="E1146" s="87"/>
      <c r="F1146" s="87"/>
      <c r="G1146" s="87"/>
      <c r="H1146" s="87"/>
      <c r="I1146" s="87"/>
      <c r="J1146" s="87"/>
      <c r="K1146" s="88"/>
      <c r="L1146" s="89"/>
      <c r="M1146" s="90"/>
      <c r="N1146" s="57"/>
      <c r="O1146" s="57"/>
      <c r="P1146" s="91"/>
    </row>
    <row r="1147" spans="2:16" s="50" customFormat="1" ht="13.2">
      <c r="B1147" s="86"/>
      <c r="C1147" s="87"/>
      <c r="D1147" s="87"/>
      <c r="E1147" s="87"/>
      <c r="F1147" s="87"/>
      <c r="G1147" s="87"/>
      <c r="H1147" s="87"/>
      <c r="I1147" s="87"/>
      <c r="J1147" s="87"/>
      <c r="K1147" s="88"/>
      <c r="L1147" s="89"/>
      <c r="M1147" s="90"/>
      <c r="N1147" s="57"/>
      <c r="O1147" s="57"/>
      <c r="P1147" s="91"/>
    </row>
    <row r="1148" spans="2:16" s="50" customFormat="1" ht="13.2">
      <c r="B1148" s="86"/>
      <c r="C1148" s="87"/>
      <c r="D1148" s="87"/>
      <c r="E1148" s="87"/>
      <c r="F1148" s="87"/>
      <c r="G1148" s="87"/>
      <c r="H1148" s="87"/>
      <c r="I1148" s="87"/>
      <c r="J1148" s="87"/>
      <c r="K1148" s="88"/>
      <c r="L1148" s="89"/>
      <c r="M1148" s="90"/>
      <c r="N1148" s="57"/>
      <c r="O1148" s="57"/>
      <c r="P1148" s="91"/>
    </row>
    <row r="1149" spans="2:16" s="50" customFormat="1" ht="13.2">
      <c r="B1149" s="86"/>
      <c r="C1149" s="87"/>
      <c r="D1149" s="87"/>
      <c r="E1149" s="87"/>
      <c r="F1149" s="87"/>
      <c r="G1149" s="87"/>
      <c r="H1149" s="87"/>
      <c r="I1149" s="87"/>
      <c r="J1149" s="87"/>
      <c r="K1149" s="88"/>
      <c r="L1149" s="89"/>
      <c r="M1149" s="90"/>
      <c r="N1149" s="57"/>
      <c r="O1149" s="57"/>
      <c r="P1149" s="91"/>
    </row>
    <row r="1150" spans="2:16" s="50" customFormat="1" ht="13.2">
      <c r="B1150" s="86"/>
      <c r="C1150" s="87"/>
      <c r="D1150" s="87"/>
      <c r="E1150" s="87"/>
      <c r="F1150" s="87"/>
      <c r="G1150" s="87"/>
      <c r="H1150" s="87"/>
      <c r="I1150" s="87"/>
      <c r="J1150" s="87"/>
      <c r="K1150" s="88"/>
      <c r="L1150" s="89"/>
      <c r="M1150" s="90"/>
      <c r="N1150" s="57"/>
      <c r="O1150" s="57"/>
      <c r="P1150" s="91"/>
    </row>
    <row r="1151" spans="2:16" s="50" customFormat="1" ht="13.2">
      <c r="B1151" s="86"/>
      <c r="C1151" s="87"/>
      <c r="D1151" s="87"/>
      <c r="E1151" s="87"/>
      <c r="F1151" s="87"/>
      <c r="G1151" s="87"/>
      <c r="H1151" s="87"/>
      <c r="I1151" s="87"/>
      <c r="J1151" s="87"/>
      <c r="K1151" s="88"/>
      <c r="L1151" s="89"/>
      <c r="M1151" s="90"/>
      <c r="N1151" s="57"/>
      <c r="O1151" s="57"/>
      <c r="P1151" s="91"/>
    </row>
    <row r="1152" spans="2:16" s="50" customFormat="1" ht="13.2">
      <c r="B1152" s="86"/>
      <c r="C1152" s="87"/>
      <c r="D1152" s="87"/>
      <c r="E1152" s="87"/>
      <c r="F1152" s="87"/>
      <c r="G1152" s="87"/>
      <c r="H1152" s="87"/>
      <c r="I1152" s="87"/>
      <c r="J1152" s="87"/>
      <c r="K1152" s="88"/>
      <c r="L1152" s="89"/>
      <c r="M1152" s="90"/>
      <c r="N1152" s="57"/>
      <c r="O1152" s="57"/>
      <c r="P1152" s="91"/>
    </row>
    <row r="1153" spans="2:16" s="50" customFormat="1" ht="13.2">
      <c r="B1153" s="86"/>
      <c r="C1153" s="87"/>
      <c r="D1153" s="87"/>
      <c r="E1153" s="87"/>
      <c r="F1153" s="87"/>
      <c r="G1153" s="87"/>
      <c r="H1153" s="87"/>
      <c r="I1153" s="87"/>
      <c r="J1153" s="87"/>
      <c r="K1153" s="88"/>
      <c r="L1153" s="89"/>
      <c r="M1153" s="90"/>
      <c r="N1153" s="57"/>
      <c r="O1153" s="57"/>
      <c r="P1153" s="91"/>
    </row>
    <row r="1154" spans="2:16" s="50" customFormat="1" ht="13.2">
      <c r="B1154" s="86"/>
      <c r="C1154" s="87"/>
      <c r="D1154" s="87"/>
      <c r="E1154" s="87"/>
      <c r="F1154" s="87"/>
      <c r="G1154" s="87"/>
      <c r="H1154" s="87"/>
      <c r="I1154" s="87"/>
      <c r="J1154" s="87"/>
      <c r="K1154" s="88"/>
      <c r="L1154" s="89"/>
      <c r="M1154" s="90"/>
      <c r="N1154" s="57"/>
      <c r="O1154" s="57"/>
      <c r="P1154" s="91"/>
    </row>
    <row r="1155" spans="2:16" s="50" customFormat="1" ht="13.2">
      <c r="B1155" s="86"/>
      <c r="C1155" s="87"/>
      <c r="D1155" s="87"/>
      <c r="E1155" s="87"/>
      <c r="F1155" s="87"/>
      <c r="G1155" s="87"/>
      <c r="H1155" s="87"/>
      <c r="I1155" s="87"/>
      <c r="J1155" s="87"/>
      <c r="K1155" s="88"/>
      <c r="L1155" s="89"/>
      <c r="M1155" s="90"/>
      <c r="N1155" s="57"/>
      <c r="O1155" s="57"/>
      <c r="P1155" s="91"/>
    </row>
    <row r="1156" spans="2:16" s="50" customFormat="1" ht="13.2">
      <c r="B1156" s="86"/>
      <c r="C1156" s="87"/>
      <c r="D1156" s="87"/>
      <c r="E1156" s="87"/>
      <c r="F1156" s="87"/>
      <c r="G1156" s="87"/>
      <c r="H1156" s="87"/>
      <c r="I1156" s="87"/>
      <c r="J1156" s="87"/>
      <c r="K1156" s="88"/>
      <c r="L1156" s="89"/>
      <c r="M1156" s="90"/>
      <c r="N1156" s="57"/>
      <c r="O1156" s="57"/>
      <c r="P1156" s="91"/>
    </row>
    <row r="1157" spans="2:16" s="50" customFormat="1" ht="13.2">
      <c r="B1157" s="86"/>
      <c r="C1157" s="87"/>
      <c r="D1157" s="87"/>
      <c r="E1157" s="87"/>
      <c r="F1157" s="87"/>
      <c r="G1157" s="87"/>
      <c r="H1157" s="87"/>
      <c r="I1157" s="87"/>
      <c r="J1157" s="87"/>
      <c r="K1157" s="88"/>
      <c r="L1157" s="89"/>
      <c r="M1157" s="90"/>
      <c r="N1157" s="57"/>
      <c r="O1157" s="57"/>
      <c r="P1157" s="91"/>
    </row>
    <row r="1158" spans="2:16" s="50" customFormat="1" ht="13.2">
      <c r="B1158" s="86"/>
      <c r="C1158" s="87"/>
      <c r="D1158" s="87"/>
      <c r="E1158" s="87"/>
      <c r="F1158" s="87"/>
      <c r="G1158" s="87"/>
      <c r="H1158" s="87"/>
      <c r="I1158" s="87"/>
      <c r="J1158" s="87"/>
      <c r="K1158" s="88"/>
      <c r="L1158" s="89"/>
      <c r="M1158" s="90"/>
      <c r="N1158" s="57"/>
      <c r="O1158" s="57"/>
      <c r="P1158" s="91"/>
    </row>
    <row r="1159" spans="2:16" s="50" customFormat="1" ht="13.2">
      <c r="B1159" s="86"/>
      <c r="C1159" s="87"/>
      <c r="D1159" s="87"/>
      <c r="E1159" s="87"/>
      <c r="F1159" s="87"/>
      <c r="G1159" s="87"/>
      <c r="H1159" s="87"/>
      <c r="I1159" s="87"/>
      <c r="J1159" s="87"/>
      <c r="K1159" s="88"/>
      <c r="L1159" s="89"/>
      <c r="M1159" s="90"/>
      <c r="N1159" s="57"/>
      <c r="O1159" s="57"/>
      <c r="P1159" s="91"/>
    </row>
    <row r="1160" spans="2:16" s="50" customFormat="1" ht="13.2">
      <c r="B1160" s="86"/>
      <c r="C1160" s="87"/>
      <c r="D1160" s="87"/>
      <c r="E1160" s="87"/>
      <c r="F1160" s="87"/>
      <c r="G1160" s="87"/>
      <c r="H1160" s="87"/>
      <c r="I1160" s="87"/>
      <c r="J1160" s="87"/>
      <c r="K1160" s="88"/>
      <c r="L1160" s="89"/>
      <c r="M1160" s="90"/>
      <c r="N1160" s="57"/>
      <c r="O1160" s="57"/>
      <c r="P1160" s="91"/>
    </row>
    <row r="1161" spans="2:16" s="50" customFormat="1" ht="13.2">
      <c r="B1161" s="86"/>
      <c r="C1161" s="87"/>
      <c r="D1161" s="87"/>
      <c r="E1161" s="87"/>
      <c r="F1161" s="87"/>
      <c r="G1161" s="87"/>
      <c r="H1161" s="87"/>
      <c r="I1161" s="87"/>
      <c r="J1161" s="87"/>
      <c r="K1161" s="88"/>
      <c r="L1161" s="89"/>
      <c r="M1161" s="90"/>
      <c r="N1161" s="57"/>
      <c r="O1161" s="57"/>
      <c r="P1161" s="91"/>
    </row>
    <row r="1162" spans="2:16" s="50" customFormat="1" ht="13.2">
      <c r="B1162" s="86"/>
      <c r="C1162" s="87"/>
      <c r="D1162" s="87"/>
      <c r="E1162" s="87"/>
      <c r="F1162" s="87"/>
      <c r="G1162" s="87"/>
      <c r="H1162" s="87"/>
      <c r="I1162" s="87"/>
      <c r="J1162" s="87"/>
      <c r="K1162" s="88"/>
      <c r="L1162" s="89"/>
      <c r="M1162" s="90"/>
      <c r="N1162" s="57"/>
      <c r="O1162" s="57"/>
      <c r="P1162" s="91"/>
    </row>
    <row r="1163" spans="2:16" s="50" customFormat="1" ht="13.2">
      <c r="B1163" s="86"/>
      <c r="C1163" s="87"/>
      <c r="D1163" s="87"/>
      <c r="E1163" s="87"/>
      <c r="F1163" s="87"/>
      <c r="G1163" s="87"/>
      <c r="H1163" s="87"/>
      <c r="I1163" s="87"/>
      <c r="J1163" s="87"/>
      <c r="K1163" s="88"/>
      <c r="L1163" s="89"/>
      <c r="M1163" s="90"/>
      <c r="N1163" s="57"/>
      <c r="O1163" s="57"/>
      <c r="P1163" s="91"/>
    </row>
    <row r="1164" spans="2:16" s="50" customFormat="1" ht="13.2">
      <c r="B1164" s="86"/>
      <c r="C1164" s="87"/>
      <c r="D1164" s="87"/>
      <c r="E1164" s="87"/>
      <c r="F1164" s="87"/>
      <c r="G1164" s="87"/>
      <c r="H1164" s="87"/>
      <c r="I1164" s="87"/>
      <c r="J1164" s="87"/>
      <c r="K1164" s="88"/>
      <c r="L1164" s="89"/>
      <c r="M1164" s="90"/>
      <c r="N1164" s="57"/>
      <c r="O1164" s="57"/>
      <c r="P1164" s="91"/>
    </row>
    <row r="1165" spans="2:16" s="50" customFormat="1" ht="13.2">
      <c r="B1165" s="86"/>
      <c r="C1165" s="87"/>
      <c r="D1165" s="87"/>
      <c r="E1165" s="87"/>
      <c r="F1165" s="87"/>
      <c r="G1165" s="87"/>
      <c r="H1165" s="87"/>
      <c r="I1165" s="87"/>
      <c r="J1165" s="87"/>
      <c r="K1165" s="88"/>
      <c r="L1165" s="89"/>
      <c r="M1165" s="90"/>
      <c r="N1165" s="57"/>
      <c r="O1165" s="57"/>
      <c r="P1165" s="91"/>
    </row>
    <row r="1166" spans="2:16" s="50" customFormat="1" ht="13.2">
      <c r="B1166" s="86"/>
      <c r="C1166" s="87"/>
      <c r="D1166" s="87"/>
      <c r="E1166" s="87"/>
      <c r="F1166" s="87"/>
      <c r="G1166" s="87"/>
      <c r="H1166" s="87"/>
      <c r="I1166" s="87"/>
      <c r="J1166" s="87"/>
      <c r="K1166" s="88"/>
      <c r="L1166" s="89"/>
      <c r="M1166" s="90"/>
      <c r="N1166" s="57"/>
      <c r="O1166" s="57"/>
      <c r="P1166" s="91"/>
    </row>
    <row r="1167" spans="2:16" s="50" customFormat="1" ht="13.2">
      <c r="B1167" s="86"/>
      <c r="C1167" s="87"/>
      <c r="D1167" s="87"/>
      <c r="E1167" s="87"/>
      <c r="F1167" s="87"/>
      <c r="G1167" s="87"/>
      <c r="H1167" s="87"/>
      <c r="I1167" s="87"/>
      <c r="J1167" s="87"/>
      <c r="K1167" s="88"/>
      <c r="L1167" s="89"/>
      <c r="M1167" s="90"/>
      <c r="N1167" s="57"/>
      <c r="O1167" s="57"/>
      <c r="P1167" s="91"/>
    </row>
    <row r="1168" spans="2:16" s="50" customFormat="1" ht="13.2">
      <c r="B1168" s="86"/>
      <c r="C1168" s="87"/>
      <c r="D1168" s="87"/>
      <c r="E1168" s="87"/>
      <c r="F1168" s="87"/>
      <c r="G1168" s="87"/>
      <c r="H1168" s="87"/>
      <c r="I1168" s="87"/>
      <c r="J1168" s="87"/>
      <c r="K1168" s="88"/>
      <c r="L1168" s="89"/>
      <c r="M1168" s="90"/>
      <c r="N1168" s="57"/>
      <c r="O1168" s="57"/>
      <c r="P1168" s="91"/>
    </row>
    <row r="1169" spans="2:16" s="50" customFormat="1" ht="13.2">
      <c r="B1169" s="86"/>
      <c r="C1169" s="87"/>
      <c r="D1169" s="87"/>
      <c r="E1169" s="87"/>
      <c r="F1169" s="87"/>
      <c r="G1169" s="87"/>
      <c r="H1169" s="87"/>
      <c r="I1169" s="87"/>
      <c r="J1169" s="87"/>
      <c r="K1169" s="88"/>
      <c r="L1169" s="89"/>
      <c r="M1169" s="90"/>
      <c r="N1169" s="57"/>
      <c r="O1169" s="57"/>
      <c r="P1169" s="91"/>
    </row>
    <row r="1170" spans="2:16" s="50" customFormat="1" ht="13.2">
      <c r="B1170" s="86"/>
      <c r="C1170" s="87"/>
      <c r="D1170" s="87"/>
      <c r="E1170" s="87"/>
      <c r="F1170" s="87"/>
      <c r="G1170" s="87"/>
      <c r="H1170" s="87"/>
      <c r="I1170" s="87"/>
      <c r="J1170" s="87"/>
      <c r="K1170" s="88"/>
      <c r="L1170" s="89"/>
      <c r="M1170" s="90"/>
      <c r="N1170" s="57"/>
      <c r="O1170" s="57"/>
      <c r="P1170" s="91"/>
    </row>
    <row r="1171" spans="2:16" s="50" customFormat="1" ht="13.2">
      <c r="B1171" s="86"/>
      <c r="C1171" s="87"/>
      <c r="D1171" s="87"/>
      <c r="E1171" s="87"/>
      <c r="F1171" s="87"/>
      <c r="G1171" s="87"/>
      <c r="H1171" s="87"/>
      <c r="I1171" s="87"/>
      <c r="J1171" s="87"/>
      <c r="K1171" s="88"/>
      <c r="L1171" s="89"/>
      <c r="M1171" s="90"/>
      <c r="N1171" s="57"/>
      <c r="O1171" s="57"/>
      <c r="P1171" s="91"/>
    </row>
    <row r="1172" spans="2:16" s="50" customFormat="1" ht="13.2">
      <c r="B1172" s="86"/>
      <c r="C1172" s="87"/>
      <c r="D1172" s="87"/>
      <c r="E1172" s="87"/>
      <c r="F1172" s="87"/>
      <c r="G1172" s="87"/>
      <c r="H1172" s="87"/>
      <c r="I1172" s="87"/>
      <c r="J1172" s="87"/>
      <c r="K1172" s="88"/>
      <c r="L1172" s="89"/>
      <c r="M1172" s="90"/>
      <c r="N1172" s="57"/>
      <c r="O1172" s="57"/>
      <c r="P1172" s="91"/>
    </row>
    <row r="1173" spans="2:16" s="50" customFormat="1" ht="13.2">
      <c r="B1173" s="86"/>
      <c r="C1173" s="87"/>
      <c r="D1173" s="87"/>
      <c r="E1173" s="87"/>
      <c r="F1173" s="87"/>
      <c r="G1173" s="87"/>
      <c r="H1173" s="87"/>
      <c r="I1173" s="87"/>
      <c r="J1173" s="87"/>
      <c r="K1173" s="88"/>
      <c r="L1173" s="89"/>
      <c r="M1173" s="90"/>
      <c r="N1173" s="57"/>
      <c r="O1173" s="57"/>
      <c r="P1173" s="91"/>
    </row>
    <row r="1174" spans="2:16" s="50" customFormat="1" ht="13.2">
      <c r="B1174" s="86"/>
      <c r="C1174" s="87"/>
      <c r="D1174" s="87"/>
      <c r="E1174" s="87"/>
      <c r="F1174" s="87"/>
      <c r="G1174" s="87"/>
      <c r="H1174" s="87"/>
      <c r="I1174" s="87"/>
      <c r="J1174" s="87"/>
      <c r="K1174" s="88"/>
      <c r="L1174" s="89"/>
      <c r="M1174" s="90"/>
      <c r="N1174" s="57"/>
      <c r="O1174" s="57"/>
      <c r="P1174" s="91"/>
    </row>
    <row r="1175" spans="2:16" s="50" customFormat="1" ht="13.2">
      <c r="B1175" s="86"/>
      <c r="C1175" s="87"/>
      <c r="D1175" s="87"/>
      <c r="E1175" s="87"/>
      <c r="F1175" s="87"/>
      <c r="G1175" s="87"/>
      <c r="H1175" s="87"/>
      <c r="I1175" s="87"/>
      <c r="J1175" s="87"/>
      <c r="K1175" s="88"/>
      <c r="L1175" s="89"/>
      <c r="M1175" s="90"/>
      <c r="N1175" s="57"/>
      <c r="O1175" s="57"/>
      <c r="P1175" s="91"/>
    </row>
    <row r="1176" spans="2:16" s="50" customFormat="1" ht="13.2">
      <c r="B1176" s="86"/>
      <c r="C1176" s="87"/>
      <c r="D1176" s="87"/>
      <c r="E1176" s="87"/>
      <c r="F1176" s="87"/>
      <c r="G1176" s="87"/>
      <c r="H1176" s="87"/>
      <c r="I1176" s="87"/>
      <c r="J1176" s="87"/>
      <c r="K1176" s="88"/>
      <c r="L1176" s="89"/>
      <c r="M1176" s="90"/>
      <c r="N1176" s="57"/>
      <c r="O1176" s="57"/>
      <c r="P1176" s="91"/>
    </row>
    <row r="1177" spans="2:16" s="50" customFormat="1" ht="13.2">
      <c r="B1177" s="86"/>
      <c r="C1177" s="87"/>
      <c r="D1177" s="87"/>
      <c r="E1177" s="87"/>
      <c r="F1177" s="87"/>
      <c r="G1177" s="87"/>
      <c r="H1177" s="87"/>
      <c r="I1177" s="87"/>
      <c r="J1177" s="87"/>
      <c r="K1177" s="88"/>
      <c r="L1177" s="89"/>
      <c r="M1177" s="90"/>
      <c r="N1177" s="57"/>
      <c r="O1177" s="57"/>
      <c r="P1177" s="91"/>
    </row>
    <row r="1178" spans="2:16" s="50" customFormat="1" ht="13.2">
      <c r="B1178" s="86"/>
      <c r="C1178" s="87"/>
      <c r="D1178" s="87"/>
      <c r="E1178" s="87"/>
      <c r="F1178" s="87"/>
      <c r="G1178" s="87"/>
      <c r="H1178" s="87"/>
      <c r="I1178" s="87"/>
      <c r="J1178" s="87"/>
      <c r="K1178" s="88"/>
      <c r="L1178" s="89"/>
      <c r="M1178" s="90"/>
      <c r="N1178" s="57"/>
      <c r="O1178" s="57"/>
      <c r="P1178" s="91"/>
    </row>
    <row r="1179" spans="2:16" s="50" customFormat="1" ht="13.2">
      <c r="B1179" s="86"/>
      <c r="C1179" s="87"/>
      <c r="D1179" s="87"/>
      <c r="E1179" s="87"/>
      <c r="F1179" s="87"/>
      <c r="G1179" s="87"/>
      <c r="H1179" s="87"/>
      <c r="I1179" s="87"/>
      <c r="J1179" s="87"/>
      <c r="K1179" s="88"/>
      <c r="L1179" s="89"/>
      <c r="M1179" s="90"/>
      <c r="N1179" s="57"/>
      <c r="O1179" s="57"/>
      <c r="P1179" s="91"/>
    </row>
    <row r="1180" spans="2:16" s="50" customFormat="1" ht="13.2">
      <c r="B1180" s="86"/>
      <c r="C1180" s="87"/>
      <c r="D1180" s="87"/>
      <c r="E1180" s="87"/>
      <c r="F1180" s="87"/>
      <c r="G1180" s="87"/>
      <c r="H1180" s="87"/>
      <c r="I1180" s="87"/>
      <c r="J1180" s="87"/>
      <c r="K1180" s="88"/>
      <c r="L1180" s="89"/>
      <c r="M1180" s="90"/>
      <c r="N1180" s="57"/>
      <c r="O1180" s="57"/>
      <c r="P1180" s="91"/>
    </row>
    <row r="1181" spans="2:16" s="50" customFormat="1" ht="13.2">
      <c r="B1181" s="86"/>
      <c r="C1181" s="87"/>
      <c r="D1181" s="87"/>
      <c r="E1181" s="87"/>
      <c r="F1181" s="87"/>
      <c r="G1181" s="87"/>
      <c r="H1181" s="87"/>
      <c r="I1181" s="87"/>
      <c r="J1181" s="87"/>
      <c r="K1181" s="88"/>
      <c r="L1181" s="89"/>
      <c r="M1181" s="90"/>
      <c r="N1181" s="57"/>
      <c r="O1181" s="57"/>
      <c r="P1181" s="91"/>
    </row>
    <row r="1182" spans="2:16" s="50" customFormat="1" ht="13.2">
      <c r="B1182" s="86"/>
      <c r="C1182" s="87"/>
      <c r="D1182" s="87"/>
      <c r="E1182" s="87"/>
      <c r="F1182" s="87"/>
      <c r="G1182" s="87"/>
      <c r="H1182" s="87"/>
      <c r="I1182" s="87"/>
      <c r="J1182" s="87"/>
      <c r="K1182" s="88"/>
      <c r="L1182" s="89"/>
      <c r="M1182" s="90"/>
      <c r="N1182" s="57"/>
      <c r="O1182" s="57"/>
      <c r="P1182" s="91"/>
    </row>
    <row r="1183" spans="2:16" s="50" customFormat="1" ht="13.2">
      <c r="B1183" s="86"/>
      <c r="C1183" s="87"/>
      <c r="D1183" s="87"/>
      <c r="E1183" s="87"/>
      <c r="F1183" s="87"/>
      <c r="G1183" s="87"/>
      <c r="H1183" s="87"/>
      <c r="I1183" s="87"/>
      <c r="J1183" s="87"/>
      <c r="K1183" s="88"/>
      <c r="L1183" s="89"/>
      <c r="M1183" s="90"/>
      <c r="N1183" s="57"/>
      <c r="O1183" s="57"/>
      <c r="P1183" s="91"/>
    </row>
    <row r="1184" spans="2:16" s="50" customFormat="1" ht="13.2">
      <c r="B1184" s="86"/>
      <c r="C1184" s="87"/>
      <c r="D1184" s="87"/>
      <c r="E1184" s="87"/>
      <c r="F1184" s="87"/>
      <c r="G1184" s="87"/>
      <c r="H1184" s="87"/>
      <c r="I1184" s="87"/>
      <c r="J1184" s="87"/>
      <c r="K1184" s="88"/>
      <c r="L1184" s="89"/>
      <c r="M1184" s="90"/>
      <c r="N1184" s="57"/>
      <c r="O1184" s="57"/>
      <c r="P1184" s="91"/>
    </row>
    <row r="1185" spans="2:16" s="50" customFormat="1" ht="13.2">
      <c r="B1185" s="86"/>
      <c r="C1185" s="87"/>
      <c r="D1185" s="87"/>
      <c r="E1185" s="87"/>
      <c r="F1185" s="87"/>
      <c r="G1185" s="87"/>
      <c r="H1185" s="87"/>
      <c r="I1185" s="87"/>
      <c r="J1185" s="87"/>
      <c r="K1185" s="88"/>
      <c r="L1185" s="89"/>
      <c r="M1185" s="90"/>
      <c r="N1185" s="57"/>
      <c r="O1185" s="57"/>
      <c r="P1185" s="91"/>
    </row>
    <row r="1186" spans="2:16" s="50" customFormat="1" ht="13.2">
      <c r="B1186" s="86"/>
      <c r="C1186" s="87"/>
      <c r="D1186" s="87"/>
      <c r="E1186" s="87"/>
      <c r="F1186" s="87"/>
      <c r="G1186" s="87"/>
      <c r="H1186" s="87"/>
      <c r="I1186" s="87"/>
      <c r="J1186" s="87"/>
      <c r="K1186" s="88"/>
      <c r="L1186" s="89"/>
      <c r="M1186" s="90"/>
      <c r="N1186" s="57"/>
      <c r="O1186" s="57"/>
      <c r="P1186" s="91"/>
    </row>
    <row r="1187" spans="2:16" s="50" customFormat="1" ht="13.2">
      <c r="B1187" s="86"/>
      <c r="C1187" s="87"/>
      <c r="D1187" s="87"/>
      <c r="E1187" s="87"/>
      <c r="F1187" s="87"/>
      <c r="G1187" s="87"/>
      <c r="H1187" s="87"/>
      <c r="I1187" s="87"/>
      <c r="J1187" s="87"/>
      <c r="K1187" s="88"/>
      <c r="L1187" s="89"/>
      <c r="M1187" s="90"/>
      <c r="N1187" s="57"/>
      <c r="O1187" s="57"/>
      <c r="P1187" s="91"/>
    </row>
    <row r="1188" spans="2:16" s="50" customFormat="1" ht="13.2">
      <c r="B1188" s="86"/>
      <c r="C1188" s="87"/>
      <c r="D1188" s="87"/>
      <c r="E1188" s="87"/>
      <c r="F1188" s="87"/>
      <c r="G1188" s="87"/>
      <c r="H1188" s="87"/>
      <c r="I1188" s="87"/>
      <c r="J1188" s="87"/>
      <c r="K1188" s="88"/>
      <c r="L1188" s="89"/>
      <c r="M1188" s="90"/>
      <c r="N1188" s="57"/>
      <c r="O1188" s="57"/>
      <c r="P1188" s="91"/>
    </row>
  </sheetData>
  <autoFilter ref="A14:P83" xr:uid="{00000000-0009-0000-0000-000004000000}"/>
  <mergeCells count="34">
    <mergeCell ref="N10:P10"/>
    <mergeCell ref="C2:P2"/>
    <mergeCell ref="B3:B4"/>
    <mergeCell ref="C3:P3"/>
    <mergeCell ref="C4:P4"/>
    <mergeCell ref="C5:P5"/>
    <mergeCell ref="A6:P6"/>
    <mergeCell ref="A7:L7"/>
    <mergeCell ref="A8:L8"/>
    <mergeCell ref="A9:L9"/>
    <mergeCell ref="A10:B10"/>
    <mergeCell ref="C10:L10"/>
    <mergeCell ref="E13:F13"/>
    <mergeCell ref="G13:H13"/>
    <mergeCell ref="A86:N86"/>
    <mergeCell ref="A87:N87"/>
    <mergeCell ref="A88:N88"/>
    <mergeCell ref="J11:J13"/>
    <mergeCell ref="K11:K13"/>
    <mergeCell ref="L11:L13"/>
    <mergeCell ref="M11:M13"/>
    <mergeCell ref="N11:N13"/>
    <mergeCell ref="A11:A13"/>
    <mergeCell ref="B11:B13"/>
    <mergeCell ref="C11:C13"/>
    <mergeCell ref="D11:D13"/>
    <mergeCell ref="E11:H11"/>
    <mergeCell ref="I11:I13"/>
    <mergeCell ref="N90:O90"/>
    <mergeCell ref="L100:O100"/>
    <mergeCell ref="L101:O101"/>
    <mergeCell ref="L102:O102"/>
    <mergeCell ref="P11:P13"/>
    <mergeCell ref="O11:O1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TH</vt:lpstr>
      <vt:lpstr>A22</vt:lpstr>
      <vt:lpstr>A05</vt:lpstr>
      <vt:lpstr>A06</vt:lpstr>
      <vt:lpstr>A07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Win 11</cp:lastModifiedBy>
  <cp:lastPrinted>2026-05-14T03:14:11Z</cp:lastPrinted>
  <dcterms:created xsi:type="dcterms:W3CDTF">2026-05-07T01:44:52Z</dcterms:created>
  <dcterms:modified xsi:type="dcterms:W3CDTF">2026-05-28T05:24:45Z</dcterms:modified>
</cp:coreProperties>
</file>
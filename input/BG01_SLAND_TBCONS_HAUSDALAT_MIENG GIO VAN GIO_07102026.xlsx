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Nhailt 28092026\sau ngày 2809\DALAT HAUS\"/>
    </mc:Choice>
  </mc:AlternateContent>
  <bookViews>
    <workbookView xWindow="-28650" yWindow="9750" windowWidth="5685" windowHeight="2655" activeTab="1"/>
  </bookViews>
  <sheets>
    <sheet name="DHKK" sheetId="1" r:id="rId1"/>
    <sheet name="BG Đơn Cánh ĐC FSLF 24V" sheetId="2" r:id="rId2"/>
    <sheet name="BG Đa Cánh BFN 24" sheetId="3" r:id="rId3"/>
  </sheets>
  <externalReferences>
    <externalReference r:id="rId4"/>
  </externalReferences>
  <definedNames>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localSheetId="0" hidden="1">{"'Sheet1'!$L$16"}</definedName>
    <definedName name="__________________________________________________________________a1" hidden="1">{"'Sheet1'!$L$16"}</definedName>
    <definedName name="________________________________________________________________a1" localSheetId="0" hidden="1">{"'Sheet1'!$L$16"}</definedName>
    <definedName name="________________________________________________________________a1" hidden="1">{"'Sheet1'!$L$16"}</definedName>
    <definedName name="_______________________________________________________________a1" localSheetId="0" hidden="1">{"'Sheet1'!$L$16"}</definedName>
    <definedName name="_______________________________________________________________a1" hidden="1">{"'Sheet1'!$L$16"}</definedName>
    <definedName name="______________________________________________________________a1" localSheetId="0" hidden="1">{"'Sheet1'!$L$16"}</definedName>
    <definedName name="______________________________________________________________a1" hidden="1">{"'Sheet1'!$L$16"}</definedName>
    <definedName name="_____________________________________________________________a1" localSheetId="0" hidden="1">{"'Sheet1'!$L$16"}</definedName>
    <definedName name="_____________________________________________________________a1" hidden="1">{"'Sheet1'!$L$16"}</definedName>
    <definedName name="____________________________________________________________a1" localSheetId="0" hidden="1">{"'Sheet1'!$L$16"}</definedName>
    <definedName name="____________________________________________________________a1" hidden="1">{"'Sheet1'!$L$16"}</definedName>
    <definedName name="___________________________________________________________a1" localSheetId="0" hidden="1">{"'Sheet1'!$L$16"}</definedName>
    <definedName name="___________________________________________________________a1" hidden="1">{"'Sheet1'!$L$16"}</definedName>
    <definedName name="__________________________________________________________a1" localSheetId="0" hidden="1">{"'Sheet1'!$L$16"}</definedName>
    <definedName name="__________________________________________________________a1" hidden="1">{"'Sheet1'!$L$16"}</definedName>
    <definedName name="_________________________________________________________a1" localSheetId="0" hidden="1">{"'Sheet1'!$L$16"}</definedName>
    <definedName name="_________________________________________________________a1" hidden="1">{"'Sheet1'!$L$16"}</definedName>
    <definedName name="________________________________________________________a1" localSheetId="0" hidden="1">{"'Sheet1'!$L$16"}</definedName>
    <definedName name="________________________________________________________a1" hidden="1">{"'Sheet1'!$L$16"}</definedName>
    <definedName name="_______________________________________________________a1" localSheetId="0" hidden="1">{"'Sheet1'!$L$16"}</definedName>
    <definedName name="_______________________________________________________a1" hidden="1">{"'Sheet1'!$L$16"}</definedName>
    <definedName name="______________________________________________________a1" localSheetId="0" hidden="1">{"'Sheet1'!$L$16"}</definedName>
    <definedName name="______________________________________________________a1" hidden="1">{"'Sheet1'!$L$16"}</definedName>
    <definedName name="_____________________________________________________a1" localSheetId="0" hidden="1">{"'Sheet1'!$L$16"}</definedName>
    <definedName name="_____________________________________________________a1" hidden="1">{"'Sheet1'!$L$16"}</definedName>
    <definedName name="____________________________________________________a1" localSheetId="0" hidden="1">{"'Sheet1'!$L$16"}</definedName>
    <definedName name="____________________________________________________a1" hidden="1">{"'Sheet1'!$L$16"}</definedName>
    <definedName name="___________________________________________________a1" localSheetId="0" hidden="1">{"'Sheet1'!$L$16"}</definedName>
    <definedName name="___________________________________________________a1" hidden="1">{"'Sheet1'!$L$16"}</definedName>
    <definedName name="__________________________________________________a1" localSheetId="0" hidden="1">{"'Sheet1'!$L$16"}</definedName>
    <definedName name="__________________________________________________a1" hidden="1">{"'Sheet1'!$L$16"}</definedName>
    <definedName name="_________________________________________________a1" localSheetId="0" hidden="1">{"'Sheet1'!$L$16"}</definedName>
    <definedName name="_________________________________________________a1" hidden="1">{"'Sheet1'!$L$16"}</definedName>
    <definedName name="________________________________________________a1" localSheetId="0" hidden="1">{"'Sheet1'!$L$16"}</definedName>
    <definedName name="________________________________________________a1" hidden="1">{"'Sheet1'!$L$16"}</definedName>
    <definedName name="_______________________________________________a1" localSheetId="0" hidden="1">{"'Sheet1'!$L$16"}</definedName>
    <definedName name="_______________________________________________a1" hidden="1">{"'Sheet1'!$L$16"}</definedName>
    <definedName name="______________________________________________a1" localSheetId="0" hidden="1">{"'Sheet1'!$L$16"}</definedName>
    <definedName name="______________________________________________a1" hidden="1">{"'Sheet1'!$L$16"}</definedName>
    <definedName name="_____________________________________________a1" localSheetId="0" hidden="1">{"'Sheet1'!$L$16"}</definedName>
    <definedName name="_____________________________________________a1" hidden="1">{"'Sheet1'!$L$16"}</definedName>
    <definedName name="_____________________________________________PA3" localSheetId="0" hidden="1">{"'Sheet1'!$L$16"}</definedName>
    <definedName name="_____________________________________________PA3" hidden="1">{"'Sheet1'!$L$16"}</definedName>
    <definedName name="____________________________________________a1" localSheetId="0" hidden="1">{"'Sheet1'!$L$16"}</definedName>
    <definedName name="____________________________________________a1" hidden="1">{"'Sheet1'!$L$16"}</definedName>
    <definedName name="____________________________________________PA3" localSheetId="0" hidden="1">{"'Sheet1'!$L$16"}</definedName>
    <definedName name="____________________________________________PA3" hidden="1">{"'Sheet1'!$L$16"}</definedName>
    <definedName name="___________________________________________a1" localSheetId="0" hidden="1">{"'Sheet1'!$L$16"}</definedName>
    <definedName name="___________________________________________a1" hidden="1">{"'Sheet1'!$L$16"}</definedName>
    <definedName name="__________________________________________a1" localSheetId="0" hidden="1">{"'Sheet1'!$L$16"}</definedName>
    <definedName name="__________________________________________a1" hidden="1">{"'Sheet1'!$L$16"}</definedName>
    <definedName name="__________________________________________PA3" localSheetId="0" hidden="1">{"'Sheet1'!$L$16"}</definedName>
    <definedName name="__________________________________________PA3" hidden="1">{"'Sheet1'!$L$16"}</definedName>
    <definedName name="_________________________________________a1" localSheetId="0" hidden="1">{"'Sheet1'!$L$16"}</definedName>
    <definedName name="_________________________________________a1" hidden="1">{"'Sheet1'!$L$16"}</definedName>
    <definedName name="_________________________________________PA3" localSheetId="0" hidden="1">{"'Sheet1'!$L$16"}</definedName>
    <definedName name="_________________________________________PA3" hidden="1">{"'Sheet1'!$L$16"}</definedName>
    <definedName name="________________________________________a1" localSheetId="0" hidden="1">{"'Sheet1'!$L$16"}</definedName>
    <definedName name="________________________________________a1" hidden="1">{"'Sheet1'!$L$16"}</definedName>
    <definedName name="________________________________________PA3" localSheetId="0" hidden="1">{"'Sheet1'!$L$16"}</definedName>
    <definedName name="________________________________________PA3" hidden="1">{"'Sheet1'!$L$16"}</definedName>
    <definedName name="_______________________________________a1" localSheetId="0" hidden="1">{"'Sheet1'!$L$16"}</definedName>
    <definedName name="_______________________________________a1" hidden="1">{"'Sheet1'!$L$16"}</definedName>
    <definedName name="_______________________________________PA3" localSheetId="0" hidden="1">{"'Sheet1'!$L$16"}</definedName>
    <definedName name="_______________________________________PA3" hidden="1">{"'Sheet1'!$L$16"}</definedName>
    <definedName name="______________________________________a1" localSheetId="0" hidden="1">{"'Sheet1'!$L$16"}</definedName>
    <definedName name="______________________________________a1" hidden="1">{"'Sheet1'!$L$16"}</definedName>
    <definedName name="______________________________________PA3" localSheetId="0" hidden="1">{"'Sheet1'!$L$16"}</definedName>
    <definedName name="______________________________________PA3" hidden="1">{"'Sheet1'!$L$16"}</definedName>
    <definedName name="_____________________________________a1" localSheetId="0" hidden="1">{"'Sheet1'!$L$16"}</definedName>
    <definedName name="_____________________________________a1" hidden="1">{"'Sheet1'!$L$16"}</definedName>
    <definedName name="_____________________________________PA3" localSheetId="0" hidden="1">{"'Sheet1'!$L$16"}</definedName>
    <definedName name="_____________________________________PA3" hidden="1">{"'Sheet1'!$L$16"}</definedName>
    <definedName name="____________________________________a1" localSheetId="0" hidden="1">{"'Sheet1'!$L$16"}</definedName>
    <definedName name="____________________________________a1" hidden="1">{"'Sheet1'!$L$16"}</definedName>
    <definedName name="____________________________________PA3" localSheetId="0" hidden="1">{"'Sheet1'!$L$16"}</definedName>
    <definedName name="____________________________________PA3" hidden="1">{"'Sheet1'!$L$16"}</definedName>
    <definedName name="___________________________________a1" localSheetId="0" hidden="1">{"'Sheet1'!$L$16"}</definedName>
    <definedName name="___________________________________a1" hidden="1">{"'Sheet1'!$L$16"}</definedName>
    <definedName name="__________________________________a1" localSheetId="0" hidden="1">{"'Sheet1'!$L$16"}</definedName>
    <definedName name="__________________________________a1" hidden="1">{"'Sheet1'!$L$16"}</definedName>
    <definedName name="__________________________________PA3" localSheetId="0" hidden="1">{"'Sheet1'!$L$16"}</definedName>
    <definedName name="__________________________________PA3" hidden="1">{"'Sheet1'!$L$16"}</definedName>
    <definedName name="__________________________________VT3" localSheetId="0" hidden="1">{"'Sheet1'!$L$16"}</definedName>
    <definedName name="__________________________________VT3" hidden="1">{"'Sheet1'!$L$16"}</definedName>
    <definedName name="_________________________________a1" localSheetId="0" hidden="1">{"'Sheet1'!$L$16"}</definedName>
    <definedName name="_________________________________a1" hidden="1">{"'Sheet1'!$L$16"}</definedName>
    <definedName name="_________________________________NSO2" localSheetId="0" hidden="1">{"'Sheet1'!$L$16"}</definedName>
    <definedName name="_________________________________NSO2" hidden="1">{"'Sheet1'!$L$16"}</definedName>
    <definedName name="_________________________________PA3" localSheetId="0" hidden="1">{"'Sheet1'!$L$16"}</definedName>
    <definedName name="_________________________________PA3" hidden="1">{"'Sheet1'!$L$16"}</definedName>
    <definedName name="________________________________a1" localSheetId="0" hidden="1">{"'Sheet1'!$L$16"}</definedName>
    <definedName name="________________________________a1" hidden="1">{"'Sheet1'!$L$16"}</definedName>
    <definedName name="________________________________VT3" localSheetId="0" hidden="1">{"'Sheet1'!$L$16"}</definedName>
    <definedName name="________________________________VT3" hidden="1">{"'Sheet1'!$L$16"}</definedName>
    <definedName name="_______________________________a1" localSheetId="0" hidden="1">{"'Sheet1'!$L$16"}</definedName>
    <definedName name="_______________________________a1" hidden="1">{"'Sheet1'!$L$16"}</definedName>
    <definedName name="_______________________________NSO2" localSheetId="0" hidden="1">{"'Sheet1'!$L$16"}</definedName>
    <definedName name="_______________________________NSO2" hidden="1">{"'Sheet1'!$L$16"}</definedName>
    <definedName name="_______________________________PA3" localSheetId="0" hidden="1">{"'Sheet1'!$L$16"}</definedName>
    <definedName name="_______________________________PA3" hidden="1">{"'Sheet1'!$L$16"}</definedName>
    <definedName name="______________________________a1" localSheetId="0" hidden="1">{"'Sheet1'!$L$16"}</definedName>
    <definedName name="______________________________a1" hidden="1">{"'Sheet1'!$L$16"}</definedName>
    <definedName name="______________________________Goi8" localSheetId="0" hidden="1">{"'Sheet1'!$L$16"}</definedName>
    <definedName name="______________________________Goi8" hidden="1">{"'Sheet1'!$L$16"}</definedName>
    <definedName name="______________________________PA3" localSheetId="0" hidden="1">{"'Sheet1'!$L$16"}</definedName>
    <definedName name="______________________________PA3" hidden="1">{"'Sheet1'!$L$16"}</definedName>
    <definedName name="______________________________SCL4" localSheetId="0" hidden="1">{"'Sheet1'!$L$16"}</definedName>
    <definedName name="______________________________SCL4" hidden="1">{"'Sheet1'!$L$16"}</definedName>
    <definedName name="______________________________VT3" localSheetId="0" hidden="1">{"'Sheet1'!$L$16"}</definedName>
    <definedName name="______________________________VT3" hidden="1">{"'Sheet1'!$L$16"}</definedName>
    <definedName name="_____________________________a1" localSheetId="0" hidden="1">{"'Sheet1'!$L$16"}</definedName>
    <definedName name="_____________________________a1" hidden="1">{"'Sheet1'!$L$16"}</definedName>
    <definedName name="_____________________________CN1" localSheetId="0" hidden="1">{"'Sheet1'!$L$16"}</definedName>
    <definedName name="_____________________________CN1" hidden="1">{"'Sheet1'!$L$16"}</definedName>
    <definedName name="_____________________________Goi8" localSheetId="0" hidden="1">{"'Sheet1'!$L$16"}</definedName>
    <definedName name="_____________________________Goi8" hidden="1">{"'Sheet1'!$L$16"}</definedName>
    <definedName name="_____________________________NSO2" localSheetId="0" hidden="1">{"'Sheet1'!$L$16"}</definedName>
    <definedName name="_____________________________NSO2" hidden="1">{"'Sheet1'!$L$16"}</definedName>
    <definedName name="_____________________________PA3" localSheetId="0" hidden="1">{"'Sheet1'!$L$16"}</definedName>
    <definedName name="_____________________________PA3" hidden="1">{"'Sheet1'!$L$16"}</definedName>
    <definedName name="_____________________________SCL4" localSheetId="0" hidden="1">{"'Sheet1'!$L$16"}</definedName>
    <definedName name="_____________________________SCL4" hidden="1">{"'Sheet1'!$L$16"}</definedName>
    <definedName name="_____________________________VT3" localSheetId="0" hidden="1">{"'Sheet1'!$L$16"}</definedName>
    <definedName name="_____________________________VT3" hidden="1">{"'Sheet1'!$L$16"}</definedName>
    <definedName name="____________________________a1" localSheetId="0" hidden="1">{"'Sheet1'!$L$16"}</definedName>
    <definedName name="____________________________a1" hidden="1">{"'Sheet1'!$L$16"}</definedName>
    <definedName name="____________________________BG12" localSheetId="0" hidden="1">{"'Sheet1'!$L$16"}</definedName>
    <definedName name="____________________________BG12" hidden="1">{"'Sheet1'!$L$16"}</definedName>
    <definedName name="____________________________CN1" localSheetId="0" hidden="1">{"'Sheet1'!$L$16"}</definedName>
    <definedName name="____________________________CN1" hidden="1">{"'Sheet1'!$L$16"}</definedName>
    <definedName name="____________________________Goi8" localSheetId="0" hidden="1">{"'Sheet1'!$L$16"}</definedName>
    <definedName name="____________________________Goi8" hidden="1">{"'Sheet1'!$L$16"}</definedName>
    <definedName name="____________________________SCL4" localSheetId="0" hidden="1">{"'Sheet1'!$L$16"}</definedName>
    <definedName name="____________________________SCL4" hidden="1">{"'Sheet1'!$L$16"}</definedName>
    <definedName name="____________________________VT3" localSheetId="0" hidden="1">{"'Sheet1'!$L$16"}</definedName>
    <definedName name="____________________________VT3" hidden="1">{"'Sheet1'!$L$16"}</definedName>
    <definedName name="___________________________a1" localSheetId="0" hidden="1">{"'Sheet1'!$L$16"}</definedName>
    <definedName name="___________________________a1" hidden="1">{"'Sheet1'!$L$16"}</definedName>
    <definedName name="___________________________BG12" localSheetId="0" hidden="1">{"'Sheet1'!$L$16"}</definedName>
    <definedName name="___________________________BG12" hidden="1">{"'Sheet1'!$L$16"}</definedName>
    <definedName name="___________________________CN1" localSheetId="0" hidden="1">{"'Sheet1'!$L$16"}</definedName>
    <definedName name="___________________________CN1" hidden="1">{"'Sheet1'!$L$16"}</definedName>
    <definedName name="___________________________Goi8" localSheetId="0" hidden="1">{"'Sheet1'!$L$16"}</definedName>
    <definedName name="___________________________Goi8" hidden="1">{"'Sheet1'!$L$16"}</definedName>
    <definedName name="___________________________NSO2" localSheetId="0" hidden="1">{"'Sheet1'!$L$16"}</definedName>
    <definedName name="___________________________NSO2" hidden="1">{"'Sheet1'!$L$16"}</definedName>
    <definedName name="___________________________PA3" localSheetId="0" hidden="1">{"'Sheet1'!$L$16"}</definedName>
    <definedName name="___________________________PA3" hidden="1">{"'Sheet1'!$L$16"}</definedName>
    <definedName name="___________________________SCL4" localSheetId="0" hidden="1">{"'Sheet1'!$L$16"}</definedName>
    <definedName name="___________________________SCL4" hidden="1">{"'Sheet1'!$L$16"}</definedName>
    <definedName name="___________________________VT3" localSheetId="0" hidden="1">{"'Sheet1'!$L$16"}</definedName>
    <definedName name="___________________________VT3" hidden="1">{"'Sheet1'!$L$16"}</definedName>
    <definedName name="__________________________a1" localSheetId="0" hidden="1">{"'Sheet1'!$L$16"}</definedName>
    <definedName name="__________________________a1" hidden="1">{"'Sheet1'!$L$16"}</definedName>
    <definedName name="__________________________BG12" localSheetId="0" hidden="1">{"'Sheet1'!$L$16"}</definedName>
    <definedName name="__________________________BG12" hidden="1">{"'Sheet1'!$L$16"}</definedName>
    <definedName name="__________________________CN1" localSheetId="0" hidden="1">{"'Sheet1'!$L$16"}</definedName>
    <definedName name="__________________________CN1" hidden="1">{"'Sheet1'!$L$16"}</definedName>
    <definedName name="__________________________Goi8" localSheetId="0" hidden="1">{"'Sheet1'!$L$16"}</definedName>
    <definedName name="__________________________Goi8" hidden="1">{"'Sheet1'!$L$16"}</definedName>
    <definedName name="__________________________PA3" localSheetId="0" hidden="1">{"'Sheet1'!$L$16"}</definedName>
    <definedName name="__________________________PA3" hidden="1">{"'Sheet1'!$L$16"}</definedName>
    <definedName name="__________________________SCL4" localSheetId="0" hidden="1">{"'Sheet1'!$L$16"}</definedName>
    <definedName name="__________________________SCL4" hidden="1">{"'Sheet1'!$L$16"}</definedName>
    <definedName name="__________________________tt3" localSheetId="0" hidden="1">{"'Sheet1'!$L$16"}</definedName>
    <definedName name="__________________________tt3" hidden="1">{"'Sheet1'!$L$16"}</definedName>
    <definedName name="__________________________VT3" localSheetId="0" hidden="1">{"'Sheet1'!$L$16"}</definedName>
    <definedName name="__________________________VT3" hidden="1">{"'Sheet1'!$L$16"}</definedName>
    <definedName name="_________________________a1" localSheetId="0" hidden="1">{"'Sheet1'!$L$16"}</definedName>
    <definedName name="_________________________a1" hidden="1">{"'Sheet1'!$L$16"}</definedName>
    <definedName name="_________________________BG12" localSheetId="0" hidden="1">{"'Sheet1'!$L$16"}</definedName>
    <definedName name="_________________________BG12" hidden="1">{"'Sheet1'!$L$16"}</definedName>
    <definedName name="_________________________CN1" localSheetId="0" hidden="1">{"'Sheet1'!$L$16"}</definedName>
    <definedName name="_________________________CN1" hidden="1">{"'Sheet1'!$L$16"}</definedName>
    <definedName name="_________________________Goi8" localSheetId="0" hidden="1">{"'Sheet1'!$L$16"}</definedName>
    <definedName name="_________________________Goi8" hidden="1">{"'Sheet1'!$L$16"}</definedName>
    <definedName name="_________________________NSO2" localSheetId="0" hidden="1">{"'Sheet1'!$L$16"}</definedName>
    <definedName name="_________________________NSO2" hidden="1">{"'Sheet1'!$L$16"}</definedName>
    <definedName name="_________________________PA3" localSheetId="0" hidden="1">{"'Sheet1'!$L$16"}</definedName>
    <definedName name="_________________________PA3" hidden="1">{"'Sheet1'!$L$16"}</definedName>
    <definedName name="_________________________SCL4" localSheetId="0" hidden="1">{"'Sheet1'!$L$16"}</definedName>
    <definedName name="_________________________SCL4" hidden="1">{"'Sheet1'!$L$16"}</definedName>
    <definedName name="_________________________VT3" localSheetId="0" hidden="1">{"'Sheet1'!$L$16"}</definedName>
    <definedName name="_________________________VT3" hidden="1">{"'Sheet1'!$L$16"}</definedName>
    <definedName name="________________________a1" localSheetId="0" hidden="1">{"'Sheet1'!$L$16"}</definedName>
    <definedName name="________________________a1" hidden="1">{"'Sheet1'!$L$16"}</definedName>
    <definedName name="________________________BG12" localSheetId="0" hidden="1">{"'Sheet1'!$L$16"}</definedName>
    <definedName name="________________________BG12" hidden="1">{"'Sheet1'!$L$16"}</definedName>
    <definedName name="________________________CN1" localSheetId="0" hidden="1">{"'Sheet1'!$L$16"}</definedName>
    <definedName name="________________________CN1" hidden="1">{"'Sheet1'!$L$16"}</definedName>
    <definedName name="________________________Goi8" localSheetId="0" hidden="1">{"'Sheet1'!$L$16"}</definedName>
    <definedName name="________________________Goi8" hidden="1">{"'Sheet1'!$L$16"}</definedName>
    <definedName name="________________________PA3" localSheetId="0" hidden="1">{"'Sheet1'!$L$16"}</definedName>
    <definedName name="________________________PA3" hidden="1">{"'Sheet1'!$L$16"}</definedName>
    <definedName name="________________________SCL4" localSheetId="0" hidden="1">{"'Sheet1'!$L$16"}</definedName>
    <definedName name="________________________SCL4" hidden="1">{"'Sheet1'!$L$16"}</definedName>
    <definedName name="________________________tt3" localSheetId="0" hidden="1">{"'Sheet1'!$L$16"}</definedName>
    <definedName name="________________________tt3" hidden="1">{"'Sheet1'!$L$16"}</definedName>
    <definedName name="________________________VT3" localSheetId="0" hidden="1">{"'Sheet1'!$L$16"}</definedName>
    <definedName name="________________________VT3" hidden="1">{"'Sheet1'!$L$16"}</definedName>
    <definedName name="_______________________a1" localSheetId="0" hidden="1">{"'Sheet1'!$L$16"}</definedName>
    <definedName name="_______________________a1" hidden="1">{"'Sheet1'!$L$16"}</definedName>
    <definedName name="_______________________BG12" localSheetId="0" hidden="1">{"'Sheet1'!$L$16"}</definedName>
    <definedName name="_______________________BG12" hidden="1">{"'Sheet1'!$L$16"}</definedName>
    <definedName name="_______________________CN1" localSheetId="0" hidden="1">{"'Sheet1'!$L$16"}</definedName>
    <definedName name="_______________________CN1" hidden="1">{"'Sheet1'!$L$16"}</definedName>
    <definedName name="_______________________Goi8" localSheetId="0" hidden="1">{"'Sheet1'!$L$16"}</definedName>
    <definedName name="_______________________Goi8" hidden="1">{"'Sheet1'!$L$16"}</definedName>
    <definedName name="_______________________NSO2" localSheetId="0" hidden="1">{"'Sheet1'!$L$16"}</definedName>
    <definedName name="_______________________NSO2" hidden="1">{"'Sheet1'!$L$16"}</definedName>
    <definedName name="_______________________PA3" localSheetId="0" hidden="1">{"'Sheet1'!$L$16"}</definedName>
    <definedName name="_______________________PA3" hidden="1">{"'Sheet1'!$L$16"}</definedName>
    <definedName name="_______________________SCL4" localSheetId="0" hidden="1">{"'Sheet1'!$L$16"}</definedName>
    <definedName name="_______________________SCL4" hidden="1">{"'Sheet1'!$L$16"}</definedName>
    <definedName name="_______________________VT3" localSheetId="0" hidden="1">{"'Sheet1'!$L$16"}</definedName>
    <definedName name="_______________________VT3" hidden="1">{"'Sheet1'!$L$16"}</definedName>
    <definedName name="______________________a1" localSheetId="0" hidden="1">{"'Sheet1'!$L$16"}</definedName>
    <definedName name="______________________a1" hidden="1">{"'Sheet1'!$L$16"}</definedName>
    <definedName name="______________________BG12" localSheetId="0" hidden="1">{"'Sheet1'!$L$16"}</definedName>
    <definedName name="______________________BG12" hidden="1">{"'Sheet1'!$L$16"}</definedName>
    <definedName name="______________________CN1" localSheetId="0" hidden="1">{"'Sheet1'!$L$16"}</definedName>
    <definedName name="______________________CN1" hidden="1">{"'Sheet1'!$L$16"}</definedName>
    <definedName name="______________________Goi8" localSheetId="0" hidden="1">{"'Sheet1'!$L$16"}</definedName>
    <definedName name="______________________Goi8" hidden="1">{"'Sheet1'!$L$16"}</definedName>
    <definedName name="______________________PA3" localSheetId="0" hidden="1">{"'Sheet1'!$L$16"}</definedName>
    <definedName name="______________________PA3" hidden="1">{"'Sheet1'!$L$16"}</definedName>
    <definedName name="______________________SCL4" localSheetId="0" hidden="1">{"'Sheet1'!$L$16"}</definedName>
    <definedName name="______________________SCL4" hidden="1">{"'Sheet1'!$L$16"}</definedName>
    <definedName name="______________________tt3" localSheetId="0" hidden="1">{"'Sheet1'!$L$16"}</definedName>
    <definedName name="______________________tt3" hidden="1">{"'Sheet1'!$L$16"}</definedName>
    <definedName name="______________________VT3" localSheetId="0" hidden="1">{"'Sheet1'!$L$16"}</definedName>
    <definedName name="______________________VT3" hidden="1">{"'Sheet1'!$L$16"}</definedName>
    <definedName name="_____________________a1" localSheetId="0" hidden="1">{"'Sheet1'!$L$16"}</definedName>
    <definedName name="_____________________a1" hidden="1">{"'Sheet1'!$L$16"}</definedName>
    <definedName name="_____________________BG12" localSheetId="0" hidden="1">{"'Sheet1'!$L$16"}</definedName>
    <definedName name="_____________________BG12" hidden="1">{"'Sheet1'!$L$16"}</definedName>
    <definedName name="_____________________CN1" localSheetId="0" hidden="1">{"'Sheet1'!$L$16"}</definedName>
    <definedName name="_____________________CN1" hidden="1">{"'Sheet1'!$L$16"}</definedName>
    <definedName name="_____________________Goi8" localSheetId="0" hidden="1">{"'Sheet1'!$L$16"}</definedName>
    <definedName name="_____________________Goi8" hidden="1">{"'Sheet1'!$L$16"}</definedName>
    <definedName name="_____________________NSO2" localSheetId="0" hidden="1">{"'Sheet1'!$L$16"}</definedName>
    <definedName name="_____________________NSO2" hidden="1">{"'Sheet1'!$L$16"}</definedName>
    <definedName name="_____________________PA3" localSheetId="0" hidden="1">{"'Sheet1'!$L$16"}</definedName>
    <definedName name="_____________________PA3" hidden="1">{"'Sheet1'!$L$16"}</definedName>
    <definedName name="_____________________SCL4" localSheetId="0" hidden="1">{"'Sheet1'!$L$16"}</definedName>
    <definedName name="_____________________SCL4" hidden="1">{"'Sheet1'!$L$16"}</definedName>
    <definedName name="_____________________VT3" localSheetId="0" hidden="1">{"'Sheet1'!$L$16"}</definedName>
    <definedName name="_____________________VT3" hidden="1">{"'Sheet1'!$L$16"}</definedName>
    <definedName name="____________________a1" localSheetId="0" hidden="1">{"'Sheet1'!$L$16"}</definedName>
    <definedName name="____________________a1" hidden="1">{"'Sheet1'!$L$16"}</definedName>
    <definedName name="____________________BG12" localSheetId="0" hidden="1">{"'Sheet1'!$L$16"}</definedName>
    <definedName name="____________________BG12" hidden="1">{"'Sheet1'!$L$16"}</definedName>
    <definedName name="____________________CN1" localSheetId="0" hidden="1">{"'Sheet1'!$L$16"}</definedName>
    <definedName name="____________________CN1" hidden="1">{"'Sheet1'!$L$16"}</definedName>
    <definedName name="____________________Goi8" localSheetId="0" hidden="1">{"'Sheet1'!$L$16"}</definedName>
    <definedName name="____________________Goi8" hidden="1">{"'Sheet1'!$L$16"}</definedName>
    <definedName name="____________________m4" localSheetId="0" hidden="1">{"'Sheet1'!$L$16"}</definedName>
    <definedName name="____________________m4" hidden="1">{"'Sheet1'!$L$16"}</definedName>
    <definedName name="____________________PA3" localSheetId="0" hidden="1">{"'Sheet1'!$L$16"}</definedName>
    <definedName name="____________________PA3" hidden="1">{"'Sheet1'!$L$16"}</definedName>
    <definedName name="____________________SCL4" localSheetId="0" hidden="1">{"'Sheet1'!$L$16"}</definedName>
    <definedName name="____________________SCL4" hidden="1">{"'Sheet1'!$L$16"}</definedName>
    <definedName name="____________________tt3" localSheetId="0" hidden="1">{"'Sheet1'!$L$16"}</definedName>
    <definedName name="____________________tt3" hidden="1">{"'Sheet1'!$L$16"}</definedName>
    <definedName name="____________________VT3" localSheetId="0" hidden="1">{"'Sheet1'!$L$16"}</definedName>
    <definedName name="____________________VT3" hidden="1">{"'Sheet1'!$L$16"}</definedName>
    <definedName name="___________________a1" localSheetId="0" hidden="1">{"'Sheet1'!$L$16"}</definedName>
    <definedName name="___________________a1" hidden="1">{"'Sheet1'!$L$16"}</definedName>
    <definedName name="___________________a1_1" localSheetId="0" hidden="1">{"'Sheet1'!$L$16"}</definedName>
    <definedName name="___________________a1_1" hidden="1">{"'Sheet1'!$L$16"}</definedName>
    <definedName name="___________________BG12" localSheetId="0" hidden="1">{"'Sheet1'!$L$16"}</definedName>
    <definedName name="___________________BG12" hidden="1">{"'Sheet1'!$L$16"}</definedName>
    <definedName name="___________________CN1" localSheetId="0" hidden="1">{"'Sheet1'!$L$16"}</definedName>
    <definedName name="___________________CN1" hidden="1">{"'Sheet1'!$L$16"}</definedName>
    <definedName name="___________________Goi8" localSheetId="0" hidden="1">{"'Sheet1'!$L$16"}</definedName>
    <definedName name="___________________Goi8" hidden="1">{"'Sheet1'!$L$16"}</definedName>
    <definedName name="___________________Goi8_1" localSheetId="0" hidden="1">{"'Sheet1'!$L$16"}</definedName>
    <definedName name="___________________Goi8_1" hidden="1">{"'Sheet1'!$L$16"}</definedName>
    <definedName name="___________________m4" localSheetId="0" hidden="1">{"'Sheet1'!$L$16"}</definedName>
    <definedName name="___________________m4" hidden="1">{"'Sheet1'!$L$16"}</definedName>
    <definedName name="___________________NSO2" localSheetId="0" hidden="1">{"'Sheet1'!$L$16"}</definedName>
    <definedName name="___________________NSO2" hidden="1">{"'Sheet1'!$L$16"}</definedName>
    <definedName name="___________________PA3" localSheetId="0" hidden="1">{"'Sheet1'!$L$16"}</definedName>
    <definedName name="___________________PA3" hidden="1">{"'Sheet1'!$L$16"}</definedName>
    <definedName name="___________________SCL4" localSheetId="0" hidden="1">{"'Sheet1'!$L$16"}</definedName>
    <definedName name="___________________SCL4" hidden="1">{"'Sheet1'!$L$16"}</definedName>
    <definedName name="___________________SCL4_1" localSheetId="0" hidden="1">{"'Sheet1'!$L$16"}</definedName>
    <definedName name="___________________SCL4_1" hidden="1">{"'Sheet1'!$L$16"}</definedName>
    <definedName name="___________________VT3" localSheetId="0" hidden="1">{"'Sheet1'!$L$16"}</definedName>
    <definedName name="___________________VT3" hidden="1">{"'Sheet1'!$L$16"}</definedName>
    <definedName name="__________________a1" localSheetId="0" hidden="1">{"'Sheet1'!$L$16"}</definedName>
    <definedName name="__________________a1" hidden="1">{"'Sheet1'!$L$16"}</definedName>
    <definedName name="__________________BG12" localSheetId="0" hidden="1">{"'Sheet1'!$L$16"}</definedName>
    <definedName name="__________________BG12" hidden="1">{"'Sheet1'!$L$16"}</definedName>
    <definedName name="__________________CN1" localSheetId="0" hidden="1">{"'Sheet1'!$L$16"}</definedName>
    <definedName name="__________________CN1" hidden="1">{"'Sheet1'!$L$16"}</definedName>
    <definedName name="__________________DT10" localSheetId="0" hidden="1">{"'Sheet1'!$L$16"}</definedName>
    <definedName name="__________________DT10" hidden="1">{"'Sheet1'!$L$16"}</definedName>
    <definedName name="__________________Goi8" localSheetId="0" hidden="1">{"'Sheet1'!$L$16"}</definedName>
    <definedName name="__________________Goi8" hidden="1">{"'Sheet1'!$L$16"}</definedName>
    <definedName name="__________________h1" localSheetId="0" hidden="1">{"'Sheet1'!$L$16"}</definedName>
    <definedName name="__________________h1" hidden="1">{"'Sheet1'!$L$16"}</definedName>
    <definedName name="__________________hu1" localSheetId="0" hidden="1">{"'Sheet1'!$L$16"}</definedName>
    <definedName name="__________________hu1" hidden="1">{"'Sheet1'!$L$16"}</definedName>
    <definedName name="__________________hu2" localSheetId="0" hidden="1">{"'Sheet1'!$L$16"}</definedName>
    <definedName name="__________________hu2" hidden="1">{"'Sheet1'!$L$16"}</definedName>
    <definedName name="__________________hu5" localSheetId="0" hidden="1">{"'Sheet1'!$L$16"}</definedName>
    <definedName name="__________________hu5" hidden="1">{"'Sheet1'!$L$16"}</definedName>
    <definedName name="__________________hu6" localSheetId="0" hidden="1">{"'Sheet1'!$L$16"}</definedName>
    <definedName name="__________________hu6" hidden="1">{"'Sheet1'!$L$16"}</definedName>
    <definedName name="__________________hu7" localSheetId="0" hidden="1">{"'Sheet1'!$L$16"}</definedName>
    <definedName name="__________________hu7" hidden="1">{"'Sheet1'!$L$16"}</definedName>
    <definedName name="__________________LAN3" localSheetId="0" hidden="1">{"'Sheet1'!$L$16"}</definedName>
    <definedName name="__________________LAN3" hidden="1">{"'Sheet1'!$L$16"}</definedName>
    <definedName name="__________________m4" localSheetId="0" hidden="1">{"'Sheet1'!$L$16"}</definedName>
    <definedName name="__________________m4" hidden="1">{"'Sheet1'!$L$16"}</definedName>
    <definedName name="__________________NSO2" localSheetId="0" hidden="1">{"'Sheet1'!$L$16"}</definedName>
    <definedName name="__________________NSO2" hidden="1">{"'Sheet1'!$L$16"}</definedName>
    <definedName name="__________________PA3" localSheetId="0" hidden="1">{"'Sheet1'!$L$16"}</definedName>
    <definedName name="__________________PA3" hidden="1">{"'Sheet1'!$L$16"}</definedName>
    <definedName name="__________________SCL4" localSheetId="0" hidden="1">{"'Sheet1'!$L$16"}</definedName>
    <definedName name="__________________SCL4" hidden="1">{"'Sheet1'!$L$16"}</definedName>
    <definedName name="__________________T10" localSheetId="0" hidden="1">{"'Sheet1'!$L$16"}</definedName>
    <definedName name="__________________T10" hidden="1">{"'Sheet1'!$L$16"}</definedName>
    <definedName name="__________________TM2" localSheetId="0" hidden="1">{"'Sheet1'!$L$16"}</definedName>
    <definedName name="__________________TM2" hidden="1">{"'Sheet1'!$L$16"}</definedName>
    <definedName name="__________________tt3" localSheetId="0" hidden="1">{"'Sheet1'!$L$16"}</definedName>
    <definedName name="__________________tt3" hidden="1">{"'Sheet1'!$L$16"}</definedName>
    <definedName name="__________________VT3" localSheetId="0" hidden="1">{"'Sheet1'!$L$16"}</definedName>
    <definedName name="__________________VT3" hidden="1">{"'Sheet1'!$L$16"}</definedName>
    <definedName name="_________________a1" localSheetId="0" hidden="1">{"'Sheet1'!$L$16"}</definedName>
    <definedName name="_________________a1" hidden="1">{"'Sheet1'!$L$16"}</definedName>
    <definedName name="_________________a1_1" localSheetId="0" hidden="1">{"'Sheet1'!$L$16"}</definedName>
    <definedName name="_________________a1_1" hidden="1">{"'Sheet1'!$L$16"}</definedName>
    <definedName name="_________________BG12" localSheetId="0" hidden="1">{"'Sheet1'!$L$16"}</definedName>
    <definedName name="_________________BG12" hidden="1">{"'Sheet1'!$L$16"}</definedName>
    <definedName name="_________________CN1" localSheetId="0" hidden="1">{"'Sheet1'!$L$16"}</definedName>
    <definedName name="_________________CN1" hidden="1">{"'Sheet1'!$L$16"}</definedName>
    <definedName name="_________________DT10" localSheetId="0" hidden="1">{"'Sheet1'!$L$16"}</definedName>
    <definedName name="_________________DT10" hidden="1">{"'Sheet1'!$L$16"}</definedName>
    <definedName name="_________________Goi8" localSheetId="0" hidden="1">{"'Sheet1'!$L$16"}</definedName>
    <definedName name="_________________Goi8" hidden="1">{"'Sheet1'!$L$16"}</definedName>
    <definedName name="_________________Goi8_1" localSheetId="0" hidden="1">{"'Sheet1'!$L$16"}</definedName>
    <definedName name="_________________Goi8_1" hidden="1">{"'Sheet1'!$L$16"}</definedName>
    <definedName name="_________________h1" localSheetId="0" hidden="1">{"'Sheet1'!$L$16"}</definedName>
    <definedName name="_________________h1" hidden="1">{"'Sheet1'!$L$16"}</definedName>
    <definedName name="_________________hu1" localSheetId="0" hidden="1">{"'Sheet1'!$L$16"}</definedName>
    <definedName name="_________________hu1" hidden="1">{"'Sheet1'!$L$16"}</definedName>
    <definedName name="_________________hu2" localSheetId="0" hidden="1">{"'Sheet1'!$L$16"}</definedName>
    <definedName name="_________________hu2" hidden="1">{"'Sheet1'!$L$16"}</definedName>
    <definedName name="_________________hu5" localSheetId="0" hidden="1">{"'Sheet1'!$L$16"}</definedName>
    <definedName name="_________________hu5" hidden="1">{"'Sheet1'!$L$16"}</definedName>
    <definedName name="_________________hu6" localSheetId="0" hidden="1">{"'Sheet1'!$L$16"}</definedName>
    <definedName name="_________________hu6" hidden="1">{"'Sheet1'!$L$16"}</definedName>
    <definedName name="_________________hu7" localSheetId="0" hidden="1">{"'Sheet1'!$L$16"}</definedName>
    <definedName name="_________________hu7" hidden="1">{"'Sheet1'!$L$16"}</definedName>
    <definedName name="_________________Lan1" localSheetId="0" hidden="1">{"'Sheet1'!$L$16"}</definedName>
    <definedName name="_________________Lan1" hidden="1">{"'Sheet1'!$L$16"}</definedName>
    <definedName name="_________________LAN3" localSheetId="0" hidden="1">{"'Sheet1'!$L$16"}</definedName>
    <definedName name="_________________LAN3" hidden="1">{"'Sheet1'!$L$16"}</definedName>
    <definedName name="_________________m4" localSheetId="0" hidden="1">{"'Sheet1'!$L$16"}</definedName>
    <definedName name="_________________m4" hidden="1">{"'Sheet1'!$L$16"}</definedName>
    <definedName name="_________________NSO2" localSheetId="0" hidden="1">{"'Sheet1'!$L$16"}</definedName>
    <definedName name="_________________NSO2" hidden="1">{"'Sheet1'!$L$16"}</definedName>
    <definedName name="_________________PA3" localSheetId="0" hidden="1">{"'Sheet1'!$L$16"}</definedName>
    <definedName name="_________________PA3" hidden="1">{"'Sheet1'!$L$16"}</definedName>
    <definedName name="_________________SCL4" localSheetId="0" hidden="1">{"'Sheet1'!$L$16"}</definedName>
    <definedName name="_________________SCL4" hidden="1">{"'Sheet1'!$L$16"}</definedName>
    <definedName name="_________________SCL4_1" localSheetId="0" hidden="1">{"'Sheet1'!$L$16"}</definedName>
    <definedName name="_________________SCL4_1" hidden="1">{"'Sheet1'!$L$16"}</definedName>
    <definedName name="_________________T10" localSheetId="0" hidden="1">{"'Sheet1'!$L$16"}</definedName>
    <definedName name="_________________T10" hidden="1">{"'Sheet1'!$L$16"}</definedName>
    <definedName name="_________________TH1" localSheetId="0" hidden="1">{"'Sheet1'!$L$16"}</definedName>
    <definedName name="_________________TH1" hidden="1">{"'Sheet1'!$L$16"}</definedName>
    <definedName name="_________________TM2" localSheetId="0" hidden="1">{"'Sheet1'!$L$16"}</definedName>
    <definedName name="_________________TM2" hidden="1">{"'Sheet1'!$L$16"}</definedName>
    <definedName name="_________________VT3" localSheetId="0" hidden="1">{"'Sheet1'!$L$16"}</definedName>
    <definedName name="_________________VT3" hidden="1">{"'Sheet1'!$L$16"}</definedName>
    <definedName name="________________a1" localSheetId="0" hidden="1">{"'Sheet1'!$L$16"}</definedName>
    <definedName name="________________a1" hidden="1">{"'Sheet1'!$L$16"}</definedName>
    <definedName name="________________BG12" localSheetId="0" hidden="1">{"'Sheet1'!$L$16"}</definedName>
    <definedName name="________________BG12" hidden="1">{"'Sheet1'!$L$16"}</definedName>
    <definedName name="________________CN1" localSheetId="0" hidden="1">{"'Sheet1'!$L$16"}</definedName>
    <definedName name="________________CN1" hidden="1">{"'Sheet1'!$L$16"}</definedName>
    <definedName name="________________DT10" localSheetId="0" hidden="1">{"'Sheet1'!$L$16"}</definedName>
    <definedName name="________________DT10" hidden="1">{"'Sheet1'!$L$16"}</definedName>
    <definedName name="________________Goi8" localSheetId="0" hidden="1">{"'Sheet1'!$L$16"}</definedName>
    <definedName name="________________Goi8" hidden="1">{"'Sheet1'!$L$16"}</definedName>
    <definedName name="________________h1" localSheetId="0" hidden="1">{"'Sheet1'!$L$16"}</definedName>
    <definedName name="________________h1" hidden="1">{"'Sheet1'!$L$16"}</definedName>
    <definedName name="________________hu1" localSheetId="0" hidden="1">{"'Sheet1'!$L$16"}</definedName>
    <definedName name="________________hu1" hidden="1">{"'Sheet1'!$L$16"}</definedName>
    <definedName name="________________hu2" localSheetId="0" hidden="1">{"'Sheet1'!$L$16"}</definedName>
    <definedName name="________________hu2" hidden="1">{"'Sheet1'!$L$16"}</definedName>
    <definedName name="________________hu5" localSheetId="0" hidden="1">{"'Sheet1'!$L$16"}</definedName>
    <definedName name="________________hu5" hidden="1">{"'Sheet1'!$L$16"}</definedName>
    <definedName name="________________hu6" localSheetId="0" hidden="1">{"'Sheet1'!$L$16"}</definedName>
    <definedName name="________________hu6" hidden="1">{"'Sheet1'!$L$16"}</definedName>
    <definedName name="________________hu7" localSheetId="0" hidden="1">{"'Sheet1'!$L$16"}</definedName>
    <definedName name="________________hu7" hidden="1">{"'Sheet1'!$L$16"}</definedName>
    <definedName name="________________Lan1" localSheetId="0" hidden="1">{"'Sheet1'!$L$16"}</definedName>
    <definedName name="________________Lan1" hidden="1">{"'Sheet1'!$L$16"}</definedName>
    <definedName name="________________LAN3" localSheetId="0" hidden="1">{"'Sheet1'!$L$16"}</definedName>
    <definedName name="________________LAN3" hidden="1">{"'Sheet1'!$L$16"}</definedName>
    <definedName name="________________m4" localSheetId="0" hidden="1">{"'Sheet1'!$L$16"}</definedName>
    <definedName name="________________m4" hidden="1">{"'Sheet1'!$L$16"}</definedName>
    <definedName name="________________NSO2" localSheetId="0" hidden="1">{"'Sheet1'!$L$16"}</definedName>
    <definedName name="________________NSO2" hidden="1">{"'Sheet1'!$L$16"}</definedName>
    <definedName name="________________P3" localSheetId="0" hidden="1">{#N/A,#N/A,FALSE,"特殊室（ＢＱ表）"}</definedName>
    <definedName name="________________P3" hidden="1">{#N/A,#N/A,FALSE,"特殊室（ＢＱ表）"}</definedName>
    <definedName name="________________PA3" localSheetId="0" hidden="1">{"'Sheet1'!$L$16"}</definedName>
    <definedName name="________________PA3" hidden="1">{"'Sheet1'!$L$16"}</definedName>
    <definedName name="________________PPP3" localSheetId="0" hidden="1">{#N/A,#N/A,FALSE,"特殊室（ＢＱ表）"}</definedName>
    <definedName name="________________PPP3" hidden="1">{#N/A,#N/A,FALSE,"特殊室（ＢＱ表）"}</definedName>
    <definedName name="________________PPP33" localSheetId="0" hidden="1">{#N/A,#N/A,FALSE,"特殊室（ＢＱ表）"}</definedName>
    <definedName name="________________PPP33" hidden="1">{#N/A,#N/A,FALSE,"特殊室（ＢＱ表）"}</definedName>
    <definedName name="________________ppp34" localSheetId="0" hidden="1">{#N/A,#N/A,FALSE,"特殊室（ＢＱ表）"}</definedName>
    <definedName name="________________ppp34" hidden="1">{#N/A,#N/A,FALSE,"特殊室（ＢＱ表）"}</definedName>
    <definedName name="________________ppp3444" localSheetId="0" hidden="1">{#N/A,#N/A,FALSE,"特殊室（ＢＱ表）"}</definedName>
    <definedName name="________________ppp3444" hidden="1">{#N/A,#N/A,FALSE,"特殊室（ＢＱ表）"}</definedName>
    <definedName name="________________SCL4" localSheetId="0" hidden="1">{"'Sheet1'!$L$16"}</definedName>
    <definedName name="________________SCL4" hidden="1">{"'Sheet1'!$L$16"}</definedName>
    <definedName name="________________T10" localSheetId="0" hidden="1">{"'Sheet1'!$L$16"}</definedName>
    <definedName name="________________T10" hidden="1">{"'Sheet1'!$L$16"}</definedName>
    <definedName name="________________TH1" localSheetId="0" hidden="1">{"'Sheet1'!$L$16"}</definedName>
    <definedName name="________________TH1" hidden="1">{"'Sheet1'!$L$16"}</definedName>
    <definedName name="________________THT11" localSheetId="0" hidden="1">{"'Sheet1'!$L$16"}</definedName>
    <definedName name="________________THT11" hidden="1">{"'Sheet1'!$L$16"}</definedName>
    <definedName name="________________TM2" localSheetId="0" hidden="1">{"'Sheet1'!$L$16"}</definedName>
    <definedName name="________________TM2" hidden="1">{"'Sheet1'!$L$16"}</definedName>
    <definedName name="________________tt3" localSheetId="0" hidden="1">{"'Sheet1'!$L$16"}</definedName>
    <definedName name="________________tt3" hidden="1">{"'Sheet1'!$L$16"}</definedName>
    <definedName name="________________VT3" localSheetId="0" hidden="1">{"'Sheet1'!$L$16"}</definedName>
    <definedName name="________________VT3" hidden="1">{"'Sheet1'!$L$16"}</definedName>
    <definedName name="_______________a1" localSheetId="0" hidden="1">{"'Sheet1'!$L$16"}</definedName>
    <definedName name="_______________a1" hidden="1">{"'Sheet1'!$L$16"}</definedName>
    <definedName name="_______________a129" localSheetId="0"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localSheetId="0" hidden="1">{"'Sheet1'!$L$16"}</definedName>
    <definedName name="_______________BG12" hidden="1">{"'Sheet1'!$L$16"}</definedName>
    <definedName name="_______________CN1" localSheetId="0" hidden="1">{"'Sheet1'!$L$16"}</definedName>
    <definedName name="_______________CN1" hidden="1">{"'Sheet1'!$L$16"}</definedName>
    <definedName name="_______________DT10" localSheetId="0" hidden="1">{"'Sheet1'!$L$16"}</definedName>
    <definedName name="_______________DT10" hidden="1">{"'Sheet1'!$L$16"}</definedName>
    <definedName name="_______________Goi8" localSheetId="0" hidden="1">{"'Sheet1'!$L$16"}</definedName>
    <definedName name="_______________Goi8" hidden="1">{"'Sheet1'!$L$16"}</definedName>
    <definedName name="_______________h1" localSheetId="0" hidden="1">{"'Sheet1'!$L$16"}</definedName>
    <definedName name="_______________h1" hidden="1">{"'Sheet1'!$L$16"}</definedName>
    <definedName name="_______________hu1" localSheetId="0" hidden="1">{"'Sheet1'!$L$16"}</definedName>
    <definedName name="_______________hu1" hidden="1">{"'Sheet1'!$L$16"}</definedName>
    <definedName name="_______________hu2" localSheetId="0" hidden="1">{"'Sheet1'!$L$16"}</definedName>
    <definedName name="_______________hu2" hidden="1">{"'Sheet1'!$L$16"}</definedName>
    <definedName name="_______________hu5" localSheetId="0" hidden="1">{"'Sheet1'!$L$16"}</definedName>
    <definedName name="_______________hu5" hidden="1">{"'Sheet1'!$L$16"}</definedName>
    <definedName name="_______________hu6" localSheetId="0" hidden="1">{"'Sheet1'!$L$16"}</definedName>
    <definedName name="_______________hu6" hidden="1">{"'Sheet1'!$L$16"}</definedName>
    <definedName name="_______________hu7" localSheetId="0" hidden="1">{"'Sheet1'!$L$16"}</definedName>
    <definedName name="_______________hu7" hidden="1">{"'Sheet1'!$L$16"}</definedName>
    <definedName name="_______________Lan1" localSheetId="0" hidden="1">{"'Sheet1'!$L$16"}</definedName>
    <definedName name="_______________Lan1" hidden="1">{"'Sheet1'!$L$16"}</definedName>
    <definedName name="_______________LAN3" localSheetId="0" hidden="1">{"'Sheet1'!$L$16"}</definedName>
    <definedName name="_______________LAN3" hidden="1">{"'Sheet1'!$L$16"}</definedName>
    <definedName name="_______________m4" localSheetId="0" hidden="1">{"'Sheet1'!$L$16"}</definedName>
    <definedName name="_______________m4" hidden="1">{"'Sheet1'!$L$16"}</definedName>
    <definedName name="_______________ngk1109" localSheetId="0" hidden="1">{#N/A,#N/A,FALSE,"估價單  (3)"}</definedName>
    <definedName name="_______________ngk1109" hidden="1">{#N/A,#N/A,FALSE,"估價單  (3)"}</definedName>
    <definedName name="_______________NSO2" localSheetId="0" hidden="1">{"'Sheet1'!$L$16"}</definedName>
    <definedName name="_______________NSO2" hidden="1">{"'Sheet1'!$L$16"}</definedName>
    <definedName name="_______________P3" localSheetId="0" hidden="1">{#N/A,#N/A,FALSE,"特殊室（ＢＱ表）"}</definedName>
    <definedName name="_______________P3" hidden="1">{#N/A,#N/A,FALSE,"特殊室（ＢＱ表）"}</definedName>
    <definedName name="_______________PA3" localSheetId="0" hidden="1">{"'Sheet1'!$L$16"}</definedName>
    <definedName name="_______________PA3" hidden="1">{"'Sheet1'!$L$16"}</definedName>
    <definedName name="_______________PPP3" localSheetId="0" hidden="1">{#N/A,#N/A,FALSE,"特殊室（ＢＱ表）"}</definedName>
    <definedName name="_______________PPP3" hidden="1">{#N/A,#N/A,FALSE,"特殊室（ＢＱ表）"}</definedName>
    <definedName name="_______________PPP33" localSheetId="0" hidden="1">{#N/A,#N/A,FALSE,"特殊室（ＢＱ表）"}</definedName>
    <definedName name="_______________PPP33" hidden="1">{#N/A,#N/A,FALSE,"特殊室（ＢＱ表）"}</definedName>
    <definedName name="_______________ppp34" localSheetId="0" hidden="1">{#N/A,#N/A,FALSE,"特殊室（ＢＱ表）"}</definedName>
    <definedName name="_______________ppp34" hidden="1">{#N/A,#N/A,FALSE,"特殊室（ＢＱ表）"}</definedName>
    <definedName name="_______________ppp3444" localSheetId="0" hidden="1">{#N/A,#N/A,FALSE,"特殊室（ＢＱ表）"}</definedName>
    <definedName name="_______________ppp3444" hidden="1">{#N/A,#N/A,FALSE,"特殊室（ＢＱ表）"}</definedName>
    <definedName name="_______________SCL4" localSheetId="0" hidden="1">{"'Sheet1'!$L$16"}</definedName>
    <definedName name="_______________SCL4" hidden="1">{"'Sheet1'!$L$16"}</definedName>
    <definedName name="_______________T10" localSheetId="0" hidden="1">{"'Sheet1'!$L$16"}</definedName>
    <definedName name="_______________T10" hidden="1">{"'Sheet1'!$L$16"}</definedName>
    <definedName name="_______________TH1" localSheetId="0" hidden="1">{"'Sheet1'!$L$16"}</definedName>
    <definedName name="_______________TH1" hidden="1">{"'Sheet1'!$L$16"}</definedName>
    <definedName name="_______________THT11" localSheetId="0" hidden="1">{"'Sheet1'!$L$16"}</definedName>
    <definedName name="_______________THT11" hidden="1">{"'Sheet1'!$L$16"}</definedName>
    <definedName name="_______________TM2" localSheetId="0" hidden="1">{"'Sheet1'!$L$16"}</definedName>
    <definedName name="_______________TM2" hidden="1">{"'Sheet1'!$L$16"}</definedName>
    <definedName name="_______________tt3" localSheetId="0" hidden="1">{"'Sheet1'!$L$16"}</definedName>
    <definedName name="_______________tt3" hidden="1">{"'Sheet1'!$L$16"}</definedName>
    <definedName name="_______________TV2" localSheetId="0" hidden="1">{"'Sheet1'!$L$16"}</definedName>
    <definedName name="_______________TV2" hidden="1">{"'Sheet1'!$L$16"}</definedName>
    <definedName name="_______________VT3" localSheetId="0" hidden="1">{"'Sheet1'!$L$16"}</definedName>
    <definedName name="_______________VT3" hidden="1">{"'Sheet1'!$L$16"}</definedName>
    <definedName name="_______________xlfn.BAHTTEXT" hidden="1">#NAME?</definedName>
    <definedName name="______________a1" localSheetId="0" hidden="1">{"'Sheet1'!$L$16"}</definedName>
    <definedName name="______________a1" hidden="1">{"'Sheet1'!$L$16"}</definedName>
    <definedName name="______________a1_1" localSheetId="0" hidden="1">{"'Sheet1'!$L$16"}</definedName>
    <definedName name="______________a1_1" hidden="1">{"'Sheet1'!$L$16"}</definedName>
    <definedName name="______________a129" localSheetId="0"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localSheetId="0" hidden="1">{"'Sheet1'!$L$16"}</definedName>
    <definedName name="______________BG12" hidden="1">{"'Sheet1'!$L$16"}</definedName>
    <definedName name="______________CN1" localSheetId="0" hidden="1">{"'Sheet1'!$L$16"}</definedName>
    <definedName name="______________CN1" hidden="1">{"'Sheet1'!$L$16"}</definedName>
    <definedName name="______________DT10" localSheetId="0" hidden="1">{"'Sheet1'!$L$16"}</definedName>
    <definedName name="______________DT10" hidden="1">{"'Sheet1'!$L$16"}</definedName>
    <definedName name="______________Goi8" localSheetId="0" hidden="1">{"'Sheet1'!$L$16"}</definedName>
    <definedName name="______________Goi8" hidden="1">{"'Sheet1'!$L$16"}</definedName>
    <definedName name="______________Goi8_1" localSheetId="0" hidden="1">{"'Sheet1'!$L$16"}</definedName>
    <definedName name="______________Goi8_1" hidden="1">{"'Sheet1'!$L$16"}</definedName>
    <definedName name="______________h1" localSheetId="0" hidden="1">{"'Sheet1'!$L$16"}</definedName>
    <definedName name="______________h1" hidden="1">{"'Sheet1'!$L$16"}</definedName>
    <definedName name="______________hu1" localSheetId="0" hidden="1">{"'Sheet1'!$L$16"}</definedName>
    <definedName name="______________hu1" hidden="1">{"'Sheet1'!$L$16"}</definedName>
    <definedName name="______________hu2" localSheetId="0" hidden="1">{"'Sheet1'!$L$16"}</definedName>
    <definedName name="______________hu2" hidden="1">{"'Sheet1'!$L$16"}</definedName>
    <definedName name="______________hu5" localSheetId="0" hidden="1">{"'Sheet1'!$L$16"}</definedName>
    <definedName name="______________hu5" hidden="1">{"'Sheet1'!$L$16"}</definedName>
    <definedName name="______________hu6" localSheetId="0" hidden="1">{"'Sheet1'!$L$16"}</definedName>
    <definedName name="______________hu6" hidden="1">{"'Sheet1'!$L$16"}</definedName>
    <definedName name="______________hu7" localSheetId="0" hidden="1">{"'Sheet1'!$L$16"}</definedName>
    <definedName name="______________hu7" hidden="1">{"'Sheet1'!$L$16"}</definedName>
    <definedName name="______________Lan1" localSheetId="0" hidden="1">{"'Sheet1'!$L$16"}</definedName>
    <definedName name="______________Lan1" hidden="1">{"'Sheet1'!$L$16"}</definedName>
    <definedName name="______________LAN3" localSheetId="0" hidden="1">{"'Sheet1'!$L$16"}</definedName>
    <definedName name="______________LAN3" hidden="1">{"'Sheet1'!$L$16"}</definedName>
    <definedName name="______________ngk1109" localSheetId="0" hidden="1">{#N/A,#N/A,FALSE,"估價單  (3)"}</definedName>
    <definedName name="______________ngk1109" hidden="1">{#N/A,#N/A,FALSE,"估價單  (3)"}</definedName>
    <definedName name="______________NSO2" localSheetId="0" hidden="1">{"'Sheet1'!$L$16"}</definedName>
    <definedName name="______________NSO2" hidden="1">{"'Sheet1'!$L$16"}</definedName>
    <definedName name="______________P3" localSheetId="0" hidden="1">{#N/A,#N/A,FALSE,"特殊室（ＢＱ表）"}</definedName>
    <definedName name="______________P3" hidden="1">{#N/A,#N/A,FALSE,"特殊室（ＢＱ表）"}</definedName>
    <definedName name="______________PA3" localSheetId="0" hidden="1">{"'Sheet1'!$L$16"}</definedName>
    <definedName name="______________PA3" hidden="1">{"'Sheet1'!$L$16"}</definedName>
    <definedName name="______________PPP3" localSheetId="0" hidden="1">{#N/A,#N/A,FALSE,"特殊室（ＢＱ表）"}</definedName>
    <definedName name="______________PPP3" hidden="1">{#N/A,#N/A,FALSE,"特殊室（ＢＱ表）"}</definedName>
    <definedName name="______________PPP33" localSheetId="0" hidden="1">{#N/A,#N/A,FALSE,"特殊室（ＢＱ表）"}</definedName>
    <definedName name="______________PPP33" hidden="1">{#N/A,#N/A,FALSE,"特殊室（ＢＱ表）"}</definedName>
    <definedName name="______________ppp34" localSheetId="0" hidden="1">{#N/A,#N/A,FALSE,"特殊室（ＢＱ表）"}</definedName>
    <definedName name="______________ppp34" hidden="1">{#N/A,#N/A,FALSE,"特殊室（ＢＱ表）"}</definedName>
    <definedName name="______________ppp3444" localSheetId="0" hidden="1">{#N/A,#N/A,FALSE,"特殊室（ＢＱ表）"}</definedName>
    <definedName name="______________ppp3444" hidden="1">{#N/A,#N/A,FALSE,"特殊室（ＢＱ表）"}</definedName>
    <definedName name="______________SCL4" localSheetId="0" hidden="1">{"'Sheet1'!$L$16"}</definedName>
    <definedName name="______________SCL4" hidden="1">{"'Sheet1'!$L$16"}</definedName>
    <definedName name="______________SCL4_1" localSheetId="0" hidden="1">{"'Sheet1'!$L$16"}</definedName>
    <definedName name="______________SCL4_1" hidden="1">{"'Sheet1'!$L$16"}</definedName>
    <definedName name="______________T10" localSheetId="0" hidden="1">{"'Sheet1'!$L$16"}</definedName>
    <definedName name="______________T10" hidden="1">{"'Sheet1'!$L$16"}</definedName>
    <definedName name="______________TH1" localSheetId="0" hidden="1">{"'Sheet1'!$L$16"}</definedName>
    <definedName name="______________TH1" hidden="1">{"'Sheet1'!$L$16"}</definedName>
    <definedName name="______________THT11" localSheetId="0" hidden="1">{"'Sheet1'!$L$16"}</definedName>
    <definedName name="______________THT11" hidden="1">{"'Sheet1'!$L$16"}</definedName>
    <definedName name="______________TM2" localSheetId="0" hidden="1">{"'Sheet1'!$L$16"}</definedName>
    <definedName name="______________TM2" hidden="1">{"'Sheet1'!$L$16"}</definedName>
    <definedName name="______________tu4" localSheetId="0" hidden="1">{"'Sheet1'!$L$16"}</definedName>
    <definedName name="______________tu4" hidden="1">{"'Sheet1'!$L$16"}</definedName>
    <definedName name="______________TV2" localSheetId="0" hidden="1">{"'Sheet1'!$L$16"}</definedName>
    <definedName name="______________TV2" hidden="1">{"'Sheet1'!$L$16"}</definedName>
    <definedName name="______________VT3" localSheetId="0" hidden="1">{"'Sheet1'!$L$16"}</definedName>
    <definedName name="______________VT3" hidden="1">{"'Sheet1'!$L$16"}</definedName>
    <definedName name="______________xlfn.BAHTTEXT" hidden="1">#NAME?</definedName>
    <definedName name="_____________a1" localSheetId="0" hidden="1">{"'Sheet1'!$L$16"}</definedName>
    <definedName name="_____________a1" hidden="1">{"'Sheet1'!$L$16"}</definedName>
    <definedName name="_____________a1_1" localSheetId="0" hidden="1">{"'Sheet1'!$L$16"}</definedName>
    <definedName name="_____________a1_1" hidden="1">{"'Sheet1'!$L$16"}</definedName>
    <definedName name="_____________a129" localSheetId="0"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localSheetId="0" hidden="1">{"'Sheet1'!$L$16"}</definedName>
    <definedName name="_____________BG12" hidden="1">{"'Sheet1'!$L$16"}</definedName>
    <definedName name="_____________CN1" localSheetId="0" hidden="1">{"'Sheet1'!$L$16"}</definedName>
    <definedName name="_____________CN1" hidden="1">{"'Sheet1'!$L$16"}</definedName>
    <definedName name="_____________DT10" localSheetId="0" hidden="1">{"'Sheet1'!$L$16"}</definedName>
    <definedName name="_____________DT10" hidden="1">{"'Sheet1'!$L$16"}</definedName>
    <definedName name="_____________Goi8" localSheetId="0" hidden="1">{"'Sheet1'!$L$16"}</definedName>
    <definedName name="_____________Goi8" hidden="1">{"'Sheet1'!$L$16"}</definedName>
    <definedName name="_____________Goi8_1" localSheetId="0" hidden="1">{"'Sheet1'!$L$16"}</definedName>
    <definedName name="_____________Goi8_1" hidden="1">{"'Sheet1'!$L$16"}</definedName>
    <definedName name="_____________h1" localSheetId="0" hidden="1">{"'Sheet1'!$L$16"}</definedName>
    <definedName name="_____________h1" hidden="1">{"'Sheet1'!$L$16"}</definedName>
    <definedName name="_____________hu1" localSheetId="0" hidden="1">{"'Sheet1'!$L$16"}</definedName>
    <definedName name="_____________hu1" hidden="1">{"'Sheet1'!$L$16"}</definedName>
    <definedName name="_____________hu2" localSheetId="0" hidden="1">{"'Sheet1'!$L$16"}</definedName>
    <definedName name="_____________hu2" hidden="1">{"'Sheet1'!$L$16"}</definedName>
    <definedName name="_____________hu5" localSheetId="0" hidden="1">{"'Sheet1'!$L$16"}</definedName>
    <definedName name="_____________hu5" hidden="1">{"'Sheet1'!$L$16"}</definedName>
    <definedName name="_____________hu6" localSheetId="0" hidden="1">{"'Sheet1'!$L$16"}</definedName>
    <definedName name="_____________hu6" hidden="1">{"'Sheet1'!$L$16"}</definedName>
    <definedName name="_____________hu7" localSheetId="0" hidden="1">{"'Sheet1'!$L$16"}</definedName>
    <definedName name="_____________hu7" hidden="1">{"'Sheet1'!$L$16"}</definedName>
    <definedName name="_____________Lan1" localSheetId="0" hidden="1">{"'Sheet1'!$L$16"}</definedName>
    <definedName name="_____________Lan1" hidden="1">{"'Sheet1'!$L$16"}</definedName>
    <definedName name="_____________LAN3" localSheetId="0" hidden="1">{"'Sheet1'!$L$16"}</definedName>
    <definedName name="_____________LAN3" hidden="1">{"'Sheet1'!$L$16"}</definedName>
    <definedName name="_____________lop111" localSheetId="0" hidden="1">{#N/A,#N/A,FALSE,"特殊室（ＢＱ表）"}</definedName>
    <definedName name="_____________lop111" hidden="1">{#N/A,#N/A,FALSE,"特殊室（ＢＱ表）"}</definedName>
    <definedName name="_____________m4" localSheetId="0" hidden="1">{"'Sheet1'!$L$16"}</definedName>
    <definedName name="_____________m4" hidden="1">{"'Sheet1'!$L$16"}</definedName>
    <definedName name="_____________ngk1109" localSheetId="0" hidden="1">{#N/A,#N/A,FALSE,"估價單  (3)"}</definedName>
    <definedName name="_____________ngk1109" hidden="1">{#N/A,#N/A,FALSE,"估價單  (3)"}</definedName>
    <definedName name="_____________NO2" hidden="1">#REF!</definedName>
    <definedName name="_____________NSO2" localSheetId="0" hidden="1">{"'Sheet1'!$L$16"}</definedName>
    <definedName name="_____________NSO2" hidden="1">{"'Sheet1'!$L$16"}</definedName>
    <definedName name="_____________P3" localSheetId="0" hidden="1">{#N/A,#N/A,FALSE,"特殊室（ＢＱ表）"}</definedName>
    <definedName name="_____________P3" hidden="1">{#N/A,#N/A,FALSE,"特殊室（ＢＱ表）"}</definedName>
    <definedName name="_____________PA3" localSheetId="0" hidden="1">{"'Sheet1'!$L$16"}</definedName>
    <definedName name="_____________PA3" hidden="1">{"'Sheet1'!$L$16"}</definedName>
    <definedName name="_____________PPP3" localSheetId="0" hidden="1">{#N/A,#N/A,FALSE,"特殊室（ＢＱ表）"}</definedName>
    <definedName name="_____________PPP3" hidden="1">{#N/A,#N/A,FALSE,"特殊室（ＢＱ表）"}</definedName>
    <definedName name="_____________PPP33" localSheetId="0" hidden="1">{#N/A,#N/A,FALSE,"特殊室（ＢＱ表）"}</definedName>
    <definedName name="_____________PPP33" hidden="1">{#N/A,#N/A,FALSE,"特殊室（ＢＱ表）"}</definedName>
    <definedName name="_____________ppp34" localSheetId="0" hidden="1">{#N/A,#N/A,FALSE,"特殊室（ＢＱ表）"}</definedName>
    <definedName name="_____________ppp34" hidden="1">{#N/A,#N/A,FALSE,"特殊室（ＢＱ表）"}</definedName>
    <definedName name="_____________ppp3444" localSheetId="0" hidden="1">{#N/A,#N/A,FALSE,"特殊室（ＢＱ表）"}</definedName>
    <definedName name="_____________ppp3444" hidden="1">{#N/A,#N/A,FALSE,"特殊室（ＢＱ表）"}</definedName>
    <definedName name="_____________SCL4" localSheetId="0" hidden="1">{"'Sheet1'!$L$16"}</definedName>
    <definedName name="_____________SCL4" hidden="1">{"'Sheet1'!$L$16"}</definedName>
    <definedName name="_____________SCL4_1" localSheetId="0" hidden="1">{"'Sheet1'!$L$16"}</definedName>
    <definedName name="_____________SCL4_1" hidden="1">{"'Sheet1'!$L$16"}</definedName>
    <definedName name="_____________T10" localSheetId="0" hidden="1">{"'Sheet1'!$L$16"}</definedName>
    <definedName name="_____________T10" hidden="1">{"'Sheet1'!$L$16"}</definedName>
    <definedName name="_____________TH1" localSheetId="0" hidden="1">{"'Sheet1'!$L$16"}</definedName>
    <definedName name="_____________TH1" hidden="1">{"'Sheet1'!$L$16"}</definedName>
    <definedName name="_____________THT11" localSheetId="0" hidden="1">{"'Sheet1'!$L$16"}</definedName>
    <definedName name="_____________THT11" hidden="1">{"'Sheet1'!$L$16"}</definedName>
    <definedName name="_____________TM2" localSheetId="0" hidden="1">{"'Sheet1'!$L$16"}</definedName>
    <definedName name="_____________TM2" hidden="1">{"'Sheet1'!$L$16"}</definedName>
    <definedName name="_____________tt3" localSheetId="0" hidden="1">{"'Sheet1'!$L$16"}</definedName>
    <definedName name="_____________tt3" hidden="1">{"'Sheet1'!$L$16"}</definedName>
    <definedName name="_____________tu4" localSheetId="0" hidden="1">{"'Sheet1'!$L$16"}</definedName>
    <definedName name="_____________tu4" hidden="1">{"'Sheet1'!$L$16"}</definedName>
    <definedName name="_____________TV2" localSheetId="0" hidden="1">{"'Sheet1'!$L$16"}</definedName>
    <definedName name="_____________TV2" hidden="1">{"'Sheet1'!$L$16"}</definedName>
    <definedName name="_____________VT3" localSheetId="0" hidden="1">{"'Sheet1'!$L$16"}</definedName>
    <definedName name="_____________VT3" hidden="1">{"'Sheet1'!$L$16"}</definedName>
    <definedName name="_____________xlfn.BAHTTEXT" hidden="1">#NAME?</definedName>
    <definedName name="____________a1" localSheetId="0" hidden="1">{"'Sheet1'!$L$16"}</definedName>
    <definedName name="____________a1" hidden="1">{"'Sheet1'!$L$16"}</definedName>
    <definedName name="____________a1_1" localSheetId="0" hidden="1">{"'Sheet1'!$L$16"}</definedName>
    <definedName name="____________a1_1" hidden="1">{"'Sheet1'!$L$16"}</definedName>
    <definedName name="____________a129" localSheetId="0"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localSheetId="0" hidden="1">{"'Sheet1'!$L$16"}</definedName>
    <definedName name="____________BG12" hidden="1">{"'Sheet1'!$L$16"}</definedName>
    <definedName name="____________CN1" localSheetId="0" hidden="1">{"'Sheet1'!$L$16"}</definedName>
    <definedName name="____________CN1" hidden="1">{"'Sheet1'!$L$16"}</definedName>
    <definedName name="____________DT10" localSheetId="0" hidden="1">{"'Sheet1'!$L$16"}</definedName>
    <definedName name="____________DT10" hidden="1">{"'Sheet1'!$L$16"}</definedName>
    <definedName name="____________Goi8" localSheetId="0" hidden="1">{"'Sheet1'!$L$16"}</definedName>
    <definedName name="____________Goi8" hidden="1">{"'Sheet1'!$L$16"}</definedName>
    <definedName name="____________Goi8_1" localSheetId="0" hidden="1">{"'Sheet1'!$L$16"}</definedName>
    <definedName name="____________Goi8_1" hidden="1">{"'Sheet1'!$L$16"}</definedName>
    <definedName name="____________Lan1" localSheetId="0" hidden="1">{"'Sheet1'!$L$16"}</definedName>
    <definedName name="____________Lan1" hidden="1">{"'Sheet1'!$L$16"}</definedName>
    <definedName name="____________LAN3" localSheetId="0" hidden="1">{"'Sheet1'!$L$16"}</definedName>
    <definedName name="____________LAN3" hidden="1">{"'Sheet1'!$L$16"}</definedName>
    <definedName name="____________lop111" localSheetId="0" hidden="1">{#N/A,#N/A,FALSE,"特殊室（ＢＱ表）"}</definedName>
    <definedName name="____________lop111" hidden="1">{#N/A,#N/A,FALSE,"特殊室（ＢＱ表）"}</definedName>
    <definedName name="____________m4" localSheetId="0" hidden="1">{"'Sheet1'!$L$16"}</definedName>
    <definedName name="____________m4" hidden="1">{"'Sheet1'!$L$16"}</definedName>
    <definedName name="____________ngk1109" localSheetId="0" hidden="1">{#N/A,#N/A,FALSE,"估價單  (3)"}</definedName>
    <definedName name="____________ngk1109" hidden="1">{#N/A,#N/A,FALSE,"估價單  (3)"}</definedName>
    <definedName name="____________NO2" hidden="1">#REF!</definedName>
    <definedName name="____________NSO2" localSheetId="0" hidden="1">{"'Sheet1'!$L$16"}</definedName>
    <definedName name="____________NSO2" hidden="1">{"'Sheet1'!$L$16"}</definedName>
    <definedName name="____________P3" localSheetId="0" hidden="1">{#N/A,#N/A,FALSE,"特殊室（ＢＱ表）"}</definedName>
    <definedName name="____________P3" hidden="1">{#N/A,#N/A,FALSE,"特殊室（ＢＱ表）"}</definedName>
    <definedName name="____________PA3" localSheetId="0" hidden="1">{"'Sheet1'!$L$16"}</definedName>
    <definedName name="____________PA3" hidden="1">{"'Sheet1'!$L$16"}</definedName>
    <definedName name="____________PPP3" localSheetId="0" hidden="1">{#N/A,#N/A,FALSE,"特殊室（ＢＱ表）"}</definedName>
    <definedName name="____________PPP3" hidden="1">{#N/A,#N/A,FALSE,"特殊室（ＢＱ表）"}</definedName>
    <definedName name="____________PPP33" localSheetId="0" hidden="1">{#N/A,#N/A,FALSE,"特殊室（ＢＱ表）"}</definedName>
    <definedName name="____________PPP33" hidden="1">{#N/A,#N/A,FALSE,"特殊室（ＢＱ表）"}</definedName>
    <definedName name="____________ppp34" localSheetId="0" hidden="1">{#N/A,#N/A,FALSE,"特殊室（ＢＱ表）"}</definedName>
    <definedName name="____________ppp34" hidden="1">{#N/A,#N/A,FALSE,"特殊室（ＢＱ表）"}</definedName>
    <definedName name="____________ppp3444" localSheetId="0" hidden="1">{#N/A,#N/A,FALSE,"特殊室（ＢＱ表）"}</definedName>
    <definedName name="____________ppp3444" hidden="1">{#N/A,#N/A,FALSE,"特殊室（ＢＱ表）"}</definedName>
    <definedName name="____________SCL4" localSheetId="0" hidden="1">{"'Sheet1'!$L$16"}</definedName>
    <definedName name="____________SCL4" hidden="1">{"'Sheet1'!$L$16"}</definedName>
    <definedName name="____________SCL4_1" localSheetId="0" hidden="1">{"'Sheet1'!$L$16"}</definedName>
    <definedName name="____________SCL4_1" hidden="1">{"'Sheet1'!$L$16"}</definedName>
    <definedName name="____________T3" localSheetId="0" hidden="1">{"'Sheet1'!$L$16"}</definedName>
    <definedName name="____________T3" hidden="1">{"'Sheet1'!$L$16"}</definedName>
    <definedName name="____________TH1" localSheetId="0" hidden="1">{"'Sheet1'!$L$16"}</definedName>
    <definedName name="____________TH1" hidden="1">{"'Sheet1'!$L$16"}</definedName>
    <definedName name="____________THT11" localSheetId="0" hidden="1">{"'Sheet1'!$L$16"}</definedName>
    <definedName name="____________THT11" hidden="1">{"'Sheet1'!$L$16"}</definedName>
    <definedName name="____________TM2" localSheetId="0" hidden="1">{"'Sheet1'!$L$16"}</definedName>
    <definedName name="____________TM2" hidden="1">{"'Sheet1'!$L$16"}</definedName>
    <definedName name="____________tt3" localSheetId="0" hidden="1">{"'Sheet1'!$L$16"}</definedName>
    <definedName name="____________tt3" hidden="1">{"'Sheet1'!$L$16"}</definedName>
    <definedName name="____________tu4" localSheetId="0" hidden="1">{"'Sheet1'!$L$16"}</definedName>
    <definedName name="____________tu4" hidden="1">{"'Sheet1'!$L$16"}</definedName>
    <definedName name="____________TV2" localSheetId="0" hidden="1">{"'Sheet1'!$L$16"}</definedName>
    <definedName name="____________TV2" hidden="1">{"'Sheet1'!$L$16"}</definedName>
    <definedName name="____________VT3" localSheetId="0" hidden="1">{"'Sheet1'!$L$16"}</definedName>
    <definedName name="____________VT3" hidden="1">{"'Sheet1'!$L$16"}</definedName>
    <definedName name="____________xlfn.BAHTTEXT" hidden="1">#NAME?</definedName>
    <definedName name="___________a1" localSheetId="0" hidden="1">{"'Sheet1'!$L$16"}</definedName>
    <definedName name="___________a1" hidden="1">{"'Sheet1'!$L$16"}</definedName>
    <definedName name="___________a1_1" localSheetId="0" hidden="1">{"'Sheet1'!$L$16"}</definedName>
    <definedName name="___________a1_1" hidden="1">{"'Sheet1'!$L$16"}</definedName>
    <definedName name="___________a129" localSheetId="0"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localSheetId="0" hidden="1">{"'Sheet1'!$L$16"}</definedName>
    <definedName name="___________a2" hidden="1">{"'Sheet1'!$L$16"}</definedName>
    <definedName name="___________BG12" localSheetId="0" hidden="1">{"'Sheet1'!$L$16"}</definedName>
    <definedName name="___________BG12" hidden="1">{"'Sheet1'!$L$16"}</definedName>
    <definedName name="___________CN1" localSheetId="0" hidden="1">{"'Sheet1'!$L$16"}</definedName>
    <definedName name="___________CN1" hidden="1">{"'Sheet1'!$L$16"}</definedName>
    <definedName name="___________DT10" localSheetId="0" hidden="1">{"'Sheet1'!$L$16"}</definedName>
    <definedName name="___________DT10" hidden="1">{"'Sheet1'!$L$16"}</definedName>
    <definedName name="___________Goi8" localSheetId="0" hidden="1">{"'Sheet1'!$L$16"}</definedName>
    <definedName name="___________Goi8" hidden="1">{"'Sheet1'!$L$16"}</definedName>
    <definedName name="___________Goi8_1" localSheetId="0" hidden="1">{"'Sheet1'!$L$16"}</definedName>
    <definedName name="___________Goi8_1" hidden="1">{"'Sheet1'!$L$16"}</definedName>
    <definedName name="___________h1" localSheetId="0" hidden="1">{"'Sheet1'!$L$16"}</definedName>
    <definedName name="___________h1" hidden="1">{"'Sheet1'!$L$16"}</definedName>
    <definedName name="___________hu1" localSheetId="0" hidden="1">{"'Sheet1'!$L$16"}</definedName>
    <definedName name="___________hu1" hidden="1">{"'Sheet1'!$L$16"}</definedName>
    <definedName name="___________hu2" localSheetId="0" hidden="1">{"'Sheet1'!$L$16"}</definedName>
    <definedName name="___________hu2" hidden="1">{"'Sheet1'!$L$16"}</definedName>
    <definedName name="___________hu5" localSheetId="0" hidden="1">{"'Sheet1'!$L$16"}</definedName>
    <definedName name="___________hu5" hidden="1">{"'Sheet1'!$L$16"}</definedName>
    <definedName name="___________hu6" localSheetId="0" hidden="1">{"'Sheet1'!$L$16"}</definedName>
    <definedName name="___________hu6" hidden="1">{"'Sheet1'!$L$16"}</definedName>
    <definedName name="___________hu7" localSheetId="0" hidden="1">{"'Sheet1'!$L$16"}</definedName>
    <definedName name="___________hu7" hidden="1">{"'Sheet1'!$L$16"}</definedName>
    <definedName name="___________LAN3" localSheetId="0" hidden="1">{"'Sheet1'!$L$16"}</definedName>
    <definedName name="___________LAN3" hidden="1">{"'Sheet1'!$L$16"}</definedName>
    <definedName name="___________lop111" localSheetId="0" hidden="1">{#N/A,#N/A,FALSE,"特殊室（ＢＱ表）"}</definedName>
    <definedName name="___________lop111" hidden="1">{#N/A,#N/A,FALSE,"特殊室（ＢＱ表）"}</definedName>
    <definedName name="___________m4" localSheetId="0" hidden="1">{"'Sheet1'!$L$16"}</definedName>
    <definedName name="___________m4" hidden="1">{"'Sheet1'!$L$16"}</definedName>
    <definedName name="___________ngk1109" localSheetId="0" hidden="1">{#N/A,#N/A,FALSE,"估價單  (3)"}</definedName>
    <definedName name="___________ngk1109" hidden="1">{#N/A,#N/A,FALSE,"估價單  (3)"}</definedName>
    <definedName name="___________NO1" hidden="1">#REF!</definedName>
    <definedName name="___________NO2" hidden="1">#REF!</definedName>
    <definedName name="___________NSO2" localSheetId="0" hidden="1">{"'Sheet1'!$L$16"}</definedName>
    <definedName name="___________NSO2" hidden="1">{"'Sheet1'!$L$16"}</definedName>
    <definedName name="___________P3" localSheetId="0" hidden="1">{#N/A,#N/A,FALSE,"特殊室（ＢＱ表）"}</definedName>
    <definedName name="___________P3" hidden="1">{#N/A,#N/A,FALSE,"特殊室（ＢＱ表）"}</definedName>
    <definedName name="___________PA3" localSheetId="0" hidden="1">{"'Sheet1'!$L$16"}</definedName>
    <definedName name="___________PA3" hidden="1">{"'Sheet1'!$L$16"}</definedName>
    <definedName name="___________PPP3" localSheetId="0" hidden="1">{#N/A,#N/A,FALSE,"特殊室（ＢＱ表）"}</definedName>
    <definedName name="___________PPP3" hidden="1">{#N/A,#N/A,FALSE,"特殊室（ＢＱ表）"}</definedName>
    <definedName name="___________PPP33" localSheetId="0" hidden="1">{#N/A,#N/A,FALSE,"特殊室（ＢＱ表）"}</definedName>
    <definedName name="___________PPP33" hidden="1">{#N/A,#N/A,FALSE,"特殊室（ＢＱ表）"}</definedName>
    <definedName name="___________ppp34" localSheetId="0" hidden="1">{#N/A,#N/A,FALSE,"特殊室（ＢＱ表）"}</definedName>
    <definedName name="___________ppp34" hidden="1">{#N/A,#N/A,FALSE,"特殊室（ＢＱ表）"}</definedName>
    <definedName name="___________ppp3444" localSheetId="0" hidden="1">{#N/A,#N/A,FALSE,"特殊室（ＢＱ表）"}</definedName>
    <definedName name="___________ppp3444" hidden="1">{#N/A,#N/A,FALSE,"特殊室（ＢＱ表）"}</definedName>
    <definedName name="___________SCL4" localSheetId="0" hidden="1">{"'Sheet1'!$L$16"}</definedName>
    <definedName name="___________SCL4" hidden="1">{"'Sheet1'!$L$16"}</definedName>
    <definedName name="___________SCL4_1" localSheetId="0" hidden="1">{"'Sheet1'!$L$16"}</definedName>
    <definedName name="___________SCL4_1" hidden="1">{"'Sheet1'!$L$16"}</definedName>
    <definedName name="___________T10" localSheetId="0" hidden="1">{"'Sheet1'!$L$16"}</definedName>
    <definedName name="___________T10" hidden="1">{"'Sheet1'!$L$16"}</definedName>
    <definedName name="___________THT11" localSheetId="0" hidden="1">{"'Sheet1'!$L$16"}</definedName>
    <definedName name="___________THT11" hidden="1">{"'Sheet1'!$L$16"}</definedName>
    <definedName name="___________TM2" localSheetId="0" hidden="1">{"'Sheet1'!$L$16"}</definedName>
    <definedName name="___________TM2" hidden="1">{"'Sheet1'!$L$16"}</definedName>
    <definedName name="___________tt3" localSheetId="0" hidden="1">{"'Sheet1'!$L$16"}</definedName>
    <definedName name="___________tt3" hidden="1">{"'Sheet1'!$L$16"}</definedName>
    <definedName name="___________tu4" localSheetId="0" hidden="1">{"'Sheet1'!$L$16"}</definedName>
    <definedName name="___________tu4" hidden="1">{"'Sheet1'!$L$16"}</definedName>
    <definedName name="___________TV2" localSheetId="0" hidden="1">{"'Sheet1'!$L$16"}</definedName>
    <definedName name="___________TV2" hidden="1">{"'Sheet1'!$L$16"}</definedName>
    <definedName name="___________VT3" localSheetId="0" hidden="1">{"'Sheet1'!$L$16"}</definedName>
    <definedName name="___________VT3" hidden="1">{"'Sheet1'!$L$16"}</definedName>
    <definedName name="___________xlfn.BAHTTEXT" hidden="1">#NAME?</definedName>
    <definedName name="__________a1" localSheetId="0" hidden="1">{"'Sheet1'!$L$16"}</definedName>
    <definedName name="__________a1" hidden="1">{"'Sheet1'!$L$16"}</definedName>
    <definedName name="__________a1_1" localSheetId="0" hidden="1">{"'Sheet1'!$L$16"}</definedName>
    <definedName name="__________a1_1" hidden="1">{"'Sheet1'!$L$16"}</definedName>
    <definedName name="__________a129" localSheetId="0"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localSheetId="0" hidden="1">{"'Sheet1'!$L$16"}</definedName>
    <definedName name="__________a2" hidden="1">{"'Sheet1'!$L$16"}</definedName>
    <definedName name="__________BG12" localSheetId="0" hidden="1">{"'Sheet1'!$L$16"}</definedName>
    <definedName name="__________BG12" hidden="1">{"'Sheet1'!$L$16"}</definedName>
    <definedName name="__________CN1" localSheetId="0" hidden="1">{"'Sheet1'!$L$16"}</definedName>
    <definedName name="__________CN1" hidden="1">{"'Sheet1'!$L$16"}</definedName>
    <definedName name="__________d1500" localSheetId="0" hidden="1">{"'Sheet1'!$L$16"}</definedName>
    <definedName name="__________d1500" hidden="1">{"'Sheet1'!$L$16"}</definedName>
    <definedName name="__________DT10" localSheetId="0" hidden="1">{"'Sheet1'!$L$16"}</definedName>
    <definedName name="__________DT10" hidden="1">{"'Sheet1'!$L$16"}</definedName>
    <definedName name="__________Goi8" localSheetId="0" hidden="1">{"'Sheet1'!$L$16"}</definedName>
    <definedName name="__________Goi8" hidden="1">{"'Sheet1'!$L$16"}</definedName>
    <definedName name="__________Goi8_1" localSheetId="0" hidden="1">{"'Sheet1'!$L$16"}</definedName>
    <definedName name="__________Goi8_1" hidden="1">{"'Sheet1'!$L$16"}</definedName>
    <definedName name="__________h1" localSheetId="0" hidden="1">{"'Sheet1'!$L$16"}</definedName>
    <definedName name="__________h1" hidden="1">{"'Sheet1'!$L$16"}</definedName>
    <definedName name="__________hu1" localSheetId="0" hidden="1">{"'Sheet1'!$L$16"}</definedName>
    <definedName name="__________hu1" hidden="1">{"'Sheet1'!$L$16"}</definedName>
    <definedName name="__________hu2" localSheetId="0" hidden="1">{"'Sheet1'!$L$16"}</definedName>
    <definedName name="__________hu2" hidden="1">{"'Sheet1'!$L$16"}</definedName>
    <definedName name="__________hu5" localSheetId="0" hidden="1">{"'Sheet1'!$L$16"}</definedName>
    <definedName name="__________hu5" hidden="1">{"'Sheet1'!$L$16"}</definedName>
    <definedName name="__________hu6" localSheetId="0" hidden="1">{"'Sheet1'!$L$16"}</definedName>
    <definedName name="__________hu6" hidden="1">{"'Sheet1'!$L$16"}</definedName>
    <definedName name="__________hu7" localSheetId="0" hidden="1">{"'Sheet1'!$L$16"}</definedName>
    <definedName name="__________hu7" hidden="1">{"'Sheet1'!$L$16"}</definedName>
    <definedName name="__________Lan1" localSheetId="0" hidden="1">{"'Sheet1'!$L$16"}</definedName>
    <definedName name="__________Lan1" hidden="1">{"'Sheet1'!$L$16"}</definedName>
    <definedName name="__________LAN3" localSheetId="0" hidden="1">{"'Sheet1'!$L$16"}</definedName>
    <definedName name="__________LAN3" hidden="1">{"'Sheet1'!$L$16"}</definedName>
    <definedName name="__________lop111" localSheetId="0" hidden="1">{#N/A,#N/A,FALSE,"特殊室（ＢＱ表）"}</definedName>
    <definedName name="__________lop111" hidden="1">{#N/A,#N/A,FALSE,"特殊室（ＢＱ表）"}</definedName>
    <definedName name="__________m4" localSheetId="0" hidden="1">{"'Sheet1'!$L$16"}</definedName>
    <definedName name="__________m4" hidden="1">{"'Sheet1'!$L$16"}</definedName>
    <definedName name="__________ngk1109" localSheetId="0" hidden="1">{#N/A,#N/A,FALSE,"估價單  (3)"}</definedName>
    <definedName name="__________ngk1109" hidden="1">{#N/A,#N/A,FALSE,"估價單  (3)"}</definedName>
    <definedName name="__________NO1" hidden="1">#REF!</definedName>
    <definedName name="__________NO2" hidden="1">#REF!</definedName>
    <definedName name="__________NSO2" localSheetId="0" hidden="1">{"'Sheet1'!$L$16"}</definedName>
    <definedName name="__________NSO2" hidden="1">{"'Sheet1'!$L$16"}</definedName>
    <definedName name="__________P3" localSheetId="0" hidden="1">{#N/A,#N/A,FALSE,"特殊室（ＢＱ表）"}</definedName>
    <definedName name="__________P3" hidden="1">{#N/A,#N/A,FALSE,"特殊室（ＢＱ表）"}</definedName>
    <definedName name="__________PA3" localSheetId="0" hidden="1">{"'Sheet1'!$L$16"}</definedName>
    <definedName name="__________PA3" hidden="1">{"'Sheet1'!$L$16"}</definedName>
    <definedName name="__________PPP3" localSheetId="0" hidden="1">{#N/A,#N/A,FALSE,"特殊室（ＢＱ表）"}</definedName>
    <definedName name="__________PPP3" hidden="1">{#N/A,#N/A,FALSE,"特殊室（ＢＱ表）"}</definedName>
    <definedName name="__________PPP33" localSheetId="0" hidden="1">{#N/A,#N/A,FALSE,"特殊室（ＢＱ表）"}</definedName>
    <definedName name="__________PPP33" hidden="1">{#N/A,#N/A,FALSE,"特殊室（ＢＱ表）"}</definedName>
    <definedName name="__________ppp34" localSheetId="0" hidden="1">{#N/A,#N/A,FALSE,"特殊室（ＢＱ表）"}</definedName>
    <definedName name="__________ppp34" hidden="1">{#N/A,#N/A,FALSE,"特殊室（ＢＱ表）"}</definedName>
    <definedName name="__________ppp3444" localSheetId="0" hidden="1">{#N/A,#N/A,FALSE,"特殊室（ＢＱ表）"}</definedName>
    <definedName name="__________ppp3444" hidden="1">{#N/A,#N/A,FALSE,"特殊室（ＢＱ表）"}</definedName>
    <definedName name="__________SCL4" localSheetId="0" hidden="1">{"'Sheet1'!$L$16"}</definedName>
    <definedName name="__________SCL4" hidden="1">{"'Sheet1'!$L$16"}</definedName>
    <definedName name="__________SCL4_1" localSheetId="0" hidden="1">{"'Sheet1'!$L$16"}</definedName>
    <definedName name="__________SCL4_1" hidden="1">{"'Sheet1'!$L$16"}</definedName>
    <definedName name="__________T10" localSheetId="0" hidden="1">{"'Sheet1'!$L$16"}</definedName>
    <definedName name="__________T10" hidden="1">{"'Sheet1'!$L$16"}</definedName>
    <definedName name="__________TH1" localSheetId="0" hidden="1">{"'Sheet1'!$L$16"}</definedName>
    <definedName name="__________TH1" hidden="1">{"'Sheet1'!$L$16"}</definedName>
    <definedName name="__________TM2" localSheetId="0" hidden="1">{"'Sheet1'!$L$16"}</definedName>
    <definedName name="__________TM2" hidden="1">{"'Sheet1'!$L$16"}</definedName>
    <definedName name="__________tt3" localSheetId="0" hidden="1">{"'Sheet1'!$L$16"}</definedName>
    <definedName name="__________tt3" hidden="1">{"'Sheet1'!$L$16"}</definedName>
    <definedName name="__________tu4" localSheetId="0" hidden="1">{"'Sheet1'!$L$16"}</definedName>
    <definedName name="__________tu4" hidden="1">{"'Sheet1'!$L$16"}</definedName>
    <definedName name="__________VT3" localSheetId="0" hidden="1">{"'Sheet1'!$L$16"}</definedName>
    <definedName name="__________VT3" hidden="1">{"'Sheet1'!$L$16"}</definedName>
    <definedName name="__________xlfn.BAHTTEXT" hidden="1">#NAME?</definedName>
    <definedName name="_________a1" localSheetId="0" hidden="1">{"'Sheet1'!$L$16"}</definedName>
    <definedName name="_________a1" hidden="1">{"'Sheet1'!$L$16"}</definedName>
    <definedName name="_________a1_1" localSheetId="0" hidden="1">{"'Sheet1'!$L$16"}</definedName>
    <definedName name="_________a1_1" hidden="1">{"'Sheet1'!$L$16"}</definedName>
    <definedName name="_________a129" localSheetId="0"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localSheetId="0" hidden="1">{"'Sheet1'!$L$16"}</definedName>
    <definedName name="_________a2" hidden="1">{"'Sheet1'!$L$16"}</definedName>
    <definedName name="_________BG12" localSheetId="0" hidden="1">{"'Sheet1'!$L$16"}</definedName>
    <definedName name="_________BG12" hidden="1">{"'Sheet1'!$L$16"}</definedName>
    <definedName name="_________CN1" localSheetId="0" hidden="1">{"'Sheet1'!$L$16"}</definedName>
    <definedName name="_________CN1" hidden="1">{"'Sheet1'!$L$16"}</definedName>
    <definedName name="_________d1500" localSheetId="0" hidden="1">{"'Sheet1'!$L$16"}</definedName>
    <definedName name="_________d1500" hidden="1">{"'Sheet1'!$L$16"}</definedName>
    <definedName name="_________DT10" localSheetId="0" hidden="1">{"'Sheet1'!$L$16"}</definedName>
    <definedName name="_________DT10" hidden="1">{"'Sheet1'!$L$16"}</definedName>
    <definedName name="_________Goi8" localSheetId="0" hidden="1">{"'Sheet1'!$L$16"}</definedName>
    <definedName name="_________Goi8" hidden="1">{"'Sheet1'!$L$16"}</definedName>
    <definedName name="_________Goi8_1" localSheetId="0" hidden="1">{"'Sheet1'!$L$16"}</definedName>
    <definedName name="_________Goi8_1" hidden="1">{"'Sheet1'!$L$16"}</definedName>
    <definedName name="_________h1" localSheetId="0" hidden="1">{"'Sheet1'!$L$16"}</definedName>
    <definedName name="_________h1" hidden="1">{"'Sheet1'!$L$16"}</definedName>
    <definedName name="_________hu1" localSheetId="0" hidden="1">{"'Sheet1'!$L$16"}</definedName>
    <definedName name="_________hu1" hidden="1">{"'Sheet1'!$L$16"}</definedName>
    <definedName name="_________hu2" localSheetId="0" hidden="1">{"'Sheet1'!$L$16"}</definedName>
    <definedName name="_________hu2" hidden="1">{"'Sheet1'!$L$16"}</definedName>
    <definedName name="_________hu5" localSheetId="0" hidden="1">{"'Sheet1'!$L$16"}</definedName>
    <definedName name="_________hu5" hidden="1">{"'Sheet1'!$L$16"}</definedName>
    <definedName name="_________hu6" localSheetId="0" hidden="1">{"'Sheet1'!$L$16"}</definedName>
    <definedName name="_________hu6" hidden="1">{"'Sheet1'!$L$16"}</definedName>
    <definedName name="_________hu7" localSheetId="0" hidden="1">{"'Sheet1'!$L$16"}</definedName>
    <definedName name="_________hu7" hidden="1">{"'Sheet1'!$L$16"}</definedName>
    <definedName name="_________Lan1" localSheetId="0" hidden="1">{"'Sheet1'!$L$16"}</definedName>
    <definedName name="_________Lan1" hidden="1">{"'Sheet1'!$L$16"}</definedName>
    <definedName name="_________LAN3" localSheetId="0" hidden="1">{"'Sheet1'!$L$16"}</definedName>
    <definedName name="_________LAN3" hidden="1">{"'Sheet1'!$L$16"}</definedName>
    <definedName name="_________lop111" localSheetId="0" hidden="1">{#N/A,#N/A,FALSE,"特殊室（ＢＱ表）"}</definedName>
    <definedName name="_________lop111" hidden="1">{#N/A,#N/A,FALSE,"特殊室（ＢＱ表）"}</definedName>
    <definedName name="_________m4" localSheetId="0" hidden="1">{"'Sheet1'!$L$16"}</definedName>
    <definedName name="_________m4" hidden="1">{"'Sheet1'!$L$16"}</definedName>
    <definedName name="_________ngk1109" localSheetId="0" hidden="1">{#N/A,#N/A,FALSE,"估價單  (3)"}</definedName>
    <definedName name="_________ngk1109" hidden="1">{#N/A,#N/A,FALSE,"估價單  (3)"}</definedName>
    <definedName name="_________NO1" hidden="1">#REF!</definedName>
    <definedName name="_________NO2" hidden="1">#REF!</definedName>
    <definedName name="_________NSO2" localSheetId="0" hidden="1">{"'Sheet1'!$L$16"}</definedName>
    <definedName name="_________NSO2" hidden="1">{"'Sheet1'!$L$16"}</definedName>
    <definedName name="_________P3" localSheetId="0" hidden="1">{#N/A,#N/A,FALSE,"特殊室（ＢＱ表）"}</definedName>
    <definedName name="_________P3" hidden="1">{#N/A,#N/A,FALSE,"特殊室（ＢＱ表）"}</definedName>
    <definedName name="_________PA3" localSheetId="0" hidden="1">{"'Sheet1'!$L$16"}</definedName>
    <definedName name="_________PA3" hidden="1">{"'Sheet1'!$L$16"}</definedName>
    <definedName name="_________PPP3" localSheetId="0" hidden="1">{#N/A,#N/A,FALSE,"特殊室（ＢＱ表）"}</definedName>
    <definedName name="_________PPP3" hidden="1">{#N/A,#N/A,FALSE,"特殊室（ＢＱ表）"}</definedName>
    <definedName name="_________PPP33" localSheetId="0" hidden="1">{#N/A,#N/A,FALSE,"特殊室（ＢＱ表）"}</definedName>
    <definedName name="_________PPP33" hidden="1">{#N/A,#N/A,FALSE,"特殊室（ＢＱ表）"}</definedName>
    <definedName name="_________ppp34" localSheetId="0" hidden="1">{#N/A,#N/A,FALSE,"特殊室（ＢＱ表）"}</definedName>
    <definedName name="_________ppp34" hidden="1">{#N/A,#N/A,FALSE,"特殊室（ＢＱ表）"}</definedName>
    <definedName name="_________ppp3444" localSheetId="0" hidden="1">{#N/A,#N/A,FALSE,"特殊室（ＢＱ表）"}</definedName>
    <definedName name="_________ppp3444" hidden="1">{#N/A,#N/A,FALSE,"特殊室（ＢＱ表）"}</definedName>
    <definedName name="_________SCL4" localSheetId="0" hidden="1">{"'Sheet1'!$L$16"}</definedName>
    <definedName name="_________SCL4" hidden="1">{"'Sheet1'!$L$16"}</definedName>
    <definedName name="_________SCL4_1" localSheetId="0" hidden="1">{"'Sheet1'!$L$16"}</definedName>
    <definedName name="_________SCL4_1" hidden="1">{"'Sheet1'!$L$16"}</definedName>
    <definedName name="_________T10" localSheetId="0" hidden="1">{"'Sheet1'!$L$16"}</definedName>
    <definedName name="_________T10" hidden="1">{"'Sheet1'!$L$16"}</definedName>
    <definedName name="_________T3" localSheetId="0" hidden="1">{"'Sheet1'!$L$16"}</definedName>
    <definedName name="_________T3" hidden="1">{"'Sheet1'!$L$16"}</definedName>
    <definedName name="_________TH1" localSheetId="0" hidden="1">{"'Sheet1'!$L$16"}</definedName>
    <definedName name="_________TH1" hidden="1">{"'Sheet1'!$L$16"}</definedName>
    <definedName name="_________THT11" localSheetId="0" hidden="1">{"'Sheet1'!$L$16"}</definedName>
    <definedName name="_________THT11" hidden="1">{"'Sheet1'!$L$16"}</definedName>
    <definedName name="_________TM2" localSheetId="0" hidden="1">{"'Sheet1'!$L$16"}</definedName>
    <definedName name="_________TM2" hidden="1">{"'Sheet1'!$L$16"}</definedName>
    <definedName name="_________TT04" hidden="1">#REF!</definedName>
    <definedName name="_________tt3" localSheetId="0" hidden="1">{"'Sheet1'!$L$16"}</definedName>
    <definedName name="_________tt3" hidden="1">{"'Sheet1'!$L$16"}</definedName>
    <definedName name="_________tu4" localSheetId="0" hidden="1">{"'Sheet1'!$L$16"}</definedName>
    <definedName name="_________tu4" hidden="1">{"'Sheet1'!$L$16"}</definedName>
    <definedName name="_________TV2" localSheetId="0" hidden="1">{"'Sheet1'!$L$16"}</definedName>
    <definedName name="_________TV2" hidden="1">{"'Sheet1'!$L$16"}</definedName>
    <definedName name="_________VT3" localSheetId="0" hidden="1">{"'Sheet1'!$L$16"}</definedName>
    <definedName name="_________VT3" hidden="1">{"'Sheet1'!$L$16"}</definedName>
    <definedName name="_________xlfn.BAHTTEXT" hidden="1">#NAME?</definedName>
    <definedName name="________a1" localSheetId="0" hidden="1">{"'Sheet1'!$L$16"}</definedName>
    <definedName name="________a1" hidden="1">{"'Sheet1'!$L$16"}</definedName>
    <definedName name="________a1_1" localSheetId="0" hidden="1">{"'Sheet1'!$L$16"}</definedName>
    <definedName name="________a1_1" hidden="1">{"'Sheet1'!$L$16"}</definedName>
    <definedName name="________a129" localSheetId="0"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localSheetId="0" hidden="1">{"'Sheet1'!$L$16"}</definedName>
    <definedName name="________a2" hidden="1">{"'Sheet1'!$L$16"}</definedName>
    <definedName name="________BG12" localSheetId="0" hidden="1">{"'Sheet1'!$L$16"}</definedName>
    <definedName name="________BG12" hidden="1">{"'Sheet1'!$L$16"}</definedName>
    <definedName name="________CN1" localSheetId="0" hidden="1">{"'Sheet1'!$L$16"}</definedName>
    <definedName name="________CN1" hidden="1">{"'Sheet1'!$L$16"}</definedName>
    <definedName name="________d1500" localSheetId="0" hidden="1">{"'Sheet1'!$L$16"}</definedName>
    <definedName name="________d1500" hidden="1">{"'Sheet1'!$L$16"}</definedName>
    <definedName name="________DT10" localSheetId="0" hidden="1">{"'Sheet1'!$L$16"}</definedName>
    <definedName name="________DT10" hidden="1">{"'Sheet1'!$L$16"}</definedName>
    <definedName name="________Goi8" localSheetId="0" hidden="1">{"'Sheet1'!$L$16"}</definedName>
    <definedName name="________Goi8" hidden="1">{"'Sheet1'!$L$16"}</definedName>
    <definedName name="________Goi8_1" localSheetId="0" hidden="1">{"'Sheet1'!$L$16"}</definedName>
    <definedName name="________Goi8_1" hidden="1">{"'Sheet1'!$L$16"}</definedName>
    <definedName name="________h1" localSheetId="0" hidden="1">{"'Sheet1'!$L$16"}</definedName>
    <definedName name="________h1" hidden="1">{"'Sheet1'!$L$16"}</definedName>
    <definedName name="________hu1" localSheetId="0" hidden="1">{"'Sheet1'!$L$16"}</definedName>
    <definedName name="________hu1" hidden="1">{"'Sheet1'!$L$16"}</definedName>
    <definedName name="________hu2" localSheetId="0" hidden="1">{"'Sheet1'!$L$16"}</definedName>
    <definedName name="________hu2" hidden="1">{"'Sheet1'!$L$16"}</definedName>
    <definedName name="________hu5" localSheetId="0" hidden="1">{"'Sheet1'!$L$16"}</definedName>
    <definedName name="________hu5" hidden="1">{"'Sheet1'!$L$16"}</definedName>
    <definedName name="________hu6" localSheetId="0" hidden="1">{"'Sheet1'!$L$16"}</definedName>
    <definedName name="________hu6" hidden="1">{"'Sheet1'!$L$16"}</definedName>
    <definedName name="________hu7" localSheetId="0" hidden="1">{"'Sheet1'!$L$16"}</definedName>
    <definedName name="________hu7" hidden="1">{"'Sheet1'!$L$16"}</definedName>
    <definedName name="________key1" hidden="1">#REF!</definedName>
    <definedName name="________key2" hidden="1">#REF!</definedName>
    <definedName name="________Lan1" localSheetId="0" hidden="1">{"'Sheet1'!$L$16"}</definedName>
    <definedName name="________Lan1" hidden="1">{"'Sheet1'!$L$16"}</definedName>
    <definedName name="________LAN3" localSheetId="0" hidden="1">{"'Sheet1'!$L$16"}</definedName>
    <definedName name="________LAN3" hidden="1">{"'Sheet1'!$L$16"}</definedName>
    <definedName name="________lop111" localSheetId="0" hidden="1">{#N/A,#N/A,FALSE,"特殊室（ＢＱ表）"}</definedName>
    <definedName name="________lop111" hidden="1">{#N/A,#N/A,FALSE,"特殊室（ＢＱ表）"}</definedName>
    <definedName name="________m4" localSheetId="0" hidden="1">{"'Sheet1'!$L$16"}</definedName>
    <definedName name="________m4" hidden="1">{"'Sheet1'!$L$16"}</definedName>
    <definedName name="________MCC3" localSheetId="0" hidden="1">{#N/A,#N/A,FALSE,"CCTV"}</definedName>
    <definedName name="________MCC3" hidden="1">{#N/A,#N/A,FALSE,"CCTV"}</definedName>
    <definedName name="________nam1" localSheetId="0" hidden="1">{"'Sheet1'!$L$16"}</definedName>
    <definedName name="________nam1" hidden="1">{"'Sheet1'!$L$16"}</definedName>
    <definedName name="________ngk1109" localSheetId="0" hidden="1">{#N/A,#N/A,FALSE,"估價單  (3)"}</definedName>
    <definedName name="________ngk1109" hidden="1">{#N/A,#N/A,FALSE,"估價單  (3)"}</definedName>
    <definedName name="________NO1" hidden="1">#REF!</definedName>
    <definedName name="________NO2" hidden="1">#REF!</definedName>
    <definedName name="________NSO2" localSheetId="0" hidden="1">{"'Sheet1'!$L$16"}</definedName>
    <definedName name="________NSO2" hidden="1">{"'Sheet1'!$L$16"}</definedName>
    <definedName name="________P3" localSheetId="0" hidden="1">{#N/A,#N/A,FALSE,"特殊室（ＢＱ表）"}</definedName>
    <definedName name="________P3" hidden="1">{#N/A,#N/A,FALSE,"特殊室（ＢＱ表）"}</definedName>
    <definedName name="________PA3" localSheetId="0" hidden="1">{"'Sheet1'!$L$16"}</definedName>
    <definedName name="________PA3" hidden="1">{"'Sheet1'!$L$16"}</definedName>
    <definedName name="________phu3" localSheetId="0" hidden="1">{"'Sheet1'!$L$16"}</definedName>
    <definedName name="________phu3" hidden="1">{"'Sheet1'!$L$16"}</definedName>
    <definedName name="________PPP3" localSheetId="0" hidden="1">{#N/A,#N/A,FALSE,"特殊室（ＢＱ表）"}</definedName>
    <definedName name="________PPP3" hidden="1">{#N/A,#N/A,FALSE,"特殊室（ＢＱ表）"}</definedName>
    <definedName name="________PPP33" localSheetId="0" hidden="1">{#N/A,#N/A,FALSE,"特殊室（ＢＱ表）"}</definedName>
    <definedName name="________PPP33" hidden="1">{#N/A,#N/A,FALSE,"特殊室（ＢＱ表）"}</definedName>
    <definedName name="________ppp34" localSheetId="0" hidden="1">{#N/A,#N/A,FALSE,"特殊室（ＢＱ表）"}</definedName>
    <definedName name="________ppp34" hidden="1">{#N/A,#N/A,FALSE,"特殊室（ＢＱ表）"}</definedName>
    <definedName name="________ppp3444" localSheetId="0" hidden="1">{#N/A,#N/A,FALSE,"特殊室（ＢＱ表）"}</definedName>
    <definedName name="________ppp3444" hidden="1">{#N/A,#N/A,FALSE,"特殊室（ＢＱ表）"}</definedName>
    <definedName name="________SCL4" localSheetId="0" hidden="1">{"'Sheet1'!$L$16"}</definedName>
    <definedName name="________SCL4" hidden="1">{"'Sheet1'!$L$16"}</definedName>
    <definedName name="________SCL4_1" localSheetId="0" hidden="1">{"'Sheet1'!$L$16"}</definedName>
    <definedName name="________SCL4_1" hidden="1">{"'Sheet1'!$L$16"}</definedName>
    <definedName name="________SHI1" localSheetId="0" hidden="1">{"'Sheet1'!$L$16"}</definedName>
    <definedName name="________SHI1" hidden="1">{"'Sheet1'!$L$16"}</definedName>
    <definedName name="________T10" localSheetId="0" hidden="1">{"'Sheet1'!$L$16"}</definedName>
    <definedName name="________T10" hidden="1">{"'Sheet1'!$L$16"}</definedName>
    <definedName name="________T3" localSheetId="0" hidden="1">{"'Sheet1'!$L$16"}</definedName>
    <definedName name="________T3" hidden="1">{"'Sheet1'!$L$16"}</definedName>
    <definedName name="________TH1" localSheetId="0" hidden="1">{"'Sheet1'!$L$16"}</definedName>
    <definedName name="________TH1" hidden="1">{"'Sheet1'!$L$16"}</definedName>
    <definedName name="________THT11" localSheetId="0" hidden="1">{"'Sheet1'!$L$16"}</definedName>
    <definedName name="________THT11" hidden="1">{"'Sheet1'!$L$16"}</definedName>
    <definedName name="________TM2" localSheetId="0" hidden="1">{"'Sheet1'!$L$16"}</definedName>
    <definedName name="________TM2" hidden="1">{"'Sheet1'!$L$16"}</definedName>
    <definedName name="________TT04" hidden="1">#REF!</definedName>
    <definedName name="________tt3" localSheetId="0" hidden="1">{"'Sheet1'!$L$16"}</definedName>
    <definedName name="________tt3" hidden="1">{"'Sheet1'!$L$16"}</definedName>
    <definedName name="________tu4" localSheetId="0" hidden="1">{"'Sheet1'!$L$16"}</definedName>
    <definedName name="________tu4" hidden="1">{"'Sheet1'!$L$16"}</definedName>
    <definedName name="________TV2" localSheetId="0" hidden="1">{"'Sheet1'!$L$16"}</definedName>
    <definedName name="________TV2" hidden="1">{"'Sheet1'!$L$16"}</definedName>
    <definedName name="________VT3" localSheetId="0" hidden="1">{"'Sheet1'!$L$16"}</definedName>
    <definedName name="________VT3" hidden="1">{"'Sheet1'!$L$16"}</definedName>
    <definedName name="________xlfn.BAHTTEXT" hidden="1">#NAME?</definedName>
    <definedName name="_______a1" localSheetId="0" hidden="1">{"'Sheet1'!$L$16"}</definedName>
    <definedName name="_______a1" hidden="1">{"'Sheet1'!$L$16"}</definedName>
    <definedName name="_______a1_1" localSheetId="0" hidden="1">{"'Sheet1'!$L$16"}</definedName>
    <definedName name="_______a1_1" hidden="1">{"'Sheet1'!$L$16"}</definedName>
    <definedName name="_______a129" localSheetId="0"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localSheetId="0" hidden="1">{"'Sheet1'!$L$16"}</definedName>
    <definedName name="_______a2" hidden="1">{"'Sheet1'!$L$16"}</definedName>
    <definedName name="_______BG12" localSheetId="0" hidden="1">{"'Sheet1'!$L$16"}</definedName>
    <definedName name="_______BG12" hidden="1">{"'Sheet1'!$L$16"}</definedName>
    <definedName name="_______CN1" localSheetId="0" hidden="1">{"'Sheet1'!$L$16"}</definedName>
    <definedName name="_______CN1" hidden="1">{"'Sheet1'!$L$16"}</definedName>
    <definedName name="_______d1500" localSheetId="0" hidden="1">{"'Sheet1'!$L$16"}</definedName>
    <definedName name="_______d1500" hidden="1">{"'Sheet1'!$L$16"}</definedName>
    <definedName name="_______DT10" localSheetId="0" hidden="1">{"'Sheet1'!$L$16"}</definedName>
    <definedName name="_______DT10" hidden="1">{"'Sheet1'!$L$16"}</definedName>
    <definedName name="_______Goi8" localSheetId="0" hidden="1">{"'Sheet1'!$L$16"}</definedName>
    <definedName name="_______Goi8" hidden="1">{"'Sheet1'!$L$16"}</definedName>
    <definedName name="_______Goi8_1" localSheetId="0" hidden="1">{"'Sheet1'!$L$16"}</definedName>
    <definedName name="_______Goi8_1" hidden="1">{"'Sheet1'!$L$16"}</definedName>
    <definedName name="_______h1" localSheetId="0" hidden="1">{"'Sheet1'!$L$16"}</definedName>
    <definedName name="_______h1" hidden="1">{"'Sheet1'!$L$16"}</definedName>
    <definedName name="_______hu1" localSheetId="0" hidden="1">{"'Sheet1'!$L$16"}</definedName>
    <definedName name="_______hu1" hidden="1">{"'Sheet1'!$L$16"}</definedName>
    <definedName name="_______hu2" localSheetId="0" hidden="1">{"'Sheet1'!$L$16"}</definedName>
    <definedName name="_______hu2" hidden="1">{"'Sheet1'!$L$16"}</definedName>
    <definedName name="_______hu5" localSheetId="0" hidden="1">{"'Sheet1'!$L$16"}</definedName>
    <definedName name="_______hu5" hidden="1">{"'Sheet1'!$L$16"}</definedName>
    <definedName name="_______hu6" localSheetId="0" hidden="1">{"'Sheet1'!$L$16"}</definedName>
    <definedName name="_______hu6" hidden="1">{"'Sheet1'!$L$16"}</definedName>
    <definedName name="_______hu7" localSheetId="0" hidden="1">{"'Sheet1'!$L$16"}</definedName>
    <definedName name="_______hu7" hidden="1">{"'Sheet1'!$L$16"}</definedName>
    <definedName name="_______key2" hidden="1">#REF!</definedName>
    <definedName name="_______Lan1" localSheetId="0" hidden="1">{"'Sheet1'!$L$16"}</definedName>
    <definedName name="_______Lan1" hidden="1">{"'Sheet1'!$L$16"}</definedName>
    <definedName name="_______LAN3" localSheetId="0" hidden="1">{"'Sheet1'!$L$16"}</definedName>
    <definedName name="_______LAN3" hidden="1">{"'Sheet1'!$L$16"}</definedName>
    <definedName name="_______lop111" localSheetId="0" hidden="1">{#N/A,#N/A,FALSE,"特殊室（ＢＱ表）"}</definedName>
    <definedName name="_______lop111" hidden="1">{#N/A,#N/A,FALSE,"特殊室（ＢＱ表）"}</definedName>
    <definedName name="_______m4" localSheetId="0" hidden="1">{"'Sheet1'!$L$16"}</definedName>
    <definedName name="_______m4" hidden="1">{"'Sheet1'!$L$16"}</definedName>
    <definedName name="_______MCC3" localSheetId="0" hidden="1">{#N/A,#N/A,FALSE,"CCTV"}</definedName>
    <definedName name="_______MCC3" hidden="1">{#N/A,#N/A,FALSE,"CCTV"}</definedName>
    <definedName name="_______nam1" localSheetId="0" hidden="1">{"'Sheet1'!$L$16"}</definedName>
    <definedName name="_______nam1" hidden="1">{"'Sheet1'!$L$16"}</definedName>
    <definedName name="_______ngk1109" localSheetId="0" hidden="1">{#N/A,#N/A,FALSE,"估價單  (3)"}</definedName>
    <definedName name="_______ngk1109" hidden="1">{#N/A,#N/A,FALSE,"估價單  (3)"}</definedName>
    <definedName name="_______NO1" hidden="1">#REF!</definedName>
    <definedName name="_______NO2" hidden="1">#REF!</definedName>
    <definedName name="_______NSO2" localSheetId="0" hidden="1">{"'Sheet1'!$L$16"}</definedName>
    <definedName name="_______NSO2" hidden="1">{"'Sheet1'!$L$16"}</definedName>
    <definedName name="_______P3" localSheetId="0" hidden="1">{#N/A,#N/A,FALSE,"特殊室（ＢＱ表）"}</definedName>
    <definedName name="_______P3" hidden="1">{#N/A,#N/A,FALSE,"特殊室（ＢＱ表）"}</definedName>
    <definedName name="_______PA3" localSheetId="0" hidden="1">{"'Sheet1'!$L$16"}</definedName>
    <definedName name="_______PA3" hidden="1">{"'Sheet1'!$L$16"}</definedName>
    <definedName name="_______phu3" localSheetId="0" hidden="1">{"'Sheet1'!$L$16"}</definedName>
    <definedName name="_______phu3" hidden="1">{"'Sheet1'!$L$16"}</definedName>
    <definedName name="_______PPP3" localSheetId="0" hidden="1">{#N/A,#N/A,FALSE,"特殊室（ＢＱ表）"}</definedName>
    <definedName name="_______PPP3" hidden="1">{#N/A,#N/A,FALSE,"特殊室（ＢＱ表）"}</definedName>
    <definedName name="_______PPP33" localSheetId="0" hidden="1">{#N/A,#N/A,FALSE,"特殊室（ＢＱ表）"}</definedName>
    <definedName name="_______PPP33" hidden="1">{#N/A,#N/A,FALSE,"特殊室（ＢＱ表）"}</definedName>
    <definedName name="_______ppp34" localSheetId="0" hidden="1">{#N/A,#N/A,FALSE,"特殊室（ＢＱ表）"}</definedName>
    <definedName name="_______ppp34" hidden="1">{#N/A,#N/A,FALSE,"特殊室（ＢＱ表）"}</definedName>
    <definedName name="_______ppp3444" localSheetId="0" hidden="1">{#N/A,#N/A,FALSE,"特殊室（ＢＱ表）"}</definedName>
    <definedName name="_______ppp3444" hidden="1">{#N/A,#N/A,FALSE,"特殊室（ＢＱ表）"}</definedName>
    <definedName name="_______SCL4" localSheetId="0" hidden="1">{"'Sheet1'!$L$16"}</definedName>
    <definedName name="_______SCL4" hidden="1">{"'Sheet1'!$L$16"}</definedName>
    <definedName name="_______SCL4_1" localSheetId="0" hidden="1">{"'Sheet1'!$L$16"}</definedName>
    <definedName name="_______SCL4_1" hidden="1">{"'Sheet1'!$L$16"}</definedName>
    <definedName name="_______SHI1" localSheetId="0" hidden="1">{"'Sheet1'!$L$16"}</definedName>
    <definedName name="_______SHI1" hidden="1">{"'Sheet1'!$L$16"}</definedName>
    <definedName name="_______T10" localSheetId="0" hidden="1">{"'Sheet1'!$L$16"}</definedName>
    <definedName name="_______T10" hidden="1">{"'Sheet1'!$L$16"}</definedName>
    <definedName name="_______T3" localSheetId="0" hidden="1">{"'Sheet1'!$L$16"}</definedName>
    <definedName name="_______T3" hidden="1">{"'Sheet1'!$L$16"}</definedName>
    <definedName name="_______TH1" localSheetId="0" hidden="1">{"'Sheet1'!$L$16"}</definedName>
    <definedName name="_______TH1" hidden="1">{"'Sheet1'!$L$16"}</definedName>
    <definedName name="_______THT11" localSheetId="0" hidden="1">{"'Sheet1'!$L$16"}</definedName>
    <definedName name="_______THT11" hidden="1">{"'Sheet1'!$L$16"}</definedName>
    <definedName name="_______TM2" localSheetId="0" hidden="1">{"'Sheet1'!$L$16"}</definedName>
    <definedName name="_______TM2" hidden="1">{"'Sheet1'!$L$16"}</definedName>
    <definedName name="_______TT04" hidden="1">#REF!</definedName>
    <definedName name="_______tt3" localSheetId="0" hidden="1">{"'Sheet1'!$L$16"}</definedName>
    <definedName name="_______tt3" hidden="1">{"'Sheet1'!$L$16"}</definedName>
    <definedName name="_______tu4" localSheetId="0" hidden="1">{"'Sheet1'!$L$16"}</definedName>
    <definedName name="_______tu4" hidden="1">{"'Sheet1'!$L$16"}</definedName>
    <definedName name="_______TV2" localSheetId="0" hidden="1">{"'Sheet1'!$L$16"}</definedName>
    <definedName name="_______TV2" hidden="1">{"'Sheet1'!$L$16"}</definedName>
    <definedName name="_______VT3" localSheetId="0" hidden="1">{"'Sheet1'!$L$16"}</definedName>
    <definedName name="_______VT3" hidden="1">{"'Sheet1'!$L$16"}</definedName>
    <definedName name="_______xlfn.BAHTTEXT" hidden="1">#NAME?</definedName>
    <definedName name="______4__123Graph_Aｸﾞﾗﾌ_2" hidden="1">#REF!</definedName>
    <definedName name="______a1" localSheetId="0" hidden="1">{"'Sheet1'!$L$16"}</definedName>
    <definedName name="______a1" hidden="1">{"'Sheet1'!$L$16"}</definedName>
    <definedName name="______a1_1" localSheetId="0" hidden="1">{"'Sheet1'!$L$16"}</definedName>
    <definedName name="______a1_1" hidden="1">{"'Sheet1'!$L$16"}</definedName>
    <definedName name="______a129" localSheetId="0"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0" hidden="1">{"'Sheet1'!$L$16"}</definedName>
    <definedName name="______a2" hidden="1">{"'Sheet1'!$L$16"}</definedName>
    <definedName name="______b01" localSheetId="0" hidden="1">{#N/A,#N/A,FALSE,"MARCH"}</definedName>
    <definedName name="______b01" hidden="1">{#N/A,#N/A,FALSE,"MARCH"}</definedName>
    <definedName name="______ba1" localSheetId="0" hidden="1">{#N/A,#N/A,FALSE,"Chi tiÆt"}</definedName>
    <definedName name="______ba1" hidden="1">{#N/A,#N/A,FALSE,"Chi tiÆt"}</definedName>
    <definedName name="______ba2" localSheetId="0" hidden="1">{#N/A,#N/A,FALSE,"Chi tiÆt"}</definedName>
    <definedName name="______ba2" hidden="1">{#N/A,#N/A,FALSE,"Chi tiÆt"}</definedName>
    <definedName name="______BG12" localSheetId="0" hidden="1">{"'Sheet1'!$L$16"}</definedName>
    <definedName name="______BG12" hidden="1">{"'Sheet1'!$L$16"}</definedName>
    <definedName name="______CN1" localSheetId="0" hidden="1">{"'Sheet1'!$L$16"}</definedName>
    <definedName name="______CN1" hidden="1">{"'Sheet1'!$L$16"}</definedName>
    <definedName name="______ct2005" localSheetId="0" hidden="1">{"'Sheet1'!$L$16"}</definedName>
    <definedName name="______ct2005" hidden="1">{"'Sheet1'!$L$16"}</definedName>
    <definedName name="______d1500" localSheetId="0" hidden="1">{"'Sheet1'!$L$16"}</definedName>
    <definedName name="______d1500" hidden="1">{"'Sheet1'!$L$16"}</definedName>
    <definedName name="______DT10" localSheetId="0" hidden="1">{"'Sheet1'!$L$16"}</definedName>
    <definedName name="______DT10" hidden="1">{"'Sheet1'!$L$16"}</definedName>
    <definedName name="______FAB4" hidden="1">#REF!</definedName>
    <definedName name="______Goi8" localSheetId="0" hidden="1">{"'Sheet1'!$L$16"}</definedName>
    <definedName name="______Goi8" hidden="1">{"'Sheet1'!$L$16"}</definedName>
    <definedName name="______Goi8_1" localSheetId="0" hidden="1">{"'Sheet1'!$L$16"}</definedName>
    <definedName name="______Goi8_1" hidden="1">{"'Sheet1'!$L$16"}</definedName>
    <definedName name="______h1" localSheetId="0" hidden="1">{"'Sheet1'!$L$16"}</definedName>
    <definedName name="______h1" hidden="1">{"'Sheet1'!$L$16"}</definedName>
    <definedName name="______hh1219" localSheetId="0" hidden="1">{"'Sheet1'!$L$16"}</definedName>
    <definedName name="______hh1219" hidden="1">{"'Sheet1'!$L$16"}</definedName>
    <definedName name="______hu1" localSheetId="0" hidden="1">{"'Sheet1'!$L$16"}</definedName>
    <definedName name="______hu1" hidden="1">{"'Sheet1'!$L$16"}</definedName>
    <definedName name="______hu2" localSheetId="0" hidden="1">{"'Sheet1'!$L$16"}</definedName>
    <definedName name="______hu2" hidden="1">{"'Sheet1'!$L$16"}</definedName>
    <definedName name="______hu5" localSheetId="0" hidden="1">{"'Sheet1'!$L$16"}</definedName>
    <definedName name="______hu5" hidden="1">{"'Sheet1'!$L$16"}</definedName>
    <definedName name="______hu6" localSheetId="0" hidden="1">{"'Sheet1'!$L$16"}</definedName>
    <definedName name="______hu6" hidden="1">{"'Sheet1'!$L$16"}</definedName>
    <definedName name="______hu7" localSheetId="0" hidden="1">{"'Sheet1'!$L$16"}</definedName>
    <definedName name="______hu7" hidden="1">{"'Sheet1'!$L$16"}</definedName>
    <definedName name="______key1" hidden="1">#REF!</definedName>
    <definedName name="______key2" hidden="1">#REF!</definedName>
    <definedName name="______Lan1" localSheetId="0" hidden="1">{"'Sheet1'!$L$16"}</definedName>
    <definedName name="______Lan1" hidden="1">{"'Sheet1'!$L$16"}</definedName>
    <definedName name="______LAN3" localSheetId="0" hidden="1">{"'Sheet1'!$L$16"}</definedName>
    <definedName name="______LAN3" hidden="1">{"'Sheet1'!$L$16"}</definedName>
    <definedName name="______ld2" localSheetId="0" hidden="1">{"'Sheet1'!$L$16"}</definedName>
    <definedName name="______ld2" hidden="1">{"'Sheet1'!$L$16"}</definedName>
    <definedName name="______lop111" localSheetId="0" hidden="1">{#N/A,#N/A,FALSE,"特殊室（ＢＱ表）"}</definedName>
    <definedName name="______lop111" hidden="1">{#N/A,#N/A,FALSE,"特殊室（ＢＱ表）"}</definedName>
    <definedName name="______m4" localSheetId="0" hidden="1">{"'Sheet1'!$L$16"}</definedName>
    <definedName name="______m4" hidden="1">{"'Sheet1'!$L$16"}</definedName>
    <definedName name="______MCC3" localSheetId="0" hidden="1">{#N/A,#N/A,FALSE,"CCTV"}</definedName>
    <definedName name="______MCC3" hidden="1">{#N/A,#N/A,FALSE,"CCTV"}</definedName>
    <definedName name="______nam1" localSheetId="0" hidden="1">{"'Sheet1'!$L$16"}</definedName>
    <definedName name="______nam1" hidden="1">{"'Sheet1'!$L$16"}</definedName>
    <definedName name="______ngk1109" localSheetId="0" hidden="1">{#N/A,#N/A,FALSE,"估價單  (3)"}</definedName>
    <definedName name="______ngk1109" hidden="1">{#N/A,#N/A,FALSE,"估價單  (3)"}</definedName>
    <definedName name="______NO1" hidden="1">#REF!</definedName>
    <definedName name="______NO2" hidden="1">#REF!</definedName>
    <definedName name="______NSO2" localSheetId="0" hidden="1">{"'Sheet1'!$L$16"}</definedName>
    <definedName name="______NSO2" hidden="1">{"'Sheet1'!$L$16"}</definedName>
    <definedName name="______P3" localSheetId="0" hidden="1">{#N/A,#N/A,FALSE,"特殊室（ＢＱ表）"}</definedName>
    <definedName name="______P3" hidden="1">{#N/A,#N/A,FALSE,"特殊室（ＢＱ表）"}</definedName>
    <definedName name="______PA3" localSheetId="0" hidden="1">{"'Sheet1'!$L$16"}</definedName>
    <definedName name="______PA3" hidden="1">{"'Sheet1'!$L$16"}</definedName>
    <definedName name="______phu3" localSheetId="0" hidden="1">{"'Sheet1'!$L$16"}</definedName>
    <definedName name="______phu3" hidden="1">{"'Sheet1'!$L$16"}</definedName>
    <definedName name="______PPP3" localSheetId="0" hidden="1">{#N/A,#N/A,FALSE,"特殊室（ＢＱ表）"}</definedName>
    <definedName name="______PPP3" hidden="1">{#N/A,#N/A,FALSE,"特殊室（ＢＱ表）"}</definedName>
    <definedName name="______PPP33" localSheetId="0" hidden="1">{#N/A,#N/A,FALSE,"特殊室（ＢＱ表）"}</definedName>
    <definedName name="______PPP33" hidden="1">{#N/A,#N/A,FALSE,"特殊室（ＢＱ表）"}</definedName>
    <definedName name="______ppp34" localSheetId="0" hidden="1">{#N/A,#N/A,FALSE,"特殊室（ＢＱ表）"}</definedName>
    <definedName name="______ppp34" hidden="1">{#N/A,#N/A,FALSE,"特殊室（ＢＱ表）"}</definedName>
    <definedName name="______ppp3444" localSheetId="0" hidden="1">{#N/A,#N/A,FALSE,"特殊室（ＢＱ表）"}</definedName>
    <definedName name="______ppp3444" hidden="1">{#N/A,#N/A,FALSE,"特殊室（ＢＱ表）"}</definedName>
    <definedName name="______SCL4" localSheetId="0" hidden="1">{"'Sheet1'!$L$16"}</definedName>
    <definedName name="______SCL4" hidden="1">{"'Sheet1'!$L$16"}</definedName>
    <definedName name="______SCL4_1" localSheetId="0" hidden="1">{"'Sheet1'!$L$16"}</definedName>
    <definedName name="______SCL4_1" hidden="1">{"'Sheet1'!$L$16"}</definedName>
    <definedName name="______SHI1" localSheetId="0" hidden="1">{"'Sheet1'!$L$16"}</definedName>
    <definedName name="______SHI1" hidden="1">{"'Sheet1'!$L$16"}</definedName>
    <definedName name="______T1" localSheetId="0" hidden="1">{#N/A,#N/A,FALSE,"Chi tiÆt"}</definedName>
    <definedName name="______T1" hidden="1">{#N/A,#N/A,FALSE,"Chi tiÆt"}</definedName>
    <definedName name="______T10" localSheetId="0" hidden="1">{"'Sheet1'!$L$16"}</definedName>
    <definedName name="______T10" hidden="1">{"'Sheet1'!$L$16"}</definedName>
    <definedName name="______t2" localSheetId="0" hidden="1">{"'Sheet1'!$L$16"}</definedName>
    <definedName name="______t2" hidden="1">{"'Sheet1'!$L$16"}</definedName>
    <definedName name="______t3" localSheetId="0" hidden="1">{"'Sheet1'!$L$16"}</definedName>
    <definedName name="______t3" hidden="1">{"'Sheet1'!$L$16"}</definedName>
    <definedName name="______t5" localSheetId="0" hidden="1">{"'Sheet1'!$L$16"}</definedName>
    <definedName name="______t5" hidden="1">{"'Sheet1'!$L$16"}</definedName>
    <definedName name="______TH1" localSheetId="0" hidden="1">{"'Sheet1'!$L$16"}</definedName>
    <definedName name="______TH1" hidden="1">{"'Sheet1'!$L$16"}</definedName>
    <definedName name="______THT11" localSheetId="0" hidden="1">{"'Sheet1'!$L$16"}</definedName>
    <definedName name="______THT11" hidden="1">{"'Sheet1'!$L$16"}</definedName>
    <definedName name="______TM2" localSheetId="0" hidden="1">{"'Sheet1'!$L$16"}</definedName>
    <definedName name="______TM2" hidden="1">{"'Sheet1'!$L$16"}</definedName>
    <definedName name="______TT04" hidden="1">#REF!</definedName>
    <definedName name="______tt3" localSheetId="0" hidden="1">{"'Sheet1'!$L$16"}</definedName>
    <definedName name="______tt3" hidden="1">{"'Sheet1'!$L$16"}</definedName>
    <definedName name="______tu4" localSheetId="0" hidden="1">{"'Sheet1'!$L$16"}</definedName>
    <definedName name="______tu4" hidden="1">{"'Sheet1'!$L$16"}</definedName>
    <definedName name="______TV2" localSheetId="0" hidden="1">{"'Sheet1'!$L$16"}</definedName>
    <definedName name="______TV2" hidden="1">{"'Sheet1'!$L$16"}</definedName>
    <definedName name="______VT3" localSheetId="0"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localSheetId="0" hidden="1">{"'Sheet1'!$L$16"}</definedName>
    <definedName name="_____a1" hidden="1">{"'Sheet1'!$L$16"}</definedName>
    <definedName name="_____a1_1" localSheetId="0" hidden="1">{"'Sheet1'!$L$16"}</definedName>
    <definedName name="_____a1_1" hidden="1">{"'Sheet1'!$L$16"}</definedName>
    <definedName name="_____a129" localSheetId="0"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0" hidden="1">{"'Sheet1'!$L$16"}</definedName>
    <definedName name="_____a2" hidden="1">{"'Sheet1'!$L$16"}</definedName>
    <definedName name="_____b01" localSheetId="0" hidden="1">{#N/A,#N/A,FALSE,"MARCH"}</definedName>
    <definedName name="_____b01" hidden="1">{#N/A,#N/A,FALSE,"MARCH"}</definedName>
    <definedName name="_____ba1" localSheetId="0" hidden="1">{#N/A,#N/A,FALSE,"Chi tiÆt"}</definedName>
    <definedName name="_____ba1" hidden="1">{#N/A,#N/A,FALSE,"Chi tiÆt"}</definedName>
    <definedName name="_____ba2" localSheetId="0" hidden="1">{#N/A,#N/A,FALSE,"Chi tiÆt"}</definedName>
    <definedName name="_____ba2" hidden="1">{#N/A,#N/A,FALSE,"Chi tiÆt"}</definedName>
    <definedName name="_____BG12" localSheetId="0" hidden="1">{"'Sheet1'!$L$16"}</definedName>
    <definedName name="_____BG12" hidden="1">{"'Sheet1'!$L$16"}</definedName>
    <definedName name="_____bht6" localSheetId="0" hidden="1">{"'Sheet1'!$L$16"}</definedName>
    <definedName name="_____bht6" hidden="1">{"'Sheet1'!$L$16"}</definedName>
    <definedName name="_____CN1" localSheetId="0" hidden="1">{"'Sheet1'!$L$16"}</definedName>
    <definedName name="_____CN1" hidden="1">{"'Sheet1'!$L$16"}</definedName>
    <definedName name="_____ct2005" localSheetId="0" hidden="1">{"'Sheet1'!$L$16"}</definedName>
    <definedName name="_____ct2005" hidden="1">{"'Sheet1'!$L$16"}</definedName>
    <definedName name="_____d1500" localSheetId="0" hidden="1">{"'Sheet1'!$L$16"}</definedName>
    <definedName name="_____d1500" hidden="1">{"'Sheet1'!$L$16"}</definedName>
    <definedName name="_____DT10" localSheetId="0" hidden="1">{"'Sheet1'!$L$16"}</definedName>
    <definedName name="_____DT10" hidden="1">{"'Sheet1'!$L$16"}</definedName>
    <definedName name="_____FAB4" hidden="1">#REF!</definedName>
    <definedName name="_____FD12" localSheetId="0" hidden="1">{"'Sheet1'!$L$16"}</definedName>
    <definedName name="_____FD12" hidden="1">{"'Sheet1'!$L$16"}</definedName>
    <definedName name="_____Goi8" localSheetId="0" hidden="1">{"'Sheet1'!$L$16"}</definedName>
    <definedName name="_____Goi8" hidden="1">{"'Sheet1'!$L$16"}</definedName>
    <definedName name="_____Goi8_1" localSheetId="0" hidden="1">{"'Sheet1'!$L$16"}</definedName>
    <definedName name="_____Goi8_1" hidden="1">{"'Sheet1'!$L$16"}</definedName>
    <definedName name="_____h1" localSheetId="0" hidden="1">{"'Sheet1'!$L$16"}</definedName>
    <definedName name="_____h1" hidden="1">{"'Sheet1'!$L$16"}</definedName>
    <definedName name="_____hh1219" localSheetId="0" hidden="1">{"'Sheet1'!$L$16"}</definedName>
    <definedName name="_____hh1219" hidden="1">{"'Sheet1'!$L$16"}</definedName>
    <definedName name="_____hu1" localSheetId="0" hidden="1">{"'Sheet1'!$L$16"}</definedName>
    <definedName name="_____hu1" hidden="1">{"'Sheet1'!$L$16"}</definedName>
    <definedName name="_____hu2" localSheetId="0" hidden="1">{"'Sheet1'!$L$16"}</definedName>
    <definedName name="_____hu2" hidden="1">{"'Sheet1'!$L$16"}</definedName>
    <definedName name="_____hu5" localSheetId="0" hidden="1">{"'Sheet1'!$L$16"}</definedName>
    <definedName name="_____hu5" hidden="1">{"'Sheet1'!$L$16"}</definedName>
    <definedName name="_____hu6" localSheetId="0" hidden="1">{"'Sheet1'!$L$16"}</definedName>
    <definedName name="_____hu6" hidden="1">{"'Sheet1'!$L$16"}</definedName>
    <definedName name="_____hu7" localSheetId="0" hidden="1">{"'Sheet1'!$L$16"}</definedName>
    <definedName name="_____hu7" hidden="1">{"'Sheet1'!$L$16"}</definedName>
    <definedName name="_____key2" hidden="1">#REF!</definedName>
    <definedName name="_____Lan1" localSheetId="0" hidden="1">{"'Sheet1'!$L$16"}</definedName>
    <definedName name="_____Lan1" hidden="1">{"'Sheet1'!$L$16"}</definedName>
    <definedName name="_____Lan2" localSheetId="0" hidden="1">{"'Sheet1'!$L$16"}</definedName>
    <definedName name="_____Lan2" hidden="1">{"'Sheet1'!$L$16"}</definedName>
    <definedName name="_____LAN3" localSheetId="0" hidden="1">{"'Sheet1'!$L$16"}</definedName>
    <definedName name="_____LAN3" hidden="1">{"'Sheet1'!$L$16"}</definedName>
    <definedName name="_____lao2" localSheetId="0" hidden="1">{"'Sheet1'!$L$16"}</definedName>
    <definedName name="_____lao2" hidden="1">{"'Sheet1'!$L$16"}</definedName>
    <definedName name="_____ld2" localSheetId="0" hidden="1">{"'Sheet1'!$L$16"}</definedName>
    <definedName name="_____ld2" hidden="1">{"'Sheet1'!$L$16"}</definedName>
    <definedName name="_____lop111" localSheetId="0" hidden="1">{#N/A,#N/A,FALSE,"特殊室（ＢＱ表）"}</definedName>
    <definedName name="_____lop111" hidden="1">{#N/A,#N/A,FALSE,"特殊室（ＢＱ表）"}</definedName>
    <definedName name="_____M2" localSheetId="0" hidden="1">{"'Sheet1'!$L$16"}</definedName>
    <definedName name="_____M2" hidden="1">{"'Sheet1'!$L$16"}</definedName>
    <definedName name="_____m4" localSheetId="0" hidden="1">{"'Sheet1'!$L$16"}</definedName>
    <definedName name="_____m4" hidden="1">{"'Sheet1'!$L$16"}</definedName>
    <definedName name="_____MCC3" localSheetId="0" hidden="1">{#N/A,#N/A,FALSE,"CCTV"}</definedName>
    <definedName name="_____MCC3" hidden="1">{#N/A,#N/A,FALSE,"CCTV"}</definedName>
    <definedName name="_____nam1" localSheetId="0" hidden="1">{"'Sheet1'!$L$16"}</definedName>
    <definedName name="_____nam1" hidden="1">{"'Sheet1'!$L$16"}</definedName>
    <definedName name="_____ngk1109" localSheetId="0" hidden="1">{#N/A,#N/A,FALSE,"估價單  (3)"}</definedName>
    <definedName name="_____ngk1109" hidden="1">{#N/A,#N/A,FALSE,"估價單  (3)"}</definedName>
    <definedName name="_____NO1" hidden="1">#REF!</definedName>
    <definedName name="_____NO2" hidden="1">#REF!</definedName>
    <definedName name="_____NSO2" localSheetId="0" hidden="1">{"'Sheet1'!$L$16"}</definedName>
    <definedName name="_____NSO2" hidden="1">{"'Sheet1'!$L$16"}</definedName>
    <definedName name="_____P3" localSheetId="0" hidden="1">{#N/A,#N/A,FALSE,"特殊室（ＢＱ表）"}</definedName>
    <definedName name="_____P3" hidden="1">{#N/A,#N/A,FALSE,"特殊室（ＢＱ表）"}</definedName>
    <definedName name="_____PA3" localSheetId="0" hidden="1">{"'Sheet1'!$L$16"}</definedName>
    <definedName name="_____PA3" hidden="1">{"'Sheet1'!$L$16"}</definedName>
    <definedName name="_____phu3" localSheetId="0" hidden="1">{"'Sheet1'!$L$16"}</definedName>
    <definedName name="_____phu3" hidden="1">{"'Sheet1'!$L$16"}</definedName>
    <definedName name="_____PPP3" localSheetId="0" hidden="1">{#N/A,#N/A,FALSE,"特殊室（ＢＱ表）"}</definedName>
    <definedName name="_____PPP3" hidden="1">{#N/A,#N/A,FALSE,"特殊室（ＢＱ表）"}</definedName>
    <definedName name="_____PPP33" localSheetId="0" hidden="1">{#N/A,#N/A,FALSE,"特殊室（ＢＱ表）"}</definedName>
    <definedName name="_____PPP33" hidden="1">{#N/A,#N/A,FALSE,"特殊室（ＢＱ表）"}</definedName>
    <definedName name="_____ppp34" localSheetId="0" hidden="1">{#N/A,#N/A,FALSE,"特殊室（ＢＱ表）"}</definedName>
    <definedName name="_____ppp34" hidden="1">{#N/A,#N/A,FALSE,"特殊室（ＢＱ表）"}</definedName>
    <definedName name="_____ppp3444" localSheetId="0" hidden="1">{#N/A,#N/A,FALSE,"特殊室（ＢＱ表）"}</definedName>
    <definedName name="_____ppp3444" hidden="1">{#N/A,#N/A,FALSE,"特殊室（ＢＱ表）"}</definedName>
    <definedName name="_____SCL4" localSheetId="0" hidden="1">{"'Sheet1'!$L$16"}</definedName>
    <definedName name="_____SCL4" hidden="1">{"'Sheet1'!$L$16"}</definedName>
    <definedName name="_____SCL4_1" localSheetId="0" hidden="1">{"'Sheet1'!$L$16"}</definedName>
    <definedName name="_____SCL4_1" hidden="1">{"'Sheet1'!$L$16"}</definedName>
    <definedName name="_____SHI1" localSheetId="0" hidden="1">{"'Sheet1'!$L$16"}</definedName>
    <definedName name="_____SHI1" hidden="1">{"'Sheet1'!$L$16"}</definedName>
    <definedName name="_____sxt5" localSheetId="0" hidden="1">{"'Sheet1'!$L$16"}</definedName>
    <definedName name="_____sxt5" hidden="1">{"'Sheet1'!$L$16"}</definedName>
    <definedName name="_____T1" localSheetId="0" hidden="1">{#N/A,#N/A,FALSE,"Chi tiÆt"}</definedName>
    <definedName name="_____T1" hidden="1">{#N/A,#N/A,FALSE,"Chi tiÆt"}</definedName>
    <definedName name="_____T10" localSheetId="0" hidden="1">{"'Sheet1'!$L$16"}</definedName>
    <definedName name="_____T10" hidden="1">{"'Sheet1'!$L$16"}</definedName>
    <definedName name="_____T2" localSheetId="0" hidden="1">{"'Sheet1'!$L$16"}</definedName>
    <definedName name="_____T2" hidden="1">{"'Sheet1'!$L$16"}</definedName>
    <definedName name="_____T3" localSheetId="0" hidden="1">{"'Sheet1'!$L$16"}</definedName>
    <definedName name="_____T3" hidden="1">{"'Sheet1'!$L$16"}</definedName>
    <definedName name="_____t4" localSheetId="0" hidden="1">{"'Sheet1'!$L$16"}</definedName>
    <definedName name="_____t4" hidden="1">{"'Sheet1'!$L$16"}</definedName>
    <definedName name="_____T5" localSheetId="0" hidden="1">{"'Sheet1'!$L$16"}</definedName>
    <definedName name="_____T5" hidden="1">{"'Sheet1'!$L$16"}</definedName>
    <definedName name="_____TH1" localSheetId="0" hidden="1">{"'Sheet1'!$L$16"}</definedName>
    <definedName name="_____TH1" hidden="1">{"'Sheet1'!$L$16"}</definedName>
    <definedName name="_____THT11" localSheetId="0" hidden="1">{"'Sheet1'!$L$16"}</definedName>
    <definedName name="_____THT11" hidden="1">{"'Sheet1'!$L$16"}</definedName>
    <definedName name="_____TM2" localSheetId="0" hidden="1">{"'Sheet1'!$L$16"}</definedName>
    <definedName name="_____TM2" hidden="1">{"'Sheet1'!$L$16"}</definedName>
    <definedName name="_____TT04" hidden="1">#REF!</definedName>
    <definedName name="_____tt3" localSheetId="0" hidden="1">{"'Sheet1'!$L$16"}</definedName>
    <definedName name="_____tt3" hidden="1">{"'Sheet1'!$L$16"}</definedName>
    <definedName name="_____tu4" localSheetId="0" hidden="1">{"'Sheet1'!$L$16"}</definedName>
    <definedName name="_____tu4" hidden="1">{"'Sheet1'!$L$16"}</definedName>
    <definedName name="_____TV2" localSheetId="0" hidden="1">{"'Sheet1'!$L$16"}</definedName>
    <definedName name="_____TV2" hidden="1">{"'Sheet1'!$L$16"}</definedName>
    <definedName name="_____vpt5" localSheetId="0" hidden="1">{"'Sheet1'!$L$16"}</definedName>
    <definedName name="_____vpt5" hidden="1">{"'Sheet1'!$L$16"}</definedName>
    <definedName name="_____vpt6" localSheetId="0" hidden="1">{"'Sheet1'!$L$16"}</definedName>
    <definedName name="_____vpt6" hidden="1">{"'Sheet1'!$L$16"}</definedName>
    <definedName name="_____VT3" localSheetId="0"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localSheetId="0" hidden="1">{"'Sheet1'!$L$16"}</definedName>
    <definedName name="____a1" hidden="1">{"'Sheet1'!$L$16"}</definedName>
    <definedName name="____a1_1" localSheetId="0" hidden="1">{"'Sheet1'!$L$16"}</definedName>
    <definedName name="____a1_1" hidden="1">{"'Sheet1'!$L$16"}</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0" hidden="1">{"'Sheet1'!$L$16"}</definedName>
    <definedName name="____a2" hidden="1">{"'Sheet1'!$L$16"}</definedName>
    <definedName name="____b2" localSheetId="0" hidden="1">{"'Sheet1'!$L$16"}</definedName>
    <definedName name="____b2" hidden="1">{"'Sheet1'!$L$16"}</definedName>
    <definedName name="____ba1" localSheetId="0" hidden="1">{#N/A,#N/A,FALSE,"Chi tiÆt"}</definedName>
    <definedName name="____ba1" hidden="1">{#N/A,#N/A,FALSE,"Chi tiÆt"}</definedName>
    <definedName name="____ba2" localSheetId="0" hidden="1">{#N/A,#N/A,FALSE,"Chi tiÆt"}</definedName>
    <definedName name="____ba2" hidden="1">{#N/A,#N/A,FALSE,"Chi tiÆt"}</definedName>
    <definedName name="____BG12" localSheetId="0" hidden="1">{"'Sheet1'!$L$16"}</definedName>
    <definedName name="____BG12" hidden="1">{"'Sheet1'!$L$16"}</definedName>
    <definedName name="____bht6" localSheetId="0" hidden="1">{"'Sheet1'!$L$16"}</definedName>
    <definedName name="____bht6" hidden="1">{"'Sheet1'!$L$16"}</definedName>
    <definedName name="____CN1" localSheetId="0" hidden="1">{"'Sheet1'!$L$16"}</definedName>
    <definedName name="____CN1" hidden="1">{"'Sheet1'!$L$16"}</definedName>
    <definedName name="____ct2005" localSheetId="0" hidden="1">{"'Sheet1'!$L$16"}</definedName>
    <definedName name="____ct2005" hidden="1">{"'Sheet1'!$L$16"}</definedName>
    <definedName name="____CT4" localSheetId="0" hidden="1">{"'Sheet1'!$L$16"}</definedName>
    <definedName name="____CT4" hidden="1">{"'Sheet1'!$L$16"}</definedName>
    <definedName name="____d1500" localSheetId="0" hidden="1">{"'Sheet1'!$L$16"}</definedName>
    <definedName name="____d1500" hidden="1">{"'Sheet1'!$L$16"}</definedName>
    <definedName name="____DIV3">#REF!</definedName>
    <definedName name="____DIV4">#REF!</definedName>
    <definedName name="____DT10" localSheetId="0" hidden="1">{"'Sheet1'!$L$16"}</definedName>
    <definedName name="____DT1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localSheetId="0" hidden="1">{"'Sheet1'!$L$16"}</definedName>
    <definedName name="____FD12" hidden="1">{"'Sheet1'!$L$16"}</definedName>
    <definedName name="____G4211" localSheetId="0" hidden="1">{"'Sheet1'!$L$16"}</definedName>
    <definedName name="____G4211" hidden="1">{"'Sheet1'!$L$16"}</definedName>
    <definedName name="____Goi8" localSheetId="0" hidden="1">{"'Sheet1'!$L$16"}</definedName>
    <definedName name="____Goi8" hidden="1">{"'Sheet1'!$L$16"}</definedName>
    <definedName name="____Goi8_1" localSheetId="0" hidden="1">{"'Sheet1'!$L$16"}</definedName>
    <definedName name="____Goi8_1" hidden="1">{"'Sheet1'!$L$16"}</definedName>
    <definedName name="____h1" localSheetId="0" hidden="1">{"'Sheet1'!$L$16"}</definedName>
    <definedName name="____h1" hidden="1">{"'Sheet1'!$L$16"}</definedName>
    <definedName name="____h12" localSheetId="0" hidden="1">{"'Sheet1'!$L$16"}</definedName>
    <definedName name="____h12" hidden="1">{"'Sheet1'!$L$16"}</definedName>
    <definedName name="____hh1219" localSheetId="0" hidden="1">{"'Sheet1'!$L$16"}</definedName>
    <definedName name="____hh1219"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hu7" localSheetId="0" hidden="1">{"'Sheet1'!$L$16"}</definedName>
    <definedName name="____hu7" hidden="1">{"'Sheet1'!$L$16"}</definedName>
    <definedName name="____huy1" localSheetId="0" hidden="1">{"'Sheet1'!$L$16"}</definedName>
    <definedName name="____huy1" hidden="1">{"'Sheet1'!$L$16"}</definedName>
    <definedName name="____huy2" localSheetId="0" hidden="1">{"'Sheet1'!$L$16"}</definedName>
    <definedName name="____huy2" hidden="1">{"'Sheet1'!$L$16"}</definedName>
    <definedName name="____key2" hidden="1">#REF!</definedName>
    <definedName name="____Lan1" localSheetId="0" hidden="1">{"'Sheet1'!$L$16"}</definedName>
    <definedName name="____Lan1" hidden="1">{"'Sheet1'!$L$16"}</definedName>
    <definedName name="____Lan2" localSheetId="0" hidden="1">{"'Sheet1'!$L$16"}</definedName>
    <definedName name="____Lan2" hidden="1">{"'Sheet1'!$L$16"}</definedName>
    <definedName name="____LAN3" localSheetId="0" hidden="1">{"'Sheet1'!$L$16"}</definedName>
    <definedName name="____LAN3" hidden="1">{"'Sheet1'!$L$16"}</definedName>
    <definedName name="____ld2" localSheetId="0" hidden="1">{"'Sheet1'!$L$16"}</definedName>
    <definedName name="____ld2" hidden="1">{"'Sheet1'!$L$16"}</definedName>
    <definedName name="____lop111" localSheetId="0" hidden="1">{#N/A,#N/A,FALSE,"特殊室（ＢＱ表）"}</definedName>
    <definedName name="____lop111" hidden="1">{#N/A,#N/A,FALSE,"特殊室（ＢＱ表）"}</definedName>
    <definedName name="____M2" localSheetId="0" hidden="1">{"'Sheet1'!$L$16"}</definedName>
    <definedName name="____M2" hidden="1">{"'Sheet1'!$L$16"}</definedName>
    <definedName name="____m4" localSheetId="0" hidden="1">{"'Sheet1'!$L$16"}</definedName>
    <definedName name="____m4" hidden="1">{"'Sheet1'!$L$16"}</definedName>
    <definedName name="____MCC3" localSheetId="0" hidden="1">{#N/A,#N/A,FALSE,"CCTV"}</definedName>
    <definedName name="____MCC3" hidden="1">{#N/A,#N/A,FALSE,"CCTV"}</definedName>
    <definedName name="____nam1" localSheetId="0" hidden="1">{"'Sheet1'!$L$16"}</definedName>
    <definedName name="____nam1" hidden="1">{"'Sheet1'!$L$16"}</definedName>
    <definedName name="____NAM11" localSheetId="0" hidden="1">{#N/A,#N/A,FALSE,"Chi tiÆt"}</definedName>
    <definedName name="____NAM11" hidden="1">{#N/A,#N/A,FALSE,"Chi tiÆt"}</definedName>
    <definedName name="____ngk1109" localSheetId="0" hidden="1">{#N/A,#N/A,FALSE,"估價單  (3)"}</definedName>
    <definedName name="____ngk1109" hidden="1">{#N/A,#N/A,FALSE,"估價單  (3)"}</definedName>
    <definedName name="____NO1" hidden="1">#REF!</definedName>
    <definedName name="____NO2" hidden="1">#REF!</definedName>
    <definedName name="____nso1" localSheetId="0" hidden="1">{"'Sheet1'!$L$16"}</definedName>
    <definedName name="____nso1" hidden="1">{"'Sheet1'!$L$16"}</definedName>
    <definedName name="____NSO2" localSheetId="0" hidden="1">{"'Sheet1'!$L$16"}</definedName>
    <definedName name="____NSO2" hidden="1">{"'Sheet1'!$L$16"}</definedName>
    <definedName name="____P3" localSheetId="0" hidden="1">{#N/A,#N/A,FALSE,"特殊室（ＢＱ表）"}</definedName>
    <definedName name="____P3" hidden="1">{#N/A,#N/A,FALSE,"特殊室（ＢＱ表）"}</definedName>
    <definedName name="____pa22" localSheetId="0" hidden="1">{"'ROOF'!$B$6","'ROOF'!$B$6","'ROOF'!$B$6","'ROOF'!$B$6"}</definedName>
    <definedName name="____pa22" hidden="1">{"'ROOF'!$B$6","'ROOF'!$B$6","'ROOF'!$B$6","'ROOF'!$B$6"}</definedName>
    <definedName name="____PA3" localSheetId="0" hidden="1">{"'Sheet1'!$L$16"}</definedName>
    <definedName name="____PA3" hidden="1">{"'Sheet1'!$L$16"}</definedName>
    <definedName name="____phu3" localSheetId="0" hidden="1">{"'Sheet1'!$L$16"}</definedName>
    <definedName name="____phu3" hidden="1">{"'Sheet1'!$L$16"}</definedName>
    <definedName name="____PPP3" localSheetId="0" hidden="1">{#N/A,#N/A,FALSE,"特殊室（ＢＱ表）"}</definedName>
    <definedName name="____PPP3" hidden="1">{#N/A,#N/A,FALSE,"特殊室（ＢＱ表）"}</definedName>
    <definedName name="____PPP33" localSheetId="0" hidden="1">{#N/A,#N/A,FALSE,"特殊室（ＢＱ表）"}</definedName>
    <definedName name="____PPP33" hidden="1">{#N/A,#N/A,FALSE,"特殊室（ＢＱ表）"}</definedName>
    <definedName name="____ppp34" localSheetId="0" hidden="1">{#N/A,#N/A,FALSE,"特殊室（ＢＱ表）"}</definedName>
    <definedName name="____ppp34" hidden="1">{#N/A,#N/A,FALSE,"特殊室（ＢＱ表）"}</definedName>
    <definedName name="____ppp3444" localSheetId="0" hidden="1">{#N/A,#N/A,FALSE,"特殊室（ＢＱ表）"}</definedName>
    <definedName name="____ppp3444" hidden="1">{#N/A,#N/A,FALSE,"特殊室（ＢＱ表）"}</definedName>
    <definedName name="____Rh90" localSheetId="0" hidden="1">{"'Sheet1'!$L$16"}</definedName>
    <definedName name="____Rh90" hidden="1">{"'Sheet1'!$L$16"}</definedName>
    <definedName name="____SCL4" localSheetId="0" hidden="1">{"'Sheet1'!$L$16"}</definedName>
    <definedName name="____SCL4" hidden="1">{"'Sheet1'!$L$16"}</definedName>
    <definedName name="____SCL4_1" localSheetId="0" hidden="1">{"'Sheet1'!$L$16"}</definedName>
    <definedName name="____SCL4_1" hidden="1">{"'Sheet1'!$L$16"}</definedName>
    <definedName name="____SHI1" localSheetId="0" hidden="1">{"'Sheet1'!$L$16"}</definedName>
    <definedName name="____SHI1" hidden="1">{"'Sheet1'!$L$16"}</definedName>
    <definedName name="____sxt5" localSheetId="0" hidden="1">{"'Sheet1'!$L$16"}</definedName>
    <definedName name="____sxt5" hidden="1">{"'Sheet1'!$L$16"}</definedName>
    <definedName name="____t1" localSheetId="0" hidden="1">{"'Sheet1'!$L$16"}</definedName>
    <definedName name="____t1" hidden="1">{"'Sheet1'!$L$16"}</definedName>
    <definedName name="____T10" localSheetId="0" hidden="1">{"'Sheet1'!$L$16"}</definedName>
    <definedName name="____T10" hidden="1">{"'Sheet1'!$L$16"}</definedName>
    <definedName name="____T2" localSheetId="0" hidden="1">{"'Sheet1'!$L$16"}</definedName>
    <definedName name="____T2" hidden="1">{"'Sheet1'!$L$16"}</definedName>
    <definedName name="____T3" localSheetId="0" hidden="1">{"'Sheet1'!$L$16"}</definedName>
    <definedName name="____T3" hidden="1">{"'Sheet1'!$L$16"}</definedName>
    <definedName name="____T4" localSheetId="0" hidden="1">{"'Sheet1'!$L$16"}</definedName>
    <definedName name="____T4" hidden="1">{"'Sheet1'!$L$16"}</definedName>
    <definedName name="____t5" localSheetId="0" hidden="1">{"'Sheet1'!$L$16"}</definedName>
    <definedName name="____t5" hidden="1">{"'Sheet1'!$L$16"}</definedName>
    <definedName name="____T9" localSheetId="0" hidden="1">{#N/A,#N/A,FALSE,"Chi tiÆt"}</definedName>
    <definedName name="____T9" hidden="1">{#N/A,#N/A,FALSE,"Chi tiÆt"}</definedName>
    <definedName name="____TH1" localSheetId="0" hidden="1">{"'Sheet1'!$L$16"}</definedName>
    <definedName name="____TH1" hidden="1">{"'Sheet1'!$L$16"}</definedName>
    <definedName name="____THT11" localSheetId="0" hidden="1">{"'Sheet1'!$L$16"}</definedName>
    <definedName name="____THT11" hidden="1">{"'Sheet1'!$L$16"}</definedName>
    <definedName name="____TM2" localSheetId="0" hidden="1">{"'Sheet1'!$L$16"}</definedName>
    <definedName name="____TM2" hidden="1">{"'Sheet1'!$L$16"}</definedName>
    <definedName name="____TT04" hidden="1">#REF!</definedName>
    <definedName name="____tt3" localSheetId="0" hidden="1">{"'Sheet1'!$L$16"}</definedName>
    <definedName name="____tt3" hidden="1">{"'Sheet1'!$L$16"}</definedName>
    <definedName name="____ttt1" localSheetId="0" hidden="1">{"'Sheet1'!$L$16"}</definedName>
    <definedName name="____ttt1" hidden="1">{"'Sheet1'!$L$16"}</definedName>
    <definedName name="____tu4" localSheetId="0" hidden="1">{"'Sheet1'!$L$16"}</definedName>
    <definedName name="____tu4" hidden="1">{"'Sheet1'!$L$16"}</definedName>
    <definedName name="____TV2" localSheetId="0" hidden="1">{"'Sheet1'!$L$16"}</definedName>
    <definedName name="____TV2" hidden="1">{"'Sheet1'!$L$16"}</definedName>
    <definedName name="____vpt5" localSheetId="0" hidden="1">{"'Sheet1'!$L$16"}</definedName>
    <definedName name="____vpt5" hidden="1">{"'Sheet1'!$L$16"}</definedName>
    <definedName name="____vpt6" localSheetId="0" hidden="1">{"'Sheet1'!$L$16"}</definedName>
    <definedName name="____vpt6" hidden="1">{"'Sheet1'!$L$16"}</definedName>
    <definedName name="____VT3" localSheetId="0"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localSheetId="0" hidden="1">{"'Sheet1'!$L$16"}</definedName>
    <definedName name="___a1" hidden="1">{"'Sheet1'!$L$16"}</definedName>
    <definedName name="___a1_1" localSheetId="0" hidden="1">{"'Sheet1'!$L$16"}</definedName>
    <definedName name="___a1_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0" hidden="1">{"'Sheet1'!$L$16"}</definedName>
    <definedName name="___a2" hidden="1">{"'Sheet1'!$L$16"}</definedName>
    <definedName name="___A4" localSheetId="0" hidden="1">{"'Sheet1'!$L$16"}</definedName>
    <definedName name="___A4" hidden="1">{"'Sheet1'!$L$16"}</definedName>
    <definedName name="___b01" localSheetId="0" hidden="1">{#N/A,#N/A,FALSE,"MARCH"}</definedName>
    <definedName name="___b01" hidden="1">{#N/A,#N/A,FALSE,"MARCH"}</definedName>
    <definedName name="___b2" localSheetId="0" hidden="1">{"'Sheet1'!$L$16"}</definedName>
    <definedName name="___b2" hidden="1">{"'Sheet1'!$L$16"}</definedName>
    <definedName name="___ba1" localSheetId="0" hidden="1">{#N/A,#N/A,FALSE,"Chi tiÆt"}</definedName>
    <definedName name="___ba1" hidden="1">{#N/A,#N/A,FALSE,"Chi tiÆt"}</definedName>
    <definedName name="___ba2" localSheetId="0" hidden="1">{#N/A,#N/A,FALSE,"Chi tiÆt"}</definedName>
    <definedName name="___ba2" hidden="1">{#N/A,#N/A,FALSE,"Chi tiÆt"}</definedName>
    <definedName name="___BG12" localSheetId="0" hidden="1">{"'Sheet1'!$L$16"}</definedName>
    <definedName name="___BG12" hidden="1">{"'Sheet1'!$L$16"}</definedName>
    <definedName name="___bht6" localSheetId="0" hidden="1">{"'Sheet1'!$L$16"}</definedName>
    <definedName name="___bht6" hidden="1">{"'Sheet1'!$L$16"}</definedName>
    <definedName name="___BOQ2111" hidden="1">#REF!</definedName>
    <definedName name="___CN1" localSheetId="0" hidden="1">{"'Sheet1'!$L$16"}</definedName>
    <definedName name="___CN1" hidden="1">{"'Sheet1'!$L$16"}</definedName>
    <definedName name="___Coc39" localSheetId="0" hidden="1">{"'Sheet1'!$L$16"}</definedName>
    <definedName name="___Coc39" hidden="1">{"'Sheet1'!$L$16"}</definedName>
    <definedName name="___ct2005" localSheetId="0" hidden="1">{"'Sheet1'!$L$16"}</definedName>
    <definedName name="___ct2005" hidden="1">{"'Sheet1'!$L$16"}</definedName>
    <definedName name="___CT4" localSheetId="0" hidden="1">{"'Sheet1'!$L$16"}</definedName>
    <definedName name="___CT4" hidden="1">{"'Sheet1'!$L$16"}</definedName>
    <definedName name="___Cty501" localSheetId="0" hidden="1">{"'Sheet1'!$L$16"}</definedName>
    <definedName name="___Cty501" hidden="1">{"'Sheet1'!$L$16"}</definedName>
    <definedName name="___d1500" localSheetId="0"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localSheetId="0" hidden="1">{"'Sheet1'!$L$16"}</definedName>
    <definedName name="___dt1" hidden="1">{"'Sheet1'!$L$16"}</definedName>
    <definedName name="___DT10" localSheetId="0" hidden="1">{"'Sheet1'!$L$16"}</definedName>
    <definedName name="___DT10" hidden="1">{"'Sheet1'!$L$16"}</definedName>
    <definedName name="___ewt3" localSheetId="0" hidden="1">{#N/A,#N/A,FALSE,"CCTV"}</definedName>
    <definedName name="___ewt3"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1"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5" hidden="1">{"'Sheet1'!$L$16"}</definedName>
    <definedName name="___FAB4" hidden="1">#REF!</definedName>
    <definedName name="___FD12" localSheetId="0" hidden="1">{"'Sheet1'!$L$16"}</definedName>
    <definedName name="___FD12" hidden="1">{"'Sheet1'!$L$16"}</definedName>
    <definedName name="___G4211" localSheetId="0" hidden="1">{"'Sheet1'!$L$16"}</definedName>
    <definedName name="___G4211" hidden="1">{"'Sheet1'!$L$16"}</definedName>
    <definedName name="___Goi8" localSheetId="0" hidden="1">{"'Sheet1'!$L$16"}</definedName>
    <definedName name="___Goi8" hidden="1">{"'Sheet1'!$L$16"}</definedName>
    <definedName name="___Goi8_1" localSheetId="0" hidden="1">{"'Sheet1'!$L$16"}</definedName>
    <definedName name="___Goi8_1" hidden="1">{"'Sheet1'!$L$16"}</definedName>
    <definedName name="___h1" localSheetId="0" hidden="1">{"'Sheet1'!$L$16"}</definedName>
    <definedName name="___h1" hidden="1">{"'Sheet1'!$L$16"}</definedName>
    <definedName name="___h12" localSheetId="0" hidden="1">{"'Sheet1'!$L$16"}</definedName>
    <definedName name="___h12" hidden="1">{"'Sheet1'!$L$16"}</definedName>
    <definedName name="___h14" localSheetId="0" hidden="1">{"'Sheet1'!$L$16"}</definedName>
    <definedName name="___h14" hidden="1">{"'Sheet1'!$L$16"}</definedName>
    <definedName name="___hh1219" localSheetId="0" hidden="1">{"'Sheet1'!$L$16"}</definedName>
    <definedName name="___hh1219" hidden="1">{"'Sheet1'!$L$16"}</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hu7" localSheetId="0" hidden="1">{"'Sheet1'!$L$16"}</definedName>
    <definedName name="___hu7" hidden="1">{"'Sheet1'!$L$16"}</definedName>
    <definedName name="___huy1" localSheetId="0" hidden="1">{"'Sheet1'!$L$16"}</definedName>
    <definedName name="___huy1" hidden="1">{"'Sheet1'!$L$16"}</definedName>
    <definedName name="___huy2" localSheetId="0" hidden="1">{"'Sheet1'!$L$16"}</definedName>
    <definedName name="___huy2" hidden="1">{"'Sheet1'!$L$16"}</definedName>
    <definedName name="___key1" hidden="1">#REF!</definedName>
    <definedName name="___key2" hidden="1">#REF!</definedName>
    <definedName name="___Lan1" localSheetId="0" hidden="1">{"'Sheet1'!$L$16"}</definedName>
    <definedName name="___Lan1" hidden="1">{"'Sheet1'!$L$16"}</definedName>
    <definedName name="___Lan2" localSheetId="0" hidden="1">{"'Sheet1'!$L$16"}</definedName>
    <definedName name="___Lan2" hidden="1">{"'Sheet1'!$L$16"}</definedName>
    <definedName name="___LAN3" localSheetId="0" hidden="1">{"'Sheet1'!$L$16"}</definedName>
    <definedName name="___LAN3" hidden="1">{"'Sheet1'!$L$16"}</definedName>
    <definedName name="___lao2" localSheetId="0" hidden="1">{"'Sheet1'!$L$16"}</definedName>
    <definedName name="___lao2" hidden="1">{"'Sheet1'!$L$16"}</definedName>
    <definedName name="___ld2" localSheetId="0" hidden="1">{"'Sheet1'!$L$16"}</definedName>
    <definedName name="___ld2" hidden="1">{"'Sheet1'!$L$16"}</definedName>
    <definedName name="___lk2" localSheetId="0" hidden="1">{"'Sheet1'!$L$16"}</definedName>
    <definedName name="___lk2" hidden="1">{"'Sheet1'!$L$16"}</definedName>
    <definedName name="___lop111" localSheetId="0" hidden="1">{#N/A,#N/A,FALSE,"特殊室（ＢＱ表）"}</definedName>
    <definedName name="___lop111" hidden="1">{#N/A,#N/A,FALSE,"特殊室（ＢＱ表）"}</definedName>
    <definedName name="___M2" localSheetId="0" hidden="1">{"'Sheet1'!$L$16"}</definedName>
    <definedName name="___M2" hidden="1">{"'Sheet1'!$L$16"}</definedName>
    <definedName name="___M36" localSheetId="0" hidden="1">{"'Sheet1'!$L$16"}</definedName>
    <definedName name="___M36" hidden="1">{"'Sheet1'!$L$16"}</definedName>
    <definedName name="___m4" localSheetId="0" hidden="1">{"'Sheet1'!$L$16"}</definedName>
    <definedName name="___m4" hidden="1">{"'Sheet1'!$L$16"}</definedName>
    <definedName name="___MCC3" localSheetId="0" hidden="1">{#N/A,#N/A,FALSE,"CCTV"}</definedName>
    <definedName name="___MCC3" hidden="1">{#N/A,#N/A,FALSE,"CCTV"}</definedName>
    <definedName name="___nam1" localSheetId="0" hidden="1">{"'Sheet1'!$L$16"}</definedName>
    <definedName name="___nam1" hidden="1">{"'Sheet1'!$L$16"}</definedName>
    <definedName name="___NAM11" localSheetId="0" hidden="1">{#N/A,#N/A,FALSE,"Chi tiÆt"}</definedName>
    <definedName name="___NAM11" hidden="1">{#N/A,#N/A,FALSE,"Chi tiÆt"}</definedName>
    <definedName name="___ngk1109" localSheetId="0" hidden="1">{#N/A,#N/A,FALSE,"估價單  (3)"}</definedName>
    <definedName name="___ngk1109" hidden="1">{#N/A,#N/A,FALSE,"估價單  (3)"}</definedName>
    <definedName name="___NO1" hidden="1">#REF!</definedName>
    <definedName name="___NO2" hidden="1">#REF!</definedName>
    <definedName name="___nso1" localSheetId="0" hidden="1">{"'Sheet1'!$L$16"}</definedName>
    <definedName name="___nso1" hidden="1">{"'Sheet1'!$L$16"}</definedName>
    <definedName name="___NSO2" localSheetId="0" hidden="1">{"'Sheet1'!$L$16"}</definedName>
    <definedName name="___NSO2" hidden="1">{"'Sheet1'!$L$16"}</definedName>
    <definedName name="___P3" localSheetId="0" hidden="1">{#N/A,#N/A,FALSE,"特殊室（ＢＱ表）"}</definedName>
    <definedName name="___P3" hidden="1">{#N/A,#N/A,FALSE,"特殊室（ＢＱ表）"}</definedName>
    <definedName name="___pa22" localSheetId="0" hidden="1">{"'ROOF'!$B$6","'ROOF'!$B$6","'ROOF'!$B$6","'ROOF'!$B$6"}</definedName>
    <definedName name="___pa22" hidden="1">{"'ROOF'!$B$6","'ROOF'!$B$6","'ROOF'!$B$6","'ROOF'!$B$6"}</definedName>
    <definedName name="___PA3" localSheetId="0" hidden="1">{"'Sheet1'!$L$16"}</definedName>
    <definedName name="___PA3" hidden="1">{"'Sheet1'!$L$16"}</definedName>
    <definedName name="___phu3" localSheetId="0" hidden="1">{"'Sheet1'!$L$16"}</definedName>
    <definedName name="___phu3" hidden="1">{"'Sheet1'!$L$16"}</definedName>
    <definedName name="___PK2" localSheetId="0" hidden="1">{"'장비'!$A$3:$M$12"}</definedName>
    <definedName name="___PK2" hidden="1">{"'장비'!$A$3:$M$12"}</definedName>
    <definedName name="___PKG3" localSheetId="0" hidden="1">{"'장비'!$A$3:$M$12"}</definedName>
    <definedName name="___PKG3" hidden="1">{"'장비'!$A$3:$M$12"}</definedName>
    <definedName name="___PPP3" localSheetId="0" hidden="1">{#N/A,#N/A,FALSE,"特殊室（ＢＱ表）"}</definedName>
    <definedName name="___PPP3" hidden="1">{#N/A,#N/A,FALSE,"特殊室（ＢＱ表）"}</definedName>
    <definedName name="___PPP33" localSheetId="0" hidden="1">{#N/A,#N/A,FALSE,"特殊室（ＢＱ表）"}</definedName>
    <definedName name="___PPP33" hidden="1">{#N/A,#N/A,FALSE,"特殊室（ＢＱ表）"}</definedName>
    <definedName name="___ppp34" localSheetId="0" hidden="1">{#N/A,#N/A,FALSE,"特殊室（ＢＱ表）"}</definedName>
    <definedName name="___ppp34" hidden="1">{#N/A,#N/A,FALSE,"特殊室（ＢＱ表）"}</definedName>
    <definedName name="___ppp3444" localSheetId="0" hidden="1">{#N/A,#N/A,FALSE,"特殊室（ＢＱ表）"}</definedName>
    <definedName name="___ppp3444" hidden="1">{#N/A,#N/A,FALSE,"特殊室（ＢＱ表）"}</definedName>
    <definedName name="___qqq222" localSheetId="0" hidden="1">{"'장비'!$A$3:$M$12"}</definedName>
    <definedName name="___qqq222" hidden="1">{"'장비'!$A$3:$M$12"}</definedName>
    <definedName name="___Rh90" localSheetId="0" hidden="1">{"'Sheet1'!$L$16"}</definedName>
    <definedName name="___Rh90" hidden="1">{"'Sheet1'!$L$16"}</definedName>
    <definedName name="___SCL4" localSheetId="0" hidden="1">{"'Sheet1'!$L$16"}</definedName>
    <definedName name="___SCL4" hidden="1">{"'Sheet1'!$L$16"}</definedName>
    <definedName name="___SCL4_1" localSheetId="0" hidden="1">{"'Sheet1'!$L$16"}</definedName>
    <definedName name="___SCL4_1" hidden="1">{"'Sheet1'!$L$16"}</definedName>
    <definedName name="___SHI1" localSheetId="0" hidden="1">{"'Sheet1'!$L$16"}</definedName>
    <definedName name="___SHI1" hidden="1">{"'Sheet1'!$L$16"}</definedName>
    <definedName name="___sum1" hidden="1">#REF!</definedName>
    <definedName name="___sxt5" localSheetId="0" hidden="1">{"'Sheet1'!$L$16"}</definedName>
    <definedName name="___sxt5" hidden="1">{"'Sheet1'!$L$16"}</definedName>
    <definedName name="___t1" localSheetId="0" hidden="1">{"'Sheet1'!$L$16"}</definedName>
    <definedName name="___t1" hidden="1">{"'Sheet1'!$L$16"}</definedName>
    <definedName name="___T10" localSheetId="0" hidden="1">{"'Sheet1'!$L$16"}</definedName>
    <definedName name="___T10" hidden="1">{"'Sheet1'!$L$16"}</definedName>
    <definedName name="___t2" localSheetId="0" hidden="1">{"'Sheet1'!$L$16"}</definedName>
    <definedName name="___t2" hidden="1">{"'Sheet1'!$L$16"}</definedName>
    <definedName name="___T3" localSheetId="0" hidden="1">{"'Sheet1'!$L$16"}</definedName>
    <definedName name="___T3" hidden="1">{"'Sheet1'!$L$16"}</definedName>
    <definedName name="___T4" localSheetId="0" hidden="1">{"'Sheet1'!$L$16"}</definedName>
    <definedName name="___T4" hidden="1">{"'Sheet1'!$L$16"}</definedName>
    <definedName name="___t5" localSheetId="0" hidden="1">{"'Sheet1'!$L$16"}</definedName>
    <definedName name="___t5" hidden="1">{"'Sheet1'!$L$16"}</definedName>
    <definedName name="___T9" localSheetId="0" hidden="1">{#N/A,#N/A,FALSE,"Chi tiÆt"}</definedName>
    <definedName name="___T9" hidden="1">{#N/A,#N/A,FALSE,"Chi tiÆt"}</definedName>
    <definedName name="___TB1">#REF!</definedName>
    <definedName name="___TH1" localSheetId="0" hidden="1">{"'Sheet1'!$L$16"}</definedName>
    <definedName name="___TH1" hidden="1">{"'Sheet1'!$L$16"}</definedName>
    <definedName name="___tha1" localSheetId="0" hidden="1">{"'Sheet1'!$L$16"}</definedName>
    <definedName name="___tha1" hidden="1">{"'Sheet1'!$L$16"}</definedName>
    <definedName name="___THT11" localSheetId="0" hidden="1">{"'Sheet1'!$L$16"}</definedName>
    <definedName name="___THT11" hidden="1">{"'Sheet1'!$L$16"}</definedName>
    <definedName name="___TM2" localSheetId="0" hidden="1">{"'Sheet1'!$L$16"}</definedName>
    <definedName name="___TM2" hidden="1">{"'Sheet1'!$L$16"}</definedName>
    <definedName name="___TT04" hidden="1">#REF!</definedName>
    <definedName name="___tt3" localSheetId="0" hidden="1">{"'Sheet1'!$L$16"}</definedName>
    <definedName name="___tt3" hidden="1">{"'Sheet1'!$L$16"}</definedName>
    <definedName name="___TT31" localSheetId="0" hidden="1">{"'Sheet1'!$L$16"}</definedName>
    <definedName name="___TT31" hidden="1">{"'Sheet1'!$L$16"}</definedName>
    <definedName name="___ttt1" localSheetId="0" hidden="1">{"'Sheet1'!$L$16"}</definedName>
    <definedName name="___ttt1" hidden="1">{"'Sheet1'!$L$16"}</definedName>
    <definedName name="___tu4" localSheetId="0" hidden="1">{"'Sheet1'!$L$16"}</definedName>
    <definedName name="___tu4" hidden="1">{"'Sheet1'!$L$16"}</definedName>
    <definedName name="___TV2" localSheetId="0" hidden="1">{"'Sheet1'!$L$16"}</definedName>
    <definedName name="___TV2" hidden="1">{"'Sheet1'!$L$16"}</definedName>
    <definedName name="___vpt5" localSheetId="0" hidden="1">{"'Sheet1'!$L$16"}</definedName>
    <definedName name="___vpt5" hidden="1">{"'Sheet1'!$L$16"}</definedName>
    <definedName name="___vpt6" localSheetId="0" hidden="1">{"'Sheet1'!$L$16"}</definedName>
    <definedName name="___vpt6" hidden="1">{"'Sheet1'!$L$16"}</definedName>
    <definedName name="___VT3" localSheetId="0" hidden="1">{"'Sheet1'!$L$16"}</definedName>
    <definedName name="___VT3" hidden="1">{"'Sheet1'!$L$16"}</definedName>
    <definedName name="___xlfn.BAHTTEXT" hidden="1">#NAME?</definedName>
    <definedName name="__1" localSheetId="0" hidden="1">{"'Sheet1'!$L$16"}</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localSheetId="0" hidden="1">{"'Sheet1'!$L$16"}</definedName>
    <definedName name="__a1" hidden="1">{"'Sheet1'!$L$16"}</definedName>
    <definedName name="__a1_1" localSheetId="0" hidden="1">{"'Sheet1'!$L$16"}</definedName>
    <definedName name="__a1_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0" hidden="1">{"'Sheet1'!$L$16"}</definedName>
    <definedName name="__a2" hidden="1">{"'Sheet1'!$L$16"}</definedName>
    <definedName name="__A4" localSheetId="0" hidden="1">{"'Sheet1'!$L$16"}</definedName>
    <definedName name="__A4" hidden="1">{"'Sheet1'!$L$16"}</definedName>
    <definedName name="__a9" localSheetId="0" hidden="1">{"'Sheet1'!$L$16"}</definedName>
    <definedName name="__a9" hidden="1">{"'Sheet1'!$L$16"}</definedName>
    <definedName name="__b2" localSheetId="0" hidden="1">{"'Sheet1'!$L$16"}</definedName>
    <definedName name="__b2" hidden="1">{"'Sheet1'!$L$16"}</definedName>
    <definedName name="__ba1" localSheetId="0" hidden="1">{#N/A,#N/A,FALSE,"Chi tiÆt"}</definedName>
    <definedName name="__ba1" hidden="1">{#N/A,#N/A,FALSE,"Chi tiÆt"}</definedName>
    <definedName name="__ba2" localSheetId="0" hidden="1">{#N/A,#N/A,FALSE,"Chi tiÆt"}</definedName>
    <definedName name="__ba2" hidden="1">{#N/A,#N/A,FALSE,"Chi tiÆt"}</definedName>
    <definedName name="__BG12" localSheetId="0" hidden="1">{"'Sheet1'!$L$16"}</definedName>
    <definedName name="__BG12" hidden="1">{"'Sheet1'!$L$16"}</definedName>
    <definedName name="__bht6" localSheetId="0" hidden="1">{"'Sheet1'!$L$16"}</definedName>
    <definedName name="__bht6" hidden="1">{"'Sheet1'!$L$16"}</definedName>
    <definedName name="__BOQ2111" hidden="1">#REF!</definedName>
    <definedName name="__ccr1" localSheetId="0" hidden="1">{#N/A,#N/A,TRUE,"Cover";#N/A,#N/A,TRUE,"Conts";#N/A,#N/A,TRUE,"VOS";#N/A,#N/A,TRUE,"Warrington";#N/A,#N/A,TRUE,"Widnes"}</definedName>
    <definedName name="__ccr1" hidden="1">{#N/A,#N/A,TRUE,"Cover";#N/A,#N/A,TRUE,"Conts";#N/A,#N/A,TRUE,"VOS";#N/A,#N/A,TRUE,"Warrington";#N/A,#N/A,TRUE,"Widnes"}</definedName>
    <definedName name="__CDD1">#REF!</definedName>
    <definedName name="__CDD2">#REF!</definedName>
    <definedName name="__CN1" localSheetId="0" hidden="1">{"'Sheet1'!$L$16"}</definedName>
    <definedName name="__CN1" hidden="1">{"'Sheet1'!$L$16"}</definedName>
    <definedName name="__coc1000" localSheetId="0" hidden="1">{#N/A,#N/A,FALSE,"Chi tiÆt"}</definedName>
    <definedName name="__coc1000" hidden="1">{#N/A,#N/A,FALSE,"Chi tiÆt"}</definedName>
    <definedName name="__Coc39" localSheetId="0" hidden="1">{"'Sheet1'!$L$16"}</definedName>
    <definedName name="__Coc39" hidden="1">{"'Sheet1'!$L$16"}</definedName>
    <definedName name="__CT2" localSheetId="0" hidden="1">{"'Sheet1'!$L$16"}</definedName>
    <definedName name="__CT2" hidden="1">{"'Sheet1'!$L$16"}</definedName>
    <definedName name="__ct2005" localSheetId="0" hidden="1">{"'Sheet1'!$L$16"}</definedName>
    <definedName name="__ct2005" hidden="1">{"'Sheet1'!$L$16"}</definedName>
    <definedName name="__CT4" localSheetId="0" hidden="1">{"'Sheet1'!$L$16"}</definedName>
    <definedName name="__CT4" hidden="1">{"'Sheet1'!$L$16"}</definedName>
    <definedName name="__Cty501" localSheetId="0" hidden="1">{"'Sheet1'!$L$16"}</definedName>
    <definedName name="__Cty501" hidden="1">{"'Sheet1'!$L$16"}</definedName>
    <definedName name="__d1500" localSheetId="0" hidden="1">{"'Sheet1'!$L$16"}</definedName>
    <definedName name="__d1500" hidden="1">{"'Sheet1'!$L$16"}</definedName>
    <definedName name="__D41" localSheetId="0" hidden="1">{"'Sheet1'!$L$16"}</definedName>
    <definedName name="__D41" hidden="1">{"'Sheet1'!$L$16"}</definedName>
    <definedName name="__D42" localSheetId="0"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localSheetId="0" hidden="1">{"'Sheet1'!$L$16"}</definedName>
    <definedName name="__dt1" hidden="1">{"'Sheet1'!$L$16"}</definedName>
    <definedName name="__DT10" localSheetId="0" hidden="1">{"'Sheet1'!$L$16"}</definedName>
    <definedName name="__DT10" hidden="1">{"'Sheet1'!$L$16"}</definedName>
    <definedName name="__e2" localSheetId="0" hidden="1">{"'Sheet1'!$L$16"}</definedName>
    <definedName name="__e2" hidden="1">{"'Sheet1'!$L$16"}</definedName>
    <definedName name="__ewt3" localSheetId="0" hidden="1">{#N/A,#N/A,FALSE,"CCTV"}</definedName>
    <definedName name="__ewt3"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1"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5" hidden="1">{"'Sheet1'!$L$16"}</definedName>
    <definedName name="__FAB4" hidden="1">#REF!</definedName>
    <definedName name="__FD12" localSheetId="0" hidden="1">{"'Sheet1'!$L$16"}</definedName>
    <definedName name="__FD12"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fd2"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4211" hidden="1">{"'Sheet1'!$L$16"}</definedName>
    <definedName name="__gk2" hidden="1">#REF!</definedName>
    <definedName name="__Goi8" localSheetId="0" hidden="1">{"'Sheet1'!$L$16"}</definedName>
    <definedName name="__Goi8" hidden="1">{"'Sheet1'!$L$16"}</definedName>
    <definedName name="__Goi8_1" localSheetId="0" hidden="1">{"'Sheet1'!$L$16"}</definedName>
    <definedName name="__Goi8_1" hidden="1">{"'Sheet1'!$L$16"}</definedName>
    <definedName name="__h1" localSheetId="0" hidden="1">{"'Sheet1'!$L$16"}</definedName>
    <definedName name="__h1" hidden="1">{"'Sheet1'!$L$16"}</definedName>
    <definedName name="__h12" localSheetId="0" hidden="1">{"'Sheet1'!$L$16"}</definedName>
    <definedName name="__h12" hidden="1">{"'Sheet1'!$L$16"}</definedName>
    <definedName name="__h14" localSheetId="0" hidden="1">{"'Sheet1'!$L$16"}</definedName>
    <definedName name="__h14" hidden="1">{"'Sheet1'!$L$16"}</definedName>
    <definedName name="__hh1219" localSheetId="0" hidden="1">{"'Sheet1'!$L$16"}</definedName>
    <definedName name="__hh1219" hidden="1">{"'Sheet1'!$L$16"}</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u7" localSheetId="0" hidden="1">{"'Sheet1'!$L$16"}</definedName>
    <definedName name="__hu7" hidden="1">{"'Sheet1'!$L$16"}</definedName>
    <definedName name="__huy1" localSheetId="0" hidden="1">{"'Sheet1'!$L$16"}</definedName>
    <definedName name="__huy1" hidden="1">{"'Sheet1'!$L$16"}</definedName>
    <definedName name="__huy2" localSheetId="0" hidden="1">{"'Sheet1'!$L$16"}</definedName>
    <definedName name="__huy2" hidden="1">{"'Sheet1'!$L$16"}</definedName>
    <definedName name="__IntlFixup" hidden="1">TRUE</definedName>
    <definedName name="__K146" localSheetId="0" hidden="1">{"'Sheet1'!$L$16"}</definedName>
    <definedName name="__K146" hidden="1">{"'Sheet1'!$L$16"}</definedName>
    <definedName name="__key1" hidden="1">#REF!</definedName>
    <definedName name="__key2" hidden="1">#REF!</definedName>
    <definedName name="__khq3" localSheetId="0" hidden="1">{"'Sheet1'!$L$16"}</definedName>
    <definedName name="__khq3" hidden="1">{"'Sheet1'!$L$16"}</definedName>
    <definedName name="__Lan1" localSheetId="0" hidden="1">{"'Sheet1'!$L$16"}</definedName>
    <definedName name="__Lan1" hidden="1">{"'Sheet1'!$L$16"}</definedName>
    <definedName name="__Lan2" localSheetId="0" hidden="1">{"'Sheet1'!$L$16"}</definedName>
    <definedName name="__Lan2" hidden="1">{"'Sheet1'!$L$16"}</definedName>
    <definedName name="__LAN3" localSheetId="0" hidden="1">{"'Sheet1'!$L$16"}</definedName>
    <definedName name="__LAN3" hidden="1">{"'Sheet1'!$L$16"}</definedName>
    <definedName name="__lao2" localSheetId="0" hidden="1">{"'Sheet1'!$L$16"}</definedName>
    <definedName name="__lao2" hidden="1">{"'Sheet1'!$L$16"}</definedName>
    <definedName name="__ld2" localSheetId="0" hidden="1">{"'Sheet1'!$L$16"}</definedName>
    <definedName name="__ld2" hidden="1">{"'Sheet1'!$L$16"}</definedName>
    <definedName name="__lk2" localSheetId="0" hidden="1">{"'Sheet1'!$L$16"}</definedName>
    <definedName name="__lk2" hidden="1">{"'Sheet1'!$L$16"}</definedName>
    <definedName name="__lop111" localSheetId="0" hidden="1">{#N/A,#N/A,FALSE,"特殊室（ＢＱ表）"}</definedName>
    <definedName name="__lop111" hidden="1">{#N/A,#N/A,FALSE,"特殊室（ＢＱ表）"}</definedName>
    <definedName name="__M2" localSheetId="0" hidden="1">{"'Sheet1'!$L$16"}</definedName>
    <definedName name="__M2" hidden="1">{"'Sheet1'!$L$16"}</definedName>
    <definedName name="__M36" localSheetId="0" hidden="1">{"'Sheet1'!$L$16"}</definedName>
    <definedName name="__M36" hidden="1">{"'Sheet1'!$L$16"}</definedName>
    <definedName name="__m4" localSheetId="0" hidden="1">{"'Sheet1'!$L$16"}</definedName>
    <definedName name="__m4" hidden="1">{"'Sheet1'!$L$16"}</definedName>
    <definedName name="__MCC3" localSheetId="0" hidden="1">{#N/A,#N/A,FALSE,"CCTV"}</definedName>
    <definedName name="__MCC3" hidden="1">{#N/A,#N/A,FALSE,"CCTV"}</definedName>
    <definedName name="__nam1" localSheetId="0" hidden="1">{"'Sheet1'!$L$16"}</definedName>
    <definedName name="__nam1" hidden="1">{"'Sheet1'!$L$16"}</definedName>
    <definedName name="__NAM11" localSheetId="0" hidden="1">{#N/A,#N/A,FALSE,"Chi tiÆt"}</definedName>
    <definedName name="__NAM11" hidden="1">{#N/A,#N/A,FALSE,"Chi tiÆt"}</definedName>
    <definedName name="__ngk1109" localSheetId="0" hidden="1">{#N/A,#N/A,FALSE,"估價單  (3)"}</definedName>
    <definedName name="__ngk1109" hidden="1">{#N/A,#N/A,FALSE,"估價單  (3)"}</definedName>
    <definedName name="__NO1" hidden="1">#REF!</definedName>
    <definedName name="__NO2" hidden="1">#REF!</definedName>
    <definedName name="__nso1" localSheetId="0" hidden="1">{"'Sheet1'!$L$16"}</definedName>
    <definedName name="__nso1" hidden="1">{"'Sheet1'!$L$16"}</definedName>
    <definedName name="__NSO2" localSheetId="0" hidden="1">{"'Sheet1'!$L$16"}</definedName>
    <definedName name="__NSO2" hidden="1">{"'Sheet1'!$L$16"}</definedName>
    <definedName name="__P3" localSheetId="0" hidden="1">{#N/A,#N/A,FALSE,"特殊室（ＢＱ表）"}</definedName>
    <definedName name="__P3" hidden="1">{#N/A,#N/A,FALSE,"特殊室（ＢＱ表）"}</definedName>
    <definedName name="__pa22" localSheetId="0" hidden="1">{"'ROOF'!$B$6","'ROOF'!$B$6","'ROOF'!$B$6","'ROOF'!$B$6"}</definedName>
    <definedName name="__pa22" hidden="1">{"'ROOF'!$B$6","'ROOF'!$B$6","'ROOF'!$B$6","'ROOF'!$B$6"}</definedName>
    <definedName name="__PA3" localSheetId="0" hidden="1">{"'Sheet1'!$L$16"}</definedName>
    <definedName name="__PA3" hidden="1">{"'Sheet1'!$L$16"}</definedName>
    <definedName name="__pc120">#REF!</definedName>
    <definedName name="__pc200">#REF!</definedName>
    <definedName name="__pc300">#REF!</definedName>
    <definedName name="__phu3" localSheetId="0" hidden="1">{"'Sheet1'!$L$16"}</definedName>
    <definedName name="__phu3" hidden="1">{"'Sheet1'!$L$16"}</definedName>
    <definedName name="__PK2" localSheetId="0" hidden="1">{"'장비'!$A$3:$M$12"}</definedName>
    <definedName name="__PK2" hidden="1">{"'장비'!$A$3:$M$12"}</definedName>
    <definedName name="__PKG3" localSheetId="0" hidden="1">{"'장비'!$A$3:$M$12"}</definedName>
    <definedName name="__PKG3" hidden="1">{"'장비'!$A$3:$M$12"}</definedName>
    <definedName name="__PPP3" localSheetId="0" hidden="1">{#N/A,#N/A,FALSE,"特殊室（ＢＱ表）"}</definedName>
    <definedName name="__PPP3" hidden="1">{#N/A,#N/A,FALSE,"特殊室（ＢＱ表）"}</definedName>
    <definedName name="__PPP33" localSheetId="0" hidden="1">{#N/A,#N/A,FALSE,"特殊室（ＢＱ表）"}</definedName>
    <definedName name="__PPP33" hidden="1">{#N/A,#N/A,FALSE,"特殊室（ＢＱ表）"}</definedName>
    <definedName name="__ppp34" localSheetId="0" hidden="1">{#N/A,#N/A,FALSE,"特殊室（ＢＱ表）"}</definedName>
    <definedName name="__ppp34" hidden="1">{#N/A,#N/A,FALSE,"特殊室（ＢＱ表）"}</definedName>
    <definedName name="__ppp3444" localSheetId="0" hidden="1">{#N/A,#N/A,FALSE,"特殊室（ＢＱ表）"}</definedName>
    <definedName name="__ppp3444" hidden="1">{#N/A,#N/A,FALSE,"特殊室（ＢＱ表）"}</definedName>
    <definedName name="__pvc2">#REF!</definedName>
    <definedName name="__pvc3">#REF!</definedName>
    <definedName name="__pvc4">#REF!</definedName>
    <definedName name="__qqq222" localSheetId="0" hidden="1">{"'장비'!$A$3:$M$12"}</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localSheetId="0" hidden="1">{"'Sheet1'!$L$16"}</definedName>
    <definedName name="__Rh90" hidden="1">{"'Sheet1'!$L$16"}</definedName>
    <definedName name="__SCL4" localSheetId="0" hidden="1">{"'Sheet1'!$L$16"}</definedName>
    <definedName name="__SCL4" hidden="1">{"'Sheet1'!$L$16"}</definedName>
    <definedName name="__SCL4_1" localSheetId="0" hidden="1">{"'Sheet1'!$L$16"}</definedName>
    <definedName name="__SCL4_1" hidden="1">{"'Sheet1'!$L$16"}</definedName>
    <definedName name="__SHI1" localSheetId="0" hidden="1">{"'Sheet1'!$L$16"}</definedName>
    <definedName name="__SHI1" hidden="1">{"'Sheet1'!$L$16"}</definedName>
    <definedName name="__sum1" hidden="1">#REF!</definedName>
    <definedName name="__sxt5" localSheetId="0" hidden="1">{"'Sheet1'!$L$16"}</definedName>
    <definedName name="__sxt5" hidden="1">{"'Sheet1'!$L$16"}</definedName>
    <definedName name="__t1" localSheetId="0" hidden="1">{"'Sheet1'!$L$16"}</definedName>
    <definedName name="__t1" hidden="1">{"'Sheet1'!$L$16"}</definedName>
    <definedName name="__T10" localSheetId="0" hidden="1">{"'Sheet1'!$L$16"}</definedName>
    <definedName name="__T10" hidden="1">{"'Sheet1'!$L$16"}</definedName>
    <definedName name="__t2" localSheetId="0" hidden="1">{"'Sheet1'!$L$16"}</definedName>
    <definedName name="__t2" hidden="1">{"'Sheet1'!$L$16"}</definedName>
    <definedName name="__T3" localSheetId="0" hidden="1">{"'Sheet1'!$L$16"}</definedName>
    <definedName name="__T3" hidden="1">{"'Sheet1'!$L$16"}</definedName>
    <definedName name="__T4" localSheetId="0" hidden="1">{"'Sheet1'!$L$16"}</definedName>
    <definedName name="__T4" hidden="1">{"'Sheet1'!$L$16"}</definedName>
    <definedName name="__t5" localSheetId="0" hidden="1">{"'Sheet1'!$L$16"}</definedName>
    <definedName name="__t5" hidden="1">{"'Sheet1'!$L$16"}</definedName>
    <definedName name="__T9" localSheetId="0" hidden="1">{#N/A,#N/A,FALSE,"Chi tiÆt"}</definedName>
    <definedName name="__T9" hidden="1">{#N/A,#N/A,FALSE,"Chi tiÆt"}</definedName>
    <definedName name="__TB1">#REF!</definedName>
    <definedName name="__TH1" localSheetId="0" hidden="1">{"'Sheet1'!$L$16"}</definedName>
    <definedName name="__TH1" hidden="1">{"'Sheet1'!$L$16"}</definedName>
    <definedName name="__THT11" localSheetId="0" hidden="1">{"'Sheet1'!$L$16"}</definedName>
    <definedName name="__THT11" hidden="1">{"'Sheet1'!$L$16"}</definedName>
    <definedName name="__TM2" localSheetId="0" hidden="1">{"'Sheet1'!$L$16"}</definedName>
    <definedName name="__TM2" hidden="1">{"'Sheet1'!$L$16"}</definedName>
    <definedName name="__TT04" hidden="1">#REF!</definedName>
    <definedName name="__tt3" localSheetId="0" hidden="1">{"'Sheet1'!$L$16"}</definedName>
    <definedName name="__tt3" hidden="1">{"'Sheet1'!$L$16"}</definedName>
    <definedName name="__TT31" localSheetId="0" hidden="1">{"'Sheet1'!$L$16"}</definedName>
    <definedName name="__TT31" hidden="1">{"'Sheet1'!$L$16"}</definedName>
    <definedName name="__TT623" localSheetId="0" hidden="1">{"'Sheet1'!$L$16"}</definedName>
    <definedName name="__TT623" hidden="1">{"'Sheet1'!$L$16"}</definedName>
    <definedName name="__ttt1" localSheetId="0" hidden="1">{"'Sheet1'!$L$16"}</definedName>
    <definedName name="__ttt1" hidden="1">{"'Sheet1'!$L$16"}</definedName>
    <definedName name="__tu4" localSheetId="0" hidden="1">{"'Sheet1'!$L$16"}</definedName>
    <definedName name="__tu4" hidden="1">{"'Sheet1'!$L$16"}</definedName>
    <definedName name="__TV2" localSheetId="0" hidden="1">{"'Sheet1'!$L$16"}</definedName>
    <definedName name="__TV2" hidden="1">{"'Sheet1'!$L$16"}</definedName>
    <definedName name="__UI33" localSheetId="0" hidden="1">{"'Sheet1'!$L$16"}</definedName>
    <definedName name="__UI33" hidden="1">{"'Sheet1'!$L$16"}</definedName>
    <definedName name="__vpt5" localSheetId="0" hidden="1">{"'Sheet1'!$L$16"}</definedName>
    <definedName name="__vpt5" hidden="1">{"'Sheet1'!$L$16"}</definedName>
    <definedName name="__vpt6" localSheetId="0" hidden="1">{"'Sheet1'!$L$16"}</definedName>
    <definedName name="__vpt6" hidden="1">{"'Sheet1'!$L$16"}</definedName>
    <definedName name="__VT3" localSheetId="0" hidden="1">{"'Sheet1'!$L$16"}</definedName>
    <definedName name="__VT3" hidden="1">{"'Sheet1'!$L$16"}</definedName>
    <definedName name="__VT675" localSheetId="0" hidden="1">{"Offgrid",#N/A,FALSE,"OFFGRID";"Region",#N/A,FALSE,"REGION";"Offgrid -2",#N/A,FALSE,"OFFGRID";"WTP",#N/A,FALSE,"WTP";"WTP -2",#N/A,FALSE,"WTP";"Project",#N/A,FALSE,"PROJECT";"Summary -2",#N/A,FALSE,"SUMMARY"}</definedName>
    <definedName name="__VT675"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2.P854._.addendum." hidden="1">{#N/A,#N/A,FALSE,"mgtsum.XLS";#N/A,#N/A,FALSE,"CAPONE";#N/A,#N/A,FALSE,"CAPTWO";#N/A,#N/A,FALSE,"CAPTHREE"}</definedName>
    <definedName name="__wrn3.p854._.addendum." localSheetId="0"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localSheetId="0" hidden="1">{#N/A,#N/A,FALSE,"特殊室（ＢＱ表）"}</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localSheetId="0" hidden="1">{#N/A,#N/A,TRUE,"Cover Memo";"Complete Sys. Estimate",#N/A,TRUE,"Change Summary";"Complete Sys. Estimate",#N/A,TRUE,"Estimate Summary";"Complete Sys. Estimate",#N/A,TRUE,"Dept. Summary";"Complete Sys. Estimate",#N/A,TRUE,"DOW Detail"}</definedName>
    <definedName name="_16fd2_"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localSheetId="0" hidden="1">{"'Sheet1'!$L$16"}</definedName>
    <definedName name="_17a1_"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fd2_"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localSheetId="0" hidden="1">{#N/A,#N/A,FALSE,"特殊室（ＢＱ表）"}</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localSheetId="0" hidden="1">{#N/A,#N/A,FALSE,"特殊室（ＢＱ表）"}</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localSheetId="0" hidden="1">{"'Sheet1'!$L$16"}</definedName>
    <definedName name="_2a1_"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localSheetId="0" hidden="1">{"'Sheet1'!$L$16"}</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localSheetId="0" hidden="1">{#N/A,#N/A,TRUE,"Cover Memo";"Complete Sys. Estimate",#N/A,TRUE,"Change Summary";"Complete Sys. Estimate",#N/A,TRUE,"Estimate Summary";"Complete Sys. Estimate",#N/A,TRUE,"Dept. Summary";"Complete Sys. Estimate",#N/A,TRUE,"DOW Detail"}</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localSheetId="0" hidden="1">{"'Sheet1'!$L$16"}</definedName>
    <definedName name="_a1" hidden="1">{"'Sheet1'!$L$16"}</definedName>
    <definedName name="_a1_1" localSheetId="0" hidden="1">{"'Sheet1'!$L$16"}</definedName>
    <definedName name="_a1_1" hidden="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localSheetId="0" hidden="1">{"'Sheet1'!$L$16"}</definedName>
    <definedName name="_a1s" hidden="1">{"'Sheet1'!$L$16"}</definedName>
    <definedName name="_a2" localSheetId="0" hidden="1">{"'Sheet1'!$L$16"}</definedName>
    <definedName name="_a2" hidden="1">{"'Sheet1'!$L$16"}</definedName>
    <definedName name="_A4" localSheetId="0" hidden="1">{"'Sheet1'!$L$16"}</definedName>
    <definedName name="_A4" hidden="1">{"'Sheet1'!$L$16"}</definedName>
    <definedName name="_a9" localSheetId="0" hidden="1">{"'Sheet1'!$L$16"}</definedName>
    <definedName name="_a9" hidden="1">{"'Sheet1'!$L$16"}</definedName>
    <definedName name="_abc" hidden="1">#REF!</definedName>
    <definedName name="_b01" localSheetId="0" hidden="1">{#N/A,#N/A,FALSE,"MARCH"}</definedName>
    <definedName name="_b01" hidden="1">{#N/A,#N/A,FALSE,"MARCH"}</definedName>
    <definedName name="_B2" localSheetId="0" hidden="1">{"'Sheet1'!$L$16"}</definedName>
    <definedName name="_B2" hidden="1">{"'Sheet1'!$L$16"}</definedName>
    <definedName name="_ba1" localSheetId="0" hidden="1">{#N/A,#N/A,FALSE,"Chi tiÆt"}</definedName>
    <definedName name="_ba1" hidden="1">{#N/A,#N/A,FALSE,"Chi tiÆt"}</definedName>
    <definedName name="_ba2" localSheetId="0" hidden="1">{#N/A,#N/A,FALSE,"Chi tiÆt"}</definedName>
    <definedName name="_ba2" hidden="1">{#N/A,#N/A,FALSE,"Chi tiÆt"}</definedName>
    <definedName name="_BG12" localSheetId="0" hidden="1">{"'Sheet1'!$L$16"}</definedName>
    <definedName name="_BG12" hidden="1">{"'Sheet1'!$L$16"}</definedName>
    <definedName name="_bht4" localSheetId="0" hidden="1">{#N/A,#N/A,FALSE,"Chi tiÆt"}</definedName>
    <definedName name="_bht4" hidden="1">{#N/A,#N/A,FALSE,"Chi tiÆt"}</definedName>
    <definedName name="_bht5" localSheetId="0" hidden="1">{#N/A,#N/A,FALSE,"Chi tiÆt"}</definedName>
    <definedName name="_bht5" hidden="1">{#N/A,#N/A,FALSE,"Chi tiÆt"}</definedName>
    <definedName name="_bht6" localSheetId="0" hidden="1">{"'Sheet1'!$L$16"}</definedName>
    <definedName name="_bht6" hidden="1">{"'Sheet1'!$L$16"}</definedName>
    <definedName name="_BOQ2111" hidden="1">#REF!</definedName>
    <definedName name="_Builtin0" hidden="1">#REF!</definedName>
    <definedName name="_Builtin155" hidden="1">#N/A</definedName>
    <definedName name="_ccr1" localSheetId="0" hidden="1">{#N/A,#N/A,TRUE,"Cover";#N/A,#N/A,TRUE,"Conts";#N/A,#N/A,TRUE,"VOS";#N/A,#N/A,TRUE,"Warrington";#N/A,#N/A,TRUE,"Widnes"}</definedName>
    <definedName name="_ccr1" hidden="1">{#N/A,#N/A,TRUE,"Cover";#N/A,#N/A,TRUE,"Conts";#N/A,#N/A,TRUE,"VOS";#N/A,#N/A,TRUE,"Warrington";#N/A,#N/A,TRUE,"Widnes"}</definedName>
    <definedName name="_CDD1">#REF!</definedName>
    <definedName name="_CDD2">#REF!</definedName>
    <definedName name="_CN1" localSheetId="0" hidden="1">{"'Sheet1'!$L$16"}</definedName>
    <definedName name="_CN1" hidden="1">{"'Sheet1'!$L$16"}</definedName>
    <definedName name="_coc1000" localSheetId="0" hidden="1">{#N/A,#N/A,FALSE,"Chi tiÆt"}</definedName>
    <definedName name="_coc1000" hidden="1">{#N/A,#N/A,FALSE,"Chi tiÆt"}</definedName>
    <definedName name="_Coc39" localSheetId="0" hidden="1">{"'Sheet1'!$L$16"}</definedName>
    <definedName name="_Coc39" hidden="1">{"'Sheet1'!$L$16"}</definedName>
    <definedName name="_CT2" localSheetId="0" hidden="1">{"'Sheet1'!$L$16"}</definedName>
    <definedName name="_CT2" hidden="1">{"'Sheet1'!$L$16"}</definedName>
    <definedName name="_ct2005" localSheetId="0" hidden="1">{"'Sheet1'!$L$16"}</definedName>
    <definedName name="_ct2005" hidden="1">{"'Sheet1'!$L$16"}</definedName>
    <definedName name="_CT4" localSheetId="0" hidden="1">{"'Sheet1'!$L$16"}</definedName>
    <definedName name="_CT4" hidden="1">{"'Sheet1'!$L$16"}</definedName>
    <definedName name="_Cty501" localSheetId="0" hidden="1">{"'Sheet1'!$L$16"}</definedName>
    <definedName name="_Cty501" hidden="1">{"'Sheet1'!$L$16"}</definedName>
    <definedName name="_d12" localSheetId="0" hidden="1">{"'Sheet1'!$L$16"}</definedName>
    <definedName name="_d12" hidden="1">{"'Sheet1'!$L$16"}</definedName>
    <definedName name="_d1500" localSheetId="0" hidden="1">{"'Sheet1'!$L$16"}</definedName>
    <definedName name="_d1500" hidden="1">{"'Sheet1'!$L$16"}</definedName>
    <definedName name="_d2" localSheetId="0" hidden="1">{#N/A,#N/A,FALSE,"mgtsum.XLS";#N/A,#N/A,FALSE,"CAPONE";#N/A,#N/A,FALSE,"CAPTWO";#N/A,#N/A,FALSE,"CAPTHREE"}</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localSheetId="0" hidden="1">{"'Sheet1'!$L$16"}</definedName>
    <definedName name="_dt1" hidden="1">{"'Sheet1'!$L$16"}</definedName>
    <definedName name="_DT10" localSheetId="0" hidden="1">{"'Sheet1'!$L$16"}</definedName>
    <definedName name="_DT10" hidden="1">{"'Sheet1'!$L$16"}</definedName>
    <definedName name="_e2" localSheetId="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localSheetId="0" hidden="1">{#N/A,#N/A,FALSE,"CCTV"}</definedName>
    <definedName name="_ewt3" hidden="1">{#N/A,#N/A,FALSE,"CCTV"}</definedName>
    <definedName name="_f" hidden="1">#REF!</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1"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5" hidden="1">{"'Sheet1'!$L$16"}</definedName>
    <definedName name="_FAB4" hidden="1">#REF!</definedName>
    <definedName name="_FD12" localSheetId="0" hidden="1">{"'Sheet1'!$L$16"}</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xlnm._FilterDatabase" localSheetId="2" hidden="1">'BG Đa Cánh BFN 24'!$A$14:$R$224</definedName>
    <definedName name="_xlnm._FilterDatabase" localSheetId="1" hidden="1">'BG Đơn Cánh ĐC FSLF 24V'!$A$14:$R$223</definedName>
    <definedName name="_xlnm._FilterDatabase" localSheetId="0" hidden="1">DHKK!$A$5:$J$212</definedName>
    <definedName name="_FS1">#REF!</definedName>
    <definedName name="_G4211" localSheetId="0" hidden="1">{"'Sheet1'!$L$16"}</definedName>
    <definedName name="_G4211" hidden="1">{"'Sheet1'!$L$16"}</definedName>
    <definedName name="_gk2" hidden="1">#REF!</definedName>
    <definedName name="_Goi8" localSheetId="0" hidden="1">{"'Sheet1'!$L$16"}</definedName>
    <definedName name="_Goi8" hidden="1">{"'Sheet1'!$L$16"}</definedName>
    <definedName name="_Goi8_1" localSheetId="0" hidden="1">{"'Sheet1'!$L$16"}</definedName>
    <definedName name="_Goi8_1" hidden="1">{"'Sheet1'!$L$16"}</definedName>
    <definedName name="_h1" localSheetId="0" hidden="1">{"'Sheet1'!$L$16"}</definedName>
    <definedName name="_h1" hidden="1">{"'Sheet1'!$L$16"}</definedName>
    <definedName name="_h12" localSheetId="0" hidden="1">{"'Sheet1'!$L$16"}</definedName>
    <definedName name="_h12" hidden="1">{"'Sheet1'!$L$16"}</definedName>
    <definedName name="_h14" localSheetId="0" hidden="1">{"'Sheet1'!$L$16"}</definedName>
    <definedName name="_h14" hidden="1">{"'Sheet1'!$L$16"}</definedName>
    <definedName name="_h2" localSheetId="0" hidden="1">{"'Sheet1'!$L$16"}</definedName>
    <definedName name="_h2" hidden="1">{"'Sheet1'!$L$16"}</definedName>
    <definedName name="_hh1219" localSheetId="0" hidden="1">{"'Sheet1'!$L$16"}</definedName>
    <definedName name="_hh1219" hidden="1">{"'Sheet1'!$L$16"}</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57" localSheetId="0" hidden="1">{"'Sheet1'!$L$16"}</definedName>
    <definedName name="_hu57" hidden="1">{"'Sheet1'!$L$16"}</definedName>
    <definedName name="_hu6" localSheetId="0" hidden="1">{"'Sheet1'!$L$16"}</definedName>
    <definedName name="_hu6" hidden="1">{"'Sheet1'!$L$16"}</definedName>
    <definedName name="_hu7" localSheetId="0" hidden="1">{"'Sheet1'!$L$16"}</definedName>
    <definedName name="_hu7" hidden="1">{"'Sheet1'!$L$16"}</definedName>
    <definedName name="_huy1" localSheetId="0" hidden="1">{"'Sheet1'!$L$16"}</definedName>
    <definedName name="_huy1" hidden="1">{"'Sheet1'!$L$16"}</definedName>
    <definedName name="_huy2" localSheetId="0" hidden="1">{"'Sheet1'!$L$16"}</definedName>
    <definedName name="_huy2" hidden="1">{"'Sheet1'!$L$16"}</definedName>
    <definedName name="_k" hidden="1">#REF!</definedName>
    <definedName name="_K146" localSheetId="0" hidden="1">{"'Sheet1'!$L$16"}</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H12" localSheetId="0" hidden="1">{#N/A,#N/A,FALSE,"Chi tiÆt"}</definedName>
    <definedName name="_KH12" hidden="1">{#N/A,#N/A,FALSE,"Chi tiÆt"}</definedName>
    <definedName name="_khq3" localSheetId="0" hidden="1">{"'Sheet1'!$L$16"}</definedName>
    <definedName name="_khq3" hidden="1">{"'Sheet1'!$L$16"}</definedName>
    <definedName name="_KK2" hidden="1">#REF!</definedName>
    <definedName name="_KK3" hidden="1">#REF!</definedName>
    <definedName name="_kl11" localSheetId="0" hidden="1">{"'Sheet1'!$L$16"}</definedName>
    <definedName name="_kl11" hidden="1">{"'Sheet1'!$L$16"}</definedName>
    <definedName name="_kl4" localSheetId="0" hidden="1">{"'Sheet1'!$L$16"}</definedName>
    <definedName name="_kl4" hidden="1">{"'Sheet1'!$L$16"}</definedName>
    <definedName name="_kl6" localSheetId="0" hidden="1">{"'Sheet1'!$L$16"}</definedName>
    <definedName name="_kl6" hidden="1">{"'Sheet1'!$L$16"}</definedName>
    <definedName name="_Lan1" localSheetId="0" hidden="1">{"'Sheet1'!$L$16"}</definedName>
    <definedName name="_Lan1" hidden="1">{"'Sheet1'!$L$16"}</definedName>
    <definedName name="_Lan2" localSheetId="0" hidden="1">{"'Sheet1'!$L$16"}</definedName>
    <definedName name="_Lan2" hidden="1">{"'Sheet1'!$L$16"}</definedName>
    <definedName name="_LAN3" localSheetId="0" hidden="1">{"'Sheet1'!$L$16"}</definedName>
    <definedName name="_LAN3" hidden="1">{"'Sheet1'!$L$16"}</definedName>
    <definedName name="_lao2" localSheetId="0" hidden="1">{"'Sheet1'!$L$16"}</definedName>
    <definedName name="_lao2" hidden="1">{"'Sheet1'!$L$16"}</definedName>
    <definedName name="_ld2" localSheetId="0" hidden="1">{"'Sheet1'!$L$16"}</definedName>
    <definedName name="_ld2" hidden="1">{"'Sheet1'!$L$16"}</definedName>
    <definedName name="_lk2" localSheetId="0" hidden="1">{"'Sheet1'!$L$16"}</definedName>
    <definedName name="_lk2" hidden="1">{"'Sheet1'!$L$16"}</definedName>
    <definedName name="_LLIF" hidden="1">#REF!</definedName>
    <definedName name="_LLIFF" hidden="1">#REF!</definedName>
    <definedName name="_lop111" localSheetId="0" hidden="1">{#N/A,#N/A,FALSE,"特殊室（ＢＱ表）"}</definedName>
    <definedName name="_lop111" hidden="1">{#N/A,#N/A,FALSE,"特殊室（ＢＱ表）"}</definedName>
    <definedName name="_M2" localSheetId="0" hidden="1">{"'Sheet1'!$L$16"}</definedName>
    <definedName name="_M2" hidden="1">{"'Sheet1'!$L$16"}</definedName>
    <definedName name="_M36" localSheetId="0" hidden="1">{"'Sheet1'!$L$16"}</definedName>
    <definedName name="_M36" hidden="1">{"'Sheet1'!$L$16"}</definedName>
    <definedName name="_m4" localSheetId="0"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localSheetId="0" hidden="1">{#N/A,#N/A,FALSE,"CCTV"}</definedName>
    <definedName name="_MCC3" hidden="1">{#N/A,#N/A,FALSE,"CCTV"}</definedName>
    <definedName name="_nam1" localSheetId="0" hidden="1">{"'Sheet1'!$L$16"}</definedName>
    <definedName name="_nam1" hidden="1">{"'Sheet1'!$L$16"}</definedName>
    <definedName name="_NAM11" localSheetId="0" hidden="1">{#N/A,#N/A,FALSE,"Chi tiÆt"}</definedName>
    <definedName name="_NAM11" hidden="1">{#N/A,#N/A,FALSE,"Chi tiÆt"}</definedName>
    <definedName name="_ngk1109" localSheetId="0" hidden="1">{#N/A,#N/A,FALSE,"估價單  (3)"}</definedName>
    <definedName name="_ngk1109" hidden="1">{#N/A,#N/A,FALSE,"估價單  (3)"}</definedName>
    <definedName name="_NO1" hidden="1">#REF!</definedName>
    <definedName name="_NO2" hidden="1">#REF!</definedName>
    <definedName name="_nso1" localSheetId="0" hidden="1">{"'Sheet1'!$L$16"}</definedName>
    <definedName name="_nso1" hidden="1">{"'Sheet1'!$L$16"}</definedName>
    <definedName name="_NSO2" localSheetId="0" hidden="1">{"'Sheet1'!$L$16"}</definedName>
    <definedName name="_NSO2" hidden="1">{"'Sheet1'!$L$16"}</definedName>
    <definedName name="_Order1" hidden="1">255</definedName>
    <definedName name="_Order2" hidden="1">255</definedName>
    <definedName name="_P3" localSheetId="0" hidden="1">{#N/A,#N/A,FALSE,"特殊室（ＢＱ表）"}</definedName>
    <definedName name="_P3" hidden="1">{#N/A,#N/A,FALSE,"特殊室（ＢＱ表）"}</definedName>
    <definedName name="_pa2" localSheetId="0" hidden="1">{"'Sheet1'!$L$16"}</definedName>
    <definedName name="_pa2" hidden="1">{"'Sheet1'!$L$16"}</definedName>
    <definedName name="_pa22" localSheetId="0" hidden="1">{"'ROOF'!$B$6","'ROOF'!$B$6","'ROOF'!$B$6","'ROOF'!$B$6"}</definedName>
    <definedName name="_pa22" hidden="1">{"'ROOF'!$B$6","'ROOF'!$B$6","'ROOF'!$B$6","'ROOF'!$B$6"}</definedName>
    <definedName name="_PA3" localSheetId="0" hidden="1">{"'Sheet1'!$L$16"}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hu3" localSheetId="0" hidden="1">{"'Sheet1'!$L$16"}</definedName>
    <definedName name="_phu3" hidden="1">{"'Sheet1'!$L$16"}</definedName>
    <definedName name="_PK2" localSheetId="0" hidden="1">{"'장비'!$A$3:$M$12"}</definedName>
    <definedName name="_PK2" hidden="1">{"'장비'!$A$3:$M$12"}</definedName>
    <definedName name="_PKG3" localSheetId="0" hidden="1">{"'장비'!$A$3:$M$12"}</definedName>
    <definedName name="_PKG3" hidden="1">{"'장비'!$A$3:$M$12"}</definedName>
    <definedName name="_PP1" localSheetId="0" hidden="1">{#N/A,#N/A,FALSE,"CCTV"}</definedName>
    <definedName name="_PP1" hidden="1">{#N/A,#N/A,FALSE,"CCTV"}</definedName>
    <definedName name="_PPP3" localSheetId="0" hidden="1">{#N/A,#N/A,FALSE,"特殊室（ＢＱ表）"}</definedName>
    <definedName name="_PPP3" hidden="1">{#N/A,#N/A,FALSE,"特殊室（ＢＱ表）"}</definedName>
    <definedName name="_PPP33" localSheetId="0" hidden="1">{#N/A,#N/A,FALSE,"特殊室（ＢＱ表）"}</definedName>
    <definedName name="_PPP33" hidden="1">{#N/A,#N/A,FALSE,"特殊室（ＢＱ表）"}</definedName>
    <definedName name="_ppp34" localSheetId="0" hidden="1">{#N/A,#N/A,FALSE,"特殊室（ＢＱ表）"}</definedName>
    <definedName name="_ppp34" hidden="1">{#N/A,#N/A,FALSE,"特殊室（ＢＱ表）"}</definedName>
    <definedName name="_ppp3444" localSheetId="0" hidden="1">{#N/A,#N/A,FALSE,"特殊室（ＢＱ表）"}</definedName>
    <definedName name="_ppp3444" hidden="1">{#N/A,#N/A,FALSE,"特殊室（ＢＱ表）"}</definedName>
    <definedName name="_pvc2">#REF!</definedName>
    <definedName name="_pvc3">#REF!</definedName>
    <definedName name="_pvc4">#REF!</definedName>
    <definedName name="_q45" localSheetId="0" hidden="1">{"'용역비'!$A$4:$C$8"}</definedName>
    <definedName name="_q45" hidden="1">{"'용역비'!$A$4:$C$8"}</definedName>
    <definedName name="_qqq222" localSheetId="0" hidden="1">{"'장비'!$A$3:$M$12"}</definedName>
    <definedName name="_qqq222" hidden="1">{"'장비'!$A$3:$M$12"}</definedName>
    <definedName name="_r" localSheetId="0" hidden="1">{"'Sheet1'!$L$16"}</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localSheetId="0" hidden="1">{#N/A,#N/A,TRUE,"Str.";#N/A,#N/A,TRUE,"Steel &amp; Roof";#N/A,#N/A,TRUE,"Arc.";#N/A,#N/A,TRUE,"Preliminary";#N/A,#N/A,TRUE,"Sum_Prelim"}</definedName>
    <definedName name="_REV1" hidden="1">{#N/A,#N/A,TRUE,"Str.";#N/A,#N/A,TRUE,"Steel &amp; Roof";#N/A,#N/A,TRUE,"Arc.";#N/A,#N/A,TRUE,"Preliminary";#N/A,#N/A,TRUE,"Sum_Prelim"}</definedName>
    <definedName name="_Rh90" localSheetId="0" hidden="1">{"'Sheet1'!$L$16"}</definedName>
    <definedName name="_Rh90" hidden="1">{"'Sheet1'!$L$16"}</definedName>
    <definedName name="_s" hidden="1">#REF!</definedName>
    <definedName name="_SCL4" localSheetId="0" hidden="1">{"'Sheet1'!$L$16"}</definedName>
    <definedName name="_SCL4" hidden="1">{"'Sheet1'!$L$16"}</definedName>
    <definedName name="_SCL4_1" localSheetId="0" hidden="1">{"'Sheet1'!$L$16"}</definedName>
    <definedName name="_SCL4_1" hidden="1">{"'Sheet1'!$L$16"}</definedName>
    <definedName name="_SHI1" localSheetId="0"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localSheetId="0" hidden="1">{0}</definedName>
    <definedName name="_ss1" hidden="1">{0}</definedName>
    <definedName name="_ss4" localSheetId="0" hidden="1">{0,0,0,0;0,0,0,0;0,0,0,0;0,0,0,0;0,0,0,0;0,0,0,0;0,0,0,0}</definedName>
    <definedName name="_ss4" hidden="1">{0,0,0,0;0,0,0,0;0,0,0,0;0,0,0,0;0,0,0,0;0,0,0,0;0,0,0,0}</definedName>
    <definedName name="_sum1" hidden="1">#REF!</definedName>
    <definedName name="_SXT3" localSheetId="0" hidden="1">{#N/A,#N/A,FALSE,"Chi tiÆt"}</definedName>
    <definedName name="_SXT3" hidden="1">{#N/A,#N/A,FALSE,"Chi tiÆt"}</definedName>
    <definedName name="_sxt5" localSheetId="0" hidden="1">{"'Sheet1'!$L$16"}</definedName>
    <definedName name="_sxt5" hidden="1">{"'Sheet1'!$L$16"}</definedName>
    <definedName name="_sxt6" localSheetId="0" hidden="1">{#N/A,#N/A,FALSE,"Chi tiÆt"}</definedName>
    <definedName name="_sxt6" hidden="1">{#N/A,#N/A,FALSE,"Chi tiÆt"}</definedName>
    <definedName name="_T1" localSheetId="0" hidden="1">{#N/A,#N/A,FALSE,"Chi tiÆt"}</definedName>
    <definedName name="_T1" hidden="1">{#N/A,#N/A,FALSE,"Chi tiÆt"}</definedName>
    <definedName name="_T10" localSheetId="0" hidden="1">{"'Sheet1'!$L$16"}</definedName>
    <definedName name="_T10" hidden="1">{"'Sheet1'!$L$16"}</definedName>
    <definedName name="_t112" localSheetId="0" hidden="1">{#N/A,#N/A,FALSE,"Chi tiÆt"}</definedName>
    <definedName name="_t112" hidden="1">{#N/A,#N/A,FALSE,"Chi tiÆt"}</definedName>
    <definedName name="_T12" localSheetId="0" hidden="1">{"'Sheet1'!$L$16"}</definedName>
    <definedName name="_T12" hidden="1">{"'Sheet1'!$L$16"}</definedName>
    <definedName name="_t2" localSheetId="0" hidden="1">{"'Sheet1'!$L$16"}</definedName>
    <definedName name="_t2" hidden="1">{"'Sheet1'!$L$16"}</definedName>
    <definedName name="_T3" localSheetId="0" hidden="1">{"'Sheet1'!$L$16"}</definedName>
    <definedName name="_T3" hidden="1">{"'Sheet1'!$L$16"}</definedName>
    <definedName name="_t4" localSheetId="0" hidden="1">{"'Sheet1'!$L$16"}</definedName>
    <definedName name="_t4" hidden="1">{"'Sheet1'!$L$16"}</definedName>
    <definedName name="_t5" localSheetId="0" hidden="1">{"'Sheet1'!$L$16"}</definedName>
    <definedName name="_t5" hidden="1">{"'Sheet1'!$L$16"}</definedName>
    <definedName name="_T9" localSheetId="0" hidden="1">{#N/A,#N/A,FALSE,"Chi tiÆt"}</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localSheetId="0" hidden="1">{"'Sheet1'!$L$16"}</definedName>
    <definedName name="_tb2" hidden="1">{"'Sheet1'!$L$16"}</definedName>
    <definedName name="_td1" localSheetId="0" hidden="1">{"'Sheet1'!$L$16"}</definedName>
    <definedName name="_td1" hidden="1">{"'Sheet1'!$L$16"}</definedName>
    <definedName name="_TH1" localSheetId="0" hidden="1">{"'Sheet1'!$L$16"}</definedName>
    <definedName name="_TH1" hidden="1">{"'Sheet1'!$L$16"}</definedName>
    <definedName name="_tha1" localSheetId="0" hidden="1">{"'Sheet1'!$L$16"}</definedName>
    <definedName name="_tha1" hidden="1">{"'Sheet1'!$L$16"}</definedName>
    <definedName name="_THT11" localSheetId="0" hidden="1">{"'Sheet1'!$L$16"}</definedName>
    <definedName name="_THT11" hidden="1">{"'Sheet1'!$L$16"}</definedName>
    <definedName name="_thu1">#REF!</definedName>
    <definedName name="_TM2" localSheetId="0" hidden="1">{"'Sheet1'!$L$16"}</definedName>
    <definedName name="_TM2" hidden="1">{"'Sheet1'!$L$16"}</definedName>
    <definedName name="_TT04" hidden="1">#REF!</definedName>
    <definedName name="_TT11" localSheetId="0" hidden="1">{"'Sheet1'!$L$16"}</definedName>
    <definedName name="_TT11" hidden="1">{"'Sheet1'!$L$16"}</definedName>
    <definedName name="_tt3" localSheetId="0" hidden="1">{"'Sheet1'!$L$16"}</definedName>
    <definedName name="_tt3" hidden="1">{"'Sheet1'!$L$16"}</definedName>
    <definedName name="_TT31" localSheetId="0" hidden="1">{"'Sheet1'!$L$16"}</definedName>
    <definedName name="_TT31" hidden="1">{"'Sheet1'!$L$16"}</definedName>
    <definedName name="_TT623" localSheetId="0" hidden="1">{"'Sheet1'!$L$16"}</definedName>
    <definedName name="_TT623" hidden="1">{"'Sheet1'!$L$16"}</definedName>
    <definedName name="_ttt1" localSheetId="0" hidden="1">{"'Sheet1'!$L$16"}</definedName>
    <definedName name="_ttt1" hidden="1">{"'Sheet1'!$L$16"}</definedName>
    <definedName name="_tu4" localSheetId="0" hidden="1">{"'Sheet1'!$L$16"}</definedName>
    <definedName name="_tu4" hidden="1">{"'Sheet1'!$L$16"}</definedName>
    <definedName name="_TV2" localSheetId="0" hidden="1">{"'Sheet1'!$L$16"}</definedName>
    <definedName name="_TV2"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localSheetId="0" hidden="1">{"'Sheet1'!$L$16"}</definedName>
    <definedName name="_vl1" hidden="1">{"'Sheet1'!$L$16"}</definedName>
    <definedName name="_VO15" localSheetId="0" hidden="1">{"'CPA Sum'!$A$1:$X$30","'CPA'!$A$1:$K$187","'Infra Cost'!$A$1:$Q$30","'Dev't Cost'!$A$1:$AH$40","'Cashflow'!$A$1:$DG$82"}</definedName>
    <definedName name="_VO15" hidden="1">{"'CPA Sum'!$A$1:$X$30","'CPA'!$A$1:$K$187","'Infra Cost'!$A$1:$Q$30","'Dev't Cost'!$A$1:$AH$40","'Cashflow'!$A$1:$DG$82"}</definedName>
    <definedName name="_vpt5" localSheetId="0" hidden="1">{"'Sheet1'!$L$16"}</definedName>
    <definedName name="_vpt5" hidden="1">{"'Sheet1'!$L$16"}</definedName>
    <definedName name="_vpt6" localSheetId="0" hidden="1">{"'Sheet1'!$L$16"}</definedName>
    <definedName name="_vpt6" hidden="1">{"'Sheet1'!$L$16"}</definedName>
    <definedName name="_VT3" localSheetId="0" hidden="1">{"'Sheet1'!$L$16"}</definedName>
    <definedName name="_VT3" hidden="1">{"'Sheet1'!$L$16"}</definedName>
    <definedName name="_VT675" localSheetId="0" hidden="1">{"Offgrid",#N/A,FALSE,"OFFGRID";"Region",#N/A,FALSE,"REGION";"Offgrid -2",#N/A,FALSE,"OFFGRID";"WTP",#N/A,FALSE,"WTP";"WTP -2",#N/A,FALSE,"WTP";"Project",#N/A,FALSE,"PROJECT";"Summary -2",#N/A,FALSE,"SUMMARY"}</definedName>
    <definedName name="_VT675"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localSheetId="0" hidden="1">{#N/A,#N/A,FALSE,"mgtsum.XLS";#N/A,#N/A,FALSE,"CAPONE";#N/A,#N/A,FALSE,"CAPTWO";#N/A,#N/A,FALSE,"CAPTHREE"}</definedName>
    <definedName name="_WRN2.P854._.addendum." hidden="1">{#N/A,#N/A,FALSE,"mgtsum.XLS";#N/A,#N/A,FALSE,"CAPONE";#N/A,#N/A,FALSE,"CAPTWO";#N/A,#N/A,FALSE,"CAPTHREE"}</definedName>
    <definedName name="_wrn3.p854._.addendum." localSheetId="0" hidden="1">{#N/A,#N/A,FALSE,"mgtsum.XLS";#N/A,#N/A,FALSE,"CAPONE";#N/A,#N/A,FALSE,"CAPTWO";#N/A,#N/A,FALSE,"CAPTHREE"}</definedName>
    <definedName name="_wrn3.p854._.addendum." hidden="1">{#N/A,#N/A,FALSE,"mgtsum.XLS";#N/A,#N/A,FALSE,"CAPONE";#N/A,#N/A,FALSE,"CAPTWO";#N/A,#N/A,FALSE,"CAPTHREE"}</definedName>
    <definedName name="_재ㅐ햐" hidden="1">#REF!</definedName>
    <definedName name="¸d" localSheetId="0" hidden="1">{"'Sheet1'!$L$16"}</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â" localSheetId="0" hidden="1">{"'Sheet1'!$L$16"}</definedName>
    <definedName name="â" hidden="1">{"'Sheet1'!$L$16"}</definedName>
    <definedName name="ầ" localSheetId="0" hidden="1">{"'Sheet1'!$L$16"}</definedName>
    <definedName name="ầ" hidden="1">{"'Sheet1'!$L$16"}</definedName>
    <definedName name="ằ" localSheetId="0" hidden="1">{"'Sheet1'!$L$16"}</definedName>
    <definedName name="ằ" hidden="1">{"'Sheet1'!$L$16"}</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localSheetId="0"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localSheetId="0" hidden="1">{"'Sheet1'!$L$16"}</definedName>
    <definedName name="a1moi" hidden="1">{"'Sheet1'!$L$16"}</definedName>
    <definedName name="a3rt" localSheetId="0"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localSheetId="0" hidden="1">{0}</definedName>
    <definedName name="AAAAA" hidden="1">{0}</definedName>
    <definedName name="aaaaaa" localSheetId="0"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AAAAAAAAA" hidden="1">#REF!</definedName>
    <definedName name="aaaaaaaaaaaaaaaa" localSheetId="0" hidden="1">{#N/A,#N/A,FALSE,"CCTV"}</definedName>
    <definedName name="aaaaaaaaaaaaaaaa" hidden="1">{#N/A,#N/A,FALSE,"CCTV"}</definedName>
    <definedName name="aaag" localSheetId="0" hidden="1">{#N/A,#N/A,TRUE,"SUM";#N/A,#N/A,TRUE,"EE";#N/A,#N/A,TRUE,"AC";#N/A,#N/A,TRUE,"SN"}</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localSheetId="0" hidden="1">{#N/A,#N/A,FALSE,"mgtsum.XLS";#N/A,#N/A,FALSE,"CAPONE";#N/A,#N/A,FALSE,"CAPTWO";#N/A,#N/A,FALSE,"CAPTHREE"}</definedName>
    <definedName name="aakdf" hidden="1">{#N/A,#N/A,FALSE,"mgtsum.XLS";#N/A,#N/A,FALSE,"CAPONE";#N/A,#N/A,FALSE,"CAPTWO";#N/A,#N/A,FALSE,"CAPTHREE"}</definedName>
    <definedName name="ÀASA" localSheetId="0" hidden="1">{"'Sheet1'!$L$16"}</definedName>
    <definedName name="ÀASA" hidden="1">{"'Sheet1'!$L$16"}</definedName>
    <definedName name="aasasas" localSheetId="0" hidden="1">{"'Sheet1'!$L$16"}</definedName>
    <definedName name="aasasas" hidden="1">{"'Sheet1'!$L$16"}</definedName>
    <definedName name="aassa" localSheetId="0" hidden="1">{"'Sheet1'!$L$16"}</definedName>
    <definedName name="aassa" hidden="1">{"'Sheet1'!$L$16"}</definedName>
    <definedName name="aassdffgb" hidden="1">#REF!</definedName>
    <definedName name="AAX" localSheetId="0" hidden="1">{#N/A,#N/A,TRUE,"SUM";#N/A,#N/A,TRUE,"EE";#N/A,#N/A,TRUE,"AC";#N/A,#N/A,TRUE,"SN"}</definedName>
    <definedName name="AAX" hidden="1">{#N/A,#N/A,TRUE,"SUM";#N/A,#N/A,TRUE,"EE";#N/A,#N/A,TRUE,"AC";#N/A,#N/A,TRUE,"SN"}</definedName>
    <definedName name="ab" hidden="1">#REF!</definedName>
    <definedName name="ABAB" localSheetId="0" hidden="1">{#N/A,#N/A,FALSE,"CCTV"}</definedName>
    <definedName name="ABAB" hidden="1">{#N/A,#N/A,FALSE,"CCTV"}</definedName>
    <definedName name="abc" hidden="1">#REF!</definedName>
    <definedName name="abcd" localSheetId="0" hidden="1">{#N/A,#N/A,FALSE,"特殊室（ＢＱ表）"}</definedName>
    <definedName name="abcd" hidden="1">{#N/A,#N/A,FALSE,"特殊室（ＢＱ表）"}</definedName>
    <definedName name="abcdefg" localSheetId="0" hidden="1">{#N/A,#N/A,FALSE,"mgtsum.XLS";#N/A,#N/A,FALSE,"CAPONE";#N/A,#N/A,FALSE,"CAPTWO";#N/A,#N/A,FALSE,"CAPTHREE"}</definedName>
    <definedName name="abcdefg" hidden="1">{#N/A,#N/A,FALSE,"mgtsum.XLS";#N/A,#N/A,FALSE,"CAPONE";#N/A,#N/A,FALSE,"CAPTWO";#N/A,#N/A,FALSE,"CAPTHREE"}</definedName>
    <definedName name="abcxyz" localSheetId="0"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localSheetId="0" hidden="1">{"'Sheet1'!$L$16"}</definedName>
    <definedName name="acd" hidden="1">{"'Sheet1'!$L$16"}</definedName>
    <definedName name="ACDA" hidden="1">#REF!</definedName>
    <definedName name="Acell" hidden="1">INDIRECT(ADDRESS(ROW(),COLUMN()))</definedName>
    <definedName name="ACMV" localSheetId="0" hidden="1">{"'Sheet1'!$L$16"}</definedName>
    <definedName name="ACMV" hidden="1">{"'Sheet1'!$L$16"}</definedName>
    <definedName name="ACMV_1" localSheetId="0" hidden="1">{"'Sheet1'!$L$16"}</definedName>
    <definedName name="ACMV_1" hidden="1">{"'Sheet1'!$L$16"}</definedName>
    <definedName name="AC密">#REF!</definedName>
    <definedName name="AC粗">#REF!</definedName>
    <definedName name="AD" hidden="1">#REF!</definedName>
    <definedName name="ád" localSheetId="0" hidden="1">{#N/A,#N/A,TRUE,"BT M200 da 10x20"}</definedName>
    <definedName name="ád" hidden="1">{#N/A,#N/A,TRUE,"BT M200 da 10x20"}</definedName>
    <definedName name="àd" hidden="1">#REF!</definedName>
    <definedName name="AD_1" localSheetId="0" hidden="1">{"'Sheet1'!$L$16"}</definedName>
    <definedName name="AD_1" hidden="1">{"'Sheet1'!$L$16"}</definedName>
    <definedName name="ada" localSheetId="0" hidden="1">{"'Sheet1'!$L$16"}</definedName>
    <definedName name="ada" hidden="1">{"'Sheet1'!$L$16"}</definedName>
    <definedName name="adad" localSheetId="0" hidden="1">{"'Sheet1'!$L$16"}</definedName>
    <definedName name="adad" hidden="1">{"'Sheet1'!$L$16"}</definedName>
    <definedName name="adadada" localSheetId="0" hidden="1">{0,0,0,0;0,0,0,0;0,0,0,0;0,0,0,0;0,0,0,0;0,0,0,0;0,0,0,0}</definedName>
    <definedName name="adadada" hidden="1">{0,0,0,0;0,0,0,0;0,0,0,0;0,0,0,0;0,0,0,0;0,0,0,0;0,0,0,0}</definedName>
    <definedName name="ADADADD" localSheetId="0" hidden="1">{"'Sheet1'!$L$16"}</definedName>
    <definedName name="ADADADD" hidden="1">{"'Sheet1'!$L$16"}</definedName>
    <definedName name="adaf" localSheetId="0" hidden="1">{"'Sheet1'!$L$16"}</definedName>
    <definedName name="adaf" hidden="1">{"'Sheet1'!$L$16"}</definedName>
    <definedName name="ÁDAF" localSheetId="0" hidden="1">{"'Sheet1'!$L$16"}</definedName>
    <definedName name="ÁDAF" hidden="1">{"'Sheet1'!$L$16"}</definedName>
    <definedName name="ádas" localSheetId="0" hidden="1">{"'Sheet1'!$L$16"}</definedName>
    <definedName name="ádas" hidden="1">{"'Sheet1'!$L$16"}</definedName>
    <definedName name="ẮDAS" hidden="1">#REF!</definedName>
    <definedName name="adasasdda" hidden="1">#REF!</definedName>
    <definedName name="ÁDASDFASFA" localSheetId="0" hidden="1">{"'Sheet1'!$L$16"}</definedName>
    <definedName name="ÁDASDFASFA" hidden="1">{"'Sheet1'!$L$16"}</definedName>
    <definedName name="adasfgdsg" localSheetId="0" hidden="1">{"'Sheet1'!$L$16"}</definedName>
    <definedName name="adasfgdsg" hidden="1">{"'Sheet1'!$L$16"}</definedName>
    <definedName name="adc" localSheetId="0" hidden="1">{#N/A,#N/A,FALSE,"CCTV"}</definedName>
    <definedName name="adc" hidden="1">{#N/A,#N/A,FALSE,"CCTV"}</definedName>
    <definedName name="ADCD" localSheetId="0" hidden="1">{#N/A,#N/A,FALSE,"特殊室（ＢＱ表）"}</definedName>
    <definedName name="ADCD" hidden="1">{#N/A,#N/A,FALSE,"特殊室（ＢＱ表）"}</definedName>
    <definedName name="ADDITIONS">#REF!</definedName>
    <definedName name="ade" localSheetId="0" hidden="1">{#N/A,#N/A,FALSE,"Chi tiÆt"}</definedName>
    <definedName name="ade" hidden="1">{#N/A,#N/A,FALSE,"Chi tiÆt"}</definedName>
    <definedName name="adf" hidden="1">#REF!</definedName>
    <definedName name="ADFF" hidden="1">#REF!</definedName>
    <definedName name="adfgg" hidden="1">#REF!</definedName>
    <definedName name="ÁDFGHJ" localSheetId="0" hidden="1">{"'Sheet1'!$L$16"}</definedName>
    <definedName name="ÁDFGHJ" hidden="1">{"'Sheet1'!$L$16"}</definedName>
    <definedName name="ấdfsdfasdfsd" localSheetId="0" hidden="1">{"'Sheet1'!$L$16"}</definedName>
    <definedName name="ấdfsdfasdfsd" hidden="1">{"'Sheet1'!$L$16"}</definedName>
    <definedName name="àdg" hidden="1">#REF!</definedName>
    <definedName name="ADMINISTRATION" hidden="1">#REF!</definedName>
    <definedName name="Adrian" hidden="1">#REF!</definedName>
    <definedName name="ads" hidden="1">#REF!</definedName>
    <definedName name="áds" localSheetId="0" hidden="1">{"'Sheet1'!$L$16"}</definedName>
    <definedName name="áds" hidden="1">{"'Sheet1'!$L$16"}</definedName>
    <definedName name="àds" localSheetId="0" hidden="1">{"'Sheet1'!$L$16"}</definedName>
    <definedName name="àds" hidden="1">{"'Sheet1'!$L$16"}</definedName>
    <definedName name="ádsấ" localSheetId="0" hidden="1">{#N/A,#N/A,FALSE,"Tabelle2";#N/A,#N/A,FALSE,"Tabelle1"}</definedName>
    <definedName name="ádsấ" hidden="1">{#N/A,#N/A,FALSE,"Tabelle2";#N/A,#N/A,FALSE,"Tabelle1"}</definedName>
    <definedName name="adsadsa" localSheetId="0"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adsas" hidden="1">{#N/A,#N/A,FALSE,"Aging Summary";#N/A,#N/A,FALSE,"Ratio Analysis";#N/A,#N/A,FALSE,"Test 120 Day Accts";#N/A,#N/A,FALSE,"Tickmarks"}</definedName>
    <definedName name="adsdghtyyuiui" hidden="1">#REF!</definedName>
    <definedName name="ADSFDSF" hidden="1">#REF!</definedName>
    <definedName name="ADSFFDS" hidden="1">#REF!</definedName>
    <definedName name="advass" localSheetId="0" hidden="1">{"'Sheet1'!$L$16"}</definedName>
    <definedName name="advass" hidden="1">{"'Sheet1'!$L$16"}</definedName>
    <definedName name="ae" localSheetId="0" hidden="1">{"'Sheet1'!$L$16"}</definedName>
    <definedName name="ae" hidden="1">{"'Sheet1'!$L$16"}</definedName>
    <definedName name="aefaef" localSheetId="0" hidden="1">{"'Sheet1'!$L$16"}</definedName>
    <definedName name="aefaef" hidden="1">{"'Sheet1'!$L$16"}</definedName>
    <definedName name="aefesa" localSheetId="0" hidden="1">{"'Sheet1'!$L$16"}</definedName>
    <definedName name="aefesa" hidden="1">{"'Sheet1'!$L$16"}</definedName>
    <definedName name="aesde" localSheetId="0" hidden="1">{#N/A,#N/A,FALSE,"CCTV"}</definedName>
    <definedName name="aesde" hidden="1">{#N/A,#N/A,FALSE,"CCTV"}</definedName>
    <definedName name="AEWWQAFDASF" localSheetId="0" hidden="1">{"'Sheet1'!$L$16"}</definedName>
    <definedName name="AEWWQAFDASF" hidden="1">{"'Sheet1'!$L$16"}</definedName>
    <definedName name="âfA" localSheetId="0" hidden="1">{"'Sheet1'!$L$16"}</definedName>
    <definedName name="âfA" hidden="1">{"'Sheet1'!$L$16"}</definedName>
    <definedName name="AFAF" hidden="1">#REF!</definedName>
    <definedName name="afafa" localSheetId="0" hidden="1">{"AnalRSA",#N/A,TRUE,"PL-Anal";"AnalIAS",#N/A,TRUE,"PL-Anal"}</definedName>
    <definedName name="afafa"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asfsagfas" hidden="1">{#N/A,#N/A,FALSE,"Chi tiÆt"}</definedName>
    <definedName name="AFD" hidden="1">#REF!</definedName>
    <definedName name="AFDA" hidden="1">#REF!</definedName>
    <definedName name="AFDFD" localSheetId="0" hidden="1">{#N/A,#N/A,FALSE,"Chi tiÆt"}</definedName>
    <definedName name="AFDFD"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dslkjf" hidden="1">{#N/A,#N/A,TRUE,"Cover Memo";"Complete Sys. Estimate",#N/A,TRUE,"Change Summary";"Complete Sys. Estimate",#N/A,TRUE,"Estimate Summary";"Complete Sys. Estimate",#N/A,TRUE,"Dept. Summary";"Complete Sys. Estimate",#N/A,TRUE,"DOW Detail"}</definedName>
    <definedName name="afff" localSheetId="0" hidden="1">{"'Sheet1'!$L$16"}</definedName>
    <definedName name="afff" hidden="1">{"'Sheet1'!$L$16"}</definedName>
    <definedName name="ĂFRSGDF" localSheetId="0" hidden="1">{"'Sheet1'!$L$16"}</definedName>
    <definedName name="ĂFRSGDF" hidden="1">{"'Sheet1'!$L$16"}</definedName>
    <definedName name="AFWRR" localSheetId="0" hidden="1">{"'Sheet1'!$L$16"}</definedName>
    <definedName name="AFWRR" hidden="1">{"'Sheet1'!$L$16"}</definedName>
    <definedName name="ăg" localSheetId="0" hidden="1">{"'Sheet1'!$L$16"}</definedName>
    <definedName name="ăg" hidden="1">{"'Sheet1'!$L$16"}</definedName>
    <definedName name="AGE" localSheetId="0" hidden="1">{"'Sheet1'!$L$16"}</definedName>
    <definedName name="AGE" hidden="1">{"'Sheet1'!$L$16"}</definedName>
    <definedName name="ầgfabg" hidden="1">#REF!</definedName>
    <definedName name="ẩgg" localSheetId="0" hidden="1">{"'Sheet1'!$L$16"}</definedName>
    <definedName name="ẩgg" hidden="1">{"'Sheet1'!$L$16"}</definedName>
    <definedName name="ầgga" localSheetId="0" hidden="1">{"'Sheet1'!$L$16"}</definedName>
    <definedName name="ầgga" hidden="1">{"'Sheet1'!$L$16"}</definedName>
    <definedName name="ah" localSheetId="0" hidden="1">{"'Sheet1'!$L$16"}</definedName>
    <definedName name="ah" hidden="1">{"'Sheet1'!$L$16"}</definedName>
    <definedName name="ahah" localSheetId="0" hidden="1">{"'Sheet1'!$L$16"}</definedName>
    <definedName name="ahah" hidden="1">{"'Sheet1'!$L$16"}</definedName>
    <definedName name="ahajdks" localSheetId="0" hidden="1">{"'Sheet1'!$L$16"}</definedName>
    <definedName name="ahajdks" hidden="1">{"'Sheet1'!$L$16"}</definedName>
    <definedName name="ahdajkd" hidden="1">#REF!</definedName>
    <definedName name="AHGA" localSheetId="0" hidden="1">{"'Sheet1'!$L$16"}</definedName>
    <definedName name="AHGA" hidden="1">{"'Sheet1'!$L$16"}</definedName>
    <definedName name="ahtjht" localSheetId="0" hidden="1">{"'Sheet1'!$L$16"}</definedName>
    <definedName name="ahtjht"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localSheetId="0" hidden="1">{"'Sheet1'!$L$16"}</definedName>
    <definedName name="algag" hidden="1">{"'Sheet1'!$L$16"}</definedName>
    <definedName name="ALL">#REF!</definedName>
    <definedName name="ALPIN">#N/A</definedName>
    <definedName name="ALPJYOU">#N/A</definedName>
    <definedName name="ALPTOI">#N/A</definedName>
    <definedName name="am" hidden="1">#REF!</definedName>
    <definedName name="ameeenn" localSheetId="0" hidden="1">{#N/A,#N/A,FALSE,"估價單  (3)"}</definedName>
    <definedName name="ameeenn" hidden="1">{#N/A,#N/A,FALSE,"估價單  (3)"}</definedName>
    <definedName name="An" localSheetId="0" hidden="1">{"'Sheet1'!$L$16"}</definedName>
    <definedName name="An" hidden="1">{"'Sheet1'!$L$16"}</definedName>
    <definedName name="anh" hidden="1">#REF!</definedName>
    <definedName name="anscount" hidden="1">8</definedName>
    <definedName name="Antoan" localSheetId="0" hidden="1">{"'Sheet1'!$L$16"}</definedName>
    <definedName name="Antoan" hidden="1">{"'Sheet1'!$L$16"}</definedName>
    <definedName name="AP" hidden="1">#REF!</definedName>
    <definedName name="Appendix">#REF!</definedName>
    <definedName name="aqe" localSheetId="0" hidden="1">{"'Sheet1'!$L$16"}</definedName>
    <definedName name="aqe" hidden="1">{"'Sheet1'!$L$16"}</definedName>
    <definedName name="aqqqqq2321" hidden="1">#REF!</definedName>
    <definedName name="aqwerq" localSheetId="0" hidden="1">{"'Sheet1'!$L$16"}</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localSheetId="0" hidden="1">{"'Sheet1'!$L$16"}</definedName>
    <definedName name="asa" hidden="1">{"'Sheet1'!$L$16"}</definedName>
    <definedName name="ASAA" hidden="1">#REF!</definedName>
    <definedName name="asas" localSheetId="0" hidden="1">{#N/A,#N/A,FALSE,"Sheet2";#N/A,#N/A,FALSE,"Sheet4";#N/A,#N/A,FALSE,"Sheet6"}</definedName>
    <definedName name="asas" hidden="1">{#N/A,#N/A,FALSE,"Sheet2";#N/A,#N/A,FALSE,"Sheet4";#N/A,#N/A,FALSE,"Sheet6"}</definedName>
    <definedName name="asca" localSheetId="0" hidden="1">{"'Sheet1'!$L$16"}</definedName>
    <definedName name="asca" hidden="1">{"'Sheet1'!$L$16"}</definedName>
    <definedName name="ascadc" hidden="1">#REF!</definedName>
    <definedName name="asd" hidden="1">#REF!</definedName>
    <definedName name="asda" hidden="1">#REF!</definedName>
    <definedName name="asdada" localSheetId="0" hidden="1">{#N/A,#N/A,FALSE,"特殊室（ＢＱ表）"}</definedName>
    <definedName name="asdada"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 hidden="1">{"ECA Qtrs C",#N/A,TRUE,"ECA_Qtrs_C";"ECA Qtrs D",#N/A,TRUE,"ECA_Qtrs_D";"ECA Qtrs F",#N/A,TRUE,"ECA_Qtrs_F";"ECA Qtrs G",#N/A,TRUE,"ECA_Qtrs_G";"ECA SisterApt",#N/A,TRUE,"ECA_SisterApt";"ECA Nurses",#N/A,TRUE,"ECA_NursesHostel"}</definedName>
    <definedName name="asdasd" localSheetId="0" hidden="1">{"'Sheet1'!$L$16"}</definedName>
    <definedName name="asdasd" hidden="1">{"'Sheet1'!$L$16"}</definedName>
    <definedName name="ASDASDSADAS" localSheetId="0" hidden="1">{"'Sheet1'!$L$16"}</definedName>
    <definedName name="ASDASDSADAS" hidden="1">{"'Sheet1'!$L$16"}</definedName>
    <definedName name="asdc" localSheetId="0" hidden="1">{#N/A,#N/A,FALSE,"변경관리예산";#N/A,#N/A,FALSE,"변경장비예산";#N/A,#N/A,FALSE,"변경준설예산";#N/A,#N/A,FALSE,"변경철구예산"}</definedName>
    <definedName name="asdc" hidden="1">{#N/A,#N/A,FALSE,"변경관리예산";#N/A,#N/A,FALSE,"변경장비예산";#N/A,#N/A,FALSE,"변경준설예산";#N/A,#N/A,FALSE,"변경철구예산"}</definedName>
    <definedName name="asdf" localSheetId="0" hidden="1">{#N/A,#N/A,FALSE,"Chi tiÆt"}</definedName>
    <definedName name="asdf" hidden="1">{#N/A,#N/A,FALSE,"Chi tiÆt"}</definedName>
    <definedName name="asdfa" hidden="1">#REF!</definedName>
    <definedName name="ASDFFD" hidden="1">#REF!</definedName>
    <definedName name="asdffgggh" localSheetId="0" hidden="1">{"'Sheet1'!$L$16"}</definedName>
    <definedName name="asdffgggh" hidden="1">{"'Sheet1'!$L$16"}</definedName>
    <definedName name="asdfg" localSheetId="0" hidden="1">{"'Sheet1'!$L$16"}</definedName>
    <definedName name="asdfg" hidden="1">{"'Sheet1'!$L$16"}</definedName>
    <definedName name="asdsd" hidden="1">#REF!</definedName>
    <definedName name="aserasdea" localSheetId="0" hidden="1">{"'Sheet1'!$L$16"}</definedName>
    <definedName name="aserasdea" hidden="1">{"'Sheet1'!$L$16"}</definedName>
    <definedName name="asf" localSheetId="0" hidden="1">{"'Sheet1'!$L$16"}</definedName>
    <definedName name="asf" hidden="1">{"'Sheet1'!$L$16"}</definedName>
    <definedName name="asfsf" localSheetId="0" hidden="1">{"'Sheet1'!$L$16"}</definedName>
    <definedName name="asfsf" hidden="1">{"'Sheet1'!$L$16"}</definedName>
    <definedName name="asggghaas" hidden="1">#REF!</definedName>
    <definedName name="asmd" localSheetId="0" hidden="1">{#N/A,#N/A,FALSE,"Chi tiÆt"}</definedName>
    <definedName name="asmd" hidden="1">{#N/A,#N/A,FALSE,"Chi tiÆt"}</definedName>
    <definedName name="ASS" localSheetId="0" hidden="1">{"'Sheet1'!$L$16"}</definedName>
    <definedName name="ASS" hidden="1">{"'Sheet1'!$L$16"}</definedName>
    <definedName name="asss" localSheetId="0" hidden="1">{"'Sheet1'!$L$16"}</definedName>
    <definedName name="asss" hidden="1">{"'Sheet1'!$L$16"}</definedName>
    <definedName name="assss" hidden="1">#REF!</definedName>
    <definedName name="asssss" localSheetId="0" hidden="1">{"'Sheet1'!$L$16"}</definedName>
    <definedName name="asssss" hidden="1">{"'Sheet1'!$L$16"}</definedName>
    <definedName name="ÂSSSSS" localSheetId="0" hidden="1">{"'Sheet1'!$L$16"}</definedName>
    <definedName name="ÂSSSSS" hidden="1">{"'Sheet1'!$L$16"}</definedName>
    <definedName name="AT" hidden="1">#REF!</definedName>
    <definedName name="ata" localSheetId="0" hidden="1">{#N/A,#N/A,FALSE,"CCTV"}</definedName>
    <definedName name="ata" hidden="1">{#N/A,#N/A,FALSE,"CCTV"}</definedName>
    <definedName name="atdakdh" hidden="1">#REF!</definedName>
    <definedName name="ATGT" localSheetId="0" hidden="1">{"'Sheet1'!$L$16"}</definedName>
    <definedName name="ATGT" hidden="1">{"'Sheet1'!$L$16"}</definedName>
    <definedName name="atien1" localSheetId="0" hidden="1">{"'Sheet1'!$L$16"}</definedName>
    <definedName name="atien1" hidden="1">{"'Sheet1'!$L$16"}</definedName>
    <definedName name="ATW" hidden="1">#REF!</definedName>
    <definedName name="AU" localSheetId="0" hidden="1">{"'Sheet1'!$L$16"}</definedName>
    <definedName name="AU"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vađsf" hidden="1">{0,#N/A,FALSE,0;0,#N/A,FALSE,0;0,#N/A,FALSE,0;0,#N/A,FALSE,0;0,#N/A,FALSE,0;0,#N/A,FALSE,0;0,#N/A,FALSE,0}</definedName>
    <definedName name="Avl">#REF!</definedName>
    <definedName name="awegw" localSheetId="0" hidden="1">{#N/A,#N/A,TRUE,"BT M200 da 10x20"}</definedName>
    <definedName name="awegw" hidden="1">{#N/A,#N/A,TRUE,"BT M200 da 10x20"}</definedName>
    <definedName name="aws" hidden="1">#REF!</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localSheetId="0" hidden="1">{"'Sheet1'!$L$16"}</definedName>
    <definedName name="b14b" hidden="1">{"'Sheet1'!$L$16"}</definedName>
    <definedName name="b14b1" localSheetId="0" hidden="1">{"'Sheet1'!$L$16"}</definedName>
    <definedName name="b14b1" hidden="1">{"'Sheet1'!$L$16"}</definedName>
    <definedName name="B1page18">#REF!</definedName>
    <definedName name="B1V" localSheetId="0" hidden="1">{"'ROOF'!$B$6","'ROOF'!$B$6","'ROOF'!$B$6","'ROOF'!$B$6"}</definedName>
    <definedName name="B1V" hidden="1">{"'ROOF'!$B$6","'ROOF'!$B$6","'ROOF'!$B$6","'ROOF'!$B$6"}</definedName>
    <definedName name="B2.Other" localSheetId="0" hidden="1">{"'Sheet1'!$L$16"}</definedName>
    <definedName name="B2.Other" hidden="1">{"'Sheet1'!$L$16"}</definedName>
    <definedName name="b22aaa" localSheetId="0" hidden="1">{"'ROOF'!$B$6","'ROOF'!$B$6","'ROOF'!$B$6","'ROOF'!$B$6"}</definedName>
    <definedName name="b22aaa" hidden="1">{"'ROOF'!$B$6","'ROOF'!$B$6","'ROOF'!$B$6","'ROOF'!$B$6"}</definedName>
    <definedName name="b2b" localSheetId="0" hidden="1">{"'ROOF'!$B$6","'ROOF'!$B$6","'ROOF'!$B$6","'ROOF'!$B$6"}</definedName>
    <definedName name="b2b" hidden="1">{"'ROOF'!$B$6","'ROOF'!$B$6","'ROOF'!$B$6","'ROOF'!$B$6"}</definedName>
    <definedName name="B2BB" localSheetId="0" hidden="1">{"'ROOF'!$B$6","'ROOF'!$B$6","'ROOF'!$B$6","'ROOF'!$B$6"}</definedName>
    <definedName name="B2BB" hidden="1">{"'ROOF'!$B$6","'ROOF'!$B$6","'ROOF'!$B$6","'ROOF'!$B$6"}</definedName>
    <definedName name="b2bbb" localSheetId="0" hidden="1">{"'ROOF'!$B$6","'ROOF'!$B$6","'ROOF'!$B$6","'ROOF'!$B$6"}</definedName>
    <definedName name="b2bbb" hidden="1">{"'ROOF'!$B$6","'ROOF'!$B$6","'ROOF'!$B$6","'ROOF'!$B$6"}</definedName>
    <definedName name="B2C" localSheetId="0" hidden="1">{"'ROOF'!$B$6","'ROOF'!$B$6","'ROOF'!$B$6","'ROOF'!$B$6"}</definedName>
    <definedName name="B2C" hidden="1">{"'ROOF'!$B$6","'ROOF'!$B$6","'ROOF'!$B$6","'ROOF'!$B$6"}</definedName>
    <definedName name="b2d" localSheetId="0" hidden="1">{"'ROOF'!$B$6","'ROOF'!$B$6","'ROOF'!$B$6","'ROOF'!$B$6"}</definedName>
    <definedName name="b2d" hidden="1">{"'ROOF'!$B$6","'ROOF'!$B$6","'ROOF'!$B$6","'ROOF'!$B$6"}</definedName>
    <definedName name="b2e" localSheetId="0" hidden="1">{"'ROOF'!$B$6","'ROOF'!$B$6","'ROOF'!$B$6","'ROOF'!$B$6"}</definedName>
    <definedName name="b2e" hidden="1">{"'ROOF'!$B$6","'ROOF'!$B$6","'ROOF'!$B$6","'ROOF'!$B$6"}</definedName>
    <definedName name="b2f" localSheetId="0" hidden="1">{"'ROOF'!$B$6","'ROOF'!$B$6","'ROOF'!$B$6","'ROOF'!$B$6"}</definedName>
    <definedName name="b2f" hidden="1">{"'ROOF'!$B$6","'ROOF'!$B$6","'ROOF'!$B$6","'ROOF'!$B$6"}</definedName>
    <definedName name="B2G" localSheetId="0" hidden="1">{"'ROOF'!$B$6","'ROOF'!$B$6","'ROOF'!$B$6","'ROOF'!$B$6"}</definedName>
    <definedName name="B2G" hidden="1">{"'ROOF'!$B$6","'ROOF'!$B$6","'ROOF'!$B$6","'ROOF'!$B$6"}</definedName>
    <definedName name="B2GG" localSheetId="0" hidden="1">{"'ROOF'!$B$6","'ROOF'!$B$6","'ROOF'!$B$6","'ROOF'!$B$6"}</definedName>
    <definedName name="B2GG" hidden="1">{"'ROOF'!$B$6","'ROOF'!$B$6","'ROOF'!$B$6","'ROOF'!$B$6"}</definedName>
    <definedName name="B2GSSL" localSheetId="0" hidden="1">{"'ROOF'!$B$6","'ROOF'!$B$6","'ROOF'!$B$6","'ROOF'!$B$6"}</definedName>
    <definedName name="B2GSSL" hidden="1">{"'ROOF'!$B$6","'ROOF'!$B$6","'ROOF'!$B$6","'ROOF'!$B$6"}</definedName>
    <definedName name="B2H" localSheetId="0" hidden="1">{"'ROOF'!$B$6","'ROOF'!$B$6","'ROOF'!$B$6","'ROOF'!$B$6"}</definedName>
    <definedName name="B2H" hidden="1">{"'ROOF'!$B$6","'ROOF'!$B$6","'ROOF'!$B$6","'ROOF'!$B$6"}</definedName>
    <definedName name="B2J" localSheetId="0" hidden="1">{"'ROOF'!$B$6","'ROOF'!$B$6","'ROOF'!$B$6","'ROOF'!$B$6"}</definedName>
    <definedName name="B2J" hidden="1">{"'ROOF'!$B$6","'ROOF'!$B$6","'ROOF'!$B$6","'ROOF'!$B$6"}</definedName>
    <definedName name="b2k" localSheetId="0" hidden="1">{"'ROOF'!$B$6","'ROOF'!$B$6","'ROOF'!$B$6","'ROOF'!$B$6"}</definedName>
    <definedName name="b2k" hidden="1">{"'ROOF'!$B$6","'ROOF'!$B$6","'ROOF'!$B$6","'ROOF'!$B$6"}</definedName>
    <definedName name="b2l" localSheetId="0" hidden="1">{"'ROOF'!$B$6","'ROOF'!$B$6","'ROOF'!$B$6","'ROOF'!$B$6"}</definedName>
    <definedName name="b2l" hidden="1">{"'ROOF'!$B$6","'ROOF'!$B$6","'ROOF'!$B$6","'ROOF'!$B$6"}</definedName>
    <definedName name="B3.1.9" hidden="1">#REF!</definedName>
    <definedName name="b3a" hidden="1">#REF!</definedName>
    <definedName name="b3a1" hidden="1">#REF!</definedName>
    <definedName name="b3sl" localSheetId="0" hidden="1">{"'ROOF'!$B$6","'ROOF'!$B$6","'ROOF'!$B$6","'ROOF'!$B$6"}</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localSheetId="0" hidden="1">{"'ROOF'!$B$6","'ROOF'!$B$6","'ROOF'!$B$6","'ROOF'!$B$6"}</definedName>
    <definedName name="b5sl" hidden="1">{"'ROOF'!$B$6","'ROOF'!$B$6","'ROOF'!$B$6","'ROOF'!$B$6"}</definedName>
    <definedName name="b5slL" localSheetId="0" hidden="1">{"'ROOF'!$B$6","'ROOF'!$B$6","'ROOF'!$B$6","'ROOF'!$B$6"}</definedName>
    <definedName name="b5slL" hidden="1">{"'ROOF'!$B$6","'ROOF'!$B$6","'ROOF'!$B$6","'ROOF'!$B$6"}</definedName>
    <definedName name="B6a" localSheetId="0" hidden="1">{"'Sheet1'!$L$16"}</definedName>
    <definedName name="B6a" hidden="1">{"'Sheet1'!$L$16"}</definedName>
    <definedName name="bai" localSheetId="0" hidden="1">{"'Sheet1'!$L$16"}</definedName>
    <definedName name="bai" hidden="1">{"'Sheet1'!$L$16"}</definedName>
    <definedName name="BangChu">#REF!</definedName>
    <definedName name="banQL" localSheetId="0" hidden="1">{"'Sheet1'!$L$16"}</definedName>
    <definedName name="banQL" hidden="1">{"'Sheet1'!$L$16"}</definedName>
    <definedName name="bare">0</definedName>
    <definedName name="BARTIE">#REF!</definedName>
    <definedName name="BASIS">#REF!</definedName>
    <definedName name="BB" localSheetId="0" hidden="1">{#N/A,#N/A,FALSE,"Sheet1";#N/A,#N/A,FALSE,"Sheet3";#N/A,#N/A,FALSE,"Sheet5"}</definedName>
    <definedName name="BB" hidden="1">{#N/A,#N/A,FALSE,"Sheet1";#N/A,#N/A,FALSE,"Sheet3";#N/A,#N/A,FALSE,"Sheet5"}</definedName>
    <definedName name="BB_new" localSheetId="0" hidden="1">{"'Sheet1'!$L$16"}</definedName>
    <definedName name="BB_new" hidden="1">{"'Sheet1'!$L$16"}</definedName>
    <definedName name="BBB" localSheetId="0" hidden="1">{"'Sheet1'!$L$16"}</definedName>
    <definedName name="BBB" hidden="1">{"'Sheet1'!$L$16"}</definedName>
    <definedName name="bbbb" localSheetId="0" hidden="1">{"'Sheet1'!$L$16"}</definedName>
    <definedName name="bbbb" hidden="1">{"'Sheet1'!$L$16"}</definedName>
    <definedName name="ｂｂｂｂｂ" localSheetId="0" hidden="1">{"'Sheet1'!$L$16"}</definedName>
    <definedName name="ｂｂｂｂｂ" hidden="1">{"'Sheet1'!$L$16"}</definedName>
    <definedName name="bbbbbbb" hidden="1">#REF!</definedName>
    <definedName name="BBBG" localSheetId="0" hidden="1">{"'Sheet1'!$L$16"}</definedName>
    <definedName name="BBBG" hidden="1">{"'Sheet1'!$L$16"}</definedName>
    <definedName name="bbfd" localSheetId="0" hidden="1">{#N/A,#N/A,FALSE,"Chi tiÆt"}</definedName>
    <definedName name="bbfd" hidden="1">{#N/A,#N/A,FALSE,"Chi tiÆt"}</definedName>
    <definedName name="BBKK" localSheetId="0" hidden="1">{"'Sheet1'!$L$16"}</definedName>
    <definedName name="BBKK" hidden="1">{"'Sheet1'!$L$16"}</definedName>
    <definedName name="bbv" hidden="1">#REF!</definedName>
    <definedName name="bc" localSheetId="0" hidden="1">{"'Sheet1'!$L$16"}</definedName>
    <definedName name="bc" hidden="1">{"'Sheet1'!$L$16"}</definedName>
    <definedName name="bcb" localSheetId="0" hidden="1">{"'Sheet1'!$L$16"}</definedName>
    <definedName name="bcb" hidden="1">{"'Sheet1'!$L$16"}</definedName>
    <definedName name="BCD" hidden="1">#REF!</definedName>
    <definedName name="BCTQ" localSheetId="0" hidden="1">{"'Sheet1'!$L$16"}</definedName>
    <definedName name="BCTQ" hidden="1">{"'Sheet1'!$L$16"}</definedName>
    <definedName name="BCTV" localSheetId="0" hidden="1">{"'Sheet1'!$L$16"}</definedName>
    <definedName name="BCTV" hidden="1">{"'Sheet1'!$L$16"}</definedName>
    <definedName name="bcv" localSheetId="0" hidden="1">{"'Sheet1'!$L$16"}</definedName>
    <definedName name="bcv" hidden="1">{"'Sheet1'!$L$16"}</definedName>
    <definedName name="BDFBDFBDF" localSheetId="0" hidden="1">{"'Sheet1'!$L$16"}</definedName>
    <definedName name="BDFBDFBDF" hidden="1">{"'Sheet1'!$L$16"}</definedName>
    <definedName name="BDGNDNGB" localSheetId="0" hidden="1">{"'Sheet1'!$L$16"}</definedName>
    <definedName name="BDGNDNGB" hidden="1">{"'Sheet1'!$L$16"}</definedName>
    <definedName name="bdv" localSheetId="0" hidden="1">{"'Sheet1'!$L$16"}</definedName>
    <definedName name="bdv" hidden="1">{"'Sheet1'!$L$16"}</definedName>
    <definedName name="bemai" localSheetId="0" hidden="1">{"'Sheet1'!$L$16"}</definedName>
    <definedName name="bemai" hidden="1">{"'Sheet1'!$L$16"}</definedName>
    <definedName name="BFSBFD" localSheetId="0" hidden="1">{"'Sheet1'!$L$16"}</definedName>
    <definedName name="BFSBFD" hidden="1">{"'Sheet1'!$L$16"}</definedName>
    <definedName name="bg" localSheetId="0" hidden="1">{"'Sheet1'!$L$16"}</definedName>
    <definedName name="bg" hidden="1">{"'Sheet1'!$L$16"}</definedName>
    <definedName name="BG_Del" hidden="1">15</definedName>
    <definedName name="BG_Ins" hidden="1">4</definedName>
    <definedName name="BG_Mod" hidden="1">6</definedName>
    <definedName name="BGFNC" localSheetId="0" hidden="1">{"'Sheet1'!$L$16"}</definedName>
    <definedName name="BGFNC" hidden="1">{"'Sheet1'!$L$16"}</definedName>
    <definedName name="BGHG" localSheetId="0" hidden="1">{#N/A,#N/A,FALSE,"估價單  (3)"}</definedName>
    <definedName name="BGHG" hidden="1">{#N/A,#N/A,FALSE,"估價單  (3)"}</definedName>
    <definedName name="bghui" localSheetId="0" hidden="1">{"'Sheet1'!$L$16"}</definedName>
    <definedName name="bghui" hidden="1">{"'Sheet1'!$L$16"}</definedName>
    <definedName name="Bgiang" localSheetId="0" hidden="1">{"'Sheet1'!$L$16"}</definedName>
    <definedName name="Bgiang" hidden="1">{"'Sheet1'!$L$16"}</definedName>
    <definedName name="BGNL" hidden="1">#REF!</definedName>
    <definedName name="BGSFGSD" localSheetId="0" hidden="1">{"'Sheet1'!$L$16"}</definedName>
    <definedName name="BGSFGSD" hidden="1">{"'Sheet1'!$L$16"}</definedName>
    <definedName name="BHDB" localSheetId="0" hidden="1">{"'Sheet1'!$L$16"}</definedName>
    <definedName name="BHDB" hidden="1">{"'Sheet1'!$L$16"}</definedName>
    <definedName name="BHJ" localSheetId="0" hidden="1">{#N/A,#N/A,FALSE,"Sheet6"}</definedName>
    <definedName name="BHJ" hidden="1">{#N/A,#N/A,FALSE,"Sheet6"}</definedName>
    <definedName name="Bhthang4" localSheetId="0" hidden="1">{#N/A,#N/A,FALSE,"Chi tiÆt"}</definedName>
    <definedName name="Bhthang4" hidden="1">{#N/A,#N/A,FALSE,"Chi tiÆt"}</definedName>
    <definedName name="bhthang5" localSheetId="0" hidden="1">{#N/A,#N/A,FALSE,"Chi tiÆt"}</definedName>
    <definedName name="bhthang5" hidden="1">{#N/A,#N/A,FALSE,"Chi tiÆt"}</definedName>
    <definedName name="bhthang6" localSheetId="0" hidden="1">{"'Sheet1'!$L$16"}</definedName>
    <definedName name="bhthang6" hidden="1">{"'Sheet1'!$L$16"}</definedName>
    <definedName name="BI" localSheetId="0" hidden="1">{#N/A,#N/A,FALSE,"이태원철근"}</definedName>
    <definedName name="BI" hidden="1">{#N/A,#N/A,FALSE,"이태원철근"}</definedName>
    <definedName name="BIA" localSheetId="0" hidden="1">{"'Sheet1'!$L$16"}</definedName>
    <definedName name="BIA" hidden="1">{"'Sheet1'!$L$16"}</definedName>
    <definedName name="Bien1" hidden="1">#REF!</definedName>
    <definedName name="bietthu" localSheetId="0" hidden="1">{"'Sheet1'!$L$16"}</definedName>
    <definedName name="bietthu" hidden="1">{"'Sheet1'!$L$16"}</definedName>
    <definedName name="BIGC" localSheetId="0" hidden="1">{#N/A,#N/A,TRUE,"Str.";#N/A,#N/A,TRUE,"Steel &amp; Roof";#N/A,#N/A,TRUE,"Arc.";#N/A,#N/A,TRUE,"Preliminary";#N/A,#N/A,TRUE,"Sum_Prelim"}</definedName>
    <definedName name="BIGC" hidden="1">{#N/A,#N/A,TRUE,"Str.";#N/A,#N/A,TRUE,"Steel &amp; Roof";#N/A,#N/A,TRUE,"Arc.";#N/A,#N/A,TRUE,"Preliminary";#N/A,#N/A,TRUE,"Sum_Prelim"}</definedName>
    <definedName name="bill1a" localSheetId="0" hidden="1">{"'Sheet1'!$L$16"}</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localSheetId="0" hidden="1">{"'Sheet1'!$L$16"}</definedName>
    <definedName name="Binh" hidden="1">{"'Sheet1'!$L$16"}</definedName>
    <definedName name="BMS" localSheetId="0" hidden="1">{"'Sheet1'!$L$16"}</definedName>
    <definedName name="BMS" hidden="1">{"'Sheet1'!$L$16"}</definedName>
    <definedName name="BN" localSheetId="0" hidden="1">{"'Sheet1'!$L$16"}</definedName>
    <definedName name="BN" hidden="1">{"'Sheet1'!$L$16"}</definedName>
    <definedName name="bnm" localSheetId="0" hidden="1">{#N/A,#N/A,FALSE,"Chi tiÆt"}</definedName>
    <definedName name="bnm" hidden="1">{#N/A,#N/A,FALSE,"Chi tiÆt"}</definedName>
    <definedName name="bo" localSheetId="0" hidden="1">{#N/A,#N/A,FALSE,"Chi tiÆt"}</definedName>
    <definedName name="bo" hidden="1">{#N/A,#N/A,FALSE,"Chi tiÆt"}</definedName>
    <definedName name="book1" localSheetId="0" hidden="1">{"'现金流量表（全部投资）'!$B$4:$P$23"}</definedName>
    <definedName name="book1" hidden="1">{"'现金流量表（全部投资）'!$B$4:$P$23"}</definedName>
    <definedName name="BOQ" localSheetId="0">{"Book1","BoQ2.XLS"}</definedName>
    <definedName name="BOQ">{"Book1","BoQ2.XLS"}</definedName>
    <definedName name="BOQA2" localSheetId="0" hidden="1">{"'Sheet1'!$L$16"}</definedName>
    <definedName name="BOQA2" hidden="1">{"'Sheet1'!$L$16"}</definedName>
    <definedName name="BOQCongtruong" hidden="1">#REF!</definedName>
    <definedName name="boredpile" hidden="1">#REF!</definedName>
    <definedName name="bql" localSheetId="0" hidden="1">{#N/A,#N/A,FALSE,"Chi tiÆt"}</definedName>
    <definedName name="bql" hidden="1">{#N/A,#N/A,FALSE,"Chi tiÆt"}</definedName>
    <definedName name="BQQ" hidden="1">#REF!</definedName>
    <definedName name="BREAK" localSheetId="0" hidden="1">{#N/A,#N/A,FALSE,"CCTV"}</definedName>
    <definedName name="BREAK" hidden="1">{#N/A,#N/A,FALSE,"CCTV"}</definedName>
    <definedName name="BSFSDBVSD" localSheetId="0" hidden="1">{"'Sheet1'!$L$16"}</definedName>
    <definedName name="BSFSDBVSD" hidden="1">{"'Sheet1'!$L$16"}</definedName>
    <definedName name="BSM">#REF!</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H" localSheetId="0" hidden="1">{"'Sheet1'!$L$16"}</definedName>
    <definedName name="BTH" hidden="1">{"'Sheet1'!$L$16"}</definedName>
    <definedName name="btl" localSheetId="0" hidden="1">{"'Sheet1'!$L$16"}</definedName>
    <definedName name="btl" hidden="1">{"'Sheet1'!$L$16"}</definedName>
    <definedName name="btnm3" localSheetId="0" hidden="1">{"'Sheet1'!$L$16"}</definedName>
    <definedName name="btnm3" hidden="1">{"'Sheet1'!$L$16"}</definedName>
    <definedName name="BTRAM">#REF!</definedName>
    <definedName name="bu" localSheetId="0" hidden="1">{"'Sheet1'!$L$16"}</definedName>
    <definedName name="bu" hidden="1">{"'Sheet1'!$L$16"}</definedName>
    <definedName name="BuGia">#REF!</definedName>
    <definedName name="buoi" localSheetId="0" hidden="1">{"'Sheet1'!$L$16"}</definedName>
    <definedName name="buoi" hidden="1">{"'Sheet1'!$L$16"}</definedName>
    <definedName name="bvb" localSheetId="0" hidden="1">{"NGUYEN QUI THIEP - Personal View",#N/A,FALSE,"XDCB.HT.FUR."}</definedName>
    <definedName name="bvb" hidden="1">{"NGUYEN QUI THIEP - Personal View",#N/A,FALSE,"XDCB.HT.FUR."}</definedName>
    <definedName name="bvhjggj" hidden="1">#REF!</definedName>
    <definedName name="bvx" localSheetId="0" hidden="1">{#N/A,#N/A,FALSE,"토공2"}</definedName>
    <definedName name="bvx" hidden="1">{#N/A,#N/A,FALSE,"토공2"}</definedName>
    <definedName name="BW">#REF!</definedName>
    <definedName name="BXBXCBC" localSheetId="0" hidden="1">{"'Sheet1'!$L$16"}</definedName>
    <definedName name="BXBXCBC" hidden="1">{"'Sheet1'!$L$16"}</definedName>
    <definedName name="bxvbx" localSheetId="0"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localSheetId="0" hidden="1">{"'Sheet1'!$L$16"}</definedName>
    <definedName name="ca" hidden="1">{"'Sheet1'!$L$16"}</definedName>
    <definedName name="CẪ" localSheetId="0" hidden="1">{"'Sheet1'!$L$16"}</definedName>
    <definedName name="CẪ" hidden="1">{"'Sheet1'!$L$16"}</definedName>
    <definedName name="Cable" localSheetId="0" hidden="1">{"'Sheet1'!$L$16"}</definedName>
    <definedName name="Cable" hidden="1">{"'Sheet1'!$L$16"}</definedName>
    <definedName name="cables" localSheetId="0" hidden="1">{"IMRAK42x8x8",#N/A,TRUE,"IMRAK 1400 42U 800X800";"IMRAK32x6x6",#N/A,TRUE,"IMRAK 1400 32U 600x600";"IMRAK42x12x8",#N/A,TRUE,"IMRAK 1400 42U 1200x800";"IMRAK15x6x4",#N/A,TRUE,"IMRAK 400 15U FRONT SECTION"}</definedName>
    <definedName name="cables" hidden="1">{"IMRAK42x8x8",#N/A,TRUE,"IMRAK 1400 42U 800X800";"IMRAK32x6x6",#N/A,TRUE,"IMRAK 1400 32U 600x600";"IMRAK42x12x8",#N/A,TRUE,"IMRAK 1400 42U 1200x800";"IMRAK15x6x4",#N/A,TRUE,"IMRAK 400 15U FRONT SECTION"}</definedName>
    <definedName name="caccccc" localSheetId="0" hidden="1">{"'Sheet1'!$L$16"}</definedName>
    <definedName name="caccccc" hidden="1">{"'Sheet1'!$L$16"}</definedName>
    <definedName name="CACSA" localSheetId="0" hidden="1">{"'Sheet1'!$L$16"}</definedName>
    <definedName name="CACSA" hidden="1">{"'Sheet1'!$L$16"}</definedName>
    <definedName name="cadca" hidden="1">#REF!</definedName>
    <definedName name="CALBE" localSheetId="0" hidden="1">{"'Sheet1'!$L$16"}</definedName>
    <definedName name="CALBE" hidden="1">{"'Sheet1'!$L$16"}</definedName>
    <definedName name="cald" localSheetId="0" hidden="1">{#N/A,#N/A,FALSE,"CCTV"}</definedName>
    <definedName name="cald" hidden="1">{#N/A,#N/A,FALSE,"CCTV"}</definedName>
    <definedName name="came" localSheetId="0" hidden="1">{"'Sheet1'!$L$16"}</definedName>
    <definedName name="came" hidden="1">{"'Sheet1'!$L$16"}</definedName>
    <definedName name="CAMTC">#REF!</definedName>
    <definedName name="CANON" localSheetId="0" hidden="1">{"'Sheet1'!$L$16"}</definedName>
    <definedName name="CANON" hidden="1">{"'Sheet1'!$L$16"}</definedName>
    <definedName name="CANOPY" hidden="1">#REF!</definedName>
    <definedName name="canteen" hidden="1">#REF!</definedName>
    <definedName name="CaododayGa" localSheetId="0" hidden="1">{"'Sheet1'!$L$16"}</definedName>
    <definedName name="CaododayGa" hidden="1">{"'Sheet1'!$L$16"}</definedName>
    <definedName name="cap" localSheetId="0" hidden="1">{"'Sheet1'!$L$16"}</definedName>
    <definedName name="cap" hidden="1">{"'Sheet1'!$L$16"}</definedName>
    <definedName name="CAPT">#REF!</definedName>
    <definedName name="CARL" localSheetId="0" hidden="1">{#N/A,#N/A,FALSE,"CCTV"}</definedName>
    <definedName name="CARL" hidden="1">{#N/A,#N/A,FALSE,"CCTV"}</definedName>
    <definedName name="CARL1" localSheetId="0" hidden="1">{#N/A,#N/A,FALSE,"CCTV"}</definedName>
    <definedName name="CARL1" hidden="1">{#N/A,#N/A,FALSE,"CCTV"}</definedName>
    <definedName name="CARL2" localSheetId="0" hidden="1">{#N/A,#N/A,FALSE,"CCTV"}</definedName>
    <definedName name="CARL2" hidden="1">{#N/A,#N/A,FALSE,"CCTV"}</definedName>
    <definedName name="cashfl" localSheetId="0" hidden="1">{#N/A,#N/A,TRUE,"Cover";#N/A,#N/A,TRUE,"Conts";#N/A,#N/A,TRUE,"VOS";#N/A,#N/A,TRUE,"Warrington";#N/A,#N/A,TRUE,"Widnes"}</definedName>
    <definedName name="cashfl" hidden="1">{#N/A,#N/A,TRUE,"Cover";#N/A,#N/A,TRUE,"Conts";#N/A,#N/A,TRUE,"VOS";#N/A,#N/A,TRUE,"Warrington";#N/A,#N/A,TRUE,"Widnes"}</definedName>
    <definedName name="catalogue" localSheetId="0" hidden="1">{"'Sheet1'!$L$16"}</definedName>
    <definedName name="catalogue" hidden="1">{"'Sheet1'!$L$16"}</definedName>
    <definedName name="CATIN">#N/A</definedName>
    <definedName name="CATJYOU">#N/A</definedName>
    <definedName name="CATREC">#N/A</definedName>
    <definedName name="CATSYU">#N/A</definedName>
    <definedName name="cauthang" localSheetId="0" hidden="1">{"'Sheet1'!$L$16"}</definedName>
    <definedName name="cauthang" hidden="1">{"'Sheet1'!$L$16"}</definedName>
    <definedName name="CAVT">#REF!</definedName>
    <definedName name="cay" localSheetId="0" hidden="1">{"'Sheet1'!$L$16"}</definedName>
    <definedName name="cay" hidden="1">{"'Sheet1'!$L$16"}</definedName>
    <definedName name="CBPT">#REF!</definedName>
    <definedName name="CBVT">#REF!</definedName>
    <definedName name="CBWorkbookPriority" hidden="1">-1807836116</definedName>
    <definedName name="CCC" localSheetId="0" hidden="1">{"'Sheet1'!$L$16"}</definedName>
    <definedName name="CCC" hidden="1">{"'Sheet1'!$L$16"}</definedName>
    <definedName name="cccc" localSheetId="0" hidden="1">{#N/A,#N/A,TRUE,"SUM";#N/A,#N/A,TRUE,"EE";#N/A,#N/A,TRUE,"AC";#N/A,#N/A,TRUE,"SN"}</definedName>
    <definedName name="cccc" hidden="1">{#N/A,#N/A,TRUE,"SUM";#N/A,#N/A,TRUE,"EE";#N/A,#N/A,TRUE,"AC";#N/A,#N/A,TRUE,"SN"}</definedName>
    <definedName name="cccccccasdasd" localSheetId="0" hidden="1">{"'Sheet1'!$L$16"}</definedName>
    <definedName name="cccccccasdasd" hidden="1">{"'Sheet1'!$L$16"}</definedName>
    <definedName name="CCCCCCCCCC" hidden="1">#REF!</definedName>
    <definedName name="CCR" localSheetId="0" hidden="1">{#N/A,#N/A,TRUE,"Cover";#N/A,#N/A,TRUE,"Conts";#N/A,#N/A,TRUE,"VOS";#N/A,#N/A,TRUE,"Warrington";#N/A,#N/A,TRUE,"Widnes"}</definedName>
    <definedName name="CCR" hidden="1">{#N/A,#N/A,TRUE,"Cover";#N/A,#N/A,TRUE,"Conts";#N/A,#N/A,TRUE,"VOS";#N/A,#N/A,TRUE,"Warrington";#N/A,#N/A,TRUE,"Widnes"}</definedName>
    <definedName name="CD" hidden="1">#REF!</definedName>
    <definedName name="Çdµ" localSheetId="0" hidden="1">{"'Sheet1'!$L$16"}</definedName>
    <definedName name="Çdµ" hidden="1">{"'Sheet1'!$L$16"}</definedName>
    <definedName name="cdfdf" localSheetId="0" hidden="1">{#N/A,#N/A,TRUE,"1";#N/A,#N/A,TRUE,"2";#N/A,#N/A,TRUE,"3";#N/A,#N/A,TRUE,"4";#N/A,#N/A,TRUE,"5";#N/A,#N/A,TRUE,"6";#N/A,#N/A,TRUE,"7"}</definedName>
    <definedName name="cdfdf" hidden="1">{#N/A,#N/A,TRUE,"1";#N/A,#N/A,TRUE,"2";#N/A,#N/A,TRUE,"3";#N/A,#N/A,TRUE,"4";#N/A,#N/A,TRUE,"5";#N/A,#N/A,TRUE,"6";#N/A,#N/A,TRUE,"7"}</definedName>
    <definedName name="cds" hidden="1">#REF!</definedName>
    <definedName name="ced" localSheetId="0" hidden="1">{#N/A,#N/A,FALSE,"Chi tiÆt"}</definedName>
    <definedName name="ced" hidden="1">{#N/A,#N/A,FALSE,"Chi tiÆt"}</definedName>
    <definedName name="Celling" localSheetId="0" hidden="1">{"'Sheet1'!$L$16"}</definedName>
    <definedName name="Celling" hidden="1">{"'Sheet1'!$L$16"}</definedName>
    <definedName name="CF1_a129" localSheetId="0" hidden="1">{"Offgrid",#N/A,FALSE,"OFFGRID";"Region",#N/A,FALSE,"REGION";"Offgrid -2",#N/A,FALSE,"OFFGRID";"WTP",#N/A,FALSE,"WTP";"WTP -2",#N/A,FALSE,"WTP";"Project",#N/A,FALSE,"PROJECT";"Summary -2",#N/A,FALSE,"SUMMARY"}</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localSheetId="0" hidden="1">{"'Sheet1'!$L$16"}</definedName>
    <definedName name="cg" hidden="1">{"'Sheet1'!$L$16"}</definedName>
    <definedName name="cgghh" localSheetId="0" hidden="1">{"'Sheet1'!$L$16"}</definedName>
    <definedName name="cgghh" hidden="1">{"'Sheet1'!$L$16"}</definedName>
    <definedName name="cgmh" localSheetId="0" hidden="1">{"'용역비'!$A$4:$C$8"}</definedName>
    <definedName name="cgmh" hidden="1">{"'용역비'!$A$4:$C$8"}</definedName>
    <definedName name="CHAIN" hidden="1">#REF!</definedName>
    <definedName name="Cham" localSheetId="0" hidden="1">{#N/A,#N/A,FALSE,"CCTV"}</definedName>
    <definedName name="Cham" hidden="1">{#N/A,#N/A,FALSE,"CCTV"}</definedName>
    <definedName name="Chart3" localSheetId="0" hidden="1">{"'Sheet1'!$L$16"}</definedName>
    <definedName name="Chart3" hidden="1">{"'Sheet1'!$L$16"}</definedName>
    <definedName name="Chdate" hidden="1">#REF!</definedName>
    <definedName name="chietchai2" localSheetId="0" hidden="1">{"'Sheet1'!$L$16"}</definedName>
    <definedName name="chietchai2" hidden="1">{"'Sheet1'!$L$16"}</definedName>
    <definedName name="chilk" localSheetId="0" hidden="1">{"'Sheet1'!$L$16"}</definedName>
    <definedName name="chilk" hidden="1">{"'Sheet1'!$L$16"}</definedName>
    <definedName name="ChiPhiKiemToan" hidden="1">#REF!</definedName>
    <definedName name="ChiPhiQToan" hidden="1">#REF!</definedName>
    <definedName name="chitiet" hidden="1">#REF!</definedName>
    <definedName name="chitietbgiang2" localSheetId="0" hidden="1">{"'Sheet1'!$L$16"}</definedName>
    <definedName name="chitietbgiang2" hidden="1">{"'Sheet1'!$L$16"}</definedName>
    <definedName name="chl" localSheetId="0" hidden="1">{"'Sheet1'!$L$16"}</definedName>
    <definedName name="chl"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3" hidden="1">{"'Sheet1'!$L$16"}</definedName>
    <definedName name="chottda" localSheetId="0" hidden="1">{"'Sheet1'!$L$16"}</definedName>
    <definedName name="chottda" hidden="1">{"'Sheet1'!$L$16"}</definedName>
    <definedName name="chuyen" localSheetId="0" hidden="1">{"'Sheet1'!$L$16"}</definedName>
    <definedName name="chuyen" hidden="1">{"'Sheet1'!$L$16"}</definedName>
    <definedName name="ci" localSheetId="0" hidden="1">{"'Sheet1'!$L$16"}</definedName>
    <definedName name="ci"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localSheetId="0" hidden="1">{#N/A,#N/A,TRUE,"Cover Memo";"Complete Sys. Estimate",#N/A,TRUE,"Change Summary";"Complete Sys. Estimate",#N/A,TRUE,"Estimate Summary";"Complete Sys. Estimate",#N/A,TRUE,"Dept. Summary";"Complete Sys. Estimate",#N/A,TRUE,"DOW Detail"}</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localSheetId="0" hidden="1">{"'Sheet1'!$L$16"}</definedName>
    <definedName name="CMC" hidden="1">{"'Sheet1'!$L$16"}</definedName>
    <definedName name="CNchung" localSheetId="0" hidden="1">{"'Sheet1'!$L$16"}</definedName>
    <definedName name="CNchung" hidden="1">{"'Sheet1'!$L$16"}</definedName>
    <definedName name="CNSCL" localSheetId="0" hidden="1">{"'Sheet1'!$L$16"}</definedName>
    <definedName name="CNSCL" hidden="1">{"'Sheet1'!$L$16"}</definedName>
    <definedName name="cntksdtj" localSheetId="0" hidden="1">{#N/A,#N/A,FALSE,"견적갑지";#N/A,#N/A,FALSE,"총괄표";#N/A,#N/A,FALSE,"철골공사";#N/A,#N/A,FALSE,"토목공사";#N/A,#N/A,FALSE,"판넬전기공사"}</definedName>
    <definedName name="cntksdtj" hidden="1">{#N/A,#N/A,FALSE,"견적갑지";#N/A,#N/A,FALSE,"총괄표";#N/A,#N/A,FALSE,"철골공사";#N/A,#N/A,FALSE,"토목공사";#N/A,#N/A,FALSE,"판넬전기공사"}</definedName>
    <definedName name="co">#REF!</definedName>
    <definedName name="coba" hidden="1">#REF!</definedName>
    <definedName name="Coc_60" localSheetId="0" hidden="1">{"'Sheet1'!$L$16"}</definedName>
    <definedName name="Coc_60" hidden="1">{"'Sheet1'!$L$16"}</definedName>
    <definedName name="coccat" localSheetId="0" hidden="1">{"'Sheet1'!$L$16"}</definedName>
    <definedName name="coccat" hidden="1">{"'Sheet1'!$L$16"}</definedName>
    <definedName name="cocly" localSheetId="0" hidden="1">{"'Sheet1'!$L$16"}</definedName>
    <definedName name="cocly" hidden="1">{"'Sheet1'!$L$16"}</definedName>
    <definedName name="Code" hidden="1">#REF!</definedName>
    <definedName name="CODE_ID">"s3.10!$V$17:$V$29"</definedName>
    <definedName name="column" hidden="1">#REF!</definedName>
    <definedName name="compare" localSheetId="0" hidden="1">{#N/A,#N/A,FALSE,"Chi tiÆt"}</definedName>
    <definedName name="compare" hidden="1">{#N/A,#N/A,FALSE,"Chi tiÆt"}</definedName>
    <definedName name="COMPARISON">#REF!</definedName>
    <definedName name="con" localSheetId="0" hidden="1">{#N/A,#N/A,FALSE,"Chi tiÆt"}</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localSheetId="0" hidden="1">{"'Sheet1'!$L$16"}</definedName>
    <definedName name="CONGD300" hidden="1">{"'Sheet1'!$L$16"}</definedName>
    <definedName name="CONGPA1" localSheetId="0" hidden="1">{"'Sheet1'!$L$16"}</definedName>
    <definedName name="CONGPA1" hidden="1">{"'Sheet1'!$L$16"}</definedName>
    <definedName name="coping" localSheetId="0" hidden="1">{"ECA Qtrs C",#N/A,TRUE,"ECA_Qtrs_C";"ECA Qtrs D",#N/A,TRUE,"ECA_Qtrs_D";"ECA Qtrs F",#N/A,TRUE,"ECA_Qtrs_F";"ECA Qtrs G",#N/A,TRUE,"ECA_Qtrs_G";"ECA SisterApt",#N/A,TRUE,"ECA_SisterApt";"ECA Nurses",#N/A,TRUE,"ECA_NursesHostel"}</definedName>
    <definedName name="coping"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phathepviÎttung" hidden="1">{"'Sheet1'!$L$16"}</definedName>
    <definedName name="copy" localSheetId="0" hidden="1">{"'Sheet1'!$L$16"}</definedName>
    <definedName name="copy" hidden="1">{"'Sheet1'!$L$16"}</definedName>
    <definedName name="COST">#REF!</definedName>
    <definedName name="cost1">#REF!</definedName>
    <definedName name="COSTT" hidden="1">#REF!</definedName>
    <definedName name="CotLPTVT" hidden="1">#REF!</definedName>
    <definedName name="cotycap" localSheetId="0" hidden="1">{"'Sheet1'!$L$16"}</definedName>
    <definedName name="cotycap" hidden="1">{"'Sheet1'!$L$16"}</definedName>
    <definedName name="COVE" localSheetId="0"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localSheetId="0" hidden="1">{#N/A,#N/A,FALSE,"Chi tiÆt"}</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localSheetId="0" hidden="1">{"'Sheet1'!$L$16"}</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localSheetId="0" hidden="1">{#N/A,#N/A,FALSE,"Chi tiÆt"}</definedName>
    <definedName name="csa" hidden="1">{#N/A,#N/A,FALSE,"Chi tiÆt"}</definedName>
    <definedName name="csac" localSheetId="0" hidden="1">{"'Sheet1'!$L$16"}</definedName>
    <definedName name="csac" hidden="1">{"'Sheet1'!$L$16"}</definedName>
    <definedName name="cscx" localSheetId="0" hidden="1">{"'Sheet1'!$L$16"}</definedName>
    <definedName name="cscx" hidden="1">{"'Sheet1'!$L$16"}</definedName>
    <definedName name="CSODJWO" localSheetId="0" hidden="1">{#N/A,#N/A,TRUE,"SUM";#N/A,#N/A,TRUE,"EE";#N/A,#N/A,TRUE,"AC";#N/A,#N/A,TRUE,"SN"}</definedName>
    <definedName name="CSODJWO" hidden="1">{#N/A,#N/A,TRUE,"SUM";#N/A,#N/A,TRUE,"EE";#N/A,#N/A,TRUE,"AC";#N/A,#N/A,TRUE,"SN"}</definedName>
    <definedName name="css" localSheetId="0" hidden="1">{"'Sheet1'!$L$16"}</definedName>
    <definedName name="css" hidden="1">{"'Sheet1'!$L$16"}</definedName>
    <definedName name="csxxc" localSheetId="0" hidden="1">{"'Sheet1'!$L$16"}</definedName>
    <definedName name="csxxc" hidden="1">{"'Sheet1'!$L$16"}</definedName>
    <definedName name="ct" localSheetId="0" hidden="1">{"'Sheet1'!$L$16"}</definedName>
    <definedName name="ct" hidden="1">{"'Sheet1'!$L$16"}</definedName>
    <definedName name="ctbbt" localSheetId="0" hidden="1">{"'Sheet1'!$L$16"}</definedName>
    <definedName name="ctbbt" hidden="1">{"'Sheet1'!$L$16"}</definedName>
    <definedName name="CTCT1" localSheetId="0" hidden="1">{"'Sheet1'!$L$16"}</definedName>
    <definedName name="CTCT1" hidden="1">{"'Sheet1'!$L$16"}</definedName>
    <definedName name="CTCT1_1" localSheetId="0" hidden="1">{"'Sheet1'!$L$16"}</definedName>
    <definedName name="CTCT1_1" hidden="1">{"'Sheet1'!$L$16"}</definedName>
    <definedName name="ctct2" localSheetId="0" hidden="1">{"'Sheet1'!$L$16"}</definedName>
    <definedName name="ctct2" hidden="1">{"'Sheet1'!$L$16"}</definedName>
    <definedName name="ctieu" localSheetId="0" hidden="1">{"'Sheet1'!$L$16"}</definedName>
    <definedName name="ctieu" hidden="1">{"'Sheet1'!$L$16"}</definedName>
    <definedName name="CTTC10nam" localSheetId="0" hidden="1">{"'Sheet1'!$L$16"}</definedName>
    <definedName name="CTTC10nam" hidden="1">{"'Sheet1'!$L$16"}</definedName>
    <definedName name="cua">#REF!</definedName>
    <definedName name="cung" localSheetId="0" hidden="1">{"'Sheet1'!$L$16"}</definedName>
    <definedName name="cung" hidden="1">{"'Sheet1'!$L$16"}</definedName>
    <definedName name="cuong" localSheetId="0" hidden="1">{"'Sheet1'!$L$16"}</definedName>
    <definedName name="cuong" hidden="1">{"'Sheet1'!$L$16"}</definedName>
    <definedName name="CurDate" hidden="1">#REF!</definedName>
    <definedName name="cut" hidden="1">#REF!</definedName>
    <definedName name="CVBCXBCV" localSheetId="0" hidden="1">{"'Sheet1'!$L$16"}</definedName>
    <definedName name="CVBCXBCV" hidden="1">{"'Sheet1'!$L$16"}</definedName>
    <definedName name="cvfr" localSheetId="0" hidden="1">{"'Sheet1'!$L$16"}</definedName>
    <definedName name="cvfr" hidden="1">{"'Sheet1'!$L$16"}</definedName>
    <definedName name="cxcxcxc" localSheetId="0" hidden="1">{"'Sheet1'!$L$16"}</definedName>
    <definedName name="cxcxcxc" hidden="1">{"'Sheet1'!$L$16"}</definedName>
    <definedName name="cxsxs" localSheetId="0" hidden="1">{"'Sheet1'!$L$16"}</definedName>
    <definedName name="cxsxs" hidden="1">{"'Sheet1'!$L$16"}</definedName>
    <definedName name="cxvv" localSheetId="0" hidden="1">{"'Sheet1'!$L$16"}</definedName>
    <definedName name="cxvv" hidden="1">{"'Sheet1'!$L$16"}</definedName>
    <definedName name="cxxacazc" localSheetId="0" hidden="1">{"'Sheet1'!$L$16"}</definedName>
    <definedName name="cxxacazc" hidden="1">{"'Sheet1'!$L$16"}</definedName>
    <definedName name="d" localSheetId="0" hidden="1">{"'Sheet1'!$L$16"}</definedName>
    <definedName name="d" hidden="1">{"'Sheet1'!$L$16"}</definedName>
    <definedName name="đ" hidden="1">#REF!</definedName>
    <definedName name="Ð" localSheetId="0"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localSheetId="0" hidden="1">{"'Sheet1'!$L$16"}</definedName>
    <definedName name="d¸" hidden="1">{"'Sheet1'!$L$16"}</definedName>
    <definedName name="D021161명지남양주" hidden="1">#REF!</definedName>
    <definedName name="D1D" localSheetId="0" hidden="1">{"'Sheet1'!$L$16"}</definedName>
    <definedName name="D1D" hidden="1">{"'Sheet1'!$L$16"}</definedName>
    <definedName name="D2a">#REF!</definedName>
    <definedName name="D3D" localSheetId="0" hidden="1">{"'Sheet1'!$L$16"}</definedName>
    <definedName name="D3D" hidden="1">{"'Sheet1'!$L$16"}</definedName>
    <definedName name="da" localSheetId="0" hidden="1">{"'Sheet1'!$L$16"}</definedName>
    <definedName name="da" hidden="1">{"'Sheet1'!$L$16"}</definedName>
    <definedName name="dá" localSheetId="0" hidden="1">{"'Sheet1'!$L$16"}</definedName>
    <definedName name="dá" hidden="1">{"'Sheet1'!$L$16"}</definedName>
    <definedName name="dà" localSheetId="0" hidden="1">{"'Sheet1'!$L$16"}</definedName>
    <definedName name="dà" hidden="1">{"'Sheet1'!$L$16"}</definedName>
    <definedName name="đấ" localSheetId="0" hidden="1">{"'Sheet1'!$L$16"}</definedName>
    <definedName name="đấ" hidden="1">{"'Sheet1'!$L$16"}</definedName>
    <definedName name="đầ" hidden="1">#REF!</definedName>
    <definedName name="daa" localSheetId="0" hidden="1">{#N/A,#N/A,FALSE,"特殊室（ＢＱ表）"}</definedName>
    <definedName name="daa" hidden="1">{#N/A,#N/A,FALSE,"特殊室（ＢＱ表）"}</definedName>
    <definedName name="Dad" localSheetId="0" hidden="1">{#N/A,#N/A,FALSE,"MARCH"}</definedName>
    <definedName name="Dad" hidden="1">{#N/A,#N/A,FALSE,"MARCH"}</definedName>
    <definedName name="dada" localSheetId="0" hidden="1">{#N/A,#N/A,FALSE,"特殊室（ＢＱ表）"}</definedName>
    <definedName name="dada" hidden="1">{#N/A,#N/A,FALSE,"特殊室（ＢＱ表）"}</definedName>
    <definedName name="dadasda" localSheetId="0" hidden="1">{#N/A,#N/A,FALSE,"特殊室（ＢＱ表）"}</definedName>
    <definedName name="dadasda" hidden="1">{#N/A,#N/A,FALSE,"特殊室（ＢＱ表）"}</definedName>
    <definedName name="DADASDSADSA" localSheetId="0" hidden="1">{"'Sheet1'!$L$16"}</definedName>
    <definedName name="DADASDSADSA" hidden="1">{"'Sheet1'!$L$16"}</definedName>
    <definedName name="DAdsaD" hidden="1">#REF!</definedName>
    <definedName name="daDSD" localSheetId="0" hidden="1">{"'Sheet1'!$L$16"}</definedName>
    <definedName name="daDSD" hidden="1">{"'Sheet1'!$L$16"}</definedName>
    <definedName name="dafas" localSheetId="0" hidden="1">{#N/A,#N/A,TRUE,"BT M200 da 10x20"}</definedName>
    <definedName name="dafas" hidden="1">{#N/A,#N/A,TRUE,"BT M200 da 10x20"}</definedName>
    <definedName name="dafasfs" hidden="1">#REF!</definedName>
    <definedName name="dam" localSheetId="0" hidden="1">{"'Sheet1'!$L$16"}</definedName>
    <definedName name="dam" hidden="1">{"'Sheet1'!$L$16"}</definedName>
    <definedName name="DAMMONG" localSheetId="0" hidden="1">{"'Sheet1'!$L$16"}</definedName>
    <definedName name="DAMMONG" hidden="1">{"'Sheet1'!$L$16"}</definedName>
    <definedName name="dang" localSheetId="0" hidden="1">{"'Sheet1'!$L$16"}</definedName>
    <definedName name="dang" hidden="1">{"'Sheet1'!$L$16"}</definedName>
    <definedName name="dao" localSheetId="0" hidden="1">{"'Sheet1'!$L$16"}</definedName>
    <definedName name="dao" hidden="1">{"'Sheet1'!$L$16"}</definedName>
    <definedName name="daomuong" localSheetId="0" hidden="1">{"'Sheet1'!$L$16"}</definedName>
    <definedName name="daomuong" hidden="1">{"'Sheet1'!$L$16"}</definedName>
    <definedName name="das" localSheetId="0" hidden="1">{"'Sheet1'!$L$16"}</definedName>
    <definedName name="das" hidden="1">{"'Sheet1'!$L$16"}</definedName>
    <definedName name="đasadas" hidden="1">#REF!</definedName>
    <definedName name="DASDSADADS" localSheetId="0" hidden="1">{"'Sheet1'!$L$16"}</definedName>
    <definedName name="DASDSADADS" hidden="1">{"'Sheet1'!$L$16"}</definedName>
    <definedName name="DASDSADAS" localSheetId="0" hidden="1">{"'Sheet1'!$L$16"}</definedName>
    <definedName name="DASDSADAS" hidden="1">{"'Sheet1'!$L$16"}</definedName>
    <definedName name="dasdsan" hidden="1">#REF!</definedName>
    <definedName name="dase" localSheetId="0" hidden="1">{#N/A,#N/A,FALSE,"CCTV"}</definedName>
    <definedName name="dase" hidden="1">{#N/A,#N/A,FALSE,"CCTV"}</definedName>
    <definedName name="dat" localSheetId="0" hidden="1">{#N/A,#N/A,FALSE,"Sheet1"}</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localSheetId="0" hidden="1">{"'Sheet1'!$L$16"}</definedName>
    <definedName name="datct" hidden="1">{"'Sheet1'!$L$16"}</definedName>
    <definedName name="davdacsa" localSheetId="0" hidden="1">{"'Sheet1'!$L$16"}</definedName>
    <definedName name="davdacsa" hidden="1">{"'Sheet1'!$L$16"}</definedName>
    <definedName name="Daywork1" localSheetId="0" hidden="1">{#N/A,#N/A,FALSE,"MARCH"}</definedName>
    <definedName name="Daywork1" hidden="1">{#N/A,#N/A,FALSE,"MARCH"}</definedName>
    <definedName name="DBSDVSDVS" localSheetId="0" hidden="1">{"'Sheet1'!$L$16"}</definedName>
    <definedName name="DBSDVSDVS" hidden="1">{"'Sheet1'!$L$16"}</definedName>
    <definedName name="dc" localSheetId="0" hidden="1">{"'Sheet1'!$L$16"}</definedName>
    <definedName name="dc" hidden="1">{"'Sheet1'!$L$16"}</definedName>
    <definedName name="dca" localSheetId="0" hidden="1">{#N/A,#N/A,FALSE,"Chi tiÆt"}</definedName>
    <definedName name="dca" hidden="1">{#N/A,#N/A,FALSE,"Chi tiÆt"}</definedName>
    <definedName name="dcdxsz" localSheetId="0" hidden="1">{"'Sheet1'!$L$16"}</definedName>
    <definedName name="dcdxsz" hidden="1">{"'Sheet1'!$L$16"}</definedName>
    <definedName name="DCKS" localSheetId="0" hidden="1">{"'Sheet1'!$L$16"}</definedName>
    <definedName name="DCKS" hidden="1">{"'Sheet1'!$L$16"}</definedName>
    <definedName name="dCuocVC_Bachang" hidden="1">#REF!</definedName>
    <definedName name="dcvxdsz" localSheetId="0" hidden="1">{"'Sheet1'!$L$16"}</definedName>
    <definedName name="dcvxdsz" hidden="1">{"'Sheet1'!$L$16"}</definedName>
    <definedName name="dd" localSheetId="0" hidden="1">{"'Sheet1'!$L$16"}</definedName>
    <definedName name="dd" hidden="1">{"'Sheet1'!$L$16"}</definedName>
    <definedName name="ddång" localSheetId="0" hidden="1">{"'Sheet1'!$L$16"}</definedName>
    <definedName name="ddång" hidden="1">{"'Sheet1'!$L$16"}</definedName>
    <definedName name="ddc" localSheetId="0" hidden="1">{"'Sheet1'!$L$16"}</definedName>
    <definedName name="ddc" hidden="1">{"'Sheet1'!$L$16"}</definedName>
    <definedName name="ddcH">#REF!</definedName>
    <definedName name="ddd" localSheetId="0" hidden="1">{"'Sheet1'!$L$16"}</definedName>
    <definedName name="ddd" hidden="1">{"'Sheet1'!$L$16"}</definedName>
    <definedName name="dddd" localSheetId="0" hidden="1">{"'Sheet1'!$L$16"}</definedName>
    <definedName name="dddd" hidden="1">{"'Sheet1'!$L$16"}</definedName>
    <definedName name="DDDĐ" localSheetId="0" hidden="1">{"'Sheet1'!$L$16"}</definedName>
    <definedName name="DDDĐ" hidden="1">{"'Sheet1'!$L$16"}</definedName>
    <definedName name="ddddd" hidden="1">#REF!</definedName>
    <definedName name="dddddd" localSheetId="0" hidden="1">{"Offgrid",#N/A,FALSE,"OFFGRID";"Region",#N/A,FALSE,"REGION";"Offgrid -2",#N/A,FALSE,"OFFGRID";"WTP",#N/A,FALSE,"WTP";"WTP -2",#N/A,FALSE,"WTP";"Project",#N/A,FALSE,"PROJECT";"Summary -2",#N/A,FALSE,"SUMMARY"}</definedName>
    <definedName name="dddddd" hidden="1">{"Offgrid",#N/A,FALSE,"OFFGRID";"Region",#N/A,FALSE,"REGION";"Offgrid -2",#N/A,FALSE,"OFFGRID";"WTP",#N/A,FALSE,"WTP";"WTP -2",#N/A,FALSE,"WTP";"Project",#N/A,FALSE,"PROJECT";"Summary -2",#N/A,FALSE,"SUMMARY"}</definedName>
    <definedName name="DDDDDDDD" localSheetId="0" hidden="1">{#N/A,#N/A,TRUE,"SUM";#N/A,#N/A,TRUE,"EE";#N/A,#N/A,TRUE,"AC";#N/A,#N/A,TRUE,"SN"}</definedName>
    <definedName name="DDDDDDDD" hidden="1">{#N/A,#N/A,TRUE,"SUM";#N/A,#N/A,TRUE,"EE";#N/A,#N/A,TRUE,"AC";#N/A,#N/A,TRUE,"SN"}</definedName>
    <definedName name="dddddddddd" hidden="1">#REF!</definedName>
    <definedName name="DDDDDDDDDDD" hidden="1">#REF!</definedName>
    <definedName name="dddddddddddd" hidden="1">#REF!</definedName>
    <definedName name="dddddddddddddddđ" localSheetId="0" hidden="1">{"'Sheet1'!$L$16"}</definedName>
    <definedName name="dddddddddddddddđ" hidden="1">{"'Sheet1'!$L$16"}</definedName>
    <definedName name="DDDDDDDDDDDDDDDDDDDDDDDDDDDDDDDDDDDD" hidden="1">#REF!</definedName>
    <definedName name="ddds" localSheetId="0" hidden="1">{"'Sheet1'!$L$16"}</definedName>
    <definedName name="ddds" hidden="1">{"'Sheet1'!$L$16"}</definedName>
    <definedName name="ddf" localSheetId="0" hidden="1">{"'Sheet1'!$L$16"}</definedName>
    <definedName name="ddf"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đe" localSheetId="0" hidden="1">{"'Sheet1'!$L$16"}</definedName>
    <definedName name="đe" hidden="1">{"'Sheet1'!$L$16"}</definedName>
    <definedName name="dÊd" hidden="1">#REF!</definedName>
    <definedName name="dede" localSheetId="0" hidden="1">{"'Sheet1'!$L$16"}</definedName>
    <definedName name="dede" hidden="1">{"'Sheet1'!$L$16"}</definedName>
    <definedName name="def" localSheetId="0" hidden="1">{#N/A,#N/A,TRUE,"BT M200 da 10x20"}</definedName>
    <definedName name="def" hidden="1">{#N/A,#N/A,TRUE,"BT M200 da 10x20"}</definedName>
    <definedName name="deí" localSheetId="0" hidden="1">{"'Sheet1'!$L$16"}</definedName>
    <definedName name="deí" hidden="1">{"'Sheet1'!$L$16"}</definedName>
    <definedName name="DenDK" localSheetId="0" hidden="1">{"'Sheet1'!$L$16"}</definedName>
    <definedName name="DenDK" hidden="1">{"'Sheet1'!$L$16"}</definedName>
    <definedName name="deqetq" localSheetId="0" hidden="1">{"'Sheet1'!$L$16"}</definedName>
    <definedName name="deqetq" hidden="1">{"'Sheet1'!$L$16"}</definedName>
    <definedName name="der" localSheetId="0">{"Book1","BoQ2.XLS"}</definedName>
    <definedName name="der">{"Book1","BoQ2.XLS"}</definedName>
    <definedName name="deviation" localSheetId="0" hidden="1">{#N/A,#N/A,FALSE,"CCTV"}</definedName>
    <definedName name="deviation" hidden="1">{#N/A,#N/A,FALSE,"CCTV"}</definedName>
    <definedName name="dewewer" hidden="1">#REF!</definedName>
    <definedName name="DEWSLDW" localSheetId="0" hidden="1">{#N/A,#N/A,TRUE,"SUM";#N/A,#N/A,TRUE,"EE";#N/A,#N/A,TRUE,"AC";#N/A,#N/A,TRUE,"SN"}</definedName>
    <definedName name="DEWSLDW" hidden="1">{#N/A,#N/A,TRUE,"SUM";#N/A,#N/A,TRUE,"EE";#N/A,#N/A,TRUE,"AC";#N/A,#N/A,TRUE,"SN"}</definedName>
    <definedName name="dex" localSheetId="0" hidden="1">{"'Sheet1'!$L$16"}</definedName>
    <definedName name="dex" hidden="1">{"'Sheet1'!$L$16"}</definedName>
    <definedName name="df" hidden="1">#REF!</definedName>
    <definedName name="dfa" hidden="1">#REF!</definedName>
    <definedName name="DFADF" localSheetId="0" hidden="1">{"'Sheet1'!$L$16"}</definedName>
    <definedName name="DFADF" hidden="1">{"'Sheet1'!$L$16"}</definedName>
    <definedName name="DFADFDA" localSheetId="0" hidden="1">{"'Sheet1'!$L$16"}</definedName>
    <definedName name="DFADFDA" hidden="1">{"'Sheet1'!$L$16"}</definedName>
    <definedName name="dfadsfsdf" localSheetId="0" hidden="1">{"'Sheet1'!$L$16"}</definedName>
    <definedName name="dfadsfsdf" hidden="1">{"'Sheet1'!$L$16"}</definedName>
    <definedName name="dfafa" localSheetId="0" hidden="1">{#N/A,#N/A,FALSE,"Chi tiÆt"}</definedName>
    <definedName name="dfafa" hidden="1">{#N/A,#N/A,FALSE,"Chi tiÆt"}</definedName>
    <definedName name="dfas" hidden="1">#REF!</definedName>
    <definedName name="dfasdfsdfsdf" localSheetId="0" hidden="1">{"'Sheet1'!$L$16"}</definedName>
    <definedName name="dfasdfsdfsdf" hidden="1">{"'Sheet1'!$L$16"}</definedName>
    <definedName name="dfasf" hidden="1">#REF!</definedName>
    <definedName name="dfd" localSheetId="0" hidden="1">{#N/A,#N/A,FALSE,"Sheet1";#N/A,#N/A,FALSE,"Sheet3";#N/A,#N/A,FALSE,"Sheet5"}</definedName>
    <definedName name="dfd"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ĐF" localSheetId="0" hidden="1">{"'Sheet1'!$L$16"}</definedName>
    <definedName name="DFĐF" hidden="1">{"'Sheet1'!$L$16"}</definedName>
    <definedName name="DFDF_1" localSheetId="0"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localSheetId="0" hidden="1">{"'Sheet1'!$L$16"}</definedName>
    <definedName name="DFDFBGFBFB" hidden="1">{"'Sheet1'!$L$16"}</definedName>
    <definedName name="dfdfd" localSheetId="0" hidden="1">{"'Sheet1'!$L$16"}</definedName>
    <definedName name="dfdfd" hidden="1">{"'Sheet1'!$L$16"}</definedName>
    <definedName name="dfdfdf" localSheetId="0" hidden="1">{"'Sheet1'!$L$16"}</definedName>
    <definedName name="dfdfdf" hidden="1">{"'Sheet1'!$L$16"}</definedName>
    <definedName name="DFDFDS" localSheetId="0" hidden="1">{#N/A,#N/A,TRUE,"SUM";#N/A,#N/A,TRUE,"EE";#N/A,#N/A,TRUE,"AC";#N/A,#N/A,TRUE,"SN"}</definedName>
    <definedName name="DFDFDS" hidden="1">{#N/A,#N/A,TRUE,"SUM";#N/A,#N/A,TRUE,"EE";#N/A,#N/A,TRUE,"AC";#N/A,#N/A,TRUE,"SN"}</definedName>
    <definedName name="DFDFGE" localSheetId="0" hidden="1">{#N/A,#N/A,FALSE,"Chi tiÆt"}</definedName>
    <definedName name="DFDFGE" hidden="1">{#N/A,#N/A,FALSE,"Chi tiÆt"}</definedName>
    <definedName name="dfdfsdf" localSheetId="0" hidden="1">{"'Sheet1'!$L$16"}</definedName>
    <definedName name="dfdfsdf" hidden="1">{"'Sheet1'!$L$16"}</definedName>
    <definedName name="DFDFSDFSD" localSheetId="0" hidden="1">{#N/A,#N/A,TRUE,"SUM";#N/A,#N/A,TRUE,"EE";#N/A,#N/A,TRUE,"AC";#N/A,#N/A,TRUE,"SN"}</definedName>
    <definedName name="DFDFSDFSD" hidden="1">{#N/A,#N/A,TRUE,"SUM";#N/A,#N/A,TRUE,"EE";#N/A,#N/A,TRUE,"AC";#N/A,#N/A,TRUE,"SN"}</definedName>
    <definedName name="DFDK" hidden="1">#REF!</definedName>
    <definedName name="DFDSAFASF" localSheetId="0" hidden="1">{"'Sheet1'!$L$16"}</definedName>
    <definedName name="DFDSAFASF" hidden="1">{"'Sheet1'!$L$16"}</definedName>
    <definedName name="DFDSFA" localSheetId="0" hidden="1">{"'Sheet1'!$L$16"}</definedName>
    <definedName name="DFDSFA" hidden="1">{"'Sheet1'!$L$16"}</definedName>
    <definedName name="DFF" localSheetId="0" hidden="1">{#N/A,#N/A,TRUE,"SUM";#N/A,#N/A,TRUE,"EE";#N/A,#N/A,TRUE,"AC";#N/A,#N/A,TRUE,"SN"}</definedName>
    <definedName name="DFF" hidden="1">{#N/A,#N/A,TRUE,"SUM";#N/A,#N/A,TRUE,"EE";#N/A,#N/A,TRUE,"AC";#N/A,#N/A,TRUE,"SN"}</definedName>
    <definedName name="đff" hidden="1">#REF!</definedName>
    <definedName name="dffddf" localSheetId="0" hidden="1">{"'Break down'!$A$4"}</definedName>
    <definedName name="dffddf" hidden="1">{"'Break down'!$A$4"}</definedName>
    <definedName name="DFFDF" localSheetId="0" hidden="1">{#N/A,#N/A,FALSE,"CCTV"}</definedName>
    <definedName name="DFFDF" hidden="1">{#N/A,#N/A,FALSE,"CCTV"}</definedName>
    <definedName name="dfg" localSheetId="0" hidden="1">{"Offgrid",#N/A,FALSE,"OFFGRID";"Region",#N/A,FALSE,"REGION";"Offgrid -2",#N/A,FALSE,"OFFGRID";"WTP",#N/A,FALSE,"WTP";"WTP -2",#N/A,FALSE,"WTP";"Project",#N/A,FALSE,"PROJECT";"Summary -2",#N/A,FALSE,"SUMMARY"}</definedName>
    <definedName name="dfg" hidden="1">{"Offgrid",#N/A,FALSE,"OFFGRID";"Region",#N/A,FALSE,"REGION";"Offgrid -2",#N/A,FALSE,"OFFGRID";"WTP",#N/A,FALSE,"WTP";"WTP -2",#N/A,FALSE,"WTP";"Project",#N/A,FALSE,"PROJECT";"Summary -2",#N/A,FALSE,"SUMMARY"}</definedName>
    <definedName name="dfgadfa" localSheetId="0" hidden="1">{#N/A,#N/A,TRUE,"BT M200 da 10x20"}</definedName>
    <definedName name="dfgadfa" hidden="1">{#N/A,#N/A,TRUE,"BT M200 da 10x20"}</definedName>
    <definedName name="DFGASDFA" localSheetId="0" hidden="1">{"'Sheet1'!$L$16"}</definedName>
    <definedName name="DFGASDFA" hidden="1">{"'Sheet1'!$L$16"}</definedName>
    <definedName name="DFGDFGD" hidden="1">#REF!</definedName>
    <definedName name="dfggg" localSheetId="0" hidden="1">{"'Sheet1'!$L$16"}</definedName>
    <definedName name="dfggg" hidden="1">{"'Sheet1'!$L$16"}</definedName>
    <definedName name="dfgh" localSheetId="0" hidden="1">{#N/A,#N/A,FALSE,"Chi tiÆt"}</definedName>
    <definedName name="dfgh" hidden="1">{#N/A,#N/A,FALSE,"Chi tiÆt"}</definedName>
    <definedName name="DFGHFSGFDS" localSheetId="0" hidden="1">{"'Sheet1'!$L$16"}</definedName>
    <definedName name="DFGHFSGFDS" hidden="1">{"'Sheet1'!$L$16"}</definedName>
    <definedName name="dfgsdgf" hidden="1">#REF!</definedName>
    <definedName name="dfgsdsdfe" localSheetId="0" hidden="1">{"'Sheet1'!$L$16"}</definedName>
    <definedName name="dfgsdsdfe" hidden="1">{"'Sheet1'!$L$16"}</definedName>
    <definedName name="dfgzxdf" localSheetId="0" hidden="1">{0,#N/A,FALSE,0;0,#N/A,FALSE,0;0,#N/A,FALSE,0;0,#N/A,FALSE,0;0,#N/A,FALSE,0;0,#N/A,FALSE,0;0,#N/A,FALSE,0}</definedName>
    <definedName name="dfgzxdf" hidden="1">{0,#N/A,FALSE,0;0,#N/A,FALSE,0;0,#N/A,FALSE,0;0,#N/A,FALSE,0;0,#N/A,FALSE,0;0,#N/A,FALSE,0;0,#N/A,FALSE,0}</definedName>
    <definedName name="dfh" localSheetId="0" hidden="1">{"'Sheet1'!$L$16"}</definedName>
    <definedName name="dfh" hidden="1">{"'Sheet1'!$L$16"}</definedName>
    <definedName name="dfhf" localSheetId="0" hidden="1">{"'Sheet1'!$L$16"}</definedName>
    <definedName name="dfhf" hidden="1">{"'Sheet1'!$L$16"}</definedName>
    <definedName name="dfhh" localSheetId="0" hidden="1">{#N/A,#N/A,FALSE,"Chi tiÆt"}</definedName>
    <definedName name="dfhh" hidden="1">{#N/A,#N/A,FALSE,"Chi tiÆt"}</definedName>
    <definedName name="dfhp" localSheetId="0" hidden="1">{"'Sheet1'!$L$16"}</definedName>
    <definedName name="dfhp" hidden="1">{"'Sheet1'!$L$16"}</definedName>
    <definedName name="dfjgw" localSheetId="0" hidden="1">{"Offgrid",#N/A,FALSE,"OFFGRID";"Region",#N/A,FALSE,"REGION";"Offgrid -2",#N/A,FALSE,"OFFGRID";"WTP",#N/A,FALSE,"WTP";"WTP -2",#N/A,FALSE,"WTP";"Project",#N/A,FALSE,"PROJECT";"Summary -2",#N/A,FALSE,"SUMMARY"}</definedName>
    <definedName name="dfjgw" hidden="1">{"Offgrid",#N/A,FALSE,"OFFGRID";"Region",#N/A,FALSE,"REGION";"Offgrid -2",#N/A,FALSE,"OFFGRID";"WTP",#N/A,FALSE,"WTP";"WTP -2",#N/A,FALSE,"WTP";"Project",#N/A,FALSE,"PROJECT";"Summary -2",#N/A,FALSE,"SUMMARY"}</definedName>
    <definedName name="DFKKFS" hidden="1">#REF!</definedName>
    <definedName name="dfs" localSheetId="0" hidden="1">{#N/A,#N/A,TRUE,"SUM";#N/A,#N/A,TRUE,"EE";#N/A,#N/A,TRUE,"AC";#N/A,#N/A,TRUE,"SN"}</definedName>
    <definedName name="dfs" hidden="1">{#N/A,#N/A,TRUE,"SUM";#N/A,#N/A,TRUE,"EE";#N/A,#N/A,TRUE,"AC";#N/A,#N/A,TRUE,"SN"}</definedName>
    <definedName name="DFSD" localSheetId="0" hidden="1">{#N/A,#N/A,FALSE,"Sheet6"}</definedName>
    <definedName name="DFSD" hidden="1">{#N/A,#N/A,FALSE,"Sheet6"}</definedName>
    <definedName name="DFSDF" localSheetId="0" hidden="1">{"'Sheet1'!$L$16"}</definedName>
    <definedName name="DFSDF" hidden="1">{"'Sheet1'!$L$16"}</definedName>
    <definedName name="DFSF" localSheetId="0" hidden="1">{#N/A,#N/A,FALSE,"特殊室（ＢＱ表）"}</definedName>
    <definedName name="DFSF" hidden="1">{#N/A,#N/A,FALSE,"特殊室（ＢＱ表）"}</definedName>
    <definedName name="dfsfs" hidden="1">#REF!</definedName>
    <definedName name="dfsfsd" localSheetId="0" hidden="1">{"'Sheet1'!$L$16"}</definedName>
    <definedName name="dfsfsd" hidden="1">{"'Sheet1'!$L$16"}</definedName>
    <definedName name="dfsgsag" localSheetId="0" hidden="1">{"'Sheet1'!$L$16"}</definedName>
    <definedName name="dfsgsag"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BH" hidden="1">{"'Sheet1'!$L$16"}</definedName>
    <definedName name="dgctp2" localSheetId="0" hidden="1">{"'Sheet1'!$L$16"}</definedName>
    <definedName name="dgctp2" hidden="1">{"'Sheet1'!$L$16"}</definedName>
    <definedName name="DGD" hidden="1">#REF!</definedName>
    <definedName name="DGDG" localSheetId="0" hidden="1">{"'Sheet1'!$L$16"}</definedName>
    <definedName name="DGDG" hidden="1">{"'Sheet1'!$L$16"}</definedName>
    <definedName name="dgdjdkgd" localSheetId="0" hidden="1">{#N/A,#N/A,FALSE,"CCTV"}</definedName>
    <definedName name="dgdjdkgd" hidden="1">{#N/A,#N/A,FALSE,"CCTV"}</definedName>
    <definedName name="DGF" localSheetId="0" hidden="1">{#N/A,#N/A,FALSE,"特殊室（ＢＱ表）"}</definedName>
    <definedName name="DGF" hidden="1">{#N/A,#N/A,FALSE,"特殊室（ＢＱ表）"}</definedName>
    <definedName name="DGFDG" localSheetId="0" hidden="1">{#N/A,#N/A,FALSE,"特殊室（ＢＱ表）"}</definedName>
    <definedName name="DGFDG" hidden="1">{#N/A,#N/A,FALSE,"特殊室（ＢＱ表）"}</definedName>
    <definedName name="dgfq" hidden="1">#REF!</definedName>
    <definedName name="dggfhd" localSheetId="0" hidden="1">{#N/A,#N/A,FALSE,"Chi tiÆt"}</definedName>
    <definedName name="dggfhd" hidden="1">{#N/A,#N/A,FALSE,"Chi tiÆt"}</definedName>
    <definedName name="dghg" localSheetId="0" hidden="1">{"'Sheet1'!$L$16"}</definedName>
    <definedName name="dghg" hidden="1">{"'Sheet1'!$L$16"}</definedName>
    <definedName name="dghjyuk" localSheetId="0" hidden="1">{"'Sheet1'!$L$16"}</definedName>
    <definedName name="dghjyuk" hidden="1">{"'Sheet1'!$L$16"}</definedName>
    <definedName name="DGKL" hidden="1">#REF!</definedName>
    <definedName name="DGSDG" localSheetId="0" hidden="1">{"'Sheet1'!$L$16"}</definedName>
    <definedName name="DGSDG" hidden="1">{"'Sheet1'!$L$16"}</definedName>
    <definedName name="DGSEGWE" localSheetId="0" hidden="1">{"'Sheet1'!$L$16"}</definedName>
    <definedName name="DGSEGWE" hidden="1">{"'Sheet1'!$L$16"}</definedName>
    <definedName name="dgsgsg" localSheetId="0" hidden="1">{"'Sheet1'!$L$16"}</definedName>
    <definedName name="dgsgsg" hidden="1">{"'Sheet1'!$L$16"}</definedName>
    <definedName name="DGWEHWR" localSheetId="0" hidden="1">{"'Sheet1'!$L$16"}</definedName>
    <definedName name="DGWEHWR" hidden="1">{"'Sheet1'!$L$16"}</definedName>
    <definedName name="DHDFGSF" localSheetId="0" hidden="1">{"'Sheet1'!$L$16"}</definedName>
    <definedName name="DHDFGSF" hidden="1">{"'Sheet1'!$L$16"}</definedName>
    <definedName name="dhdhd" localSheetId="0" hidden="1">{"'Sheet1'!$L$16"}</definedName>
    <definedName name="dhdhd" hidden="1">{"'Sheet1'!$L$16"}</definedName>
    <definedName name="đhf" localSheetId="0" hidden="1">{"'Sheet1'!$L$16"}</definedName>
    <definedName name="đhf" hidden="1">{"'Sheet1'!$L$16"}</definedName>
    <definedName name="dhfsg" hidden="1">#REF!</definedName>
    <definedName name="dhh" localSheetId="0" hidden="1">{"'Sheet1'!$L$16"}</definedName>
    <definedName name="dhh" hidden="1">{"'Sheet1'!$L$16"}</definedName>
    <definedName name="dhj" localSheetId="0" hidden="1">{"'용역비'!$A$4:$C$8"}</definedName>
    <definedName name="dhj" hidden="1">{"'용역비'!$A$4:$C$8"}</definedName>
    <definedName name="DHSRHGR" localSheetId="0" hidden="1">{"'Sheet1'!$L$16"}</definedName>
    <definedName name="DHSRHGR" hidden="1">{"'Sheet1'!$L$16"}</definedName>
    <definedName name="dien" localSheetId="0" hidden="1">{"'Sheet1'!$L$16"}</definedName>
    <definedName name="dien" hidden="1">{"'Sheet1'!$L$16"}</definedName>
    <definedName name="Discount" hidden="1">#REF!</definedName>
    <definedName name="display_area_2" hidden="1">#REF!</definedName>
    <definedName name="dj" localSheetId="0" hidden="1">{"'Sheet1'!$L$16"}</definedName>
    <definedName name="dj" hidden="1">{"'Sheet1'!$L$16"}</definedName>
    <definedName name="DKD" localSheetId="0" hidden="1">{#N/A,#N/A,FALSE,"주간공정";#N/A,#N/A,FALSE,"주간보고";#N/A,#N/A,FALSE,"주간공정표"}</definedName>
    <definedName name="DKD" hidden="1">{#N/A,#N/A,FALSE,"주간공정";#N/A,#N/A,FALSE,"주간보고";#N/A,#N/A,FALSE,"주간공정표"}</definedName>
    <definedName name="dkdkdkdkd" localSheetId="0" hidden="1">{#N/A,#N/A,FALSE,"명세표"}</definedName>
    <definedName name="dkdkdkdkd"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 hidden="1">{#N/A,#N/A,FALSE,"주간공정";#N/A,#N/A,FALSE,"주간보고";#N/A,#N/A,FALSE,"주간공정표"}</definedName>
    <definedName name="dldyddn" localSheetId="0" hidden="1">{"'별표'!$N$220"}</definedName>
    <definedName name="dldyddn" hidden="1">{"'별표'!$N$220"}</definedName>
    <definedName name="dlff" localSheetId="0" hidden="1">{#N/A,#N/A,FALSE,"운반시간"}</definedName>
    <definedName name="dlff" hidden="1">{#N/A,#N/A,FALSE,"운반시간"}</definedName>
    <definedName name="dmoc">#REF!</definedName>
    <definedName name="dmxl2" localSheetId="0" hidden="1">{"'Sheet1'!$L$16"}</definedName>
    <definedName name="dmxl2" hidden="1">{"'Sheet1'!$L$16"}</definedName>
    <definedName name="dn" localSheetId="0" hidden="1">{#N/A,#N/A,FALSE,"혼합골재"}</definedName>
    <definedName name="dn" hidden="1">{#N/A,#N/A,FALSE,"혼합골재"}</definedName>
    <definedName name="DN1_CT5" localSheetId="0" hidden="1">{"'Sheet1'!$L$16"}</definedName>
    <definedName name="DN1_CT5" hidden="1">{"'Sheet1'!$L$16"}</definedName>
    <definedName name="DNTT" localSheetId="0" hidden="1">{"NGUYEN QUI THIEP - Personal View",#N/A,FALSE,"XDCB.HT.FUR."}</definedName>
    <definedName name="DNTT" hidden="1">{"NGUYEN QUI THIEP - Personal View",#N/A,FALSE,"XDCB.HT.FUR."}</definedName>
    <definedName name="dntt10" localSheetId="0" hidden="1">{"'Sheet1'!$L$16"}</definedName>
    <definedName name="dntt10" hidden="1">{"'Sheet1'!$L$16"}</definedName>
    <definedName name="dntt9" localSheetId="0" hidden="1">{"'Sheet1'!$L$16"}</definedName>
    <definedName name="dntt9" hidden="1">{"'Sheet1'!$L$16"}</definedName>
    <definedName name="doc" localSheetId="0" hidden="1">{"'Sheet1'!$L$16"}</definedName>
    <definedName name="doc" hidden="1">{"'Sheet1'!$L$16"}</definedName>
    <definedName name="Document_array" localSheetId="0">{"Book1","BoQ2.XLS"}</definedName>
    <definedName name="Document_array">{"Book1","BoQ2.XLS"}</definedName>
    <definedName name="dohong" localSheetId="0" hidden="1">{"'Sheet1'!$L$16"}</definedName>
    <definedName name="dohong" hidden="1">{"'Sheet1'!$L$16"}</definedName>
    <definedName name="DOLA">#REF!</definedName>
    <definedName name="Domain" hidden="1">#REF!</definedName>
    <definedName name="DoorArea">#REF!</definedName>
    <definedName name="DOR">1.15</definedName>
    <definedName name="dq" localSheetId="0" hidden="1">{"'Sheet1'!$L$16"}</definedName>
    <definedName name="dq" hidden="1">{"'Sheet1'!$L$16"}</definedName>
    <definedName name="dqdq" localSheetId="0" hidden="1">{"'Sheet1'!$L$16"}</definedName>
    <definedName name="dqdq" hidden="1">{"'Sheet1'!$L$16"}</definedName>
    <definedName name="dQlda_GdpVal" localSheetId="0" hidden="1">10%*([0]!dQlda_GxlGtbVal+dQlda_GcpkVal)/10^9</definedName>
    <definedName name="dQlda_GdpVal" hidden="1">10%*(dQlda_GxlGtbVal+dQlda_GcpkVal)/10^9</definedName>
    <definedName name="dQlda_GtongVal" localSheetId="0" hidden="1">[0]!dQlda_GxlGtbVal+dQlda_GcpkVal+10%*([0]!dQlda_GxlGtbVal+dQlda_GcpkVal)</definedName>
    <definedName name="dQlda_GtongVal" hidden="1">dQlda_GxlGtbVal+dQlda_GcpkVal+10%*(dQlda_GxlGtbVal+dQlda_GcpkVal)</definedName>
    <definedName name="dQlda_GxlGtbVal" localSheetId="0" hidden="1">dQlda_GxlVal+dQlda_GtbVal</definedName>
    <definedName name="dQlda_GxlGtbVal" hidden="1">dQlda_GxlVal+dQlda_GtbVal</definedName>
    <definedName name="dqw" localSheetId="0" hidden="1">{"'Sheet1'!$L$16"}</definedName>
    <definedName name="dqw" hidden="1">{"'Sheet1'!$L$16"}</definedName>
    <definedName name="DR" hidden="1">#REF!</definedName>
    <definedName name="dre" hidden="1">#REF!</definedName>
    <definedName name="ds" localSheetId="0" hidden="1">{"'Sheet1'!$L$16"}</definedName>
    <definedName name="ds" hidden="1">{"'Sheet1'!$L$16"}</definedName>
    <definedName name="dsa" localSheetId="0" hidden="1">{"'Sheet1'!$L$16"}</definedName>
    <definedName name="dsa" hidden="1">{"'Sheet1'!$L$16"}</definedName>
    <definedName name="dsaaee" localSheetId="0" hidden="1">{"'Sheet1'!$L$16"}</definedName>
    <definedName name="dsaaee" hidden="1">{"'Sheet1'!$L$16"}</definedName>
    <definedName name="dsada" localSheetId="0" hidden="1">{"'Sheet1'!$L$16"}</definedName>
    <definedName name="dsada" hidden="1">{"'Sheet1'!$L$16"}</definedName>
    <definedName name="dsadasdasdas" localSheetId="0" hidden="1">{"'Sheet1'!$L$16"}</definedName>
    <definedName name="dsadasdasdas" hidden="1">{"'Sheet1'!$L$16"}</definedName>
    <definedName name="DSADEDWE" localSheetId="0" hidden="1">{"'Sheet1'!$L$16"}</definedName>
    <definedName name="DSADEDWE" hidden="1">{"'Sheet1'!$L$16"}</definedName>
    <definedName name="dsadsa" localSheetId="0" hidden="1">{"'Sheet1'!$L$16"}</definedName>
    <definedName name="dsadsa" hidden="1">{"'Sheet1'!$L$16"}</definedName>
    <definedName name="dsaf" localSheetId="0" hidden="1">{"'Sheet1'!$L$16"}</definedName>
    <definedName name="dsaf" hidden="1">{"'Sheet1'!$L$16"}</definedName>
    <definedName name="dsafddsdf" localSheetId="0" hidden="1">{"'Sheet1'!$L$16"}</definedName>
    <definedName name="dsafddsdf" hidden="1">{"'Sheet1'!$L$16"}</definedName>
    <definedName name="dsasdasdasd" hidden="1">#REF!</definedName>
    <definedName name="DSD" localSheetId="0" hidden="1">{"'Sheet1'!$L$16"}</definedName>
    <definedName name="DSD" hidden="1">{"'Sheet1'!$L$16"}</definedName>
    <definedName name="DSDL" localSheetId="0" hidden="1">{"'Sheet1'!$L$16"}</definedName>
    <definedName name="DSDL" hidden="1">{"'Sheet1'!$L$16"}</definedName>
    <definedName name="dsds" localSheetId="0" hidden="1">{"'Sheet1'!$L$16"}</definedName>
    <definedName name="dsds" hidden="1">{"'Sheet1'!$L$16"}</definedName>
    <definedName name="dsdsd" localSheetId="0" hidden="1">{#N/A,#N/A,FALSE,"운반시간"}</definedName>
    <definedName name="dsdsd" hidden="1">{#N/A,#N/A,FALSE,"운반시간"}</definedName>
    <definedName name="DSDSDS" localSheetId="0" hidden="1">{"'Sheet1'!$L$16"}</definedName>
    <definedName name="DSDSDS" hidden="1">{"'Sheet1'!$L$16"}</definedName>
    <definedName name="dsfas" localSheetId="0" hidden="1">{"'Sheet1'!$L$16"}</definedName>
    <definedName name="dsfas" hidden="1">{"'Sheet1'!$L$16"}</definedName>
    <definedName name="dsfaws" localSheetId="0" hidden="1">{"'Sheet1'!$L$16"}</definedName>
    <definedName name="dsfaws" hidden="1">{"'Sheet1'!$L$16"}</definedName>
    <definedName name="dsfd" hidden="1">#REF!</definedName>
    <definedName name="DSFDS" localSheetId="0" hidden="1">{"'Sheet1'!$L$16"}</definedName>
    <definedName name="DSFDS" hidden="1">{"'Sheet1'!$L$16"}</definedName>
    <definedName name="DSFDSDFSD" localSheetId="0" hidden="1">{"'Sheet1'!$L$16"}</definedName>
    <definedName name="DSFDSDFSD" hidden="1">{"'Sheet1'!$L$16"}</definedName>
    <definedName name="dsfg" hidden="1">#REF!</definedName>
    <definedName name="dsfs" localSheetId="0" hidden="1">{"'Sheet1'!$L$16"}</definedName>
    <definedName name="dsfs" hidden="1">{"'Sheet1'!$L$16"}</definedName>
    <definedName name="dsfsad" localSheetId="0" hidden="1">{"'Sheet1'!$L$16"}</definedName>
    <definedName name="dsfsad" hidden="1">{"'Sheet1'!$L$16"}</definedName>
    <definedName name="dsfsdf" hidden="1">#REF!</definedName>
    <definedName name="dsfsf" hidden="1">#REF!</definedName>
    <definedName name="dsg" localSheetId="0" hidden="1">{#N/A,#N/A,FALSE,"Chi tiÆt"}</definedName>
    <definedName name="dsg" hidden="1">{#N/A,#N/A,FALSE,"Chi tiÆt"}</definedName>
    <definedName name="DSGDSG" localSheetId="0" hidden="1">{"'Sheet1'!$L$16"}</definedName>
    <definedName name="DSGDSG" hidden="1">{"'Sheet1'!$L$16"}</definedName>
    <definedName name="dsgfhtyjjt" hidden="1">#REF!</definedName>
    <definedName name="dsgsdg" localSheetId="0" hidden="1">{"'Sheet1'!$L$16"}</definedName>
    <definedName name="dsgsdg" hidden="1">{"'Sheet1'!$L$16"}</definedName>
    <definedName name="DSH" localSheetId="0" hidden="1">{#N/A,#N/A,FALSE,"Chi tiÆt"}</definedName>
    <definedName name="DSH" hidden="1">{#N/A,#N/A,FALSE,"Chi tiÆt"}</definedName>
    <definedName name="dsjk" localSheetId="0" hidden="1">{"'Sheet1'!$L$16"}</definedName>
    <definedName name="dsjk" hidden="1">{"'Sheet1'!$L$16"}</definedName>
    <definedName name="DSJKLDE" localSheetId="0" hidden="1">{#N/A,#N/A,TRUE,"SUM";#N/A,#N/A,TRUE,"EE";#N/A,#N/A,TRUE,"AC";#N/A,#N/A,TRUE,"SN"}</definedName>
    <definedName name="DSJKLDE" hidden="1">{#N/A,#N/A,TRUE,"SUM";#N/A,#N/A,TRUE,"EE";#N/A,#N/A,TRUE,"AC";#N/A,#N/A,TRUE,"SN"}</definedName>
    <definedName name="dssad" localSheetId="0" hidden="1">{"'Sheet1'!$L$16"}</definedName>
    <definedName name="dssad" hidden="1">{"'Sheet1'!$L$16"}</definedName>
    <definedName name="DSTD_Clear" localSheetId="0">#N/A</definedName>
    <definedName name="DSTD_Clear">#N/A</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localSheetId="0" hidden="1">{"'Sheet1'!$L$16"}</definedName>
    <definedName name="dtctnd" hidden="1">{"'Sheet1'!$L$16"}</definedName>
    <definedName name="dthft" localSheetId="0" hidden="1">{"'Sheet1'!$L$16"}</definedName>
    <definedName name="dthft" hidden="1">{"'Sheet1'!$L$16"}</definedName>
    <definedName name="dTHKP_Rng" hidden="1">#REF!</definedName>
    <definedName name="DTMG_vumua" localSheetId="0" hidden="1">{#N/A,#N/A,FALSE,"Chi tiÆt"}</definedName>
    <definedName name="DTMG_vumua" hidden="1">{#N/A,#N/A,FALSE,"Chi tiÆt"}</definedName>
    <definedName name="DTTK" localSheetId="0" hidden="1">{"'Sheet1'!$L$16"}</definedName>
    <definedName name="DTTK" hidden="1">{"'Sheet1'!$L$16"}</definedName>
    <definedName name="du" localSheetId="0" hidden="1">{"'Sheet1'!$L$16"}</definedName>
    <definedName name="du" hidden="1">{"'Sheet1'!$L$16"}</definedName>
    <definedName name="duc" localSheetId="0" hidden="1">{"'Sheet1'!$L$16"}</definedName>
    <definedName name="duc" hidden="1">{"'Sheet1'!$L$16"}</definedName>
    <definedName name="DucO" localSheetId="0" hidden="1">{"'Sheet1'!$L$16"}</definedName>
    <definedName name="DucO" hidden="1">{"'Sheet1'!$L$16"}</definedName>
    <definedName name="DUCT" localSheetId="0" hidden="1">{#N/A,#N/A,FALSE,"Sheet1"}</definedName>
    <definedName name="DUCT" hidden="1">{#N/A,#N/A,FALSE,"Sheet1"}</definedName>
    <definedName name="dudwhd" localSheetId="0" hidden="1">{#N/A,#N/A,FALSE,"CCTV"}</definedName>
    <definedName name="dudwhd" hidden="1">{#N/A,#N/A,FALSE,"CCTV"}</definedName>
    <definedName name="dumbwaiter" localSheetId="0" hidden="1">{#N/A,#N/A,FALSE,"Sheet1";#N/A,#N/A,FALSE,"Sheet3";#N/A,#N/A,FALSE,"Sheet5"}</definedName>
    <definedName name="dumbwaiter" hidden="1">{#N/A,#N/A,FALSE,"Sheet1";#N/A,#N/A,FALSE,"Sheet3";#N/A,#N/A,FALSE,"Sheet5"}</definedName>
    <definedName name="DUNG" localSheetId="0" hidden="1">{"'Sheet1'!$L$16"}</definedName>
    <definedName name="DUNG" hidden="1">{"'Sheet1'!$L$16"}</definedName>
    <definedName name="DUOIMAI">#N/A</definedName>
    <definedName name="Duong1" localSheetId="0" hidden="1">{"'Sheet1'!$L$16"}</definedName>
    <definedName name="Duong1" hidden="1">{"'Sheet1'!$L$16"}</definedName>
    <definedName name="Duongnaco" localSheetId="0" hidden="1">{"'Sheet1'!$L$16"}</definedName>
    <definedName name="Duongnaco" hidden="1">{"'Sheet1'!$L$16"}</definedName>
    <definedName name="DUT" hidden="1">#REF!</definedName>
    <definedName name="dutoanbenuoc" localSheetId="0" hidden="1">{"'Sheet1'!$L$16"}</definedName>
    <definedName name="dutoanbenuoc" hidden="1">{"'Sheet1'!$L$16"}</definedName>
    <definedName name="dutoanc2" localSheetId="0" hidden="1">{"'Sheet1'!$L$16"}</definedName>
    <definedName name="dutoanc2" hidden="1">{"'Sheet1'!$L$16"}</definedName>
    <definedName name="Dutoandien" localSheetId="0" hidden="1">{"'Sheet1'!$L$16"}</definedName>
    <definedName name="Dutoandien" hidden="1">{"'Sheet1'!$L$16"}</definedName>
    <definedName name="dutruchiphi" localSheetId="0" hidden="1">{"NGUYEN QUI THIEP - Personal View",#N/A,FALSE,"XDCB.HT.FUR."}</definedName>
    <definedName name="dutruchiphi" hidden="1">{"NGUYEN QUI THIEP - Personal View",#N/A,FALSE,"XDCB.HT.FUR."}</definedName>
    <definedName name="duy" hidden="1">#REF!</definedName>
    <definedName name="duyuyen" hidden="1">#REF!</definedName>
    <definedName name="DVGEWVBEW" localSheetId="0" hidden="1">{"'Sheet1'!$L$16"}</definedName>
    <definedName name="DVGEWVBEW" hidden="1">{"'Sheet1'!$L$16"}</definedName>
    <definedName name="DWPRICE" hidden="1">#REF!</definedName>
    <definedName name="dwqwq" hidden="1">#REF!</definedName>
    <definedName name="DZ" localSheetId="0" hidden="1">{"'Sheet1'!$L$16"}</definedName>
    <definedName name="DZ" hidden="1">{"'Sheet1'!$L$16"}</definedName>
    <definedName name="e" localSheetId="0" hidden="1">{#N/A,#N/A,FALSE,"Chi tiÆt"}</definedName>
    <definedName name="e" hidden="1">{#N/A,#N/A,FALSE,"Chi tiÆt"}</definedName>
    <definedName name="ê" hidden="1">#REF!</definedName>
    <definedName name="Ẻ" localSheetId="0" hidden="1">{"'Sheet1'!$L$16"}</definedName>
    <definedName name="Ẻ" hidden="1">{"'Sheet1'!$L$16"}</definedName>
    <definedName name="e4y" localSheetId="0" hidden="1">{#N/A,#N/A,FALSE,"Chi tiÆt"}</definedName>
    <definedName name="e4y" hidden="1">{#N/A,#N/A,FALSE,"Chi tiÆt"}</definedName>
    <definedName name="èafe" localSheetId="0" hidden="1">{"'Sheet1'!$L$16"}</definedName>
    <definedName name="èafe" hidden="1">{"'Sheet1'!$L$16"}</definedName>
    <definedName name="Êc" localSheetId="0" hidden="1">{"'Sheet1'!$L$16"}</definedName>
    <definedName name="Êc" hidden="1">{"'Sheet1'!$L$16"}</definedName>
    <definedName name="ED" localSheetId="0" hidden="1">{#N/A,#N/A,FALSE,"CCTV"}</definedName>
    <definedName name="ED" hidden="1">{#N/A,#N/A,FALSE,"CCTV"}</definedName>
    <definedName name="edd" localSheetId="0" hidden="1">{"'Sheet1'!$L$16"}</definedName>
    <definedName name="edd" hidden="1">{"'Sheet1'!$L$16"}</definedName>
    <definedName name="edssqq" localSheetId="0" hidden="1">{#N/A,#N/A,FALSE,"혼합골재"}</definedName>
    <definedName name="edssqq" hidden="1">{#N/A,#N/A,FALSE,"혼합골재"}</definedName>
    <definedName name="edwfrhjy" hidden="1">#REF!</definedName>
    <definedName name="edwtgfdsgf" localSheetId="0" hidden="1">{"'Sheet1'!$L$16"}</definedName>
    <definedName name="edwtgfdsgf" hidden="1">{"'Sheet1'!$L$16"}</definedName>
    <definedName name="ee" localSheetId="0" hidden="1">{#N/A,#N/A,FALSE,"단가표지"}</definedName>
    <definedName name="ee" hidden="1">{#N/A,#N/A,FALSE,"단가표지"}</definedName>
    <definedName name="EEE" localSheetId="0" hidden="1">{#N/A,#N/A,FALSE,"Sheet6"}</definedName>
    <definedName name="EEE" hidden="1">{#N/A,#N/A,FALSE,"Sheet6"}</definedName>
    <definedName name="eee.송운" localSheetId="0" hidden="1">{#N/A,#N/A,FALSE,"운반시간"}</definedName>
    <definedName name="eee.송운" hidden="1">{#N/A,#N/A,FALSE,"운반시간"}</definedName>
    <definedName name="eeee" localSheetId="0" hidden="1">{#N/A,#N/A,FALSE,"사업총괄";#N/A,#N/A,FALSE,"장비사업";#N/A,#N/A,FALSE,"철구사업";#N/A,#N/A,FALSE,"준설사업"}</definedName>
    <definedName name="eeee" hidden="1">{#N/A,#N/A,FALSE,"사업총괄";#N/A,#N/A,FALSE,"장비사업";#N/A,#N/A,FALSE,"철구사업";#N/A,#N/A,FALSE,"준설사업"}</definedName>
    <definedName name="eeeee" localSheetId="0" hidden="1">{#N/A,#N/A,TRUE,"SUM";#N/A,#N/A,TRUE,"EE";#N/A,#N/A,TRUE,"AC";#N/A,#N/A,TRUE,"SN"}</definedName>
    <definedName name="eeeee" hidden="1">{#N/A,#N/A,TRUE,"SUM";#N/A,#N/A,TRUE,"EE";#N/A,#N/A,TRUE,"AC";#N/A,#N/A,TRUE,"SN"}</definedName>
    <definedName name="EEEEEEE" hidden="1">#REF!</definedName>
    <definedName name="EEEEEEEEE" hidden="1">#REF!</definedName>
    <definedName name="eeeeeeeeeee" hidden="1">#REF!</definedName>
    <definedName name="EEEEEEEEEEEEEEEEEE" localSheetId="0" hidden="1">{#N/A,#N/A,FALSE,"CCTV"}</definedName>
    <definedName name="EEEEEEEEEEEEEEEEEE" hidden="1">{#N/A,#N/A,FALSE,"CCTV"}</definedName>
    <definedName name="eef" localSheetId="0" hidden="1">{"'Sheet1'!$L$16"}</definedName>
    <definedName name="eef" hidden="1">{"'Sheet1'!$L$16"}</definedName>
    <definedName name="EEFEWA" hidden="1">#REF!</definedName>
    <definedName name="eerefdg" localSheetId="0" hidden="1">{#N/A,#N/A,FALSE,"CCTV"}</definedName>
    <definedName name="eerefdg" hidden="1">{#N/A,#N/A,FALSE,"CCTV"}</definedName>
    <definedName name="EFWTR" hidden="1">#REF!</definedName>
    <definedName name="ẻger" localSheetId="0" hidden="1">{#N/A,#N/A,TRUE,"BT M200 da 10x20"}</definedName>
    <definedName name="ẻger" hidden="1">{#N/A,#N/A,TRUE,"BT M200 da 10x20"}</definedName>
    <definedName name="ẻgwe" localSheetId="0" hidden="1">{"'Sheet1'!$L$16"}</definedName>
    <definedName name="ẻgwe" hidden="1">{"'Sheet1'!$L$16"}</definedName>
    <definedName name="ẻgwrq" hidden="1">#REF!</definedName>
    <definedName name="eïhd" localSheetId="0" hidden="1">{"'Sheet1'!$L$16"}</definedName>
    <definedName name="eïhd" hidden="1">{"'Sheet1'!$L$16"}</definedName>
    <definedName name="ej" localSheetId="0" hidden="1">{"'용역비'!$A$4:$C$8"}</definedName>
    <definedName name="ej" hidden="1">{"'용역비'!$A$4:$C$8"}</definedName>
    <definedName name="EK" hidden="1">#REF!</definedName>
    <definedName name="EL" localSheetId="0" hidden="1">{"'Sheet1'!$L$16"}</definedName>
    <definedName name="EL" hidden="1">{"'Sheet1'!$L$16"}</definedName>
    <definedName name="Ele" localSheetId="0" hidden="1">{"'Break down'!$A$4"}</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localSheetId="0" hidden="1">{#N/A,#N/A,FALSE,"주간공정";#N/A,#N/A,FALSE,"주간보고";#N/A,#N/A,FALSE,"주간공정표"}</definedName>
    <definedName name="ELELLELEELE" hidden="1">{#N/A,#N/A,FALSE,"주간공정";#N/A,#N/A,FALSE,"주간보고";#N/A,#N/A,FALSE,"주간공정표"}</definedName>
    <definedName name="elle18" localSheetId="0" hidden="1">{#N/A,#N/A,FALSE,"CCTV"}</definedName>
    <definedName name="elle18" hidden="1">{#N/A,#N/A,FALSE,"CCTV"}</definedName>
    <definedName name="ELLEN1" localSheetId="0" hidden="1">{#N/A,#N/A,FALSE,"CCTV"}</definedName>
    <definedName name="ELLEN1" hidden="1">{#N/A,#N/A,FALSE,"CCTV"}</definedName>
    <definedName name="ELLEN10" localSheetId="0" hidden="1">{#N/A,#N/A,FALSE,"CCTV"}</definedName>
    <definedName name="ELLEN10" hidden="1">{#N/A,#N/A,FALSE,"CCTV"}</definedName>
    <definedName name="ELLEN11" localSheetId="0" hidden="1">{#N/A,#N/A,FALSE,"CCTV"}</definedName>
    <definedName name="ELLEN11" hidden="1">{#N/A,#N/A,FALSE,"CCTV"}</definedName>
    <definedName name="ELLEN12" localSheetId="0" hidden="1">{#N/A,#N/A,FALSE,"CCTV"}</definedName>
    <definedName name="ELLEN12" hidden="1">{#N/A,#N/A,FALSE,"CCTV"}</definedName>
    <definedName name="ELLEN13" localSheetId="0" hidden="1">{#N/A,#N/A,FALSE,"CCTV"}</definedName>
    <definedName name="ELLEN13" hidden="1">{#N/A,#N/A,FALSE,"CCTV"}</definedName>
    <definedName name="ELLEN14" localSheetId="0" hidden="1">{#N/A,#N/A,FALSE,"CCTV"}</definedName>
    <definedName name="ELLEN14" hidden="1">{#N/A,#N/A,FALSE,"CCTV"}</definedName>
    <definedName name="ELLEN15" localSheetId="0" hidden="1">{#N/A,#N/A,FALSE,"CCTV"}</definedName>
    <definedName name="ELLEN15" hidden="1">{#N/A,#N/A,FALSE,"CCTV"}</definedName>
    <definedName name="ELLEN16" localSheetId="0" hidden="1">{#N/A,#N/A,FALSE,"CCTV"}</definedName>
    <definedName name="ELLEN16" hidden="1">{#N/A,#N/A,FALSE,"CCTV"}</definedName>
    <definedName name="ELLEN17" localSheetId="0" hidden="1">{#N/A,#N/A,FALSE,"CCTV"}</definedName>
    <definedName name="ELLEN17" hidden="1">{#N/A,#N/A,FALSE,"CCTV"}</definedName>
    <definedName name="ELLEN18" localSheetId="0" hidden="1">{#N/A,#N/A,FALSE,"CCTV"}</definedName>
    <definedName name="ELLEN18" hidden="1">{#N/A,#N/A,FALSE,"CCTV"}</definedName>
    <definedName name="ELLEN19" localSheetId="0" hidden="1">{#N/A,#N/A,FALSE,"CCTV"}</definedName>
    <definedName name="ELLEN19" hidden="1">{#N/A,#N/A,FALSE,"CCTV"}</definedName>
    <definedName name="ELLEN2" localSheetId="0" hidden="1">{#N/A,#N/A,FALSE,"CCTV"}</definedName>
    <definedName name="ELLEN2" hidden="1">{#N/A,#N/A,FALSE,"CCTV"}</definedName>
    <definedName name="ELLEN3" localSheetId="0" hidden="1">{#N/A,#N/A,FALSE,"CCTV"}</definedName>
    <definedName name="ELLEN3" hidden="1">{#N/A,#N/A,FALSE,"CCTV"}</definedName>
    <definedName name="ELLEN4" localSheetId="0" hidden="1">{#N/A,#N/A,FALSE,"CCTV"}</definedName>
    <definedName name="ELLEN4" hidden="1">{#N/A,#N/A,FALSE,"CCTV"}</definedName>
    <definedName name="ELLEN5" localSheetId="0" hidden="1">{#N/A,#N/A,FALSE,"CCTV"}</definedName>
    <definedName name="ELLEN5" hidden="1">{#N/A,#N/A,FALSE,"CCTV"}</definedName>
    <definedName name="ELLEN6" localSheetId="0" hidden="1">{#N/A,#N/A,FALSE,"CCTV"}</definedName>
    <definedName name="ELLEN6" hidden="1">{#N/A,#N/A,FALSE,"CCTV"}</definedName>
    <definedName name="ELLEN7" localSheetId="0" hidden="1">{#N/A,#N/A,FALSE,"CCTV"}</definedName>
    <definedName name="ELLEN7" hidden="1">{#N/A,#N/A,FALSE,"CCTV"}</definedName>
    <definedName name="ELLEN8" localSheetId="0" hidden="1">{#N/A,#N/A,FALSE,"CCTV"}</definedName>
    <definedName name="ELLEN8" hidden="1">{#N/A,#N/A,FALSE,"CCTV"}</definedName>
    <definedName name="ELLEN9" localSheetId="0" hidden="1">{#N/A,#N/A,FALSE,"CCTV"}</definedName>
    <definedName name="ELLEN9" hidden="1">{#N/A,#N/A,FALSE,"CCTV"}</definedName>
    <definedName name="elv" localSheetId="0" hidden="1">{"'Sheet1'!$L$16"}</definedName>
    <definedName name="elv" hidden="1">{"'Sheet1'!$L$16"}</definedName>
    <definedName name="en" localSheetId="0" hidden="1">{#N/A,#N/A,FALSE,"변경관리예산";#N/A,#N/A,FALSE,"변경장비예산";#N/A,#N/A,FALSE,"변경준설예산";#N/A,#N/A,FALSE,"변경철구예산"}</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localSheetId="0" hidden="1">{#N/A,#N/A,FALSE,"Chi tiÆt"}</definedName>
    <definedName name="enfgfgfdffddddddddddddddddd"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localSheetId="0" hidden="1">{0,0,0,0;0,0,0,0;0,0,0,0;0,0,0,0;0,0,0,0;0,0,0,0;0,0,0,0}</definedName>
    <definedName name="er" hidden="1">{0,0,0,0;0,0,0,0;0,0,0,0;0,0,0,0;0,0,0,0;0,0,0,0;0,0,0,0}</definedName>
    <definedName name="ÊR" localSheetId="0" hidden="1">{"'Sheet1'!$L$16"}</definedName>
    <definedName name="ÊR" hidden="1">{"'Sheet1'!$L$16"}</definedName>
    <definedName name="êre" localSheetId="0" hidden="1">{"'Sheet1'!$L$16"}</definedName>
    <definedName name="êre" hidden="1">{"'Sheet1'!$L$16"}</definedName>
    <definedName name="erere" hidden="1">#REF!</definedName>
    <definedName name="­erewarqewrqr" hidden="1">#REF!</definedName>
    <definedName name="ERR" hidden="1">#REF!</definedName>
    <definedName name="ERT" localSheetId="0" hidden="1">{"'Sheet1'!$L$16"}</definedName>
    <definedName name="ERT" hidden="1">{"'Sheet1'!$L$16"}</definedName>
    <definedName name="erteeh" hidden="1">#REF!</definedName>
    <definedName name="ertwqtg" localSheetId="0" hidden="1">{"'Sheet1'!$L$16"}</definedName>
    <definedName name="ertwqtg" hidden="1">{"'Sheet1'!$L$16"}</definedName>
    <definedName name="ertyertye" localSheetId="0" hidden="1">{"'용역비'!$A$4:$C$8"}</definedName>
    <definedName name="ertyertye" hidden="1">{"'용역비'!$A$4:$C$8"}</definedName>
    <definedName name="erw" hidden="1">#REF!</definedName>
    <definedName name="eryhrtgabqergerggbvrth" hidden="1">#REF!</definedName>
    <definedName name="es" localSheetId="0" hidden="1">{"'Sheet1'!$L$16"}</definedName>
    <definedName name="es" hidden="1">{"'Sheet1'!$L$16"}</definedName>
    <definedName name="estimateb" localSheetId="0" hidden="1">{#N/A,#N/A,TRUE,"Cover";#N/A,#N/A,TRUE,"Conts";#N/A,#N/A,TRUE,"VOS";#N/A,#N/A,TRUE,"Warrington";#N/A,#N/A,TRUE,"Widnes"}</definedName>
    <definedName name="estimateb" hidden="1">{#N/A,#N/A,TRUE,"Cover";#N/A,#N/A,TRUE,"Conts";#N/A,#N/A,TRUE,"VOS";#N/A,#N/A,TRUE,"Warrington";#N/A,#N/A,TRUE,"Widnes"}</definedName>
    <definedName name="etqgsg_đhs" localSheetId="0" hidden="1">{"'Sheet1'!$L$16"}</definedName>
    <definedName name="etqgsg_đhs" hidden="1">{"'Sheet1'!$L$16"}</definedName>
    <definedName name="ettr" localSheetId="0" hidden="1">{#N/A,#N/A,FALSE,"Chi tiÆt"}</definedName>
    <definedName name="ettr" hidden="1">{#N/A,#N/A,FALSE,"Chi tiÆt"}</definedName>
    <definedName name="etuiuti" localSheetId="0" hidden="1">{"'Sheet1'!$L$16"}</definedName>
    <definedName name="etuiuti" hidden="1">{"'Sheet1'!$L$16"}</definedName>
    <definedName name="ETWE" localSheetId="0" hidden="1">{#N/A,#N/A,FALSE,"Sheet6"}</definedName>
    <definedName name="ETWE" hidden="1">{#N/A,#N/A,FALSE,"Sheet6"}</definedName>
    <definedName name="ETWEGF" localSheetId="0" hidden="1">{#N/A,#N/A,FALSE,"Sheet6"}</definedName>
    <definedName name="ETWEGF" hidden="1">{#N/A,#N/A,FALSE,"Sheet6"}</definedName>
    <definedName name="ẺTWTW" localSheetId="0" hidden="1">{"'Sheet1'!$L$16"}</definedName>
    <definedName name="ẺTWTW" hidden="1">{"'Sheet1'!$L$16"}</definedName>
    <definedName name="etyj" localSheetId="0" hidden="1">{"'용역비'!$A$4:$C$8"}</definedName>
    <definedName name="etyj" hidden="1">{"'용역비'!$A$4:$C$8"}</definedName>
    <definedName name="etyjj" localSheetId="0" hidden="1">{"'용역비'!$A$4:$C$8"}</definedName>
    <definedName name="etyjj" hidden="1">{"'용역비'!$A$4:$C$8"}</definedName>
    <definedName name="eù" localSheetId="0">{"Book1"}</definedName>
    <definedName name="eù">{"Book1"}</definedName>
    <definedName name="eûtheí" localSheetId="0" hidden="1">{"'Sheet1'!$L$16"}</definedName>
    <definedName name="eûtheí" hidden="1">{"'Sheet1'!$L$16"}</definedName>
    <definedName name="ewdsd" localSheetId="0" hidden="1">{"'Break down'!$A$4"}</definedName>
    <definedName name="ewdsd" hidden="1">{"'Break down'!$A$4"}</definedName>
    <definedName name="ewe" hidden="1">#REF!</definedName>
    <definedName name="EWEREWRE" localSheetId="0" hidden="1">{"'Sheet1'!$L$16"}</definedName>
    <definedName name="EWEREWRE" hidden="1">{"'Sheet1'!$L$16"}</definedName>
    <definedName name="èwerwe" localSheetId="0" hidden="1">{"'Sheet1'!$L$16"}</definedName>
    <definedName name="èwerwe" hidden="1">{"'Sheet1'!$L$16"}</definedName>
    <definedName name="ẺWERWE" localSheetId="0" hidden="1">{"'Sheet1'!$L$16"}</definedName>
    <definedName name="ẺWERWE" hidden="1">{"'Sheet1'!$L$16"}</definedName>
    <definedName name="ewewewe" hidden="1">#REF!</definedName>
    <definedName name="ewfawg" hidden="1">#REF!</definedName>
    <definedName name="ewrfewr" localSheetId="0" hidden="1">{"'Sheet1'!$L$16"}</definedName>
    <definedName name="ewrfewr" hidden="1">{"'Sheet1'!$L$16"}</definedName>
    <definedName name="ewrfqewrrefeqrftr" localSheetId="0" hidden="1">{"'Sheet1'!$L$16"}</definedName>
    <definedName name="ewrfqewrrefeqrftr" hidden="1">{"'Sheet1'!$L$16"}</definedName>
    <definedName name="ewrfwe" localSheetId="0" hidden="1">{"'Sheet1'!$L$16"}</definedName>
    <definedName name="ewrfwe" hidden="1">{"'Sheet1'!$L$16"}</definedName>
    <definedName name="ewrfwef" localSheetId="0" hidden="1">{"'Sheet1'!$L$16"}</definedName>
    <definedName name="ewrfwef" hidden="1">{"'Sheet1'!$L$16"}</definedName>
    <definedName name="ewrwerwe" hidden="1">#REF!</definedName>
    <definedName name="ews" localSheetId="0" hidden="1">{0}</definedName>
    <definedName name="ews" hidden="1">{0}</definedName>
    <definedName name="ewtgyqyewy" localSheetId="0" hidden="1">{"'Sheet1'!$L$16"}</definedName>
    <definedName name="ewtgyqyewy" hidden="1">{"'Sheet1'!$L$16"}</definedName>
    <definedName name="EWTWV" localSheetId="0" hidden="1">{#N/A,#N/A,FALSE,"Sheet6"}</definedName>
    <definedName name="EWTWV" hidden="1">{#N/A,#N/A,FALSE,"Sheet6"}</definedName>
    <definedName name="ewwq" localSheetId="0" hidden="1">{"'Sheet1'!$L$16"}</definedName>
    <definedName name="ewwq" hidden="1">{"'Sheet1'!$L$16"}</definedName>
    <definedName name="Excavati" localSheetId="0" hidden="1">{#N/A,#N/A,FALSE,"Chi tiÆt"}</definedName>
    <definedName name="Excavati" hidden="1">{#N/A,#N/A,FALSE,"Chi tiÆt"}</definedName>
    <definedName name="eXCLUSIONS" localSheetId="0" hidden="1">{#N/A,#N/A,TRUE,"Cover";#N/A,#N/A,TRUE,"Conts";#N/A,#N/A,TRUE,"VOS";#N/A,#N/A,TRUE,"Warrington";#N/A,#N/A,TRUE,"Widnes"}</definedName>
    <definedName name="eXCLUSIONS" hidden="1">{#N/A,#N/A,TRUE,"Cover";#N/A,#N/A,TRUE,"Conts";#N/A,#N/A,TRUE,"VOS";#N/A,#N/A,TRUE,"Warrington";#N/A,#N/A,TRUE,"Widnes"}</definedName>
    <definedName name="explorer" localSheetId="0" hidden="1">{"'Sheet1'!$L$16"}</definedName>
    <definedName name="explorer" hidden="1">{"'Sheet1'!$L$16"}</definedName>
    <definedName name="External_work">#REF!</definedName>
    <definedName name="f" localSheetId="0" hidden="1">{#N/A,#N/A,FALSE,"Sheet1"}</definedName>
    <definedName name="f" hidden="1">{#N/A,#N/A,FALSE,"Sheet1"}</definedName>
    <definedName name="F5TF" hidden="1">#REF!</definedName>
    <definedName name="F6A" localSheetId="0" hidden="1">{"'Sheet1'!$L$16"}</definedName>
    <definedName name="F6A" hidden="1">{"'Sheet1'!$L$16"}</definedName>
    <definedName name="F6B" localSheetId="0" hidden="1">{"'Sheet1'!$L$16"}</definedName>
    <definedName name="F6B" hidden="1">{"'Sheet1'!$L$16"}</definedName>
    <definedName name="fáaafafaf" localSheetId="0" hidden="1">{"'Sheet1'!$L$16"}</definedName>
    <definedName name="fáaafafaf" hidden="1">{"'Sheet1'!$L$16"}</definedName>
    <definedName name="factor">#REF!</definedName>
    <definedName name="FACTORY" localSheetId="0" hidden="1">{#N/A,#N/A,TRUE,"SUM";#N/A,#N/A,TRUE,"EE";#N/A,#N/A,TRUE,"AC";#N/A,#N/A,TRUE,"SN"}</definedName>
    <definedName name="FACTORY" hidden="1">{#N/A,#N/A,TRUE,"SUM";#N/A,#N/A,TRUE,"EE";#N/A,#N/A,TRUE,"AC";#N/A,#N/A,TRUE,"SN"}</definedName>
    <definedName name="factory4" localSheetId="0" hidden="1">{"'Sheet1'!$L$16"}</definedName>
    <definedName name="factory4" hidden="1">{"'Sheet1'!$L$16"}</definedName>
    <definedName name="fad" hidden="1">#REF!</definedName>
    <definedName name="fae" localSheetId="0" hidden="1">{"'Sheet1'!$L$16"}</definedName>
    <definedName name="fae" hidden="1">{"'Sheet1'!$L$16"}</definedName>
    <definedName name="faefeaw" hidden="1">#REF!</definedName>
    <definedName name="FAFA" localSheetId="0" hidden="1">{"'Sheet1'!$L$16"}</definedName>
    <definedName name="FAFA" hidden="1">{"'Sheet1'!$L$16"}</definedName>
    <definedName name="fafafda" localSheetId="0" hidden="1">{"AnalRSA",#N/A,TRUE,"PL-Anal";"AnalIAS",#N/A,TRUE,"PL-Anal"}</definedName>
    <definedName name="fafafda" hidden="1">{"AnalRSA",#N/A,TRUE,"PL-Anal";"AnalIAS",#N/A,TRUE,"PL-Anal"}</definedName>
    <definedName name="fafsda" hidden="1">#REF!</definedName>
    <definedName name="faqwfgqwgqw" hidden="1">#REF!</definedName>
    <definedName name="fasdfsdfsdfsdf" localSheetId="0" hidden="1">{"'Sheet1'!$L$16"}</definedName>
    <definedName name="fasdfsdfsdfsdf" hidden="1">{"'Sheet1'!$L$16"}</definedName>
    <definedName name="fasfa" localSheetId="0" hidden="1">{"'Sheet1'!$L$16"}</definedName>
    <definedName name="fasfa" hidden="1">{"'Sheet1'!$L$16"}</definedName>
    <definedName name="fasfaga" localSheetId="0" hidden="1">{"'Sheet1'!$L$16"}</definedName>
    <definedName name="fasfaga" hidden="1">{"'Sheet1'!$L$16"}</definedName>
    <definedName name="fasfsadfs" localSheetId="0" hidden="1">{"'Sheet1'!$L$16"}</definedName>
    <definedName name="fasfsadfs" hidden="1">{"'Sheet1'!$L$16"}</definedName>
    <definedName name="fbdg" hidden="1">#REF!</definedName>
    <definedName name="FBSEEBASD" localSheetId="0" hidden="1">{"'Sheet1'!$L$16"}</definedName>
    <definedName name="FBSEEBASD" hidden="1">{"'Sheet1'!$L$16"}</definedName>
    <definedName name="fÇ" localSheetId="0" hidden="1">{"'Sheet1'!$L$16"}</definedName>
    <definedName name="fÇ" hidden="1">{"'Sheet1'!$L$16"}</definedName>
    <definedName name="fcae" localSheetId="0" hidden="1">{"'Sheet1'!$L$16"}</definedName>
    <definedName name="fcae" hidden="1">{"'Sheet1'!$L$16"}</definedName>
    <definedName name="FCode" hidden="1">#REF!</definedName>
    <definedName name="fcxbv" hidden="1">#REF!</definedName>
    <definedName name="fd" localSheetId="0" hidden="1">{#N/A,#N/A,TRUE,"Cover Memo";"Complete Sys. Estimate",#N/A,TRUE,"Change Summary";"Complete Sys. Estimate",#N/A,TRUE,"Estimate Summary";"Complete Sys. Estimate",#N/A,TRUE,"Dept. Summary";"Complete Sys. Estimate",#N/A,TRUE,"DOW Detail"}</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localSheetId="0" hidden="1">{"'Sheet1'!$L$16"}</definedName>
    <definedName name="FDAFW" hidden="1">{"'Sheet1'!$L$16"}</definedName>
    <definedName name="fdasfa" localSheetId="0" hidden="1">{"'Sheet1'!$L$16"}</definedName>
    <definedName name="fdasfa" hidden="1">{"'Sheet1'!$L$16"}</definedName>
    <definedName name="fdasfdsa" localSheetId="0" hidden="1">{#N/A,#N/A,FALSE,"Chi tiÆt"}</definedName>
    <definedName name="fdasfdsa" hidden="1">{#N/A,#N/A,FALSE,"Chi tiÆt"}</definedName>
    <definedName name="fdds" localSheetId="0" hidden="1">{"'Sheet1'!$L$16"}</definedName>
    <definedName name="fdds" hidden="1">{"'Sheet1'!$L$16"}</definedName>
    <definedName name="FDED" hidden="1">#REF!</definedName>
    <definedName name="fdf" localSheetId="0" hidden="1">{#N/A,#N/A,FALSE,"CCTV"}</definedName>
    <definedName name="fdf"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F" hidden="1">{"'Sheet1'!$L$16"}</definedName>
    <definedName name="FDFDSF" localSheetId="0" hidden="1">{#N/A,#N/A,TRUE,"SUM";#N/A,#N/A,TRUE,"EE";#N/A,#N/A,TRUE,"AC";#N/A,#N/A,TRUE,"SN"}</definedName>
    <definedName name="FDFDSF" hidden="1">{#N/A,#N/A,TRUE,"SUM";#N/A,#N/A,TRUE,"EE";#N/A,#N/A,TRUE,"AC";#N/A,#N/A,TRUE,"SN"}</definedName>
    <definedName name="fdfs" localSheetId="0" hidden="1">{#N/A,#N/A,TRUE,"SUM";#N/A,#N/A,TRUE,"EE";#N/A,#N/A,TRUE,"AC";#N/A,#N/A,TRUE,"SN"}</definedName>
    <definedName name="fdfs" hidden="1">{#N/A,#N/A,TRUE,"SUM";#N/A,#N/A,TRUE,"EE";#N/A,#N/A,TRUE,"AC";#N/A,#N/A,TRUE,"SN"}</definedName>
    <definedName name="fdfs2" localSheetId="0" hidden="1">{#N/A,#N/A,TRUE,"SUM";#N/A,#N/A,TRUE,"EE";#N/A,#N/A,TRUE,"AC";#N/A,#N/A,TRUE,"SN"}</definedName>
    <definedName name="fdfs2" hidden="1">{#N/A,#N/A,TRUE,"SUM";#N/A,#N/A,TRUE,"EE";#N/A,#N/A,TRUE,"AC";#N/A,#N/A,TRUE,"SN"}</definedName>
    <definedName name="fdfsdfs" localSheetId="0" hidden="1">{#N/A,#N/A,TRUE,"SUM";#N/A,#N/A,TRUE,"EE";#N/A,#N/A,TRUE,"AC";#N/A,#N/A,TRUE,"SN"}</definedName>
    <definedName name="fdfsdfs" hidden="1">{#N/A,#N/A,TRUE,"SUM";#N/A,#N/A,TRUE,"EE";#N/A,#N/A,TRUE,"AC";#N/A,#N/A,TRUE,"SN"}</definedName>
    <definedName name="fdfsf" localSheetId="0" hidden="1">{#N/A,#N/A,FALSE,"Chi tiÆt"}</definedName>
    <definedName name="fdfsf" hidden="1">{#N/A,#N/A,FALSE,"Chi tiÆt"}</definedName>
    <definedName name="fdg" localSheetId="0" hidden="1">{"'Sheet1'!$L$16"}</definedName>
    <definedName name="fdg"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DGDF" hidden="1">{"ECA Qtrs C",#N/A,TRUE,"ECA_Qtrs_C";"ECA Qtrs D",#N/A,TRUE,"ECA_Qtrs_D";"ECA Qtrs F",#N/A,TRUE,"ECA_Qtrs_F";"ECA Qtrs G",#N/A,TRUE,"ECA_Qtrs_G";"ECA SisterApt",#N/A,TRUE,"ECA_SisterApt";"ECA Nurses",#N/A,TRUE,"ECA_NursesHostel"}</definedName>
    <definedName name="fdgfg" localSheetId="0" hidden="1">{"'Sheet1'!$L$16"}</definedName>
    <definedName name="fdgfg" hidden="1">{"'Sheet1'!$L$16"}</definedName>
    <definedName name="fdgfgjghhk" hidden="1">#REF!</definedName>
    <definedName name="fdgssda" localSheetId="0" hidden="1">{"'Sheet1'!$L$16"}</definedName>
    <definedName name="fdgssda" hidden="1">{"'Sheet1'!$L$16"}</definedName>
    <definedName name="fdhgf" localSheetId="0" hidden="1">{"'Sheet1'!$L$16"}</definedName>
    <definedName name="fdhgf" hidden="1">{"'Sheet1'!$L$16"}</definedName>
    <definedName name="fđhh" localSheetId="0" hidden="1">{"'Sheet1'!$L$16"}</definedName>
    <definedName name="fđhh" hidden="1">{"'Sheet1'!$L$16"}</definedName>
    <definedName name="fdsd" hidden="1">#REF!</definedName>
    <definedName name="fdsdf" localSheetId="0" hidden="1">{"'Sheet1'!$L$16"}</definedName>
    <definedName name="fdsdf" hidden="1">{"'Sheet1'!$L$16"}</definedName>
    <definedName name="fdsfds" localSheetId="0" hidden="1">{"ECA Qtrs C",#N/A,TRUE,"ECA_Qtrs_C";"ECA Qtrs D",#N/A,TRUE,"ECA_Qtrs_D";"ECA Qtrs F",#N/A,TRUE,"ECA_Qtrs_F";"ECA Qtrs G",#N/A,TRUE,"ECA_Qtrs_G";"ECA SisterApt",#N/A,TRUE,"ECA_SisterApt";"ECA Nurses",#N/A,TRUE,"ECA_NursesHostel"}</definedName>
    <definedName name="fdsfds" hidden="1">{"ECA Qtrs C",#N/A,TRUE,"ECA_Qtrs_C";"ECA Qtrs D",#N/A,TRUE,"ECA_Qtrs_D";"ECA Qtrs F",#N/A,TRUE,"ECA_Qtrs_F";"ECA Qtrs G",#N/A,TRUE,"ECA_Qtrs_G";"ECA SisterApt",#N/A,TRUE,"ECA_SisterApt";"ECA Nurses",#N/A,TRUE,"ECA_NursesHostel"}</definedName>
    <definedName name="fdsff" localSheetId="0" hidden="1">{"'Sheet1'!$L$16"}</definedName>
    <definedName name="fdsff" hidden="1">{"'Sheet1'!$L$16"}</definedName>
    <definedName name="fdsfsdfd" localSheetId="0" hidden="1">{"'Sheet1'!$L$16"}</definedName>
    <definedName name="fdsfsdfd" hidden="1">{"'Sheet1'!$L$16"}</definedName>
    <definedName name="FEDSBSD" localSheetId="0" hidden="1">{"'Sheet1'!$L$16"}</definedName>
    <definedName name="FEDSBSD" hidden="1">{"'Sheet1'!$L$16"}</definedName>
    <definedName name="Fees.1" localSheetId="0" hidden="1">{#N/A,#N/A,TRUE,"Cover";#N/A,#N/A,TRUE,"Conts";#N/A,#N/A,TRUE,"VOS";#N/A,#N/A,TRUE,"Warrington";#N/A,#N/A,TRUE,"Widnes"}</definedName>
    <definedName name="Fees.1" hidden="1">{#N/A,#N/A,TRUE,"Cover";#N/A,#N/A,TRUE,"Conts";#N/A,#N/A,TRUE,"VOS";#N/A,#N/A,TRUE,"Warrington";#N/A,#N/A,TRUE,"Widnes"}</definedName>
    <definedName name="fef" localSheetId="0" hidden="1">{"'Sheet1'!$L$16"}</definedName>
    <definedName name="fef" hidden="1">{"'Sheet1'!$L$16"}</definedName>
    <definedName name="FEFE" localSheetId="0" hidden="1">{"'Sheet1'!$L$16"}</definedName>
    <definedName name="FEFE" hidden="1">{"'Sheet1'!$L$16"}</definedName>
    <definedName name="fefrefewfe" hidden="1">#REF!</definedName>
    <definedName name="FERQAA" localSheetId="0" hidden="1">{"'Sheet1'!$L$16"}</definedName>
    <definedName name="FERQAA" hidden="1">{"'Sheet1'!$L$16"}</definedName>
    <definedName name="ff" hidden="1">#REF!</definedName>
    <definedName name="ffas" localSheetId="0" hidden="1">{"'Sheet1'!$L$16"}</definedName>
    <definedName name="ffas" hidden="1">{"'Sheet1'!$L$16"}</definedName>
    <definedName name="ffdfc" localSheetId="0" hidden="1">{"'Sheet1'!$L$16"}</definedName>
    <definedName name="ffdfc" hidden="1">{"'Sheet1'!$L$16"}</definedName>
    <definedName name="FFDFG" hidden="1">#REF!</definedName>
    <definedName name="fff" localSheetId="0" hidden="1">{"'Sheet1'!$L$16"}</definedName>
    <definedName name="fff" hidden="1">{"'Sheet1'!$L$16"}</definedName>
    <definedName name="Fffef" localSheetId="0" hidden="1">{#N/A,#N/A,FALSE,"MARCH"}</definedName>
    <definedName name="Fffef" hidden="1">{#N/A,#N/A,FALSE,"MARCH"}</definedName>
    <definedName name="ffff" localSheetId="0" hidden="1">{"'Sheet1'!$L$16"}</definedName>
    <definedName name="ffff" hidden="1">{"'Sheet1'!$L$16"}</definedName>
    <definedName name="ffffd" localSheetId="0" hidden="1">{#N/A,#N/A,TRUE,"SUM";#N/A,#N/A,TRUE,"EE";#N/A,#N/A,TRUE,"AC";#N/A,#N/A,TRUE,"SN"}</definedName>
    <definedName name="ffffd" hidden="1">{#N/A,#N/A,TRUE,"SUM";#N/A,#N/A,TRUE,"EE";#N/A,#N/A,TRUE,"AC";#N/A,#N/A,TRUE,"SN"}</definedName>
    <definedName name="fffffffffffffff" localSheetId="0" hidden="1">{"'Sheet1'!$L$16"}</definedName>
    <definedName name="fffffffffffffff" hidden="1">{"'Sheet1'!$L$16"}</definedName>
    <definedName name="ffqq" hidden="1">#REF!</definedName>
    <definedName name="fg" localSheetId="0" hidden="1">{"'Sheet1'!$L$16"}</definedName>
    <definedName name="fg" hidden="1">{"'Sheet1'!$L$16"}</definedName>
    <definedName name="fgaergrea" hidden="1">#REF!</definedName>
    <definedName name="FGDFAG" localSheetId="0" hidden="1">{"'Sheet1'!$L$16"}</definedName>
    <definedName name="FGDFAG" hidden="1">{"'Sheet1'!$L$16"}</definedName>
    <definedName name="FGDFGH" localSheetId="0" hidden="1">{"'Sheet1'!$L$16"}</definedName>
    <definedName name="FGDFGH" hidden="1">{"'Sheet1'!$L$16"}</definedName>
    <definedName name="FGDFHG" localSheetId="0" hidden="1">{"'Sheet1'!$L$16"}</definedName>
    <definedName name="FGDFHG" hidden="1">{"'Sheet1'!$L$16"}</definedName>
    <definedName name="FGF" localSheetId="0" hidden="1">{#N/A,#N/A,FALSE,"Sheet2";#N/A,#N/A,FALSE,"Sheet4";#N/A,#N/A,FALSE,"Sheet6"}</definedName>
    <definedName name="FGF" hidden="1">{#N/A,#N/A,FALSE,"Sheet2";#N/A,#N/A,FALSE,"Sheet4";#N/A,#N/A,FALSE,"Sheet6"}</definedName>
    <definedName name="fgfdg" hidden="1">#REF!</definedName>
    <definedName name="fgff" localSheetId="0" hidden="1">{#N/A,#N/A,TRUE,"SUM";#N/A,#N/A,TRUE,"EE";#N/A,#N/A,TRUE,"AC";#N/A,#N/A,TRUE,"SN"}</definedName>
    <definedName name="fgff" hidden="1">{#N/A,#N/A,TRUE,"SUM";#N/A,#N/A,TRUE,"EE";#N/A,#N/A,TRUE,"AC";#N/A,#N/A,TRUE,"SN"}</definedName>
    <definedName name="fgfg" localSheetId="0" hidden="1">{#N/A,#N/A,TRUE,"BT M200 da 10x20"}</definedName>
    <definedName name="fgfg" hidden="1">{#N/A,#N/A,TRUE,"BT M200 da 10x20"}</definedName>
    <definedName name="fgfgf" localSheetId="0" hidden="1">{"'Sheet1'!$L$16"}</definedName>
    <definedName name="fgfgf" hidden="1">{"'Sheet1'!$L$16"}</definedName>
    <definedName name="fgfgfg" localSheetId="0" hidden="1">{"'Sheet1'!$L$16"}</definedName>
    <definedName name="fgfgfg" hidden="1">{"'Sheet1'!$L$16"}</definedName>
    <definedName name="fgfgfgfg" localSheetId="0" hidden="1">{#N/A,#N/A,TRUE,"BT M200 da 10x20"}</definedName>
    <definedName name="fgfgfgfg" hidden="1">{#N/A,#N/A,TRUE,"BT M200 da 10x20"}</definedName>
    <definedName name="fgfgfgfgf" localSheetId="0" hidden="1">{"'Sheet1'!$L$16"}</definedName>
    <definedName name="fgfgfgfgf" hidden="1">{"'Sheet1'!$L$16"}</definedName>
    <definedName name="fgfh" hidden="1">#REF!</definedName>
    <definedName name="fgg" localSheetId="0" hidden="1">{"'장비'!$A$3:$M$12"}</definedName>
    <definedName name="fgg" hidden="1">{"'장비'!$A$3:$M$12"}</definedName>
    <definedName name="fggfgfgfg" localSheetId="0" hidden="1">{"'Sheet1'!$L$16"}</definedName>
    <definedName name="fggfgfgfg" hidden="1">{"'Sheet1'!$L$16"}</definedName>
    <definedName name="fgh" hidden="1">#REF!</definedName>
    <definedName name="fghbys" hidden="1">#REF!</definedName>
    <definedName name="FGHDGFHDF" localSheetId="0" hidden="1">{"'Sheet1'!$L$16"}</definedName>
    <definedName name="FGHDGFHDF" hidden="1">{"'Sheet1'!$L$16"}</definedName>
    <definedName name="FGHDGHD" localSheetId="0" hidden="1">{"'Sheet1'!$L$16"}</definedName>
    <definedName name="FGHDGHD" hidden="1">{"'Sheet1'!$L$16"}</definedName>
    <definedName name="FGHH" localSheetId="0" hidden="1">{#N/A,#N/A,FALSE,"CCTV"}</definedName>
    <definedName name="FGHH" hidden="1">{#N/A,#N/A,FALSE,"CCTV"}</definedName>
    <definedName name="FGJFGH" localSheetId="0" hidden="1">{"'Sheet1'!$L$16"}</definedName>
    <definedName name="FGJFGH" hidden="1">{"'Sheet1'!$L$16"}</definedName>
    <definedName name="fgjft" localSheetId="0" hidden="1">{#N/A,#N/A,FALSE,"Sheet6"}</definedName>
    <definedName name="fgjft" hidden="1">{#N/A,#N/A,FALSE,"Sheet6"}</definedName>
    <definedName name="fgjj" localSheetId="0" hidden="1">{"'Sheet1'!$L$16"}</definedName>
    <definedName name="fgjj" hidden="1">{"'Sheet1'!$L$16"}</definedName>
    <definedName name="fgn" localSheetId="0" hidden="1">{"'Sheet1'!$L$16"}</definedName>
    <definedName name="fgn" hidden="1">{"'Sheet1'!$L$16"}</definedName>
    <definedName name="FGNHGFH" hidden="1">#REF!</definedName>
    <definedName name="fgsdaa" localSheetId="0" hidden="1">{#N/A,#N/A,TRUE,"BT M200 da 10x20"}</definedName>
    <definedName name="fgsdaa" hidden="1">{#N/A,#N/A,TRUE,"BT M200 da 10x20"}</definedName>
    <definedName name="fgㅗ" localSheetId="0" hidden="1">{#N/A,#N/A,FALSE,"집계표"}</definedName>
    <definedName name="fgㅗ" hidden="1">{#N/A,#N/A,FALSE,"집계표"}</definedName>
    <definedName name="fh" hidden="1">#REF!</definedName>
    <definedName name="fhdfh" localSheetId="0" hidden="1">{"'Sheet1'!$L$16"}</definedName>
    <definedName name="fhdfh" hidden="1">{"'Sheet1'!$L$16"}</definedName>
    <definedName name="fhf" localSheetId="0" hidden="1">{0,0,0,0}</definedName>
    <definedName name="fhf" hidden="1">{0,0,0,0}</definedName>
    <definedName name="fhfdyh" localSheetId="0" hidden="1">{"'Sheet1'!$L$16"}</definedName>
    <definedName name="fhfdyh" hidden="1">{"'Sheet1'!$L$16"}</definedName>
    <definedName name="FHFH" hidden="1">#REF!</definedName>
    <definedName name="FHFK" hidden="1">#REF!</definedName>
    <definedName name="fhgj" localSheetId="0" hidden="1">{"'Sheet1'!$L$16"}</definedName>
    <definedName name="fhgj" hidden="1">{"'Sheet1'!$L$16"}</definedName>
    <definedName name="FHJHJHG" localSheetId="0"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refpi">45%</definedName>
    <definedName name="fitval">15%</definedName>
    <definedName name="FK" localSheetId="0" hidden="1">{"'용역비'!$A$4:$C$8"}</definedName>
    <definedName name="FK" hidden="1">{"'용역비'!$A$4:$C$8"}</definedName>
    <definedName name="FKFKFKFKF" localSheetId="0" hidden="1">{#N/A,#N/A,FALSE,"주간공정";#N/A,#N/A,FALSE,"주간보고";#N/A,#N/A,FALSE,"주간공정표"}</definedName>
    <definedName name="FKFKFKFKF" hidden="1">{#N/A,#N/A,FALSE,"주간공정";#N/A,#N/A,FALSE,"주간보고";#N/A,#N/A,FALSE,"주간공정표"}</definedName>
    <definedName name="FOR" localSheetId="0" hidden="1">{#N/A,#N/A,FALSE,"CCTV"}</definedName>
    <definedName name="FOR" hidden="1">{#N/A,#N/A,FALSE,"CCTV"}</definedName>
    <definedName name="form" localSheetId="0" hidden="1">{"'ELEC'!$A$2:$H$216","'ELEC'!$C$2:$D$2"}</definedName>
    <definedName name="form" hidden="1">{"'ELEC'!$A$2:$H$216","'ELEC'!$C$2:$D$2"}</definedName>
    <definedName name="FORMAT" localSheetId="0" hidden="1">{#N/A,#N/A,FALSE,"CCTV"}</definedName>
    <definedName name="FORMAT" hidden="1">{#N/A,#N/A,FALSE,"CCTV"}</definedName>
    <definedName name="FQWERWE" hidden="1">#REF!</definedName>
    <definedName name="FReport5" localSheetId="0" hidden="1">{#N/A,#N/A,FALSE,"MARCH"}</definedName>
    <definedName name="FReport5" hidden="1">{#N/A,#N/A,FALSE,"MARCH"}</definedName>
    <definedName name="FREPRT6" localSheetId="0" hidden="1">{#N/A,#N/A,FALSE,"MARCH"}</definedName>
    <definedName name="FREPRT6" hidden="1">{#N/A,#N/A,FALSE,"MARCH"}</definedName>
    <definedName name="FS">#REF!</definedName>
    <definedName name="fsd" localSheetId="0" hidden="1">{#N/A,#N/A,FALSE,"mgtsum.XLS";#N/A,#N/A,FALSE,"CAPONE";#N/A,#N/A,FALSE,"CAPTWO";#N/A,#N/A,FALSE,"CAPTHREE"}</definedName>
    <definedName name="fsd" hidden="1">{#N/A,#N/A,FALSE,"mgtsum.XLS";#N/A,#N/A,FALSE,"CAPONE";#N/A,#N/A,FALSE,"CAPTWO";#N/A,#N/A,FALSE,"CAPTHREE"}</definedName>
    <definedName name="fsdd" hidden="1">#REF!</definedName>
    <definedName name="fsdf" localSheetId="0" hidden="1">{"'Sheet1'!$L$16"}</definedName>
    <definedName name="fsdf" hidden="1">{"'Sheet1'!$L$16"}</definedName>
    <definedName name="FSDFĐ" localSheetId="0" hidden="1">{"'Sheet1'!$L$16"}</definedName>
    <definedName name="FSDFĐ" hidden="1">{"'Sheet1'!$L$16"}</definedName>
    <definedName name="fsdfdsf" localSheetId="0" hidden="1">{"'Sheet1'!$L$16"}</definedName>
    <definedName name="fsdfdsf" hidden="1">{"'Sheet1'!$L$16"}</definedName>
    <definedName name="FSDFEW" localSheetId="0" hidden="1">{"'Sheet1'!$L$16"}</definedName>
    <definedName name="FSDFEW" hidden="1">{"'Sheet1'!$L$16"}</definedName>
    <definedName name="fsdfs" localSheetId="0" hidden="1">{"'Sheet1'!$L$16"}</definedName>
    <definedName name="fsdfs" hidden="1">{"'Sheet1'!$L$16"}</definedName>
    <definedName name="fsdfsd" localSheetId="0" hidden="1">{#N/A,#N/A,FALSE,"Chi tiÆt"}</definedName>
    <definedName name="fsdfsd" hidden="1">{#N/A,#N/A,FALSE,"Chi tiÆt"}</definedName>
    <definedName name="FSDFSĐ" localSheetId="0" hidden="1">{"'Sheet1'!$L$16"}</definedName>
    <definedName name="FSDFSĐ" hidden="1">{"'Sheet1'!$L$16"}</definedName>
    <definedName name="FSDFSDF" localSheetId="0" hidden="1">{#N/A,#N/A,TRUE,"SUM";#N/A,#N/A,TRUE,"EE";#N/A,#N/A,TRUE,"AC";#N/A,#N/A,TRUE,"SN"}</definedName>
    <definedName name="FSDFSDF" hidden="1">{#N/A,#N/A,TRUE,"SUM";#N/A,#N/A,TRUE,"EE";#N/A,#N/A,TRUE,"AC";#N/A,#N/A,TRUE,"SN"}</definedName>
    <definedName name="fsdfsf" localSheetId="0" hidden="1">{"ECA Qtrs C",#N/A,TRUE,"ECA_Qtrs_C";"ECA Qtrs D",#N/A,TRUE,"ECA_Qtrs_D";"ECA Qtrs F",#N/A,TRUE,"ECA_Qtrs_F";"ECA Qtrs G",#N/A,TRUE,"ECA_Qtrs_G";"ECA SisterApt",#N/A,TRUE,"ECA_SisterApt";"ECA Nurses",#N/A,TRUE,"ECA_NursesHostel"}</definedName>
    <definedName name="fsdfsf"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localSheetId="0" hidden="1">{"'Sheet1'!$L$16"}</definedName>
    <definedName name="fsf"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E"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d" hidden="1">{"'Sheet1'!$L$16"}</definedName>
    <definedName name="fsfsf" localSheetId="0" hidden="1">{"'Sheet1'!$L$16"}</definedName>
    <definedName name="fsfsf" hidden="1">{"'Sheet1'!$L$16"}</definedName>
    <definedName name="fsfsfdd" localSheetId="0" hidden="1">{"'Sheet1'!$L$16"}</definedName>
    <definedName name="fsfsfdd" hidden="1">{"'Sheet1'!$L$16"}</definedName>
    <definedName name="fsg" hidden="1">#REF!</definedName>
    <definedName name="fsm" localSheetId="0" hidden="1">{"'CPA Sum'!$A$1:$X$30","'CPA'!$A$1:$K$187","'Infra Cost'!$A$1:$Q$30","'Dev't Cost'!$A$1:$AH$40","'Cashflow'!$A$1:$DG$82"}</definedName>
    <definedName name="fsm" hidden="1">{"'CPA Sum'!$A$1:$X$30","'CPA'!$A$1:$K$187","'Infra Cost'!$A$1:$Q$30","'Dev't Cost'!$A$1:$AH$40","'Cashflow'!$A$1:$DG$82"}</definedName>
    <definedName name="fso" hidden="1">#REF!</definedName>
    <definedName name="fszg" localSheetId="0" hidden="1">{"'Sheet1'!$L$16"}</definedName>
    <definedName name="fszg" hidden="1">{"'Sheet1'!$L$16"}</definedName>
    <definedName name="fu" localSheetId="0" hidden="1">{"Offgrid",#N/A,FALSE,"OFFGRID";"Region",#N/A,FALSE,"REGION";"Offgrid -2",#N/A,FALSE,"OFFGRID";"WTP",#N/A,FALSE,"WTP";"WTP -2",#N/A,FALSE,"WTP";"Project",#N/A,FALSE,"PROJECT";"Summary -2",#N/A,FALSE,"SUMMARY"}</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localSheetId="0" hidden="1">{#N/A,#N/A,FALSE,"Tabelle2";#N/A,#N/A,FALSE,"Tabelle1"}</definedName>
    <definedName name="fwerfaef" hidden="1">{#N/A,#N/A,FALSE,"Tabelle2";#N/A,#N/A,FALSE,"Tabelle1"}</definedName>
    <definedName name="FWSE" hidden="1">#REF!</definedName>
    <definedName name="FXBFXB" localSheetId="0" hidden="1">{"'Sheet1'!$L$16"}</definedName>
    <definedName name="FXBFXB" hidden="1">{"'Sheet1'!$L$16"}</definedName>
    <definedName name="g" localSheetId="0" hidden="1">{"'Sheet1'!$L$16"}</definedName>
    <definedName name="g" hidden="1">{"'Sheet1'!$L$16"}</definedName>
    <definedName name="ga" localSheetId="0" hidden="1">{"'Sheet1'!$L$16"}</definedName>
    <definedName name="ga" hidden="1">{"'Sheet1'!$L$16"}</definedName>
    <definedName name="găgawg" hidden="1">#REF!</definedName>
    <definedName name="GÀGF" localSheetId="0" hidden="1">{"'Sheet1'!$L$16"}</definedName>
    <definedName name="GÀGF" hidden="1">{"'Sheet1'!$L$16"}</definedName>
    <definedName name="gas" hidden="1">#REF!</definedName>
    <definedName name="gbb" localSheetId="0" hidden="1">{"'Sheet1'!$L$16"}</definedName>
    <definedName name="gbb" hidden="1">{"'Sheet1'!$L$16"}</definedName>
    <definedName name="gbdff" localSheetId="0" hidden="1">{#N/A,#N/A,FALSE,"Chi tiÆt"}</definedName>
    <definedName name="gbdff" hidden="1">{#N/A,#N/A,FALSE,"Chi tiÆt"}</definedName>
    <definedName name="gbdg" localSheetId="0" hidden="1">{"'Sheet1'!$L$16"}</definedName>
    <definedName name="gbdg" hidden="1">{"'Sheet1'!$L$16"}</definedName>
    <definedName name="gcm" localSheetId="0" hidden="1">{"'Sheet1'!$L$16"}</definedName>
    <definedName name="gcm" hidden="1">{"'Sheet1'!$L$16"}</definedName>
    <definedName name="gd" localSheetId="0" hidden="1">{"'Sheet1'!$L$16"}</definedName>
    <definedName name="gd" hidden="1">{"'Sheet1'!$L$16"}</definedName>
    <definedName name="gdf" hidden="1">#REF!</definedName>
    <definedName name="gdfg" localSheetId="0" hidden="1">{0}</definedName>
    <definedName name="gdfg" hidden="1">{0}</definedName>
    <definedName name="gdfgdfgdf" localSheetId="0" hidden="1">{"'Sheet1'!$L$16"}</definedName>
    <definedName name="gdfgdfgdf" hidden="1">{"'Sheet1'!$L$16"}</definedName>
    <definedName name="gdfgds" hidden="1">#REF!</definedName>
    <definedName name="gdg" localSheetId="0" hidden="1">{"'Sheet1'!$L$16"}</definedName>
    <definedName name="gdg" hidden="1">{"'Sheet1'!$L$16"}</definedName>
    <definedName name="gdgdg." localSheetId="0" hidden="1">{"'Sheet1'!$L$16"}</definedName>
    <definedName name="gdgdg." hidden="1">{"'Sheet1'!$L$16"}</definedName>
    <definedName name="GDGDS" localSheetId="0" hidden="1">{"'Sheet1'!$L$16"}</definedName>
    <definedName name="GDGDS" hidden="1">{"'Sheet1'!$L$16"}</definedName>
    <definedName name="gdgfgf" localSheetId="0" hidden="1">{"'Sheet1'!$L$16"}</definedName>
    <definedName name="gdgfgf" hidden="1">{"'Sheet1'!$L$16"}</definedName>
    <definedName name="gdh" localSheetId="0" hidden="1">{"'Sheet1'!$L$16"}</definedName>
    <definedName name="gdh" hidden="1">{"'Sheet1'!$L$16"}</definedName>
    <definedName name="gdjf" localSheetId="0" hidden="1">{#N/A,#N/A,FALSE,"Chi tiÆt"}</definedName>
    <definedName name="gdjf" hidden="1">{#N/A,#N/A,FALSE,"Chi tiÆt"}</definedName>
    <definedName name="gdret" localSheetId="0" hidden="1">{"'Sheet1'!$L$16"}</definedName>
    <definedName name="gdret" hidden="1">{"'Sheet1'!$L$16"}</definedName>
    <definedName name="GDRFHDF" localSheetId="0" hidden="1">{"'Sheet1'!$L$16"}</definedName>
    <definedName name="GDRFHDF" hidden="1">{"'Sheet1'!$L$16"}</definedName>
    <definedName name="GDS" localSheetId="0" hidden="1">{"'Sheet1'!$L$16"}</definedName>
    <definedName name="GDS" hidden="1">{"'Sheet1'!$L$16"}</definedName>
    <definedName name="ge" localSheetId="0" hidden="1">{"'Sheet1'!$L$16"}</definedName>
    <definedName name="ge" hidden="1">{"'Sheet1'!$L$16"}</definedName>
    <definedName name="gegE" hidden="1">#REF!</definedName>
    <definedName name="GÈGEWG" localSheetId="0" hidden="1">{"'Sheet1'!$L$16"}</definedName>
    <definedName name="GÈGEWG" hidden="1">{"'Sheet1'!$L$16"}</definedName>
    <definedName name="gẻgweg" hidden="1">#REF!</definedName>
    <definedName name="GEMCO" hidden="1">#REF!</definedName>
    <definedName name="gergre" hidden="1">#REF!</definedName>
    <definedName name="GEWGEW" localSheetId="0" hidden="1">{"'Sheet1'!$L$16"}</definedName>
    <definedName name="GEWGEW" hidden="1">{"'Sheet1'!$L$16"}</definedName>
    <definedName name="gfd" hidden="1">#REF!</definedName>
    <definedName name="gfdg" localSheetId="0" hidden="1">{"'Sheet1'!$L$16"}</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localSheetId="0" hidden="1">{"'Sheet1'!$L$16"}</definedName>
    <definedName name="GFGFG" hidden="1">{"'Sheet1'!$L$16"}</definedName>
    <definedName name="gfgfgfgfgfg" localSheetId="0" hidden="1">{"'Sheet1'!$L$16"}</definedName>
    <definedName name="gfgfgfgfgfg" hidden="1">{"'Sheet1'!$L$16"}</definedName>
    <definedName name="gfh" localSheetId="0" hidden="1">{"ECA Qtrs C",#N/A,TRUE,"ECA_Qtrs_C";"ECA Qtrs D",#N/A,TRUE,"ECA_Qtrs_D";"ECA Qtrs F",#N/A,TRUE,"ECA_Qtrs_F";"ECA Qtrs G",#N/A,TRUE,"ECA_Qtrs_G";"ECA SisterApt",#N/A,TRUE,"ECA_SisterApt";"ECA Nurses",#N/A,TRUE,"ECA_NursesHostel"}</definedName>
    <definedName name="gfh" hidden="1">{"ECA Qtrs C",#N/A,TRUE,"ECA_Qtrs_C";"ECA Qtrs D",#N/A,TRUE,"ECA_Qtrs_D";"ECA Qtrs F",#N/A,TRUE,"ECA_Qtrs_F";"ECA Qtrs G",#N/A,TRUE,"ECA_Qtrs_G";"ECA SisterApt",#N/A,TRUE,"ECA_SisterApt";"ECA Nurses",#N/A,TRUE,"ECA_NursesHostel"}</definedName>
    <definedName name="gfhgfh">#REF!</definedName>
    <definedName name="gfj" localSheetId="0" hidden="1">{"'Sheet1'!$L$16"}</definedName>
    <definedName name="gfj" hidden="1">{"'Sheet1'!$L$16"}</definedName>
    <definedName name="gfjf" localSheetId="0" hidden="1">{#N/A,#N/A,FALSE,"Sheet6"}</definedName>
    <definedName name="gfjf" hidden="1">{#N/A,#N/A,FALSE,"Sheet6"}</definedName>
    <definedName name="gfjnfg" localSheetId="0" hidden="1">{"'Sheet1'!$L$16"}</definedName>
    <definedName name="gfjnfg" hidden="1">{"'Sheet1'!$L$16"}</definedName>
    <definedName name="GFNGHFN" localSheetId="0" hidden="1">{"'Sheet1'!$L$16"}</definedName>
    <definedName name="GFNGHFN" hidden="1">{"'Sheet1'!$L$16"}</definedName>
    <definedName name="GFSDFSF" localSheetId="0" hidden="1">{"'Sheet1'!$L$16"}</definedName>
    <definedName name="GFSDFSF" hidden="1">{"'Sheet1'!$L$16"}</definedName>
    <definedName name="gfxhfh" localSheetId="0" hidden="1">{"'Sheet1'!$L$16"}</definedName>
    <definedName name="gfxhfh"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localSheetId="0" hidden="1">{"'Sheet1'!$L$16"}</definedName>
    <definedName name="GGBC1" hidden="1">{"'Sheet1'!$L$16"}</definedName>
    <definedName name="ggf" hidden="1">#REF!</definedName>
    <definedName name="GGG" hidden="1">#REF!</definedName>
    <definedName name="ggger" localSheetId="0" hidden="1">{#N/A,#N/A,FALSE,"지침";#N/A,#N/A,FALSE,"환경분석";#N/A,#N/A,FALSE,"Sheet16"}</definedName>
    <definedName name="ggger" hidden="1">{#N/A,#N/A,FALSE,"지침";#N/A,#N/A,FALSE,"환경분석";#N/A,#N/A,FALSE,"Sheet16"}</definedName>
    <definedName name="gggfdgdfg" hidden="1">#REF!</definedName>
    <definedName name="GGGG" hidden="1">#REF!</definedName>
    <definedName name="GGGGG" localSheetId="0" hidden="1">{#N/A,#N/A,TRUE,"SUM";#N/A,#N/A,TRUE,"EE";#N/A,#N/A,TRUE,"AC";#N/A,#N/A,TRUE,"SN"}</definedName>
    <definedName name="GGGGG" hidden="1">{#N/A,#N/A,TRUE,"SUM";#N/A,#N/A,TRUE,"EE";#N/A,#N/A,TRUE,"AC";#N/A,#N/A,TRUE,"SN"}</definedName>
    <definedName name="GGGGGG" hidden="1">#REF!</definedName>
    <definedName name="ggggggg" localSheetId="0" hidden="1">{#N/A,#N/A,FALSE,"전력간선"}</definedName>
    <definedName name="ggggggg" hidden="1">{#N/A,#N/A,FALSE,"전력간선"}</definedName>
    <definedName name="gggppiou" localSheetId="0" hidden="1">{#N/A,#N/A,FALSE,"Chi tiÆt"}</definedName>
    <definedName name="gggppiou"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RGH" hidden="1">{"'Sheet1'!$L$16"}</definedName>
    <definedName name="ggsf" hidden="1">#REF!</definedName>
    <definedName name="ggss" localSheetId="0" hidden="1">{"'Sheet1'!$L$16"}</definedName>
    <definedName name="ggss"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localSheetId="0" hidden="1">{#N/A,#N/A,FALSE,"Chi tiÆt"}</definedName>
    <definedName name="ghf" hidden="1">{#N/A,#N/A,FALSE,"Chi tiÆt"}</definedName>
    <definedName name="ghfj" localSheetId="0" hidden="1">{#N/A,#N/A,FALSE,"Sheet6"}</definedName>
    <definedName name="ghfj" hidden="1">{#N/A,#N/A,FALSE,"Sheet6"}</definedName>
    <definedName name="ghg" localSheetId="0" hidden="1">{"'Sheet1'!$L$16"}</definedName>
    <definedName name="ghg" hidden="1">{"'Sheet1'!$L$16"}</definedName>
    <definedName name="GHGF" localSheetId="0" hidden="1">{#N/A,#N/A,FALSE,"Sheet6"}</definedName>
    <definedName name="GHGF"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localSheetId="0" hidden="1">{#N/A,#N/A,FALSE,"Chi tiÆt"}</definedName>
    <definedName name="ghh" hidden="1">{#N/A,#N/A,FALSE,"Chi tiÆt"}</definedName>
    <definedName name="ghhdsg" hidden="1">#REF!</definedName>
    <definedName name="ghhgfj" hidden="1">#REF!</definedName>
    <definedName name="ghhh" localSheetId="0" hidden="1">{"'Sheet1'!$L$16"}</definedName>
    <definedName name="ghhh" hidden="1">{"'Sheet1'!$L$16"}</definedName>
    <definedName name="ghj" localSheetId="0" hidden="1">{"'Sheet1'!$L$16"}</definedName>
    <definedName name="ghj" hidden="1">{"'Sheet1'!$L$16"}</definedName>
    <definedName name="ghjgj" hidden="1">#REF!</definedName>
    <definedName name="ghjhgj" localSheetId="0" hidden="1">{"'Sheet1'!$L$16"}</definedName>
    <definedName name="ghjhgj" hidden="1">{"'Sheet1'!$L$16"}</definedName>
    <definedName name="GHK" localSheetId="0" hidden="1">{"'용역비'!$A$4:$C$8"}</definedName>
    <definedName name="GHK" hidden="1">{"'용역비'!$A$4:$C$8"}</definedName>
    <definedName name="ghsd" hidden="1">#REF!</definedName>
    <definedName name="GHTRH" localSheetId="0" hidden="1">{#N/A,#N/A,FALSE,"Sheet6"}</definedName>
    <definedName name="GHTRH" hidden="1">{#N/A,#N/A,FALSE,"Sheet6"}</definedName>
    <definedName name="gi" hidden="1">#REF!</definedName>
    <definedName name="gÎ" hidden="1">#REF!</definedName>
    <definedName name="giao" localSheetId="0" hidden="1">{"'Sheet1'!$L$16"}</definedName>
    <definedName name="giao" hidden="1">{"'Sheet1'!$L$16"}</definedName>
    <definedName name="gj" hidden="1">#REF!</definedName>
    <definedName name="gjfd" localSheetId="0" hidden="1">{"'Sheet1'!$L$16"}</definedName>
    <definedName name="gjfd" hidden="1">{"'Sheet1'!$L$16"}</definedName>
    <definedName name="gjfgvfh" localSheetId="0" hidden="1">{#N/A,#N/A,FALSE,"特殊室（ＢＱ表）"}</definedName>
    <definedName name="gjfgvfh" hidden="1">{#N/A,#N/A,FALSE,"特殊室（ＢＱ表）"}</definedName>
    <definedName name="GJG" hidden="1">#REF!</definedName>
    <definedName name="gjgjghh" hidden="1">#REF!</definedName>
    <definedName name="gjhhn" localSheetId="0" hidden="1">{"'Sheet1'!$L$16"}</definedName>
    <definedName name="gjhhn" hidden="1">{"'Sheet1'!$L$16"}</definedName>
    <definedName name="gjhi" localSheetId="0" hidden="1">{"'Sheet1'!$L$16"}</definedName>
    <definedName name="gjhi" hidden="1">{"'Sheet1'!$L$16"}</definedName>
    <definedName name="gjk" localSheetId="0" hidden="1">{0}</definedName>
    <definedName name="gjk" hidden="1">{0}</definedName>
    <definedName name="GJKHJFG" localSheetId="0" hidden="1">{"'Sheet1'!$L$16"}</definedName>
    <definedName name="GJKHJFG" hidden="1">{"'Sheet1'!$L$16"}</definedName>
    <definedName name="GJKHK" localSheetId="0" hidden="1">{"'Sheet1'!$L$16"}</definedName>
    <definedName name="GJKHK" hidden="1">{"'Sheet1'!$L$16"}</definedName>
    <definedName name="gjkj" localSheetId="0" hidden="1">{"'Sheet1'!$L$16"}</definedName>
    <definedName name="gjkj" hidden="1">{"'Sheet1'!$L$16"}</definedName>
    <definedName name="gjrđjsjs" localSheetId="0" hidden="1">{"'Sheet1'!$L$16"}</definedName>
    <definedName name="gjrđjsjs" hidden="1">{"'Sheet1'!$L$16"}</definedName>
    <definedName name="GLASS견적의뢰용" hidden="1">#REF!</definedName>
    <definedName name="glhlhl" localSheetId="0" hidden="1">{"'Sheet1'!$L$16"}</definedName>
    <definedName name="glhlhl" hidden="1">{"'Sheet1'!$L$16"}</definedName>
    <definedName name="glllhlh" localSheetId="0" hidden="1">{"'Sheet1'!$L$16"}</definedName>
    <definedName name="glllhlh" hidden="1">{"'Sheet1'!$L$16"}</definedName>
    <definedName name="GMG" localSheetId="0" hidden="1">{#N/A,#N/A,FALSE,"特殊室（ＢＱ表）"}</definedName>
    <definedName name="GMG" hidden="1">{#N/A,#N/A,FALSE,"特殊室（ＢＱ表）"}</definedName>
    <definedName name="gndfd" localSheetId="0" hidden="1">{"'Sheet1'!$L$16"}</definedName>
    <definedName name="gndfd" hidden="1">{"'Sheet1'!$L$16"}</definedName>
    <definedName name="gnfgf" localSheetId="0" hidden="1">{#N/A,#N/A,FALSE,"Chi tiÆt"}</definedName>
    <definedName name="gnfgf" hidden="1">{#N/A,#N/A,FALSE,"Chi tiÆt"}</definedName>
    <definedName name="GNFKD" localSheetId="0" hidden="1">{#N/A,#N/A,TRUE,"SUM";#N/A,#N/A,TRUE,"EE";#N/A,#N/A,TRUE,"AC";#N/A,#N/A,TRUE,"SN"}</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localSheetId="0" hidden="1">{#N/A,#N/A,TRUE,"Cover Memo";"Complete Sys. Estimate",#N/A,TRUE,"Change Summary";"Complete Sys. Estimate",#N/A,TRUE,"Estimate Summary";"Complete Sys. Estimate",#N/A,TRUE,"Dept. Summary";"Complete Sys. Estimate",#N/A,TRUE,"DOW Detail"}</definedName>
    <definedName name="GR" hidden="1">{#N/A,#N/A,TRUE,"Cover Memo";"Complete Sys. Estimate",#N/A,TRUE,"Change Summary";"Complete Sys. Estimate",#N/A,TRUE,"Estimate Summary";"Complete Sys. Estimate",#N/A,TRUE,"Dept. Summary";"Complete Sys. Estimate",#N/A,TRUE,"DOW Detail"}</definedName>
    <definedName name="gra" localSheetId="0" hidden="1">{"'Sheet1'!$L$16"}</definedName>
    <definedName name="gra" hidden="1">{"'Sheet1'!$L$16"}</definedName>
    <definedName name="grap_b" hidden="1">#REF!</definedName>
    <definedName name="GREG4E" localSheetId="0" hidden="1">{"'Sheet1'!$L$16"}</definedName>
    <definedName name="GREG4E" hidden="1">{"'Sheet1'!$L$16"}</definedName>
    <definedName name="gregre" hidden="1">#REF!</definedName>
    <definedName name="gresg" localSheetId="0" hidden="1">{"'Sheet1'!$L$16"}</definedName>
    <definedName name="gresg" hidden="1">{"'Sheet1'!$L$16"}</definedName>
    <definedName name="grew" hidden="1">#REF!</definedName>
    <definedName name="grgeg" hidden="1">#REF!</definedName>
    <definedName name="gsdbsa" localSheetId="0" hidden="1">{#N/A,#N/A,FALSE,"Chi tiÆt"}</definedName>
    <definedName name="gsdbsa" hidden="1">{#N/A,#N/A,FALSE,"Chi tiÆt"}</definedName>
    <definedName name="GSDGA" localSheetId="0" hidden="1">{"'Sheet1'!$L$16"}</definedName>
    <definedName name="GSDGA" hidden="1">{"'Sheet1'!$L$16"}</definedName>
    <definedName name="GSETGS" localSheetId="0" hidden="1">{#N/A,#N/A,FALSE,"Sheet6"}</definedName>
    <definedName name="GSETGS" hidden="1">{#N/A,#N/A,FALSE,"Sheet6"}</definedName>
    <definedName name="GSFFAFSFSDF" localSheetId="0" hidden="1">{"'Sheet1'!$L$16"}</definedName>
    <definedName name="GSFFAFSFSDF" hidden="1">{"'Sheet1'!$L$16"}</definedName>
    <definedName name="GSGSD" localSheetId="0" hidden="1">{"'Sheet1'!$L$16"}</definedName>
    <definedName name="GSGSD" hidden="1">{"'Sheet1'!$L$16"}</definedName>
    <definedName name="gshsdgf" localSheetId="0" hidden="1">{#N/A,#N/A,FALSE,"부대2"}</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localSheetId="0" hidden="1">{"'ROOF'!$B$6","'ROOF'!$B$6","'ROOF'!$B$6","'ROOF'!$B$6"}</definedName>
    <definedName name="gssl" hidden="1">{"'ROOF'!$B$6","'ROOF'!$B$6","'ROOF'!$B$6","'ROOF'!$B$6"}</definedName>
    <definedName name="GST">#REF!</definedName>
    <definedName name="GSummary" hidden="1">#REF!</definedName>
    <definedName name="gswee" hidden="1">#REF!</definedName>
    <definedName name="gteyhưez" localSheetId="0" hidden="1">{"'Sheet1'!$L$16"}</definedName>
    <definedName name="gteyhưez" hidden="1">{"'Sheet1'!$L$16"}</definedName>
    <definedName name="GTOTAL" localSheetId="0" hidden="1">{"'Sheet1'!$L$16"}</definedName>
    <definedName name="GTOTAL" hidden="1">{"'Sheet1'!$L$16"}</definedName>
    <definedName name="GTVLPhu" hidden="1">#REF!</definedName>
    <definedName name="GƯD" localSheetId="0" hidden="1">{"'Sheet1'!$L$16"}</definedName>
    <definedName name="GƯD" hidden="1">{"'Sheet1'!$L$16"}</definedName>
    <definedName name="GƯEGWEGED" localSheetId="0" hidden="1">{"'Sheet1'!$L$16"}</definedName>
    <definedName name="GƯEGWEGED"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estroom"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o" hidden="1">{#N/A,#N/A,FALSE,"Sheet6"}</definedName>
    <definedName name="GUUUUUU" localSheetId="0" hidden="1">{"ECA Qtrs C",#N/A,TRUE,"ECA_Qtrs_C";"ECA Qtrs D",#N/A,TRUE,"ECA_Qtrs_D";"ECA Qtrs F",#N/A,TRUE,"ECA_Qtrs_F";"ECA Qtrs G",#N/A,TRUE,"ECA_Qtrs_G";"ECA SisterApt",#N/A,TRUE,"ECA_SisterApt";"ECA Nurses",#N/A,TRUE,"ECA_NursesHostel"}</definedName>
    <definedName name="GUUUUUU" hidden="1">{"ECA Qtrs C",#N/A,TRUE,"ECA_Qtrs_C";"ECA Qtrs D",#N/A,TRUE,"ECA_Qtrs_D";"ECA Qtrs F",#N/A,TRUE,"ECA_Qtrs_F";"ECA Qtrs G",#N/A,TRUE,"ECA_Qtrs_G";"ECA SisterApt",#N/A,TRUE,"ECA_SisterApt";"ECA Nurses",#N/A,TRUE,"ECA_NursesHostel"}</definedName>
    <definedName name="GV" localSheetId="0" hidden="1">{#N/A,#N/A,FALSE,"CCTV"}</definedName>
    <definedName name="GV" hidden="1">{#N/A,#N/A,FALSE,"CCTV"}</definedName>
    <definedName name="gvjgkjh" localSheetId="0" hidden="1">{"'Sheet1'!$L$16"}</definedName>
    <definedName name="gvjgkjh" hidden="1">{"'Sheet1'!$L$16"}</definedName>
    <definedName name="gwewfw" hidden="1">#REF!</definedName>
    <definedName name="Gxd">#REF!</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 localSheetId="0" hidden="1">{"'Sheet1'!$L$16"}</definedName>
    <definedName name="h" hidden="1">{"'Sheet1'!$L$16"}</definedName>
    <definedName name="h_1" localSheetId="0" hidden="1">{"'Sheet1'!$L$16"}</definedName>
    <definedName name="h_1" hidden="1">{"'Sheet1'!$L$16"}</definedName>
    <definedName name="h_xoa" localSheetId="0" hidden="1">{"'Sheet1'!$L$16"}</definedName>
    <definedName name="h_xoa" hidden="1">{"'Sheet1'!$L$16"}</definedName>
    <definedName name="h_xoa_1" localSheetId="0" hidden="1">{"'Sheet1'!$L$16"}</definedName>
    <definedName name="h_xoa_1" hidden="1">{"'Sheet1'!$L$16"}</definedName>
    <definedName name="h_xoa2" localSheetId="0" hidden="1">{"'Sheet1'!$L$16"}</definedName>
    <definedName name="h_xoa2" hidden="1">{"'Sheet1'!$L$16"}</definedName>
    <definedName name="h_xoa2_1" localSheetId="0" hidden="1">{"'Sheet1'!$L$16"}</definedName>
    <definedName name="h_xoa2_1" hidden="1">{"'Sheet1'!$L$16"}</definedName>
    <definedName name="h_xoa3" localSheetId="0" hidden="1">{"'Sheet1'!$L$16"}</definedName>
    <definedName name="h_xoa3" hidden="1">{"'Sheet1'!$L$16"}</definedName>
    <definedName name="HA" localSheetId="0" hidden="1">{"'Sheet1'!$L$16"}</definedName>
    <definedName name="HA" hidden="1">{"'Sheet1'!$L$16"}</definedName>
    <definedName name="hai" hidden="1">#REF!</definedName>
    <definedName name="halong" localSheetId="0" hidden="1">{"'Sheet1'!$L$16"}</definedName>
    <definedName name="halong" hidden="1">{"'Sheet1'!$L$16"}</definedName>
    <definedName name="han" hidden="1">#REF!</definedName>
    <definedName name="hanh" localSheetId="0" hidden="1">{"'Sheet1'!$L$16"}</definedName>
    <definedName name="hanh" hidden="1">{"'Sheet1'!$L$16"}</definedName>
    <definedName name="HAO" localSheetId="0" hidden="1">{#N/A,#N/A,FALSE,"Sheet1"}</definedName>
    <definedName name="HAO" hidden="1">{#N/A,#N/A,FALSE,"Sheet1"}</definedName>
    <definedName name="haq" localSheetId="0" hidden="1">{"'Sheet1'!$L$16"}</definedName>
    <definedName name="haq" hidden="1">{"'Sheet1'!$L$16"}</definedName>
    <definedName name="hardwar" hidden="1">#REF!</definedName>
    <definedName name="hau" localSheetId="0" hidden="1">{"'Sheet1'!$L$16"}</definedName>
    <definedName name="hau" hidden="1">{"'Sheet1'!$L$16"}</definedName>
    <definedName name="hb" localSheetId="0" hidden="1">{"'Sheet1'!$L$16"}</definedName>
    <definedName name="hb" hidden="1">{"'Sheet1'!$L$16"}</definedName>
    <definedName name="hbbbbbb" localSheetId="0" hidden="1">{"'Sheet1'!$L$16"}</definedName>
    <definedName name="hbbbbbb" hidden="1">{"'Sheet1'!$L$16"}</definedName>
    <definedName name="hbhbh" localSheetId="0" hidden="1">{"'Sheet1'!$L$16"}</definedName>
    <definedName name="hbhbh" hidden="1">{"'Sheet1'!$L$16"}</definedName>
    <definedName name="HCNA" localSheetId="0" hidden="1">{"'Sheet1'!$L$16"}</definedName>
    <definedName name="HCNA" hidden="1">{"'Sheet1'!$L$16"}</definedName>
    <definedName name="hd" hidden="1">#REF!</definedName>
    <definedName name="HDFGHFD" localSheetId="0" hidden="1">{"'Sheet1'!$L$16"}</definedName>
    <definedName name="HDFGHFD" hidden="1">{"'Sheet1'!$L$16"}</definedName>
    <definedName name="hdfhdgf" hidden="1">#REF!</definedName>
    <definedName name="hdfhdh" hidden="1">#REF!</definedName>
    <definedName name="hdghndgnhg" hidden="1">#REF!</definedName>
    <definedName name="HDGUJ" localSheetId="0" hidden="1">{"'Sheet1'!$L$16"}</definedName>
    <definedName name="HDGUJ" hidden="1">{"'Sheet1'!$L$16"}</definedName>
    <definedName name="hdh" hidden="1">#REF!</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hj" hidden="1">{#N/A,#N/A,FALSE,"Chi tiÆt"}</definedName>
    <definedName name="HDPE15">#REF!</definedName>
    <definedName name="HDPE20">#REF!</definedName>
    <definedName name="HDPE30">#REF!</definedName>
    <definedName name="HDPE4">#REF!</definedName>
    <definedName name="hdyt" localSheetId="0" hidden="1">{"'Sheet1'!$L$16"}</definedName>
    <definedName name="hdyt" hidden="1">{"'Sheet1'!$L$16"}</definedName>
    <definedName name="he" hidden="1">#REF!</definedName>
    <definedName name="Heä_soá_laép_xaø_H">1.7</definedName>
    <definedName name="hee_opjg" localSheetId="0" hidden="1">{"'Sheet1'!$L$16"}</definedName>
    <definedName name="hee_opjg"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ehe" hidden="1">{#N/A,#N/A,FALSE,"Chi tiÆt"}</definedName>
    <definedName name="hehgeh" hidden="1">#REF!</definedName>
    <definedName name="hehreh" localSheetId="0" hidden="1">{"'Sheet1'!$L$16"}</definedName>
    <definedName name="hehreh" hidden="1">{"'Sheet1'!$L$16"}</definedName>
    <definedName name="help" localSheetId="0" hidden="1">{"summary",#N/A,FALSE,"Summary";"parameter",#N/A,FALSE,"Parameter Summary";"detail",#N/A,FALSE,"Detail";"gsf",#N/A,FALSE,"GSF"}</definedName>
    <definedName name="help" hidden="1">{"summary",#N/A,FALSE,"Summary";"parameter",#N/A,FALSE,"Parameter Summary";"detail",#N/A,FALSE,"Detail";"gsf",#N/A,FALSE,"GSF"}</definedName>
    <definedName name="help1" localSheetId="0" hidden="1">{#N/A,#N/A,FALSE,"Project Summary";#N/A,#N/A,FALSE,"Parameter Summary";#N/A,#N/A,FALSE,"Budget Control Report";#N/A,#N/A,FALSE,"DETAIL.XLS"}</definedName>
    <definedName name="help1" hidden="1">{#N/A,#N/A,FALSE,"Project Summary";#N/A,#N/A,FALSE,"Parameter Summary";#N/A,#N/A,FALSE,"Budget Control Report";#N/A,#N/A,FALSE,"DETAIL.XLS"}</definedName>
    <definedName name="hergyew" localSheetId="0" hidden="1">{"'Sheet1'!$L$16"}</definedName>
    <definedName name="hergyew" hidden="1">{"'Sheet1'!$L$16"}</definedName>
    <definedName name="herse" localSheetId="0" hidden="1">{#N/A,#N/A,FALSE,"Chi tiÆt"}</definedName>
    <definedName name="herse" hidden="1">{#N/A,#N/A,FALSE,"Chi tiÆt"}</definedName>
    <definedName name="hery" hidden="1">#REF!</definedName>
    <definedName name="HETH" localSheetId="0" hidden="1">{"'Sheet1'!$L$16"}</definedName>
    <definedName name="HETH" hidden="1">{"'Sheet1'!$L$16"}</definedName>
    <definedName name="hethongthoatnuocngoainha" hidden="1">#REF!</definedName>
    <definedName name="hẻy" localSheetId="0" hidden="1">{"'Sheet1'!$L$16"}</definedName>
    <definedName name="hẻy" hidden="1">{"'Sheet1'!$L$16"}</definedName>
    <definedName name="HFGHFGHDG" localSheetId="0" hidden="1">{"'Sheet1'!$L$16"}</definedName>
    <definedName name="HFGHFGHDG" hidden="1">{"'Sheet1'!$L$16"}</definedName>
    <definedName name="hfgk" localSheetId="0" hidden="1">{#N/A,#N/A,FALSE,"特殊室（ＢＱ表）"}</definedName>
    <definedName name="hfgk" hidden="1">{#N/A,#N/A,FALSE,"特殊室（ＢＱ表）"}</definedName>
    <definedName name="hfgsdf" localSheetId="0" hidden="1">{"'Sheet1'!$L$16"}</definedName>
    <definedName name="hfgsdf" hidden="1">{"'Sheet1'!$L$16"}</definedName>
    <definedName name="hfgsdf_1" localSheetId="0" hidden="1">{"'Sheet1'!$L$16"}</definedName>
    <definedName name="hfgsdf_1" hidden="1">{"'Sheet1'!$L$16"}</definedName>
    <definedName name="hfh" hidden="1">#REF!</definedName>
    <definedName name="hg" localSheetId="0" hidden="1">{"'Sheet1'!$L$16"}</definedName>
    <definedName name="hg" hidden="1">{"'Sheet1'!$L$16"}</definedName>
    <definedName name="HGDHDFG" localSheetId="0" hidden="1">{"'Sheet1'!$L$16"}</definedName>
    <definedName name="HGDHDFG" hidden="1">{"'Sheet1'!$L$16"}</definedName>
    <definedName name="hgdhdghd" localSheetId="0" hidden="1">{"'Sheet1'!$L$16"}</definedName>
    <definedName name="hgdhdghd" hidden="1">{"'Sheet1'!$L$16"}</definedName>
    <definedName name="hgf" hidden="1">#REF!</definedName>
    <definedName name="hgfagl" hidden="1">#REF!</definedName>
    <definedName name="HGFGJHG" localSheetId="0" hidden="1">{"'Sheet1'!$L$16"}</definedName>
    <definedName name="HGFGJHG"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localSheetId="0" hidden="1">{#N/A,#N/A,FALSE,"Chi tiÆt"}</definedName>
    <definedName name="hggf" hidden="1">{#N/A,#N/A,FALSE,"Chi tiÆt"}</definedName>
    <definedName name="hggg" localSheetId="0" hidden="1">{"'Sheet1'!$L$16"}</definedName>
    <definedName name="hggg" hidden="1">{"'Sheet1'!$L$16"}</definedName>
    <definedName name="HGH" localSheetId="0" hidden="1">{"'Sheet1'!$L$16"}</definedName>
    <definedName name="HGH" hidden="1">{"'Sheet1'!$L$16"}</definedName>
    <definedName name="HGHG" localSheetId="0" hidden="1">{"'Sheet1'!$L$16"}</definedName>
    <definedName name="HGHG" hidden="1">{"'Sheet1'!$L$16"}</definedName>
    <definedName name="hghghg" localSheetId="0" hidden="1">{"'Sheet1'!$L$16"}</definedName>
    <definedName name="hghghg" hidden="1">{"'Sheet1'!$L$16"}</definedName>
    <definedName name="hgj" localSheetId="0" hidden="1">{#N/A,#N/A,FALSE,"Sheet6"}</definedName>
    <definedName name="hgj" hidden="1">{#N/A,#N/A,FALSE,"Sheet6"}</definedName>
    <definedName name="hgjhkh" localSheetId="0" hidden="1">{"'Sheet1'!$L$16"}</definedName>
    <definedName name="hgjhkh" hidden="1">{"'Sheet1'!$L$16"}</definedName>
    <definedName name="hgjjjh" localSheetId="0" hidden="1">{"'Sheet1'!$L$16"}</definedName>
    <definedName name="hgjjjh" hidden="1">{"'Sheet1'!$L$16"}</definedName>
    <definedName name="HGKUK" hidden="1">#REF!</definedName>
    <definedName name="hgre_zdfhgfd" localSheetId="0" hidden="1">{"'Sheet1'!$L$16"}</definedName>
    <definedName name="hgre_zdfhgfd" hidden="1">{"'Sheet1'!$L$16"}</definedName>
    <definedName name="hgrf" localSheetId="0" hidden="1">{"'Sheet1'!$L$16"}</definedName>
    <definedName name="hgrf" hidden="1">{"'Sheet1'!$L$16"}</definedName>
    <definedName name="hgsa" localSheetId="0" hidden="1">{#N/A,#N/A,FALSE,"Chi tiÆt"}</definedName>
    <definedName name="hgsa" hidden="1">{#N/A,#N/A,FALSE,"Chi tiÆt"}</definedName>
    <definedName name="hh" localSheetId="0" hidden="1">{"'Sheet1'!$L$16"}</definedName>
    <definedName name="hh" hidden="1">{"'Sheet1'!$L$16"}</definedName>
    <definedName name="hhb" localSheetId="0" hidden="1">{"'Sheet1'!$L$16"}</definedName>
    <definedName name="hhb" hidden="1">{"'Sheet1'!$L$16"}</definedName>
    <definedName name="HHG" localSheetId="0" hidden="1">{"'ROOF'!$B$6","'ROOF'!$B$6","'ROOF'!$B$6","'ROOF'!$B$6"}</definedName>
    <definedName name="HHG" hidden="1">{"'ROOF'!$B$6","'ROOF'!$B$6","'ROOF'!$B$6","'ROOF'!$B$6"}</definedName>
    <definedName name="hhgggggg" localSheetId="0" hidden="1">{"'Sheet1'!$L$16"}</definedName>
    <definedName name="hhgggggg" hidden="1">{"'Sheet1'!$L$16"}</definedName>
    <definedName name="hhghg" localSheetId="0" hidden="1">{"'Sheet1'!$L$16"}</definedName>
    <definedName name="hhghg" hidden="1">{"'Sheet1'!$L$16"}</definedName>
    <definedName name="hhh" hidden="1">#REF!</definedName>
    <definedName name="HHHH" hidden="1">#REF!</definedName>
    <definedName name="hhhhh" hidden="1">#REF!</definedName>
    <definedName name="HHHHHH" localSheetId="0" hidden="1">{#N/A,#N/A,TRUE,"SUM";#N/A,#N/A,TRUE,"EE";#N/A,#N/A,TRUE,"AC";#N/A,#N/A,TRUE,"SN"}</definedName>
    <definedName name="HHHHHH" hidden="1">{#N/A,#N/A,TRUE,"SUM";#N/A,#N/A,TRUE,"EE";#N/A,#N/A,TRUE,"AC";#N/A,#N/A,TRUE,"SN"}</definedName>
    <definedName name="hhhhhhh" localSheetId="0" hidden="1">{"'Sheet1'!$L$16"}</definedName>
    <definedName name="hhhhhhh" hidden="1">{"'Sheet1'!$L$16"}</definedName>
    <definedName name="hhhhhu" localSheetId="0" hidden="1">{"'Sheet1'!$L$16"}</definedName>
    <definedName name="hhhhhu" hidden="1">{"'Sheet1'!$L$16"}</definedName>
    <definedName name="hhhlll" localSheetId="0" hidden="1">{"'Sheet1'!$L$16"}</definedName>
    <definedName name="hhhlll" hidden="1">{"'Sheet1'!$L$16"}</definedName>
    <definedName name="hhjd" localSheetId="0" hidden="1">{0}</definedName>
    <definedName name="hhjd" hidden="1">{0}</definedName>
    <definedName name="HiddenRows" hidden="1">#REF!</definedName>
    <definedName name="hiep" localSheetId="0" hidden="1">{#N/A,#N/A,FALSE,"Chi tiÆt"}</definedName>
    <definedName name="hiep" hidden="1">{#N/A,#N/A,FALSE,"Chi tiÆt"}</definedName>
    <definedName name="hiept2" localSheetId="0" hidden="1">{"'Sheet1'!$L$16"}</definedName>
    <definedName name="hiept2" hidden="1">{"'Sheet1'!$L$16"}</definedName>
    <definedName name="hieu" localSheetId="0" hidden="1">{"'Sheet1'!$L$16"}</definedName>
    <definedName name="hieu" hidden="1">{"'Sheet1'!$L$16"}</definedName>
    <definedName name="HIGE" hidden="1">#REF!</definedName>
    <definedName name="HIGH" hidden="1">#REF!</definedName>
    <definedName name="hihi" localSheetId="0" hidden="1">{"'Sheet1'!$L$16"}</definedName>
    <definedName name="hihi" hidden="1">{"'Sheet1'!$L$16"}</definedName>
    <definedName name="HIKH" hidden="1">#REF!</definedName>
    <definedName name="hj" localSheetId="0" hidden="1">{#N/A,#N/A,FALSE,"Sheet6"}</definedName>
    <definedName name="hj" hidden="1">{#N/A,#N/A,FALSE,"Sheet6"}</definedName>
    <definedName name="hjgs" hidden="1">#REF!</definedName>
    <definedName name="HJHH" localSheetId="0"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localSheetId="0" hidden="1">{"'Sheet1'!$L$16"}</definedName>
    <definedName name="hjjkl" hidden="1">{"'Sheet1'!$L$16"}</definedName>
    <definedName name="hjjpu" localSheetId="0" hidden="1">{"'Sheet1'!$L$16"}</definedName>
    <definedName name="hjjpu" hidden="1">{"'Sheet1'!$L$16"}</definedName>
    <definedName name="hjjþu" localSheetId="0" hidden="1">{"'Sheet1'!$L$16"}</definedName>
    <definedName name="hjjþu" hidden="1">{"'Sheet1'!$L$16"}</definedName>
    <definedName name="hjk" localSheetId="0" hidden="1">{"'Sheet1'!$L$16"}</definedName>
    <definedName name="hjk" hidden="1">{"'Sheet1'!$L$16"}</definedName>
    <definedName name="hjkl" hidden="1">#REF!</definedName>
    <definedName name="HJTHE" localSheetId="0" hidden="1">{"'Sheet1'!$L$16"}</definedName>
    <definedName name="HJTHE" hidden="1">{"'Sheet1'!$L$16"}</definedName>
    <definedName name="hkilgu" localSheetId="0" hidden="1">{#N/A,#N/A,FALSE,"포장2"}</definedName>
    <definedName name="hkilgu"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jlj" hidden="1">{"'Sheet1'!$L$16"}</definedName>
    <definedName name="hkl" localSheetId="0" hidden="1">{"'Sheet1'!$L$16"}</definedName>
    <definedName name="hkl" hidden="1">{"'Sheet1'!$L$16"}</definedName>
    <definedName name="hklhj" localSheetId="0" hidden="1">{"'Sheet1'!$L$16"}</definedName>
    <definedName name="hklhj" hidden="1">{"'Sheet1'!$L$16"}</definedName>
    <definedName name="hl">#REF!</definedName>
    <definedName name="hllgljl" localSheetId="0" hidden="1">{"'Sheet1'!$L$16"}</definedName>
    <definedName name="hllgljl" hidden="1">{"'Sheet1'!$L$16"}</definedName>
    <definedName name="hlo" hidden="1">#REF!</definedName>
    <definedName name="hm">#REF!</definedName>
    <definedName name="HMFDFG" localSheetId="0" hidden="1">{"'Sheet1'!$L$16"}</definedName>
    <definedName name="HMFDFG" hidden="1">{"'Sheet1'!$L$16"}</definedName>
    <definedName name="HMFGMFG" localSheetId="0" hidden="1">{"'Sheet1'!$L$16"}</definedName>
    <definedName name="HMFGMFG" hidden="1">{"'Sheet1'!$L$16"}</definedName>
    <definedName name="ho" localSheetId="0" hidden="1">{"'Sheet1'!$L$16"}</definedName>
    <definedName name="ho" hidden="1">{"'Sheet1'!$L$16"}</definedName>
    <definedName name="hoa" localSheetId="0" hidden="1">{"'Sheet1'!$L$16"}</definedName>
    <definedName name="hoa" hidden="1">{"'Sheet1'!$L$16"}</definedName>
    <definedName name="Hoang" localSheetId="0" hidden="1">{"'Sheet1'!$L$16"}</definedName>
    <definedName name="Hoang" hidden="1">{"'Sheet1'!$L$16"}</definedName>
    <definedName name="hoanthien" hidden="1">#REF!</definedName>
    <definedName name="hoc" localSheetId="0" hidden="1">{"'Sheet1'!$L$16"}</definedName>
    <definedName name="hoc" hidden="1">{"'Sheet1'!$L$16"}</definedName>
    <definedName name="hoe" localSheetId="0" hidden="1">{#N/A,#N/A,FALSE,"Chi tiÆt"}</definedName>
    <definedName name="hoe" hidden="1">{#N/A,#N/A,FALSE,"Chi tiÆt"}</definedName>
    <definedName name="hoi" localSheetId="0" hidden="1">{0}</definedName>
    <definedName name="hoi" hidden="1">{0}</definedName>
    <definedName name="hong" localSheetId="0" hidden="1">{"'Sheet1'!$L$16"}</definedName>
    <definedName name="hong" hidden="1">{"'Sheet1'!$L$16"}</definedName>
    <definedName name="hp" localSheetId="0" hidden="1">{"'Sheet1'!$L$16"}</definedName>
    <definedName name="hp" hidden="1">{"'Sheet1'!$L$16"}</definedName>
    <definedName name="HREHRE" localSheetId="0"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localSheetId="0" hidden="1">{#N/A,#N/A,FALSE,"CCTV"}</definedName>
    <definedName name="HTD" hidden="1">{#N/A,#N/A,FALSE,"CCTV"}</definedName>
    <definedName name="HTDLS">#REF!</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þ" localSheetId="0" hidden="1">{"'Sheet1'!$L$16"}</definedName>
    <definedName name="hþ" hidden="1">{"'Sheet1'!$L$16"}</definedName>
    <definedName name="HTHTR" localSheetId="0" hidden="1">{"'Sheet1'!$L$16"}</definedName>
    <definedName name="HTHTR" hidden="1">{"'Sheet1'!$L$16"}</definedName>
    <definedName name="hþwr" localSheetId="0" hidden="1">{"'Sheet1'!$L$16"}</definedName>
    <definedName name="hþwr" hidden="1">{"'Sheet1'!$L$16"}</definedName>
    <definedName name="htlm" localSheetId="0" hidden="1">{"'Sheet1'!$L$16"}</definedName>
    <definedName name="htlm" hidden="1">{"'Sheet1'!$L$16"}</definedName>
    <definedName name="html" localSheetId="0" hidden="1">{"'Sheet1'!$L$16"}</definedName>
    <definedName name="html" hidden="1">{"'Sheet1'!$L$16"}</definedName>
    <definedName name="HTML_CodePage" hidden="1">950</definedName>
    <definedName name="HTML_Control" localSheetId="0" hidden="1">{"'Sheet1'!$L$16"}</definedName>
    <definedName name="HTML_Control" hidden="1">{"'Sheet1'!$L$16"}</definedName>
    <definedName name="HTML_Control_1" localSheetId="0" hidden="1">{"'Sheet1'!$L$16"}</definedName>
    <definedName name="HTML_Control_1" hidden="1">{"'Sheet1'!$L$16"}</definedName>
    <definedName name="html_control_xoa2" localSheetId="0" hidden="1">{"'Sheet1'!$L$16"}</definedName>
    <definedName name="html_control_xoa2" hidden="1">{"'Sheet1'!$L$16"}</definedName>
    <definedName name="html_control_xoa2_1" localSheetId="0" hidden="1">{"'Sheet1'!$L$16"}</definedName>
    <definedName name="html_control_xoa2_1" hidden="1">{"'Sheet1'!$L$16"}</definedName>
    <definedName name="HTML_Control1" localSheetId="0" hidden="1">{"'Sheet1'!$L$16"}</definedName>
    <definedName name="HTML_Control1" hidden="1">{"'Sheet1'!$L$16"}</definedName>
    <definedName name="HTML_Control1_1" localSheetId="0" hidden="1">{"'Sheet1'!$L$16"}</definedName>
    <definedName name="HTML_Control1_1" hidden="1">{"'Sheet1'!$L$16"}</definedName>
    <definedName name="HTML_Controlmoi" localSheetId="0"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localSheetId="0" hidden="1">{"'Sheet1'!$L$16"}</definedName>
    <definedName name="html2" hidden="1">{"'Sheet1'!$L$16"}</definedName>
    <definedName name="HTMLCount" hidden="1">1</definedName>
    <definedName name="HTMLcpnmtrol" localSheetId="0" hidden="1">{"'Sheet1'!$L$16"}</definedName>
    <definedName name="HTMLcpnmtrol" hidden="1">{"'Sheet1'!$L$16"}</definedName>
    <definedName name="htmll" localSheetId="0" hidden="1">{"'Sheet1'!$L$16"}</definedName>
    <definedName name="htmll" hidden="1">{"'Sheet1'!$L$16"}</definedName>
    <definedName name="HTR" localSheetId="0" hidden="1">{#N/A,#N/A,FALSE,"이태원철근"}</definedName>
    <definedName name="HTR" hidden="1">{#N/A,#N/A,FALSE,"이태원철근"}</definedName>
    <definedName name="htrhrt" localSheetId="0" hidden="1">{"'Sheet1'!$L$16"}</definedName>
    <definedName name="htrhrt" hidden="1">{"'Sheet1'!$L$16"}</definedName>
    <definedName name="hu" localSheetId="0" hidden="1">{"'Sheet1'!$L$16"}</definedName>
    <definedName name="hu" hidden="1">{"'Sheet1'!$L$16"}</definedName>
    <definedName name="hu_1" localSheetId="0" hidden="1">{"'Sheet1'!$L$16"}</definedName>
    <definedName name="hu_1" hidden="1">{"'Sheet1'!$L$16"}</definedName>
    <definedName name="hud" localSheetId="0" hidden="1">{"'Sheet1'!$L$16"}</definedName>
    <definedName name="hud" hidden="1">{"'Sheet1'!$L$16"}</definedName>
    <definedName name="hudas" localSheetId="0" hidden="1">{"'Sheet1'!$L$16"}</definedName>
    <definedName name="hudas" hidden="1">{"'Sheet1'!$L$16"}</definedName>
    <definedName name="HUE" localSheetId="0" hidden="1">{"'Sheet1'!$L$16"}</definedName>
    <definedName name="HUE"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i" hidden="1">{"'Sheet1'!$L$16"}</definedName>
    <definedName name="HUNG" localSheetId="0" hidden="1">{#N/A,#N/A,FALSE,"Chi tiÆt"}</definedName>
    <definedName name="HUNG" hidden="1">{#N/A,#N/A,FALSE,"Chi tiÆt"}</definedName>
    <definedName name="hung3" localSheetId="0" hidden="1">{"'Sheet1'!$L$16"}</definedName>
    <definedName name="hung3" hidden="1">{"'Sheet1'!$L$16"}</definedName>
    <definedName name="hunh" localSheetId="0" hidden="1">{"'Sheet1'!$L$16"}</definedName>
    <definedName name="hunh" hidden="1">{"'Sheet1'!$L$16"}</definedName>
    <definedName name="huong" localSheetId="0" hidden="1">{"'Sheet1'!$L$16"}</definedName>
    <definedName name="huong" hidden="1">{"'Sheet1'!$L$16"}</definedName>
    <definedName name="hut" localSheetId="0" hidden="1">{"'Sheet1'!$L$16"}</definedName>
    <definedName name="hut" hidden="1">{"'Sheet1'!$L$16"}</definedName>
    <definedName name="HUU" localSheetId="0" hidden="1">{"'Sheet1'!$L$16"}</definedName>
    <definedName name="HUU" hidden="1">{"'Sheet1'!$L$16"}</definedName>
    <definedName name="huy" localSheetId="0" hidden="1">{"'Sheet1'!$L$16"}</definedName>
    <definedName name="huy" hidden="1">{"'Sheet1'!$L$16"}</definedName>
    <definedName name="huy_1" localSheetId="0" hidden="1">{"'Sheet1'!$L$16"}</definedName>
    <definedName name="huy_1" hidden="1">{"'Sheet1'!$L$16"}</definedName>
    <definedName name="huy_xoa" localSheetId="0" hidden="1">{"'Sheet1'!$L$16"}</definedName>
    <definedName name="huy_xoa" hidden="1">{"'Sheet1'!$L$16"}</definedName>
    <definedName name="huy_xoa_1" localSheetId="0" hidden="1">{"'Sheet1'!$L$16"}</definedName>
    <definedName name="huy_xoa_1" hidden="1">{"'Sheet1'!$L$16"}</definedName>
    <definedName name="huy_xoa2" localSheetId="0" hidden="1">{"'Sheet1'!$L$16"}</definedName>
    <definedName name="huy_xoa2" hidden="1">{"'Sheet1'!$L$16"}</definedName>
    <definedName name="huy_xoa2_1" localSheetId="0" hidden="1">{"'Sheet1'!$L$16"}</definedName>
    <definedName name="huy_xoa2_1" hidden="1">{"'Sheet1'!$L$16"}</definedName>
    <definedName name="huyen" localSheetId="0" hidden="1">{"'Sheet1'!$L$16"}</definedName>
    <definedName name="huyen" hidden="1">{"'Sheet1'!$L$16"}</definedName>
    <definedName name="huyhoa" localSheetId="0" hidden="1">{"'Sheet1'!$L$16"}</definedName>
    <definedName name="huyhoa" hidden="1">{"'Sheet1'!$L$16"}</definedName>
    <definedName name="huyhu" localSheetId="0" hidden="1">{"'Sheet1'!$L$16"}</definedName>
    <definedName name="huyhu" hidden="1">{"'Sheet1'!$L$16"}</definedName>
    <definedName name="huymoi" localSheetId="0" hidden="1">{"'Sheet1'!$L$16"}</definedName>
    <definedName name="huymoi" hidden="1">{"'Sheet1'!$L$16"}</definedName>
    <definedName name="HUYØ" localSheetId="0" hidden="1">{"'Sheet1'!$L$16"}</definedName>
    <definedName name="HUYØ" hidden="1">{"'Sheet1'!$L$16"}</definedName>
    <definedName name="huyy" localSheetId="0" hidden="1">{"'Sheet1'!$L$16"}</definedName>
    <definedName name="huyy" hidden="1">{"'Sheet1'!$L$16"}</definedName>
    <definedName name="huyyy" localSheetId="0" hidden="1">{"'Sheet1'!$L$16"}</definedName>
    <definedName name="huyyy" hidden="1">{"'Sheet1'!$L$16"}</definedName>
    <definedName name="hvac" hidden="1">#REF!</definedName>
    <definedName name="hvjhvj" localSheetId="0" hidden="1">{"'Sheet1'!$L$16"}</definedName>
    <definedName name="hvjhvj" hidden="1">{"'Sheet1'!$L$16"}</definedName>
    <definedName name="HW">1.15</definedName>
    <definedName name="hy" localSheetId="0" hidden="1">{"'Sheet1'!$L$16"}</definedName>
    <definedName name="hy" hidden="1">{"'Sheet1'!$L$16"}</definedName>
    <definedName name="hygy" hidden="1">#REF!</definedName>
    <definedName name="I" hidden="1">#REF!</definedName>
    <definedName name="Î" localSheetId="0" hidden="1">{#N/A,#N/A,FALSE,"Chi tiÆt"}</definedName>
    <definedName name="Î" hidden="1">{#N/A,#N/A,FALSE,"Chi tiÆt"}</definedName>
    <definedName name="icic">#N/A</definedName>
    <definedName name="ii" localSheetId="0" hidden="1">{#N/A,#N/A,FALSE,"지침";#N/A,#N/A,FALSE,"환경분석";#N/A,#N/A,FALSE,"Sheet16"}</definedName>
    <definedName name="ii"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iiiiiii"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hgfddffth" hidden="1">{"'Sheet1'!$L$16"}</definedName>
    <definedName name="ijn" localSheetId="0" hidden="1">{#N/A,#N/A,FALSE,"MARCH"}</definedName>
    <definedName name="ijn" hidden="1">{#N/A,#N/A,FALSE,"MARCH"}</definedName>
    <definedName name="IN" localSheetId="0" hidden="1">{"'Sheet1'!$L$16"}</definedName>
    <definedName name="IN"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Ît" localSheetId="0" hidden="1">{"'Sheet1'!$L$16"}</definedName>
    <definedName name="Ît" hidden="1">{"'Sheet1'!$L$16"}</definedName>
    <definedName name="ịth" localSheetId="0" hidden="1">{"'Sheet1'!$L$16"}</definedName>
    <definedName name="ịth" hidden="1">{"'Sheet1'!$L$16"}</definedName>
    <definedName name="ityityit" localSheetId="0" hidden="1">{#N/A,#N/A,FALSE,"변경관리예산";#N/A,#N/A,FALSE,"변경장비예산";#N/A,#N/A,FALSE,"변경준설예산";#N/A,#N/A,FALSE,"변경철구예산"}</definedName>
    <definedName name="ityityit" hidden="1">{#N/A,#N/A,FALSE,"변경관리예산";#N/A,#N/A,FALSE,"변경장비예산";#N/A,#N/A,FALSE,"변경준설예산";#N/A,#N/A,FALSE,"변경철구예산"}</definedName>
    <definedName name="iuliupoui" localSheetId="0" hidden="1">{"'Sheet1'!$L$16"}</definedName>
    <definedName name="iuliupoui" hidden="1">{"'Sheet1'!$L$16"}</definedName>
    <definedName name="iutrir" localSheetId="0" hidden="1">{#N/A,#N/A,FALSE,"부대1"}</definedName>
    <definedName name="iutrir" hidden="1">{#N/A,#N/A,FALSE,"부대1"}</definedName>
    <definedName name="iutryeg" hidden="1">#REF!</definedName>
    <definedName name="iuutyrv" hidden="1">#REF!</definedName>
    <definedName name="IV" localSheetId="0" hidden="1">{#N/A,#N/A,TRUE,"Cover Memo";"Ride Estimate",#N/A,TRUE,"Change Summary";"Ride Estimate",#N/A,TRUE,"Estimate Summary";"Ride Estimate",#N/A,TRUE,"Dept. Summary";"Ride Estimate",#N/A,TRUE,"DOW Detail"}</definedName>
    <definedName name="IV" hidden="1">{#N/A,#N/A,TRUE,"Cover Memo";"Ride Estimate",#N/A,TRUE,"Change Summary";"Ride Estimate",#N/A,TRUE,"Estimate Summary";"Ride Estimate",#N/A,TRUE,"Dept. Summary";"Ride Estimate",#N/A,TRUE,"DOW Detail"}</definedName>
    <definedName name="iwer" localSheetId="0" hidden="1">{"'Sheet1'!$L$16"}</definedName>
    <definedName name="iwer" hidden="1">{"'Sheet1'!$L$16"}</definedName>
    <definedName name="iylryi" localSheetId="0" hidden="1">{"'Sheet1'!$L$16"}</definedName>
    <definedName name="iylryi"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æít" hidden="1">{"'Sheet1'!$L$16"}</definedName>
    <definedName name="JDFHDH" localSheetId="0" hidden="1">{"'Sheet1'!$L$16"}</definedName>
    <definedName name="JDFHDH" hidden="1">{"'Sheet1'!$L$16"}</definedName>
    <definedName name="jfdjf" localSheetId="0" hidden="1">{#N/A,#N/A,FALSE,"Chi tiÆt"}</definedName>
    <definedName name="jfdjf" hidden="1">{#N/A,#N/A,FALSE,"Chi tiÆt"}</definedName>
    <definedName name="jfgjfjfj" hidden="1">#REF!</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FJFGHG" hidden="1">{"'Sheet1'!$L$16"}</definedName>
    <definedName name="jg" hidden="1">#REF!</definedName>
    <definedName name="jggui78" localSheetId="0" hidden="1">{"'Sheet1'!$L$16"}</definedName>
    <definedName name="jggui78" hidden="1">{"'Sheet1'!$L$16"}</definedName>
    <definedName name="JGHJFHJJ" localSheetId="0" hidden="1">{"'Sheet1'!$L$16"}</definedName>
    <definedName name="JGHJFHJJ" hidden="1">{"'Sheet1'!$L$16"}</definedName>
    <definedName name="JGJ" hidden="1">#REF!</definedName>
    <definedName name="jgtjdt" localSheetId="0" hidden="1">{"'Sheet1'!$L$16"}</definedName>
    <definedName name="jgtjdt" hidden="1">{"'Sheet1'!$L$16"}</definedName>
    <definedName name="jh" localSheetId="0" hidden="1">{"'Sheet1'!$L$16"}</definedName>
    <definedName name="jh" hidden="1">{"'Sheet1'!$L$16"}</definedName>
    <definedName name="jhakjhskjd" localSheetId="0" hidden="1">{0,0,0,0;0,0,TRUE,0;0,#N/A,FALSE,0;0,#N/A,FALSE,0;0,#N/A,FALSE,0;0,#N/A,FALSE,0;0,#N/A,FALSE,0}</definedName>
    <definedName name="jhakjhskjd" hidden="1">{0,0,0,0;0,0,TRUE,0;0,#N/A,FALSE,0;0,#N/A,FALSE,0;0,#N/A,FALSE,0;0,#N/A,FALSE,0;0,#N/A,FALSE,0}</definedName>
    <definedName name="jhfdgy" localSheetId="0" hidden="1">{"'Sheet1'!$L$16"}</definedName>
    <definedName name="jhfdgy"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hjh"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 hidden="1">{#N/A,#N/A,FALSE,"Sheet1"}</definedName>
    <definedName name="jjjj" localSheetId="0" hidden="1">{#N/A,#N/A,FALSE,"단가표지"}</definedName>
    <definedName name="jjjj" hidden="1">{#N/A,#N/A,FALSE,"단가표지"}</definedName>
    <definedName name="jjjjj" localSheetId="0" hidden="1">{"'Sheet1'!$L$16"}</definedName>
    <definedName name="jjjjj" hidden="1">{"'Sheet1'!$L$16"}</definedName>
    <definedName name="jjkk" localSheetId="0" hidden="1">{"'Sheet1'!$L$16"}</definedName>
    <definedName name="jjkk"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DFSJCSDKJ" hidden="1">{#N/A,#N/A,TRUE,"SUM";#N/A,#N/A,TRUE,"EE";#N/A,#N/A,TRUE,"AC";#N/A,#N/A,TRUE,"SN"}</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localSheetId="0" hidden="1">{"sintesi",#N/A,FALSE,"contrib_unit";"dett_materiali",#N/A,FALSE,"contrib_unit";"dett_lav.ne",#N/A,FALSE,"contrib_unit";"dett_altre_ind.li",#N/A,FALSE,"contrib_unit";"dett_commerciali",#N/A,FALSE,"contrib_unit"}</definedName>
    <definedName name="jkhjh" hidden="1">{"sintesi",#N/A,FALSE,"contrib_unit";"dett_materiali",#N/A,FALSE,"contrib_unit";"dett_lav.ne",#N/A,FALSE,"contrib_unit";"dett_altre_ind.li",#N/A,FALSE,"contrib_unit";"dett_commerciali",#N/A,FALSE,"contrib_unit"}</definedName>
    <definedName name="jkjk" hidden="1">#REF!</definedName>
    <definedName name="jkjlkl" localSheetId="0" hidden="1">{#N/A,#N/A,FALSE,"Chi tiÆt"}</definedName>
    <definedName name="jkjlkl" hidden="1">{#N/A,#N/A,FALSE,"Chi tiÆt"}</definedName>
    <definedName name="jkl" localSheetId="0" hidden="1">{"'Sheet1'!$L$16"}</definedName>
    <definedName name="jkl" hidden="1">{"'Sheet1'!$L$16"}</definedName>
    <definedName name="jmjkjk" localSheetId="0" hidden="1">{"'Break down'!$A$4"}</definedName>
    <definedName name="jmjkjk" hidden="1">{"'Break down'!$A$4"}</definedName>
    <definedName name="jn" localSheetId="0" hidden="1">{#N/A,#N/A,FALSE,"CCTV"}</definedName>
    <definedName name="jn" hidden="1">{#N/A,#N/A,FALSE,"CCTV"}</definedName>
    <definedName name="jo" localSheetId="0" hidden="1">{"'Sheet1'!$L$16"}</definedName>
    <definedName name="jo" hidden="1">{"'Sheet1'!$L$16"}</definedName>
    <definedName name="job.no" hidden="1">#REF!</definedName>
    <definedName name="jrtj" localSheetId="0" hidden="1">{#N/A,#N/A,FALSE,"Chi tiÆt"}</definedName>
    <definedName name="jrtj" hidden="1">{#N/A,#N/A,FALSE,"Chi tiÆt"}</definedName>
    <definedName name="JRY" localSheetId="0" hidden="1">{"'Sheet1'!$L$16"}</definedName>
    <definedName name="JRY" hidden="1">{"'Sheet1'!$L$16"}</definedName>
    <definedName name="jsdh" localSheetId="0" hidden="1">{"'Sheet1'!$L$16"}</definedName>
    <definedName name="jsdh" hidden="1">{"'Sheet1'!$L$16"}</definedName>
    <definedName name="jsdjs" localSheetId="0" hidden="1">{"'Sheet1'!$L$16"}</definedName>
    <definedName name="jsdjs"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localSheetId="0" hidden="1">{"'Sheet1'!$L$16"}</definedName>
    <definedName name="jsryj" hidden="1">{"'Sheet1'!$L$16"}</definedName>
    <definedName name="jt" localSheetId="0" hidden="1">{"'Sheet1'!$L$16"}</definedName>
    <definedName name="jt" hidden="1">{"'Sheet1'!$L$16"}</definedName>
    <definedName name="JTDEYW" localSheetId="0" hidden="1">{"'Sheet1'!$L$16"}</definedName>
    <definedName name="JTDEYW"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ru" localSheetId="0" hidden="1">{"'Sheet1'!$L$16"}</definedName>
    <definedName name="jtru" hidden="1">{"'Sheet1'!$L$16"}</definedName>
    <definedName name="jtrujt" localSheetId="0" hidden="1">{#N/A,#N/A,FALSE,"부대2"}</definedName>
    <definedName name="jtrujt" hidden="1">{#N/A,#N/A,FALSE,"부대2"}</definedName>
    <definedName name="jtyk" localSheetId="0" hidden="1">{"'Sheet1'!$L$16"}</definedName>
    <definedName name="jtyk" hidden="1">{"'Sheet1'!$L$16"}</definedName>
    <definedName name="JUNK" localSheetId="0" hidden="1">{"SCHEDULE",#N/A,FALSE,"Fin_sched"}</definedName>
    <definedName name="JUNK" hidden="1">{"SCHEDULE",#N/A,FALSE,"Fin_sched"}</definedName>
    <definedName name="JUNK2" localSheetId="0" hidden="1">{"SUMMARY",#N/A,FALSE,"Fin_sched"}</definedName>
    <definedName name="JUNK2" hidden="1">{"SUMMARY",#N/A,FALSE,"Fin_sched"}</definedName>
    <definedName name="JY" localSheetId="0" hidden="1">{"'Sheet1'!$L$16"}</definedName>
    <definedName name="JY" hidden="1">{"'Sheet1'!$L$16"}</definedName>
    <definedName name="jyuk" localSheetId="0" hidden="1">{"'Sheet1'!$L$16"}</definedName>
    <definedName name="jyuk" hidden="1">{"'Sheet1'!$L$16"}</definedName>
    <definedName name="jýỵy" localSheetId="0" hidden="1">{"'Sheet1'!$L$16"}</definedName>
    <definedName name="jýỵy" hidden="1">{"'Sheet1'!$L$16"}</definedName>
    <definedName name="k" localSheetId="0"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viecBAHUNG" localSheetId="0" hidden="1">{"'Sheet1'!$L$16"}</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localSheetId="0"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localSheetId="0" hidden="1">{"'Sheet1'!$L$16"}</definedName>
    <definedName name="KCThep" hidden="1">{"'Sheet1'!$L$16"}</definedName>
    <definedName name="kd" localSheetId="0" hidden="1">{"SUMMARY",#N/A,FALSE,"Fin_sched"}</definedName>
    <definedName name="kd" hidden="1">{"SUMMARY",#N/A,FALSE,"Fin_sched"}</definedName>
    <definedName name="kdb">(1+10%)</definedName>
    <definedName name="KDCNThonmoi20_00" localSheetId="0" hidden="1">{"'Sheet1'!$L$16"}</definedName>
    <definedName name="KDCNThonmoi20_00" hidden="1">{"'Sheet1'!$L$16"}</definedName>
    <definedName name="KDJU" localSheetId="0" hidden="1">{"'장비'!$A$3:$M$12"}</definedName>
    <definedName name="KDJU" hidden="1">{"'장비'!$A$3:$M$12"}</definedName>
    <definedName name="kdkk" localSheetId="0" hidden="1">{"'Sheet1'!$L$16"}</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localSheetId="0" hidden="1">{#N/A,#N/A,FALSE,"Chi tiÆt"}</definedName>
    <definedName name="kgdf" hidden="1">{#N/A,#N/A,FALSE,"Chi tiÆt"}</definedName>
    <definedName name="kgh" localSheetId="0" hidden="1">{"'Sheet1'!$L$16"}</definedName>
    <definedName name="kgh" hidden="1">{"'Sheet1'!$L$16"}</definedName>
    <definedName name="kgj" localSheetId="0" hidden="1">{#N/A,#N/A,FALSE,"MARCH"}</definedName>
    <definedName name="kgj" hidden="1">{#N/A,#N/A,FALSE,"MARCH"}</definedName>
    <definedName name="khanh" hidden="1">#REF!</definedName>
    <definedName name="khg" localSheetId="0" hidden="1">{"'Sheet1'!$L$16"}</definedName>
    <definedName name="khg" hidden="1">{"'Sheet1'!$L$16"}</definedName>
    <definedName name="KHGDFKHGFJKGF" hidden="1">#REF!</definedName>
    <definedName name="KHKN" localSheetId="0" hidden="1">{#N/A,#N/A,FALSE,"特殊室（ＢＱ表）"}</definedName>
    <definedName name="KHKN" hidden="1">{#N/A,#N/A,FALSE,"特殊室（ＢＱ表）"}</definedName>
    <definedName name="khkttt" localSheetId="0" hidden="1">{"'Sheet1'!$L$16"}</definedName>
    <definedName name="khkttt" hidden="1">{"'Sheet1'!$L$16"}</definedName>
    <definedName name="khoas" localSheetId="0" hidden="1">{"'Sheet1'!$L$16"}</definedName>
    <definedName name="khoas" hidden="1">{"'Sheet1'!$L$16"}</definedName>
    <definedName name="khoi" hidden="1">#REF!</definedName>
    <definedName name="KHOILUONG" localSheetId="0" hidden="1">{"'Sheet1'!$L$16"}</definedName>
    <definedName name="KHOILUONG" hidden="1">{"'Sheet1'!$L$16"}</definedName>
    <definedName name="KhongCT" localSheetId="0" hidden="1">{"'Sheet1'!$L$16"}</definedName>
    <definedName name="KhongCT" hidden="1">{"'Sheet1'!$L$16"}</definedName>
    <definedName name="khongtruotgia" localSheetId="0" hidden="1">{"'Sheet1'!$L$16"}</definedName>
    <definedName name="khongtruotgia" hidden="1">{"'Sheet1'!$L$16"}</definedName>
    <definedName name="khrc">(1+2%+12%)</definedName>
    <definedName name="khuyen" localSheetId="0" hidden="1">{"'Sheet1'!$L$16"}</definedName>
    <definedName name="khuyen" hidden="1">{"'Sheet1'!$L$16"}</definedName>
    <definedName name="khw">(1+10%)</definedName>
    <definedName name="Kien" localSheetId="0" hidden="1">{"'Sheet1'!$L$16"}</definedName>
    <definedName name="Kien" hidden="1">{"'Sheet1'!$L$16"}</definedName>
    <definedName name="kihjgbn" hidden="1">#REF!</definedName>
    <definedName name="kihsrog" hidden="1">#REF!</definedName>
    <definedName name="kiiuurtv" hidden="1">#REF!</definedName>
    <definedName name="kij" localSheetId="0" hidden="1">{#N/A,#N/A,FALSE,"MARCH"}</definedName>
    <definedName name="kij" hidden="1">{#N/A,#N/A,FALSE,"MARCH"}</definedName>
    <definedName name="kiyddfdr" localSheetId="0" hidden="1">{"'Sheet1'!$L$16"}</definedName>
    <definedName name="kiyddfdr" hidden="1">{"'Sheet1'!$L$16"}</definedName>
    <definedName name="kj" localSheetId="0" hidden="1">{#N/A,#N/A,FALSE,"Chi tiÆt"}</definedName>
    <definedName name="kj" hidden="1">{#N/A,#N/A,FALSE,"Chi tiÆt"}</definedName>
    <definedName name="kjgfk">#REF!</definedName>
    <definedName name="kjhkhj" localSheetId="0" hidden="1">{"'Sheet1'!$L$16"}</definedName>
    <definedName name="kjhkhj" hidden="1">{"'Sheet1'!$L$16"}</definedName>
    <definedName name="kjjkjgg" localSheetId="0" hidden="1">{"'Sheet1'!$L$16"}</definedName>
    <definedName name="kjjkjgg" hidden="1">{"'Sheet1'!$L$16"}</definedName>
    <definedName name="kjjlll" localSheetId="0" hidden="1">{"'Sheet1'!$L$16"}</definedName>
    <definedName name="kjjlll" hidden="1">{"'Sheet1'!$L$16"}</definedName>
    <definedName name="kjkjk" localSheetId="0" hidden="1">{"'Sheet1'!$L$16"}</definedName>
    <definedName name="kjkjk" hidden="1">{"'Sheet1'!$L$16"}</definedName>
    <definedName name="kjkjkj" localSheetId="0" hidden="1">{"'Sheet1'!$L$16"}</definedName>
    <definedName name="kjkjkj" hidden="1">{"'Sheet1'!$L$16"}</definedName>
    <definedName name="kjoh" localSheetId="0" hidden="1">{#N/A,#N/A,FALSE,"特殊室（ＢＱ表）"}</definedName>
    <definedName name="kjoh" hidden="1">{#N/A,#N/A,FALSE,"特殊室（ＢＱ表）"}</definedName>
    <definedName name="kjslog" hidden="1">#REF!</definedName>
    <definedName name="kk" hidden="1">#REF!</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gdss"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 hidden="1">{"'Sheet1'!$L$16"}</definedName>
    <definedName name="kkkkk" localSheetId="0" hidden="1">{"'Sheet1'!$L$16"}</definedName>
    <definedName name="kkkkk" hidden="1">{"'Sheet1'!$L$16"}</definedName>
    <definedName name="kkkl" localSheetId="0" hidden="1">{"'Sheet1'!$L$16"}</definedName>
    <definedName name="kkkl"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 hidden="1">{"'Sheet1'!$L$16"}</definedName>
    <definedName name="kkll" localSheetId="0" hidden="1">{"'Sheet1'!$L$16"}</definedName>
    <definedName name="kkll" hidden="1">{"'Sheet1'!$L$16"}</definedName>
    <definedName name="kklll" localSheetId="0" hidden="1">{"'Sheet1'!$L$16"}</definedName>
    <definedName name="kklll"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_Dai" hidden="1">{"'Sheet1'!$L$16"}</definedName>
    <definedName name="klbpif">1</definedName>
    <definedName name="KLduonggiaods" localSheetId="0" hidden="1">{"'Sheet1'!$L$16"}</definedName>
    <definedName name="KLduonggiaods" hidden="1">{"'Sheet1'!$L$16"}</definedName>
    <definedName name="klhkl" localSheetId="0" hidden="1">{#N/A,#N/A,FALSE,"CCTV"}</definedName>
    <definedName name="klhkl" hidden="1">{#N/A,#N/A,FALSE,"CCTV"}</definedName>
    <definedName name="kljg" localSheetId="0" hidden="1">{"'Sheet1'!$L$16"}</definedName>
    <definedName name="kljg" hidden="1">{"'Sheet1'!$L$16"}</definedName>
    <definedName name="klkklk" localSheetId="0" hidden="1">{#N/A,#N/A,FALSE,"Sheet1";#N/A,#N/A,FALSE,"Sheet3";#N/A,#N/A,FALSE,"Sheet5"}</definedName>
    <definedName name="klkklk" hidden="1">{#N/A,#N/A,FALSE,"Sheet1";#N/A,#N/A,FALSE,"Sheet3";#N/A,#N/A,FALSE,"Sheet5"}</definedName>
    <definedName name="KLLT" hidden="1">#REF!</definedName>
    <definedName name="klm" localSheetId="0" hidden="1">{"'Sheet1'!$L$16"}</definedName>
    <definedName name="klm" hidden="1">{"'Sheet1'!$L$16"}</definedName>
    <definedName name="klnhhh" localSheetId="0" hidden="1">{"'Sheet1'!$L$16"}</definedName>
    <definedName name="klnhhh" hidden="1">{"'Sheet1'!$L$16"}</definedName>
    <definedName name="KLYCAU" hidden="1">#REF!</definedName>
    <definedName name="KNDAT_CHUA_SU_DUNG" hidden="1">#REF!</definedName>
    <definedName name="kon" localSheetId="0" hidden="1">{"'Sheet1'!$L$16"}</definedName>
    <definedName name="kon" hidden="1">{"'Sheet1'!$L$16"}</definedName>
    <definedName name="kopen">2</definedName>
    <definedName name="kpif">1</definedName>
    <definedName name="kpump">(1+7%)</definedName>
    <definedName name="krainpi">(1+15%)</definedName>
    <definedName name="ks" localSheetId="0" hidden="1">{"'Sheet1'!$L$16"}</definedName>
    <definedName name="ks" hidden="1">{"'Sheet1'!$L$16"}</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tf" hidden="1">#REF!</definedName>
    <definedName name="kty" hidden="1">#REF!</definedName>
    <definedName name="kukek" localSheetId="0" hidden="1">{"'Sheet1'!$L$16"}</definedName>
    <definedName name="kukek" hidden="1">{"'Sheet1'!$L$16"}</definedName>
    <definedName name="kuklk" localSheetId="0" hidden="1">{"'Sheet1'!$L$16"}</definedName>
    <definedName name="kuklk" hidden="1">{"'Sheet1'!$L$16"}</definedName>
    <definedName name="kutkuk" localSheetId="0" hidden="1">{"'Sheet1'!$L$16"}</definedName>
    <definedName name="kutkuk" hidden="1">{"'Sheet1'!$L$16"}</definedName>
    <definedName name="kvalf">(1+15%)</definedName>
    <definedName name="Kye" hidden="1">#REF!</definedName>
    <definedName name="kyhieu">#REF!</definedName>
    <definedName name="KYUKGH" localSheetId="0" hidden="1">{"'Sheet1'!$L$16"}</definedName>
    <definedName name="KYUKGH" hidden="1">{"'Sheet1'!$L$16"}</definedName>
    <definedName name="kywer23" hidden="1">#REF!</definedName>
    <definedName name="l" localSheetId="0">{"Book1","BoQ2.XLS"}</definedName>
    <definedName name="l">{"Book1","BoQ2.XLS"}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m" hidden="1">{"'Sheet1'!$L$16"}</definedName>
    <definedName name="lan" localSheetId="0" hidden="1">{#N/A,#N/A,TRUE,"BT M200 da 10x20"}</definedName>
    <definedName name="lan" hidden="1">{#N/A,#N/A,TRUE,"BT M200 da 10x20"}</definedName>
    <definedName name="langson" localSheetId="0" hidden="1">{"'Sheet1'!$L$16"}</definedName>
    <definedName name="langson" hidden="1">{"'Sheet1'!$L$16"}</definedName>
    <definedName name="LanTrai" hidden="1">#REF!</definedName>
    <definedName name="lapmoi8430" localSheetId="0"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localSheetId="0" hidden="1">{#N/A,#N/A,FALSE,"사업총괄";#N/A,#N/A,FALSE,"장비사업";#N/A,#N/A,FALSE,"철구사업";#N/A,#N/A,FALSE,"준설사업"}</definedName>
    <definedName name="LC산출" hidden="1">{#N/A,#N/A,FALSE,"사업총괄";#N/A,#N/A,FALSE,"장비사업";#N/A,#N/A,FALSE,"철구사업";#N/A,#N/A,FALSE,"준설사업"}</definedName>
    <definedName name="le" localSheetId="0" hidden="1">{"'Sheet1'!$L$16"}</definedName>
    <definedName name="le" hidden="1">{"'Sheet1'!$L$16"}</definedName>
    <definedName name="LEE" localSheetId="0" hidden="1">{#N/A,#N/A,FALSE,"구조2"}</definedName>
    <definedName name="LEE"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localSheetId="0" hidden="1">{"'Sheet1'!$L$16"}</definedName>
    <definedName name="lgala" hidden="1">{"'Sheet1'!$L$16"}</definedName>
    <definedName name="lhhh" localSheetId="0" hidden="1">{#N/A,#N/A,FALSE,"Chi tiÆt"}</definedName>
    <definedName name="lhhh" hidden="1">{#N/A,#N/A,FALSE,"Chi tiÆt"}</definedName>
    <definedName name="li" localSheetId="0" hidden="1">{"'용역비'!$A$4:$C$8"}</definedName>
    <definedName name="li" hidden="1">{"'용역비'!$A$4:$C$8"}</definedName>
    <definedName name="LID">40</definedName>
    <definedName name="lie" localSheetId="0" hidden="1">{"'Sheet1'!$L$16"}</definedName>
    <definedName name="lie" hidden="1">{"'Sheet1'!$L$16"}</definedName>
    <definedName name="lifts" hidden="1">#REF!</definedName>
    <definedName name="limcount" hidden="1">4</definedName>
    <definedName name="linh" localSheetId="0" hidden="1">{"'Sheet1'!$L$16"}</definedName>
    <definedName name="linh" hidden="1">{"'Sheet1'!$L$16"}</definedName>
    <definedName name="linhT" localSheetId="0" hidden="1">{"'Sheet1'!$L$16"}</definedName>
    <definedName name="linhT" hidden="1">{"'Sheet1'!$L$16"}</definedName>
    <definedName name="List" localSheetId="0" hidden="1">{"'Sheet1'!$L$16"}</definedName>
    <definedName name="List" hidden="1">{"'Sheet1'!$L$16"}</definedName>
    <definedName name="LIUJHG" hidden="1">#REF!</definedName>
    <definedName name="ljhghg" localSheetId="0" hidden="1">{"'Sheet1'!$L$16"}</definedName>
    <definedName name="ljhghg" hidden="1">{"'Sheet1'!$L$16"}</definedName>
    <definedName name="ljklk" localSheetId="0" hidden="1">{"'Sheet1'!$L$16"}</definedName>
    <definedName name="ljklk" hidden="1">{"'Sheet1'!$L$16"}</definedName>
    <definedName name="ljl" hidden="1">#REF!</definedName>
    <definedName name="lk" localSheetId="0" hidden="1">{#N/A,#N/A,FALSE,"mgtsum.XLS";#N/A,#N/A,FALSE,"CAPONE";#N/A,#N/A,FALSE,"CAPTWO";#N/A,#N/A,FALSE,"CAPTHREE"}</definedName>
    <definedName name="lk" hidden="1">{#N/A,#N/A,FALSE,"mgtsum.XLS";#N/A,#N/A,FALSE,"CAPONE";#N/A,#N/A,FALSE,"CAPTWO";#N/A,#N/A,FALSE,"CAPTHREE"}</definedName>
    <definedName name="lkj" localSheetId="0" hidden="1">{"'Sheet1'!$L$16"}</definedName>
    <definedName name="lkj" hidden="1">{"'Sheet1'!$L$16"}</definedName>
    <definedName name="lkjhgf" localSheetId="0" hidden="1">{"'Sheet1'!$L$16"}</definedName>
    <definedName name="lkjhgf" hidden="1">{"'Sheet1'!$L$16"}</definedName>
    <definedName name="lkklll" localSheetId="0" hidden="1">{"'Sheet1'!$L$16"}</definedName>
    <definedName name="lkklll" hidden="1">{"'Sheet1'!$L$16"}</definedName>
    <definedName name="lklkhh" localSheetId="0" hidden="1">{"'Sheet1'!$L$16"}</definedName>
    <definedName name="lklkhh"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 hidden="1">{#N/A,#N/A,FALSE,"特殊室（ＢＱ表）"}</definedName>
    <definedName name="LLL\" hidden="1">#REF!</definedName>
    <definedName name="lllj" localSheetId="0" hidden="1">{"'Sheet1'!$L$16"}</definedName>
    <definedName name="lllj" hidden="1">{"'Sheet1'!$L$16"}</definedName>
    <definedName name="LLLL" localSheetId="0" hidden="1">{"ECA Qtrs C",#N/A,TRUE,"ECA_Qtrs_C";"ECA Qtrs D",#N/A,TRUE,"ECA_Qtrs_D";"ECA Qtrs F",#N/A,TRUE,"ECA_Qtrs_F";"ECA Qtrs G",#N/A,TRUE,"ECA_Qtrs_G";"ECA SisterApt",#N/A,TRUE,"ECA_SisterApt";"ECA Nurses",#N/A,TRUE,"ECA_NursesHostel"}</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localSheetId="0" hidden="1">{#N/A,#N/A,FALSE,"CCTV"}</definedName>
    <definedName name="loan" hidden="1">{#N/A,#N/A,FALSE,"CCTV"}</definedName>
    <definedName name="LOCO" localSheetId="0" hidden="1">{"'Sheet1'!$L$16"}</definedName>
    <definedName name="LOCO" hidden="1">{"'Sheet1'!$L$16"}</definedName>
    <definedName name="LOCO2" localSheetId="0" hidden="1">{"'Sheet1'!$L$16"}</definedName>
    <definedName name="LOCO2" hidden="1">{"'Sheet1'!$L$16"}</definedName>
    <definedName name="LOD">120</definedName>
    <definedName name="LOIOP" hidden="1">#REF!</definedName>
    <definedName name="lon" localSheetId="0" hidden="1">{"'Sheet1'!$L$16"}</definedName>
    <definedName name="lon" hidden="1">{"'Sheet1'!$L$16"}</definedName>
    <definedName name="Long" localSheetId="0" hidden="1">{"'Sheet1'!$L$16"}</definedName>
    <definedName name="Long" hidden="1">{"'Sheet1'!$L$16"}</definedName>
    <definedName name="lontrau" localSheetId="0" hidden="1">{"'Sheet1'!$L$16"}</definedName>
    <definedName name="lontrau" hidden="1">{"'Sheet1'!$L$16"}</definedName>
    <definedName name="lop" localSheetId="0" hidden="1">{#N/A,#N/A,FALSE,"特殊室（ＢＱ表）"}</definedName>
    <definedName name="lop" hidden="1">{#N/A,#N/A,FALSE,"特殊室（ＢＱ表）"}</definedName>
    <definedName name="lop." localSheetId="0" hidden="1">{#N/A,#N/A,FALSE,"特殊室（ＢＱ表）"}</definedName>
    <definedName name="lop." hidden="1">{#N/A,#N/A,FALSE,"特殊室（ＢＱ表）"}</definedName>
    <definedName name="lt" hidden="1">#REF!</definedName>
    <definedName name="LTrai" hidden="1">#REF!</definedName>
    <definedName name="lu" hidden="1">#REF!</definedName>
    <definedName name="luan" localSheetId="0" hidden="1">{"'Sheet1'!$L$16"}</definedName>
    <definedName name="luan" hidden="1">{"'Sheet1'!$L$16"}</definedName>
    <definedName name="luc" hidden="1">#REF!</definedName>
    <definedName name="luong" localSheetId="0" hidden="1">{"'Sheet1'!$L$16"}</definedName>
    <definedName name="luong" hidden="1">{"'Sheet1'!$L$16"}</definedName>
    <definedName name="luyÕn" localSheetId="0" hidden="1">{"'Sheet1'!$L$16"}</definedName>
    <definedName name="luyÕn" hidden="1">{"'Sheet1'!$L$16"}</definedName>
    <definedName name="m">10^6</definedName>
    <definedName name="M10." localSheetId="0" hidden="1">{"'Sheet1'!$L$16"}</definedName>
    <definedName name="M1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he" hidden="1">{#N/A,#N/A,FALSE,"估價單  (3)"}</definedName>
    <definedName name="Mai" localSheetId="0" hidden="1">{"'Sheet1'!$L$16"}</definedName>
    <definedName name="Mai" hidden="1">{"'Sheet1'!$L$16"}</definedName>
    <definedName name="mainu" localSheetId="0" hidden="1">{"'ROOF'!$B$6","'ROOF'!$B$6","'ROOF'!$B$6","'ROOF'!$B$6"}</definedName>
    <definedName name="mainu" hidden="1">{"'ROOF'!$B$6","'ROOF'!$B$6","'ROOF'!$B$6","'ROOF'!$B$6"}</definedName>
    <definedName name="MAITAI.11.MARCH08" localSheetId="0" hidden="1">{"'Sheet1'!$L$16"}</definedName>
    <definedName name="MAITAI.11.MARCH08"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R" hidden="1">{#N/A,#N/A,FALSE,"MARCH"}</definedName>
    <definedName name="Masonry" localSheetId="0" hidden="1">{#N/A,#N/A,FALSE,"Tabelle2";#N/A,#N/A,FALSE,"Tabelle1"}</definedName>
    <definedName name="Masonry" hidden="1">{#N/A,#N/A,FALSE,"Tabelle2";#N/A,#N/A,FALSE,"Tabelle1"}</definedName>
    <definedName name="mass">#REF!</definedName>
    <definedName name="mat.spare" localSheetId="0" hidden="1">{"'ELEC'!$A$2:$H$216","'ELEC'!$C$2:$D$2"}</definedName>
    <definedName name="mat.spare" hidden="1">{"'ELEC'!$A$2:$H$216","'ELEC'!$C$2:$D$2"}</definedName>
    <definedName name="MAU" localSheetId="0" hidden="1">{"'Sheet1'!$L$16"}</definedName>
    <definedName name="MAU" hidden="1">{"'Sheet1'!$L$16"}</definedName>
    <definedName name="May" localSheetId="0" hidden="1">{#N/A,#N/A,FALSE,"MARCH"}</definedName>
    <definedName name="May" hidden="1">{#N/A,#N/A,FALSE,"MARCH"}</definedName>
    <definedName name="mbm" localSheetId="0" hidden="1">{"'Sheet1'!$L$16"}</definedName>
    <definedName name="mbm"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b" hidden="1">{#N/A,#N/A,FALSE,"CCTV"}</definedName>
    <definedName name="MCCO" localSheetId="0" hidden="1">{#N/A,#N/A,FALSE,"CCTV"}</definedName>
    <definedName name="MCCO" hidden="1">{#N/A,#N/A,FALSE,"CCTV"}</definedName>
    <definedName name="MCCO10" localSheetId="0" hidden="1">{#N/A,#N/A,FALSE,"CCTV"}</definedName>
    <definedName name="MCCO10" hidden="1">{#N/A,#N/A,FALSE,"CCTV"}</definedName>
    <definedName name="MCCO11" localSheetId="0" hidden="1">{#N/A,#N/A,FALSE,"CCTV"}</definedName>
    <definedName name="MCCO11" hidden="1">{#N/A,#N/A,FALSE,"CCTV"}</definedName>
    <definedName name="MCCO12" localSheetId="0" hidden="1">{#N/A,#N/A,FALSE,"CCTV"}</definedName>
    <definedName name="MCCO12" hidden="1">{#N/A,#N/A,FALSE,"CCTV"}</definedName>
    <definedName name="MCCO13" localSheetId="0" hidden="1">{#N/A,#N/A,FALSE,"CCTV"}</definedName>
    <definedName name="MCCO13" hidden="1">{#N/A,#N/A,FALSE,"CCTV"}</definedName>
    <definedName name="MCCO3" localSheetId="0" hidden="1">{#N/A,#N/A,FALSE,"CCTV"}</definedName>
    <definedName name="MCCO3" hidden="1">{#N/A,#N/A,FALSE,"CCTV"}</definedName>
    <definedName name="MCCO4" localSheetId="0" hidden="1">{#N/A,#N/A,FALSE,"CCTV"}</definedName>
    <definedName name="MCCO4" hidden="1">{#N/A,#N/A,FALSE,"CCTV"}</definedName>
    <definedName name="MCCO5" localSheetId="0" hidden="1">{#N/A,#N/A,FALSE,"CCTV"}</definedName>
    <definedName name="MCCO5" hidden="1">{#N/A,#N/A,FALSE,"CCTV"}</definedName>
    <definedName name="MCCO6" localSheetId="0" hidden="1">{#N/A,#N/A,FALSE,"CCTV"}</definedName>
    <definedName name="MCCO6" hidden="1">{#N/A,#N/A,FALSE,"CCTV"}</definedName>
    <definedName name="MCCO7" localSheetId="0" hidden="1">{#N/A,#N/A,FALSE,"CCTV"}</definedName>
    <definedName name="MCCO7" hidden="1">{#N/A,#N/A,FALSE,"CCTV"}</definedName>
    <definedName name="MCCO8" localSheetId="0" hidden="1">{#N/A,#N/A,FALSE,"CCTV"}</definedName>
    <definedName name="MCCO8" hidden="1">{#N/A,#N/A,FALSE,"CCTV"}</definedName>
    <definedName name="MCCO9" localSheetId="0" hidden="1">{#N/A,#N/A,FALSE,"CCTV"}</definedName>
    <definedName name="MCCO9" hidden="1">{#N/A,#N/A,FALSE,"CCTV"}</definedName>
    <definedName name="MCCOÙ" localSheetId="0" hidden="1">{#N/A,#N/A,FALSE,"CCTV"}</definedName>
    <definedName name="MCCOÙ" hidden="1">{#N/A,#N/A,FALSE,"CCTV"}</definedName>
    <definedName name="mck" localSheetId="0" hidden="1">{#N/A,#N/A,FALSE,"Chi tiÆt"}</definedName>
    <definedName name="mck" hidden="1">{#N/A,#N/A,FALSE,"Chi tiÆt"}</definedName>
    <definedName name="MData">#REF!</definedName>
    <definedName name="MDD">#REF!</definedName>
    <definedName name="Mech" hidden="1">#REF!</definedName>
    <definedName name="MFGND" localSheetId="0" hidden="1">{"'Sheet1'!$L$16"}</definedName>
    <definedName name="MFGND" hidden="1">{"'Sheet1'!$L$16"}</definedName>
    <definedName name="MFHMFGNG" localSheetId="0" hidden="1">{"'Sheet1'!$L$16"}</definedName>
    <definedName name="MFHMFGNG" hidden="1">{"'Sheet1'!$L$16"}</definedName>
    <definedName name="MGB" localSheetId="0" hidden="1">{#N/A,#N/A,FALSE,"特殊室（ＢＱ表）"}</definedName>
    <definedName name="MGB" hidden="1">{#N/A,#N/A,FALSE,"特殊室（ＢＱ表）"}</definedName>
    <definedName name="mh" localSheetId="0" hidden="1">{"'Sheet1'!$L$16"}</definedName>
    <definedName name="mh" hidden="1">{"'Sheet1'!$L$16"}</definedName>
    <definedName name="minh" localSheetId="0" hidden="1">{"'Sheet1'!$L$16"}</definedName>
    <definedName name="minh" hidden="1">{"'Sheet1'!$L$16"}</definedName>
    <definedName name="MItem">#REF!</definedName>
    <definedName name="mj" localSheetId="0" hidden="1">{#N/A,#N/A,FALSE,"표지"}</definedName>
    <definedName name="mj" hidden="1">{#N/A,#N/A,FALSE,"표지"}</definedName>
    <definedName name="mm" localSheetId="0">{"Book1","BoQ2.XLS"}</definedName>
    <definedName name="mm">{"Book1","BoQ2.XLS"}</definedName>
    <definedName name="MMaterial">#REF!</definedName>
    <definedName name="mmlj" localSheetId="0" hidden="1">{0}</definedName>
    <definedName name="mmlj" hidden="1">{0}</definedName>
    <definedName name="mmm" localSheetId="0" hidden="1">{"'Sheet1'!$L$16"}</definedName>
    <definedName name="mmm" hidden="1">{"'Sheet1'!$L$16"}</definedName>
    <definedName name="MMMM" localSheetId="0" hidden="1">{"'Sheet1'!$L$16"}</definedName>
    <definedName name="MMMM" hidden="1">{"'Sheet1'!$L$16"}</definedName>
    <definedName name="mmmmmmmm" localSheetId="0" hidden="1">{"'Sheet1'!$L$16"}</definedName>
    <definedName name="mmmmmmmm" hidden="1">{"'Sheet1'!$L$16"}</definedName>
    <definedName name="MNB" localSheetId="0" hidden="1">{#N/A,#N/A,FALSE,"特殊室（ＢＱ表）"}</definedName>
    <definedName name="MNB" hidden="1">{#N/A,#N/A,FALSE,"特殊室（ＢＱ表）"}</definedName>
    <definedName name="mnjjhkj" localSheetId="0" hidden="1">{#N/A,#N/A,FALSE,"Chi tiÆt"}</definedName>
    <definedName name="mnjjhkj" hidden="1">{#N/A,#N/A,FALSE,"Chi tiÆt"}</definedName>
    <definedName name="mo" localSheetId="0" hidden="1">{"'Sheet1'!$L$16"}</definedName>
    <definedName name="mo" hidden="1">{"'Sheet1'!$L$16"}</definedName>
    <definedName name="moi" localSheetId="0" hidden="1">{"'Sheet1'!$L$16"}</definedName>
    <definedName name="moi" hidden="1">{"'Sheet1'!$L$16"}</definedName>
    <definedName name="mot" localSheetId="0"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localSheetId="0" hidden="1">{#N/A,#N/A,FALSE,"CCTV"}</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localSheetId="0" hidden="1">{"'Sheet1'!$L$16"}</definedName>
    <definedName name="MTYMYTMY" hidden="1">{"'Sheet1'!$L$16"}</definedName>
    <definedName name="MucDauTu" hidden="1">#REF!</definedName>
    <definedName name="MV" localSheetId="0" hidden="1">{#N/A,#N/A,FALSE,"Sheet1";#N/A,#N/A,FALSE,"Sheet3";#N/A,#N/A,FALSE,"Sheet5"}</definedName>
    <definedName name="MV" hidden="1">{#N/A,#N/A,FALSE,"Sheet1";#N/A,#N/A,FALSE,"Sheet3";#N/A,#N/A,FALSE,"Sheet5"}</definedName>
    <definedName name="mvac" localSheetId="0" hidden="1">{"'Sheet1'!$L$16"}</definedName>
    <definedName name="mvac" hidden="1">{"'Sheet1'!$L$16"}</definedName>
    <definedName name="MyBC">"44 NK 4001"</definedName>
    <definedName name="myclient">"UNILEVER"</definedName>
    <definedName name="mylocation">"Ho Chi Minh City,VIETNAM"</definedName>
    <definedName name="n" hidden="1">#REF!</definedName>
    <definedName name="Na" localSheetId="0" hidden="1">{"'Sheet1'!$L$16"}</definedName>
    <definedName name="Na" hidden="1">{"'Sheet1'!$L$16"}</definedName>
    <definedName name="nam" localSheetId="0" hidden="1">{"'Sheet1'!$L$16"}</definedName>
    <definedName name="nam" hidden="1">{"'Sheet1'!$L$16"}</definedName>
    <definedName name="NAME" localSheetId="0" hidden="1">{#N/A,#N/A,TRUE,"SUM";#N/A,#N/A,TRUE,"EE";#N/A,#N/A,TRUE,"AC";#N/A,#N/A,TRUE,"SN"}</definedName>
    <definedName name="NAME"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localSheetId="0" hidden="1">{"'Sheet1'!$L$16"}</definedName>
    <definedName name="nbc" hidden="1">{"'Sheet1'!$L$16"}</definedName>
    <definedName name="nbfđ" localSheetId="0" hidden="1">{"'Sheet1'!$L$16"}</definedName>
    <definedName name="nbfđ" hidden="1">{"'Sheet1'!$L$16"}</definedName>
    <definedName name="NC">#REF!</definedName>
    <definedName name="NCga" localSheetId="0" hidden="1">{"'Sheet1'!$L$16"}</definedName>
    <definedName name="NCga" hidden="1">{"'Sheet1'!$L$16"}</definedName>
    <definedName name="NCVBXVCB" localSheetId="0" hidden="1">{"'Sheet1'!$L$16"}</definedName>
    <definedName name="NCVBXVCB" hidden="1">{"'Sheet1'!$L$16"}</definedName>
    <definedName name="NDFNDF" localSheetId="0" hidden="1">{"'Sheet1'!$L$16"}</definedName>
    <definedName name="NDFNDF" hidden="1">{"'Sheet1'!$L$16"}</definedName>
    <definedName name="NDFNDFB" localSheetId="0" hidden="1">{"'Sheet1'!$L$16"}</definedName>
    <definedName name="NDFNDFB" hidden="1">{"'Sheet1'!$L$16"}</definedName>
    <definedName name="NDFNDN" localSheetId="0" hidden="1">{"'Sheet1'!$L$16"}</definedName>
    <definedName name="NDFNDN" hidden="1">{"'Sheet1'!$L$16"}</definedName>
    <definedName name="NDFNSF" localSheetId="0" hidden="1">{"'Sheet1'!$L$16"}</definedName>
    <definedName name="NDFNSF" hidden="1">{"'Sheet1'!$L$16"}</definedName>
    <definedName name="NDGFD" localSheetId="0" hidden="1">{"'Sheet1'!$L$16"}</definedName>
    <definedName name="NDGFD" hidden="1">{"'Sheet1'!$L$16"}</definedName>
    <definedName name="NDGNFGNG" localSheetId="0" hidden="1">{"'Sheet1'!$L$16"}</definedName>
    <definedName name="NDGNFGNG" hidden="1">{"'Sheet1'!$L$16"}</definedName>
    <definedName name="NDNSBS" localSheetId="0" hidden="1">{"'Sheet1'!$L$16"}</definedName>
    <definedName name="NDNSBS" hidden="1">{"'Sheet1'!$L$16"}</definedName>
    <definedName name="Ne" localSheetId="0" hidden="1">{"'Sheet1'!$L$16"}</definedName>
    <definedName name="Ne"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localSheetId="0" hidden="1">{#N/A,#N/A,FALSE,"Chi tiÆt"}</definedName>
    <definedName name="nepcua" hidden="1">{#N/A,#N/A,FALSE,"Chi tiÆt"}</definedName>
    <definedName name="ner" localSheetId="0" hidden="1">{"'Sheet1'!$L$16"}</definedName>
    <definedName name="ner" hidden="1">{"'Sheet1'!$L$16"}</definedName>
    <definedName name="NEW" localSheetId="0" hidden="1">{#N/A,#N/A,FALSE,"Chi tiÆt"}</definedName>
    <definedName name="NEW" hidden="1">{#N/A,#N/A,FALSE,"Chi tiÆt"}</definedName>
    <definedName name="NEWNAME" localSheetId="0" hidden="1">{#N/A,#N/A,FALSE,"CCTV"}</definedName>
    <definedName name="NEWNAME" hidden="1">{#N/A,#N/A,FALSE,"CCTV"}</definedName>
    <definedName name="NFDBDB" localSheetId="0" hidden="1">{"'Sheet1'!$L$16"}</definedName>
    <definedName name="NFDBDB" hidden="1">{"'Sheet1'!$L$16"}</definedName>
    <definedName name="NFDNDF" localSheetId="0" hidden="1">{"'Sheet1'!$L$16"}</definedName>
    <definedName name="NFDNDF" hidden="1">{"'Sheet1'!$L$16"}</definedName>
    <definedName name="NFGJH" localSheetId="0" hidden="1">{"'Sheet1'!$L$16"}</definedName>
    <definedName name="NFGJH" hidden="1">{"'Sheet1'!$L$16"}</definedName>
    <definedName name="NFGMGF" localSheetId="0" hidden="1">{"'Sheet1'!$L$16"}</definedName>
    <definedName name="NFGMGF" hidden="1">{"'Sheet1'!$L$16"}</definedName>
    <definedName name="NFGNDBDF" localSheetId="0" hidden="1">{"'Sheet1'!$L$16"}</definedName>
    <definedName name="NFGNDBDF" hidden="1">{"'Sheet1'!$L$16"}</definedName>
    <definedName name="NFHJYFF" localSheetId="0" hidden="1">{"'Sheet1'!$L$16"}</definedName>
    <definedName name="NFHJYFF" hidden="1">{"'Sheet1'!$L$16"}</definedName>
    <definedName name="NFNGFH" localSheetId="0" hidden="1">{"'Sheet1'!$L$16"}</definedName>
    <definedName name="NFNGFH" hidden="1">{"'Sheet1'!$L$16"}</definedName>
    <definedName name="ng" localSheetId="0" hidden="1">{"'Sheet1'!$L$16"}</definedName>
    <definedName name="ng" hidden="1">{"'Sheet1'!$L$16"}</definedName>
    <definedName name="ngfhg" hidden="1">#REF!</definedName>
    <definedName name="ngfmg" localSheetId="0" hidden="1">{#N/A,#N/A,FALSE,"Chi tiÆt"}</definedName>
    <definedName name="ngfmg" hidden="1">{#N/A,#N/A,FALSE,"Chi tiÆt"}</definedName>
    <definedName name="NGFN" localSheetId="0" hidden="1">{"'Sheet1'!$L$16"}</definedName>
    <definedName name="NGFN" hidden="1">{"'Sheet1'!$L$16"}</definedName>
    <definedName name="nghgh" localSheetId="0" hidden="1">{"'Sheet1'!$L$16"}</definedName>
    <definedName name="nghgh" hidden="1">{"'Sheet1'!$L$16"}</definedName>
    <definedName name="NGK" localSheetId="0" hidden="1">{#N/A,#N/A,FALSE,"估價單  (3)"}</definedName>
    <definedName name="NGK" hidden="1">{#N/A,#N/A,FALSE,"估價單  (3)"}</definedName>
    <definedName name="ngljlj" localSheetId="0" hidden="1">{"'Sheet1'!$L$16"}</definedName>
    <definedName name="ngljlj" hidden="1">{"'Sheet1'!$L$16"}</definedName>
    <definedName name="ngu" localSheetId="0" hidden="1">{"'Sheet1'!$L$16"}</definedName>
    <definedName name="ngu" hidden="1">{"'Sheet1'!$L$16"}</definedName>
    <definedName name="NguyenDiep" localSheetId="0" hidden="1">{"'Sheet1'!$L$16"}</definedName>
    <definedName name="NguyenDiep" hidden="1">{"'Sheet1'!$L$16"}</definedName>
    <definedName name="nguyennha" localSheetId="0" hidden="1">{"'Sheet1'!$L$16"}</definedName>
    <definedName name="nguyennha" hidden="1">{"'Sheet1'!$L$16"}</definedName>
    <definedName name="nham" localSheetId="0" hidden="1">{0,#VALUE!,0,0;0,#VALUE!,0,#VALUE!;0,0,0,0;#NULL!,0,0,0;0,0,TRUE,0;0,#N/A,FALSE,0;0,#N/A,FALSE,0}</definedName>
    <definedName name="nham" hidden="1">{0,#VALUE!,0,0;0,#VALUE!,0,#VALUE!;0,0,0,0;#NULL!,0,0,0;0,0,TRUE,0;0,#N/A,FALSE,0;0,#N/A,FALSE,0}</definedName>
    <definedName name="Nhâm_CT" hidden="1">#REF!</definedName>
    <definedName name="NHANH2_CG4" localSheetId="0" hidden="1">{"'Sheet1'!$L$16"}</definedName>
    <definedName name="NHANH2_CG4" hidden="1">{"'Sheet1'!$L$16"}</definedName>
    <definedName name="nhanuoc" localSheetId="0" hidden="1">{"'Sheet1'!$L$16"}</definedName>
    <definedName name="nhanuoc" hidden="1">{"'Sheet1'!$L$16"}</definedName>
    <definedName name="NHAP5P" localSheetId="0" hidden="1">{"'Sheet1'!$L$16"}</definedName>
    <definedName name="NHAP5P" hidden="1">{"'Sheet1'!$L$16"}</definedName>
    <definedName name="nharac" localSheetId="0" hidden="1">{#N/A,#N/A,FALSE,"Chi tiÆt"}</definedName>
    <definedName name="nharac" hidden="1">{#N/A,#N/A,FALSE,"Chi tiÆt"}</definedName>
    <definedName name="Nhiem" localSheetId="0" hidden="1">{"'Sheet1'!$L$16"}</definedName>
    <definedName name="Nhiem" hidden="1">{"'Sheet1'!$L$16"}</definedName>
    <definedName name="nhjf" hidden="1">#REF!</definedName>
    <definedName name="nhjyeru" localSheetId="0" hidden="1">{"'Sheet1'!$L$16"}</definedName>
    <definedName name="nhjyeru" hidden="1">{"'Sheet1'!$L$16"}</definedName>
    <definedName name="NhomCT" hidden="1">#REF!</definedName>
    <definedName name="nhug" localSheetId="0" hidden="1">{"một";"hai";"ba";"bốn";"năm";"sáu";"bảy";"tám";"chín";"mười";"mươi";"mốt";"lăm";"trăm";"nghìn";"triệu";"tỷ";"lẻ";"không trăm";"Bằng chử : "}</definedName>
    <definedName name="nhug" hidden="1">{"một";"hai";"ba";"bốn";"năm";"sáu";"bảy";"tám";"chín";"mười";"mươi";"mốt";"lăm";"trăm";"nghìn";"triệu";"tỷ";"lẻ";"không trăm";"Bằng chử : "}</definedName>
    <definedName name="NHUNG" localSheetId="0" hidden="1">zIsDgiaCTiet_Gia.VTu*2+3</definedName>
    <definedName name="NHUNG" hidden="1">zIsDgiaCTiet_Gia.VTu*2+3</definedName>
    <definedName name="NINH" hidden="1">#REF!</definedName>
    <definedName name="nmhgnjm" hidden="1">#REF!</definedName>
    <definedName name="nn" localSheetId="0">{"Book1","BoQ2.XLS"}</definedName>
    <definedName name="nn">{"Book1","BoQ2.XLS"}</definedName>
    <definedName name="nnn" localSheetId="0" hidden="1">{"'Sheet1'!$L$16"}</definedName>
    <definedName name="nnn" hidden="1">{"'Sheet1'!$L$16"}</definedName>
    <definedName name="nnnn" hidden="1">#REF!</definedName>
    <definedName name="nnnnn" localSheetId="0" hidden="1">{"'Sheet1'!$L$16"}</definedName>
    <definedName name="nnnnn" hidden="1">{"'Sheet1'!$L$16"}</definedName>
    <definedName name="NO" hidden="1">#REF!</definedName>
    <definedName name="No.10" localSheetId="0" hidden="1">{"'Sheet1'!$L$16"}</definedName>
    <definedName name="No.10" hidden="1">{"'Sheet1'!$L$16"}</definedName>
    <definedName name="No.9" localSheetId="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localSheetId="0" hidden="1">{"'Sheet1'!$L$16"}</definedName>
    <definedName name="NRBFD" hidden="1">{"'Sheet1'!$L$16"}</definedName>
    <definedName name="NRNRD" localSheetId="0" hidden="1">{"'Sheet1'!$L$16"}</definedName>
    <definedName name="NRNRD" hidden="1">{"'Sheet1'!$L$16"}</definedName>
    <definedName name="NT" localSheetId="0"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localSheetId="0" hidden="1">{"'Sheet1'!$L$16"}</definedName>
    <definedName name="nttn" hidden="1">{"'Sheet1'!$L$16"}</definedName>
    <definedName name="ntwrt" hidden="1">#REF!</definedName>
    <definedName name="NUOCHKHOAN" localSheetId="0" hidden="1">{"'Sheet1'!$L$16"}</definedName>
    <definedName name="NUOCHKHOAN" hidden="1">{"'Sheet1'!$L$16"}</definedName>
    <definedName name="NUOCHKHOANMOI" localSheetId="0" hidden="1">{"'Sheet1'!$L$16"}</definedName>
    <definedName name="NUOCHKHOANMOI" hidden="1">{"'Sheet1'!$L$16"}</definedName>
    <definedName name="NVCB" localSheetId="0" hidden="1">{"'Sheet1'!$L$16"}</definedName>
    <definedName name="NVCB" hidden="1">{"'Sheet1'!$L$16"}</definedName>
    <definedName name="o" localSheetId="0" hidden="1">{"'Sheet1'!$L$16"}</definedName>
    <definedName name="o" hidden="1">{"'Sheet1'!$L$16"}</definedName>
    <definedName name="oa" hidden="1">#REF!</definedName>
    <definedName name="õadfgdfgdf" localSheetId="0" hidden="1">{"'Sheet1'!$L$16"}</definedName>
    <definedName name="õadfgdfgdf" hidden="1">{"'Sheet1'!$L$16"}</definedName>
    <definedName name="oanh" localSheetId="0" hidden="1">{"'Sheet1'!$L$16"}</definedName>
    <definedName name="oanh" hidden="1">{"'Sheet1'!$L$16"}</definedName>
    <definedName name="OC" localSheetId="0" hidden="1">{"'Sheet1'!$L$16"}</definedName>
    <definedName name="OC" hidden="1">{"'Sheet1'!$L$16"}</definedName>
    <definedName name="ocf" hidden="1">#REF!</definedName>
    <definedName name="ôclsaclnmc" localSheetId="0" hidden="1">{"'Sheet1'!$L$16"}</definedName>
    <definedName name="ôclsaclnmc" hidden="1">{"'Sheet1'!$L$16"}</definedName>
    <definedName name="office" localSheetId="0" hidden="1">{"'Sheet1'!$L$16"}</definedName>
    <definedName name="office" hidden="1">{"'Sheet1'!$L$16"}</definedName>
    <definedName name="OH">1.05</definedName>
    <definedName name="OIJYED" localSheetId="0" hidden="1">{"'Sheet1'!$L$16"}</definedName>
    <definedName name="OIJYED" hidden="1">{"'Sheet1'!$L$16"}</definedName>
    <definedName name="OIL" localSheetId="0" hidden="1">{"'용역비'!$A$4:$C$8"}</definedName>
    <definedName name="OIL" hidden="1">{"'용역비'!$A$4:$C$8"}</definedName>
    <definedName name="oiuy" localSheetId="0" hidden="1">{#N/A,#N/A,FALSE,"Chi tiÆt"}</definedName>
    <definedName name="oiuy" hidden="1">{#N/A,#N/A,FALSE,"Chi tiÆt"}</definedName>
    <definedName name="oiy" localSheetId="0" hidden="1">{#N/A,#N/A,FALSE,"포장2"}</definedName>
    <definedName name="oiy" hidden="1">{#N/A,#N/A,FALSE,"포장2"}</definedName>
    <definedName name="ok" localSheetId="0" hidden="1">{#N/A,#N/A,FALSE,"MARCH"}</definedName>
    <definedName name="ok" hidden="1">{#N/A,#N/A,FALSE,"MARCH"}</definedName>
    <definedName name="okay" localSheetId="0" hidden="1">{#N/A,#N/A,FALSE,"mgtsum.XLS";#N/A,#N/A,FALSE,"CAPONE";#N/A,#N/A,FALSE,"CAPTWO";#N/A,#N/A,FALSE,"CAPTHREE"}</definedName>
    <definedName name="okay" hidden="1">{#N/A,#N/A,FALSE,"mgtsum.XLS";#N/A,#N/A,FALSE,"CAPONE";#N/A,#N/A,FALSE,"CAPTWO";#N/A,#N/A,FALSE,"CAPTHREE"}</definedName>
    <definedName name="okko" localSheetId="0" hidden="1">{#N/A,#N/A,FALSE,"MARCH"}</definedName>
    <definedName name="okko" hidden="1">{#N/A,#N/A,FALSE,"MARCH"}</definedName>
    <definedName name="old" localSheetId="0" hidden="1">{"'ELEC'!$A$2:$H$216","'ELEC'!$C$2:$D$2"}</definedName>
    <definedName name="old" hidden="1">{"'ELEC'!$A$2:$H$216","'ELEC'!$C$2:$D$2"}</definedName>
    <definedName name="olk" localSheetId="0" hidden="1">{#N/A,#N/A,FALSE,"特殊室（ＢＱ表）"}</definedName>
    <definedName name="olk" hidden="1">{#N/A,#N/A,FALSE,"特殊室（ＢＱ表）"}</definedName>
    <definedName name="ong" hidden="1">#REF!</definedName>
    <definedName name="Ống" hidden="1">#REF!</definedName>
    <definedName name="ONP" hidden="1">#REF!</definedName>
    <definedName name="OO" hidden="1">#REF!</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localSheetId="0" hidden="1">{"'Sheet1'!$L$16"}</definedName>
    <definedName name="opiuy" hidden="1">{"'Sheet1'!$L$16"}</definedName>
    <definedName name="opo" localSheetId="0" hidden="1">{#N/A,#N/A,FALSE,"지침";#N/A,#N/A,FALSE,"환경분석";#N/A,#N/A,FALSE,"Sheet16"}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p" localSheetId="0" hidden="1">{"'Sheet1'!$L$16"}</definedName>
    <definedName name="p"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localSheetId="0" hidden="1">{"'Sheet1'!$L$16"}</definedName>
    <definedName name="PAIII_" hidden="1">{"'Sheet1'!$L$16"}</definedName>
    <definedName name="Panel" localSheetId="0" hidden="1">{#N/A,#N/A,TRUE,"SUM";#N/A,#N/A,TRUE,"EE";#N/A,#N/A,TRUE,"AC";#N/A,#N/A,TRUE,"SN"}</definedName>
    <definedName name="Panel" hidden="1">{#N/A,#N/A,TRUE,"SUM";#N/A,#N/A,TRUE,"EE";#N/A,#N/A,TRUE,"AC";#N/A,#N/A,TRUE,"SN"}</definedName>
    <definedName name="Panel_name">#REF!</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C" hidden="1">{"'Sheet1'!$L$16"}</definedName>
    <definedName name="pgq" hidden="1">#REF!</definedName>
    <definedName name="PGV" hidden="1">#REF!</definedName>
    <definedName name="PH">#REF!</definedName>
    <definedName name="phantich3" localSheetId="0" hidden="1">{"'Sheet1'!$L$16"}</definedName>
    <definedName name="phantich3" hidden="1">{"'Sheet1'!$L$16"}</definedName>
    <definedName name="phong" localSheetId="0" hidden="1">{"'Sheet1'!$L$16"}</definedName>
    <definedName name="phong" hidden="1">{"'Sheet1'!$L$16"}</definedName>
    <definedName name="PHOTO" hidden="1">#REF!</definedName>
    <definedName name="phuoc" localSheetId="0" hidden="1">{"'Sheet1'!$L$16"}</definedName>
    <definedName name="phuoc" hidden="1">{"'Sheet1'!$L$16"}</definedName>
    <definedName name="Phuong" localSheetId="0" hidden="1">{"'Sheet1'!$L$16"}</definedName>
    <definedName name="Phuong" hidden="1">{"'Sheet1'!$L$16"}</definedName>
    <definedName name="Piling" localSheetId="0" hidden="1">{#N/A,#N/A,FALSE,"CCTV"}</definedName>
    <definedName name="Piling" hidden="1">{#N/A,#N/A,FALSE,"CCTV"}</definedName>
    <definedName name="Pipe" localSheetId="0" hidden="1">{#N/A,#N/A,FALSE,"CCTV"}</definedName>
    <definedName name="Pipe" hidden="1">{#N/A,#N/A,FALSE,"CCTV"}</definedName>
    <definedName name="pkvhs0.75">'[1]Đơn giá theo m2'!$I$62</definedName>
    <definedName name="PlucBcaoTD" localSheetId="0" hidden="1">{"'Sheet1'!$L$16"}</definedName>
    <definedName name="PlucBcaoTD" hidden="1">{"'Sheet1'!$L$16"}</definedName>
    <definedName name="PMS" localSheetId="0" hidden="1">{"'Sheet1'!$L$16"}</definedName>
    <definedName name="PMS" hidden="1">{"'Sheet1'!$L$16"}</definedName>
    <definedName name="po">#REF!</definedName>
    <definedName name="poi" localSheetId="0" hidden="1">{"'Sheet1'!$L$16"}</definedName>
    <definedName name="poi" hidden="1">{"'Sheet1'!$L$16"}</definedName>
    <definedName name="pol" localSheetId="0" hidden="1">{#N/A,#N/A,FALSE,"Chi tiÆt"}</definedName>
    <definedName name="pol" hidden="1">{#N/A,#N/A,FALSE,"Chi tiÆt"}</definedName>
    <definedName name="pope" localSheetId="0" hidden="1">{"'Sheet1'!$L$16"}</definedName>
    <definedName name="pope" hidden="1">{"'Sheet1'!$L$16"}</definedName>
    <definedName name="Port1" localSheetId="0" hidden="1">{#N/A,#N/A,FALSE,"特殊室（ＢＱ表）"}</definedName>
    <definedName name="Port1" hidden="1">{#N/A,#N/A,FALSE,"特殊室（ＢＱ表）"}</definedName>
    <definedName name="port11" localSheetId="0" hidden="1">{#N/A,#N/A,FALSE,"特殊室（ＢＱ表）"}</definedName>
    <definedName name="port11" hidden="1">{#N/A,#N/A,FALSE,"特殊室（ＢＱ表）"}</definedName>
    <definedName name="pp" localSheetId="0" hidden="1">{#N/A,#N/A,FALSE,"OUTPUT SHEET "}</definedName>
    <definedName name="pp" hidden="1">{#N/A,#N/A,FALSE,"OUTPUT SHEET "}</definedName>
    <definedName name="ppp" hidden="1">#REF!</definedName>
    <definedName name="PPPP" localSheetId="0" hidden="1">{"'Sheet1'!$L$16"}</definedName>
    <definedName name="PPPP" hidden="1">{"'Sheet1'!$L$16"}</definedName>
    <definedName name="ppppp" localSheetId="0" hidden="1">{#N/A,#N/A,FALSE,"지침";#N/A,#N/A,FALSE,"환경분석";#N/A,#N/A,FALSE,"Sheet16"}</definedName>
    <definedName name="ppppp" hidden="1">{#N/A,#N/A,FALSE,"지침";#N/A,#N/A,FALSE,"환경분석";#N/A,#N/A,FALSE,"Sheet16"}</definedName>
    <definedName name="Prelim">0.1</definedName>
    <definedName name="prepared.by" hidden="1">#REF!</definedName>
    <definedName name="pri" localSheetId="0" hidden="1">{#N/A,#N/A,TRUE,"Str.";#N/A,#N/A,TRUE,"Steel &amp; Roof";#N/A,#N/A,TRUE,"Arc.";#N/A,#N/A,TRUE,"Preliminary";#N/A,#N/A,TRUE,"Sum_Prelim"}</definedName>
    <definedName name="pri" hidden="1">{#N/A,#N/A,TRUE,"Str.";#N/A,#N/A,TRUE,"Steel &amp; Roof";#N/A,#N/A,TRUE,"Arc.";#N/A,#N/A,TRUE,"Preliminary";#N/A,#N/A,TRUE,"Sum_Prelim"}</definedName>
    <definedName name="Print_Area_MI">#REF!</definedName>
    <definedName name="Print_Area_Reset" localSheetId="0">OFFSET(Full_Print,0,0,Last_Row)</definedName>
    <definedName name="Print_Area_Reset">OFFSET(Full_Print,0,0,Last_Row)</definedName>
    <definedName name="PRINT_TITLES_MI">#REF!</definedName>
    <definedName name="ProdForm" hidden="1">#REF!</definedName>
    <definedName name="Product" hidden="1">#REF!</definedName>
    <definedName name="PRODUCTION" localSheetId="0" hidden="1">{"'Sheet1'!$L$16"}</definedName>
    <definedName name="PRODUCTION" hidden="1">{"'Sheet1'!$L$16"}</definedName>
    <definedName name="psm" localSheetId="0" hidden="1">{"'Sheet1'!$L$16"}</definedName>
    <definedName name="psm" hidden="1">{"'Sheet1'!$L$16"}</definedName>
    <definedName name="pst" localSheetId="0" hidden="1">{"'Sheet1'!$L$16"}</definedName>
    <definedName name="pst" hidden="1">{"'Sheet1'!$L$16"}</definedName>
    <definedName name="ptdg">#REF!</definedName>
    <definedName name="ptich3" localSheetId="0" hidden="1">{"'Sheet1'!$L$16"}</definedName>
    <definedName name="ptich3" hidden="1">{"'Sheet1'!$L$16"}</definedName>
    <definedName name="PtichDTL">#N/A</definedName>
    <definedName name="PUBLIC" localSheetId="0" hidden="1">{"'Sheet1'!$L$16"}</definedName>
    <definedName name="PUBLIC" hidden="1">{"'Sheet1'!$L$16"}</definedName>
    <definedName name="PUC">#REF!</definedName>
    <definedName name="PVC" localSheetId="0" hidden="1">{"'Sheet1'!$L$16"}</definedName>
    <definedName name="PVC" hidden="1">{"'Sheet1'!$L$16"}</definedName>
    <definedName name="q" localSheetId="0" hidden="1">{"'Sheet1'!$L$16"}</definedName>
    <definedName name="q" hidden="1">{"'Sheet1'!$L$16"}</definedName>
    <definedName name="q234562456" localSheetId="0" hidden="1">{"'용역비'!$A$4:$C$8"}</definedName>
    <definedName name="q234562456" hidden="1">{"'용역비'!$A$4:$C$8"}</definedName>
    <definedName name="QAAA" hidden="1">#REF!</definedName>
    <definedName name="qasd" localSheetId="0" hidden="1">{"'Sheet1'!$L$16"}</definedName>
    <definedName name="qasd" hidden="1">{"'Sheet1'!$L$16"}</definedName>
    <definedName name="qcdc" localSheetId="0" hidden="1">{"'Sheet1'!$L$16"}</definedName>
    <definedName name="qcdc" hidden="1">{"'Sheet1'!$L$16"}</definedName>
    <definedName name="qd10_gt" localSheetId="0" hidden="1">{"'Sheet1'!$L$16"}</definedName>
    <definedName name="qd10_gt" hidden="1">{"'Sheet1'!$L$16"}</definedName>
    <definedName name="qd10_gt_1" localSheetId="0" hidden="1">{"'Sheet1'!$L$16"}</definedName>
    <definedName name="qd10_gt_1" hidden="1">{"'Sheet1'!$L$16"}</definedName>
    <definedName name="qd10_gt1" localSheetId="0" hidden="1">{"'Sheet1'!$L$16"}</definedName>
    <definedName name="qd10_gt1" hidden="1">{"'Sheet1'!$L$16"}</definedName>
    <definedName name="qdqdwd" localSheetId="0" hidden="1">{"'Sheet1'!$L$16"}</definedName>
    <definedName name="qdqdwd" hidden="1">{"'Sheet1'!$L$16"}</definedName>
    <definedName name="qdwfwdfwfwe" hidden="1">#REF!</definedName>
    <definedName name="qedgagsd" hidden="1">#REF!</definedName>
    <definedName name="qềqg" localSheetId="0" hidden="1">{"'Sheet1'!$L$16"}</definedName>
    <definedName name="qềqg" hidden="1">{"'Sheet1'!$L$16"}</definedName>
    <definedName name="qet" localSheetId="0" hidden="1">{"'Sheet1'!$L$16"}</definedName>
    <definedName name="qet" hidden="1">{"'Sheet1'!$L$16"}</definedName>
    <definedName name="qewewre" hidden="1">#REF!</definedName>
    <definedName name="qkqh1" localSheetId="0" hidden="1">{#N/A,#N/A,FALSE,"명세표"}</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localSheetId="0" hidden="1">{#N/A,#N/A,TRUE,"1";#N/A,#N/A,TRUE,"2";#N/A,#N/A,TRUE,"3";#N/A,#N/A,TRUE,"4";#N/A,#N/A,TRUE,"5";#N/A,#N/A,TRUE,"6";#N/A,#N/A,TRUE,"7"}</definedName>
    <definedName name="qncjstkdehdwhrud" hidden="1">{#N/A,#N/A,TRUE,"1";#N/A,#N/A,TRUE,"2";#N/A,#N/A,TRUE,"3";#N/A,#N/A,TRUE,"4";#N/A,#N/A,TRUE,"5";#N/A,#N/A,TRUE,"6";#N/A,#N/A,TRUE,"7"}</definedName>
    <definedName name="qöeqwerqwereq" hidden="1">#REF!</definedName>
    <definedName name="qor" hidden="1">#REF!</definedName>
    <definedName name="qq" localSheetId="0" hidden="1">{"'Sheet1'!$L$16"}</definedName>
    <definedName name="qq" hidden="1">{"'Sheet1'!$L$16"}</definedName>
    <definedName name="qqq" localSheetId="0" hidden="1">{"'Sheet1'!$L$16"}</definedName>
    <definedName name="qqq" hidden="1">{"'Sheet1'!$L$16"}</definedName>
    <definedName name="QQQ_1" localSheetId="0" hidden="1">{"'Sheet1'!$L$16"}</definedName>
    <definedName name="QQQ_1" hidden="1">{"'Sheet1'!$L$16"}</definedName>
    <definedName name="qqqq" localSheetId="0" hidden="1">{"'Sheet1'!$L$16"}</definedName>
    <definedName name="qqqq" hidden="1">{"'Sheet1'!$L$16"}</definedName>
    <definedName name="qqqqq" localSheetId="0" hidden="1">{"'Sheet1'!$L$16"}</definedName>
    <definedName name="qqqqq" hidden="1">{"'Sheet1'!$L$16"}</definedName>
    <definedName name="qqqqqqq" localSheetId="0" hidden="1">{"'Sheet1'!$L$16"}</definedName>
    <definedName name="qqqqqqq" hidden="1">{"'Sheet1'!$L$16"}</definedName>
    <definedName name="qqqqqqqqqqqqqqqqqqqqqq" localSheetId="0" hidden="1">{"'Sheet1'!$L$16"}</definedName>
    <definedName name="qqqqqqqqqqqqqqqqqqqqqq" hidden="1">{"'Sheet1'!$L$16"}</definedName>
    <definedName name="qrqer" hidden="1">#REF!</definedName>
    <definedName name="qrt" localSheetId="0" hidden="1">{"'Sheet1'!$L$16"}</definedName>
    <definedName name="qrt" hidden="1">{"'Sheet1'!$L$16"}</definedName>
    <definedName name="qrw" localSheetId="0" hidden="1">{#N/A,#N/A,FALSE,"Sheet2";#N/A,#N/A,FALSE,"Sheet4";#N/A,#N/A,FALSE,"Sheet6"}</definedName>
    <definedName name="qrw" hidden="1">{#N/A,#N/A,FALSE,"Sheet2";#N/A,#N/A,FALSE,"Sheet4";#N/A,#N/A,FALSE,"Sheet6"}</definedName>
    <definedName name="qthoan" localSheetId="0" hidden="1">{#N/A,#N/A,FALSE,"Chi tiÆt"}</definedName>
    <definedName name="qthoan" hidden="1">{#N/A,#N/A,FALSE,"Chi tiÆt"}</definedName>
    <definedName name="quan" localSheetId="0" hidden="1">{"'Sheet1'!$L$16"}</definedName>
    <definedName name="quan" hidden="1">{"'Sheet1'!$L$16"}</definedName>
    <definedName name="quang" hidden="1">#REF!</definedName>
    <definedName name="QUATANG" localSheetId="0" hidden="1">{"'Sheet1'!$L$16"}</definedName>
    <definedName name="QUATANG" hidden="1">{"'Sheet1'!$L$16"}</definedName>
    <definedName name="quoan" localSheetId="0" hidden="1">{"'Sheet1'!$L$16"}</definedName>
    <definedName name="quoan" hidden="1">{"'Sheet1'!$L$16"}</definedName>
    <definedName name="QUOC" hidden="1">#REF!</definedName>
    <definedName name="quyet" localSheetId="0" hidden="1">{"'Sheet1'!$L$16"}</definedName>
    <definedName name="quyet" hidden="1">{"'Sheet1'!$L$16"}</definedName>
    <definedName name="qvv" localSheetId="0" hidden="1">{"'Sheet1'!$L$16"}</definedName>
    <definedName name="qvv" hidden="1">{"'Sheet1'!$L$16"}</definedName>
    <definedName name="qw" localSheetId="0" hidden="1">{#N/A,#N/A,FALSE,"단가표지"}</definedName>
    <definedName name="qw" hidden="1">{#N/A,#N/A,FALSE,"단가표지"}</definedName>
    <definedName name="QWE" localSheetId="0" hidden="1">{"'Sheet1'!$L$16"}</definedName>
    <definedName name="QWE" hidden="1">{"'Sheet1'!$L$16"}</definedName>
    <definedName name="QWEQW" hidden="1">#REF!</definedName>
    <definedName name="qwer" localSheetId="0" hidden="1">{"'Sheet1'!$L$16"}</definedName>
    <definedName name="qwer" hidden="1">{"'Sheet1'!$L$16"}</definedName>
    <definedName name="qwerdg" hidden="1">#REF!</definedName>
    <definedName name="qwertet" localSheetId="0" hidden="1">{"'Sheet1'!$L$16"}</definedName>
    <definedName name="qwertet" hidden="1">{"'Sheet1'!$L$16"}</definedName>
    <definedName name="QWS" hidden="1">#REF!</definedName>
    <definedName name="qwtjzxdc" hidden="1">#REF!</definedName>
    <definedName name="qwwe" localSheetId="0" hidden="1">{#N/A,#N/A,FALSE,"CCTV"}</definedName>
    <definedName name="qwwe" hidden="1">{#N/A,#N/A,FALSE,"CCTV"}</definedName>
    <definedName name="qwwqe" localSheetId="0" hidden="1">{"'Sheet1'!$L$16"}</definedName>
    <definedName name="qwwqe" hidden="1">{"'Sheet1'!$L$16"}</definedName>
    <definedName name="qyk" localSheetId="0" hidden="1">{"'용역비'!$A$4:$C$8"}</definedName>
    <definedName name="qyk" hidden="1">{"'용역비'!$A$4:$C$8"}</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localSheetId="0" hidden="1">{"'Sheet1'!$L$16"}</definedName>
    <definedName name="RANH" hidden="1">{"'Sheet1'!$L$16"}</definedName>
    <definedName name="RANH2" localSheetId="0" hidden="1">{"'Sheet1'!$L$16"}</definedName>
    <definedName name="RANH2" hidden="1">{"'Sheet1'!$L$16"}</definedName>
    <definedName name="Ranhxay" localSheetId="0" hidden="1">{"'Sheet1'!$L$16"}</definedName>
    <definedName name="Ranhxay" hidden="1">{"'Sheet1'!$L$16"}</definedName>
    <definedName name="rate">14000</definedName>
    <definedName name="ratio_alu">#REF!</definedName>
    <definedName name="ratio_sd">#REF!</definedName>
    <definedName name="rbsr" localSheetId="0" hidden="1">{"'Sheet1'!$L$16"}</definedName>
    <definedName name="rbsr" hidden="1">{"'Sheet1'!$L$16"}</definedName>
    <definedName name="RCArea" hidden="1">#REF!</definedName>
    <definedName name="rdetgéhýdy" localSheetId="0" hidden="1">{#N/A,#N/A,FALSE,"Chi tiÆt"}</definedName>
    <definedName name="rdetgéhýdy" hidden="1">{#N/A,#N/A,FALSE,"Chi tiÆt"}</definedName>
    <definedName name="reawrew" localSheetId="0" hidden="1">{"'Sheet1'!$L$16"}</definedName>
    <definedName name="reawrew" hidden="1">{"'Sheet1'!$L$16"}</definedName>
    <definedName name="reay" localSheetId="0" hidden="1">{"'Sheet1'!$L$16"}</definedName>
    <definedName name="reay" hidden="1">{"'Sheet1'!$L$16"}</definedName>
    <definedName name="rebar">#REF!</definedName>
    <definedName name="_xlnm.Recorder" hidden="1">#REF!</definedName>
    <definedName name="RECOUT">#N/A</definedName>
    <definedName name="Ref" localSheetId="0" hidden="1">{"'Sheet1'!$L$16"}</definedName>
    <definedName name="Ref" hidden="1">{"'Sheet1'!$L$16"}</definedName>
    <definedName name="Regional" localSheetId="0" hidden="1">{#N/A,#N/A,FALSE,"mgtsum.XLS";#N/A,#N/A,FALSE,"CAPONE";#N/A,#N/A,FALSE,"CAPTWO";#N/A,#N/A,FALSE,"CAPTHREE"}</definedName>
    <definedName name="Regional" hidden="1">{#N/A,#N/A,FALSE,"mgtsum.XLS";#N/A,#N/A,FALSE,"CAPONE";#N/A,#N/A,FALSE,"CAPTWO";#N/A,#N/A,FALSE,"CAPTHREE"}</definedName>
    <definedName name="REGREGTERGT" hidden="1">#REF!</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localSheetId="0" hidden="1">{#N/A,#N/A,FALSE,"特殊室（ＢＱ表）"}</definedName>
    <definedName name="report1" hidden="1">{#N/A,#N/A,FALSE,"特殊室（ＢＱ表）"}</definedName>
    <definedName name="report2" localSheetId="0" hidden="1">{#N/A,#N/A,FALSE,"特殊室（ＢＱ表）"}</definedName>
    <definedName name="report2" hidden="1">{#N/A,#N/A,FALSE,"特殊室（ＢＱ表）"}</definedName>
    <definedName name="reprort" localSheetId="0" hidden="1">{#N/A,#N/A,FALSE,"MARCH"}</definedName>
    <definedName name="reprort" hidden="1">{#N/A,#N/A,FALSE,"MARCH"}</definedName>
    <definedName name="rêreeyre" localSheetId="0" hidden="1">{"'Sheet1'!$L$16"}</definedName>
    <definedName name="rêreeyre" hidden="1">{"'Sheet1'!$L$16"}</definedName>
    <definedName name="rergdf" hidden="1">#REF!</definedName>
    <definedName name="Result21" localSheetId="0" hidden="1">{"'Sheet1'!$L$16"}</definedName>
    <definedName name="Result21" hidden="1">{"'Sheet1'!$L$16"}</definedName>
    <definedName name="reuse" localSheetId="0" hidden="1">{#N/A,#N/A,FALSE,"mgtsum.XLS";#N/A,#N/A,FALSE,"CAPONE";#N/A,#N/A,FALSE,"CAPTWO";#N/A,#N/A,FALSE,"CAPTHREE"}</definedName>
    <definedName name="reuse" hidden="1">{#N/A,#N/A,FALSE,"mgtsum.XLS";#N/A,#N/A,FALSE,"CAPONE";#N/A,#N/A,FALSE,"CAPTWO";#N/A,#N/A,FALSE,"CAPTHREE"}</definedName>
    <definedName name="reûtht" localSheetId="0" hidden="1">{"'Sheet1'!$L$16"}</definedName>
    <definedName name="reûtht" hidden="1">{"'Sheet1'!$L$16"}</definedName>
    <definedName name="Revised" hidden="1">#REF!</definedName>
    <definedName name="rewgwegn" localSheetId="0" hidden="1">{"'Sheet1'!$L$16"}</definedName>
    <definedName name="rewgwegn" hidden="1">{"'Sheet1'!$L$16"}</definedName>
    <definedName name="rewr" localSheetId="0" hidden="1">{"'Sheet1'!$L$16"}</definedName>
    <definedName name="rewr" hidden="1">{"'Sheet1'!$L$16"}</definedName>
    <definedName name="rewrer" localSheetId="0" hidden="1">{"'Sheet1'!$L$16"}</definedName>
    <definedName name="rewrer" hidden="1">{"'Sheet1'!$L$16"}</definedName>
    <definedName name="rewrewr" localSheetId="0" hidden="1">{"'Sheet1'!$L$16"}</definedName>
    <definedName name="rewrewr" hidden="1">{"'Sheet1'!$L$16"}</definedName>
    <definedName name="RF" localSheetId="0" hidden="1">{#N/A,#N/A,FALSE,"CCTV"}</definedName>
    <definedName name="RF" hidden="1">{#N/A,#N/A,FALSE,"CCTV"}</definedName>
    <definedName name="rferfg" localSheetId="0" hidden="1">{"'Sheet1'!$L$16"}</definedName>
    <definedName name="rferfg" hidden="1">{"'Sheet1'!$L$16"}</definedName>
    <definedName name="rfwetet" localSheetId="0" hidden="1">{"'Sheet1'!$L$16"}</definedName>
    <definedName name="rfwetet" hidden="1">{"'Sheet1'!$L$16"}</definedName>
    <definedName name="rgdf" localSheetId="0" hidden="1">{"'Sheet1'!$L$16"}</definedName>
    <definedName name="rgdf" hidden="1">{"'Sheet1'!$L$16"}</definedName>
    <definedName name="rgeger" hidden="1">#REF!</definedName>
    <definedName name="rger" hidden="1">#REF!</definedName>
    <definedName name="rggsg" localSheetId="0" hidden="1">{"'Sheet1'!$L$16"}</definedName>
    <definedName name="rggsg" hidden="1">{"'Sheet1'!$L$16"}</definedName>
    <definedName name="rgwerg" localSheetId="0" hidden="1">{#N/A,#N/A,FALSE,"Chi tiÆt"}</definedName>
    <definedName name="rgwerg" hidden="1">{#N/A,#N/A,FALSE,"Chi tiÆt"}</definedName>
    <definedName name="RH" localSheetId="0" hidden="1">{#N/A,#N/A,FALSE,"주간공정";#N/A,#N/A,FALSE,"주간보고";#N/A,#N/A,FALSE,"주간공정표"}</definedName>
    <definedName name="RH" hidden="1">{#N/A,#N/A,FALSE,"주간공정";#N/A,#N/A,FALSE,"주간보고";#N/A,#N/A,FALSE,"주간공정표"}</definedName>
    <definedName name="rhgrs" localSheetId="0" hidden="1">{"'Sheet1'!$L$16"}</definedName>
    <definedName name="rhgrs" hidden="1">{"'Sheet1'!$L$16"}</definedName>
    <definedName name="RHODIA" localSheetId="0" hidden="1">{"'DocTypeCode'!$A$142:$A$226"}</definedName>
    <definedName name="RHODIA" hidden="1">{"'DocTypeCode'!$A$142:$A$226"}</definedName>
    <definedName name="rhq" localSheetId="0">{"Book1"}</definedName>
    <definedName name="rhq">{"Book1"}</definedName>
    <definedName name="Riacove">#REF!</definedName>
    <definedName name="RJJRJR" localSheetId="0" hidden="1">{#N/A,#N/A,FALSE,"주간공정";#N/A,#N/A,FALSE,"주간보고";#N/A,#N/A,FALSE,"주간공정표"}</definedName>
    <definedName name="RJJRJR" hidden="1">{#N/A,#N/A,FALSE,"주간공정";#N/A,#N/A,FALSE,"주간보고";#N/A,#N/A,FALSE,"주간공정표"}</definedName>
    <definedName name="rkd" localSheetId="0" hidden="1">{#N/A,#N/A,FALSE,"CCTV"}</definedName>
    <definedName name="rkd" hidden="1">{#N/A,#N/A,FALSE,"CCTV"}</definedName>
    <definedName name="rkdkd" localSheetId="0" hidden="1">{#N/A,#N/A,FALSE,"2~8번"}</definedName>
    <definedName name="rkdkd" hidden="1">{#N/A,#N/A,FALSE,"2~8번"}</definedName>
    <definedName name="RKDLKS" localSheetId="0" hidden="1">{#N/A,#N/A,TRUE,"1";#N/A,#N/A,TRUE,"2";#N/A,#N/A,TRUE,"3";#N/A,#N/A,TRUE,"4";#N/A,#N/A,TRUE,"5";#N/A,#N/A,TRUE,"6";#N/A,#N/A,TRUE,"7"}</definedName>
    <definedName name="RKDLKS" hidden="1">{#N/A,#N/A,TRUE,"1";#N/A,#N/A,TRUE,"2";#N/A,#N/A,TRUE,"3";#N/A,#N/A,TRUE,"4";#N/A,#N/A,TRUE,"5";#N/A,#N/A,TRUE,"6";#N/A,#N/A,TRUE,"7"}</definedName>
    <definedName name="RKRKRKRK" localSheetId="0" hidden="1">{#N/A,#N/A,FALSE,"주간공정";#N/A,#N/A,FALSE,"주간보고";#N/A,#N/A,FALSE,"주간공정표"}</definedName>
    <definedName name="RKRKRKRK" hidden="1">{#N/A,#N/A,FALSE,"주간공정";#N/A,#N/A,FALSE,"주간보고";#N/A,#N/A,FALSE,"주간공정표"}</definedName>
    <definedName name="RO" hidden="1">#REF!</definedName>
    <definedName name="Road" localSheetId="0" hidden="1">{"'Sheet1'!$L$16"}</definedName>
    <definedName name="Road" hidden="1">{"'Sheet1'!$L$16"}</definedName>
    <definedName name="row" hidden="1">#REF!</definedName>
    <definedName name="RPLA" localSheetId="0" hidden="1">{"'Sheet1'!$L$16"}</definedName>
    <definedName name="RPLA" hidden="1">{"'Sheet1'!$L$16"}</definedName>
    <definedName name="rr" localSheetId="0" hidden="1">{#N/A,#N/A,FALSE,"단가표지"}</definedName>
    <definedName name="rr" hidden="1">{#N/A,#N/A,FALSE,"단가표지"}</definedName>
    <definedName name="rrr" localSheetId="0" hidden="1">{"'Sheet1'!$L$16"}</definedName>
    <definedName name="rrr" hidden="1">{"'Sheet1'!$L$16"}</definedName>
    <definedName name="rrrr" localSheetId="0" hidden="1">{"'Sheet1'!$L$16"}</definedName>
    <definedName name="rrrr" hidden="1">{"'Sheet1'!$L$16"}</definedName>
    <definedName name="rrrrr" localSheetId="0" hidden="1">{"'장비'!$A$3:$M$12"}</definedName>
    <definedName name="rrrrr" hidden="1">{"'장비'!$A$3:$M$12"}</definedName>
    <definedName name="rrrrrr" hidden="1">#REF!</definedName>
    <definedName name="rrrrrrrr" localSheetId="0" hidden="1">{"'장비'!$A$3:$M$12"}</definedName>
    <definedName name="rrrrrrrr" hidden="1">{"'장비'!$A$3:$M$12"}</definedName>
    <definedName name="rrrrrrrrrr" localSheetId="0" hidden="1">{"'Sheet1'!$L$16"}</definedName>
    <definedName name="rrrrrrrrrr" hidden="1">{"'Sheet1'!$L$16"}</definedName>
    <definedName name="rrttt" localSheetId="0" hidden="1">{#N/A,#N/A,FALSE,"Chi tiÆt"}</definedName>
    <definedName name="rrttt" hidden="1">{#N/A,#N/A,FALSE,"Chi tiÆt"}</definedName>
    <definedName name="rsls" localSheetId="0" hidden="1">{"'Sheet1'!$L$16"}</definedName>
    <definedName name="rsls" hidden="1">{"'Sheet1'!$L$16"}</definedName>
    <definedName name="rss" hidden="1">#REF!</definedName>
    <definedName name="rt" hidden="1">#REF!</definedName>
    <definedName name="rth" localSheetId="0" hidden="1">{"'용역비'!$A$4:$C$8"}</definedName>
    <definedName name="rth" hidden="1">{"'용역비'!$A$4:$C$8"}</definedName>
    <definedName name="rtjhgjgh" hidden="1">#REF!</definedName>
    <definedName name="RTJR" localSheetId="0" hidden="1">{"'Sheet1'!$L$16"}</definedName>
    <definedName name="RTJR" hidden="1">{"'Sheet1'!$L$16"}</definedName>
    <definedName name="rtr" hidden="1">#REF!</definedName>
    <definedName name="rtrđhjkl" localSheetId="0" hidden="1">{#N/A,#N/A,FALSE,"Chi tiÆt"}</definedName>
    <definedName name="rtrđhjkl" hidden="1">{#N/A,#N/A,FALSE,"Chi tiÆt"}</definedName>
    <definedName name="rtrt" localSheetId="0" hidden="1">{"'Sheet1'!$L$16"}</definedName>
    <definedName name="rtrt" hidden="1">{"'Sheet1'!$L$16"}</definedName>
    <definedName name="RTWR" localSheetId="0" hidden="1">{"'Sheet1'!$L$16"}</definedName>
    <definedName name="RTWR" hidden="1">{"'Sheet1'!$L$16"}</definedName>
    <definedName name="rty" localSheetId="0" hidden="1">{"'용역비'!$A$4:$C$8"}</definedName>
    <definedName name="rty" hidden="1">{"'용역비'!$A$4:$C$8"}</definedName>
    <definedName name="RTYE" localSheetId="0" hidden="1">{"'장비'!$A$3:$M$12"}</definedName>
    <definedName name="RTYE" hidden="1">{"'장비'!$A$3:$M$12"}</definedName>
    <definedName name="rtyreyey" localSheetId="0" hidden="1">{"'Sheet1'!$L$16"}</definedName>
    <definedName name="rtyreyey" hidden="1">{"'Sheet1'!$L$16"}</definedName>
    <definedName name="rtyrtyt" hidden="1">#REF!</definedName>
    <definedName name="rtytry" hidden="1">#REF!</definedName>
    <definedName name="rưerew" localSheetId="0" hidden="1">{"'Sheet1'!$L$16"}</definedName>
    <definedName name="rưerew" hidden="1">{"'Sheet1'!$L$16"}</definedName>
    <definedName name="RƯET" localSheetId="0" hidden="1">{"'Sheet1'!$L$16"}</definedName>
    <definedName name="RƯET" hidden="1">{"'Sheet1'!$L$16"}</definedName>
    <definedName name="RƯT4WTW" localSheetId="0" hidden="1">{"'Sheet1'!$L$16"}</definedName>
    <definedName name="RƯT4WTW" hidden="1">{"'Sheet1'!$L$16"}</definedName>
    <definedName name="RVO">#REF!</definedName>
    <definedName name="rweqrwe" localSheetId="0" hidden="1">{"'Sheet1'!$L$16"}</definedName>
    <definedName name="rweqrwe" hidden="1">{"'Sheet1'!$L$16"}</definedName>
    <definedName name="RYTRYTR" hidden="1">#REF!</definedName>
    <definedName name="ryuk" localSheetId="0" hidden="1">{"'용역비'!$A$4:$C$8"}</definedName>
    <definedName name="ryuk" hidden="1">{"'용역비'!$A$4:$C$8"}</definedName>
    <definedName name="s" localSheetId="0" hidden="1">{"'Sheet1'!$L$16"}</definedName>
    <definedName name="s" hidden="1">{"'Sheet1'!$L$16"}</definedName>
    <definedName name="sa" localSheetId="0" hidden="1">{"'Sheet1'!$L$16"}</definedName>
    <definedName name="sa" hidden="1">{"'Sheet1'!$L$16"}</definedName>
    <definedName name="sà" hidden="1">#REF!</definedName>
    <definedName name="saa" localSheetId="0" hidden="1">{#N/A,#N/A,FALSE,"Sheet2";#N/A,#N/A,FALSE,"Sheet4";#N/A,#N/A,FALSE,"Sheet6"}</definedName>
    <definedName name="saa" hidden="1">{#N/A,#N/A,FALSE,"Sheet2";#N/A,#N/A,FALSE,"Sheet4";#N/A,#N/A,FALSE,"Sheet6"}</definedName>
    <definedName name="saada" localSheetId="0" hidden="1">{#N/A,#N/A,FALSE,"特殊室（ＢＱ表）"}</definedName>
    <definedName name="saada" hidden="1">{#N/A,#N/A,FALSE,"特殊室（ＢＱ表）"}</definedName>
    <definedName name="SADASC" localSheetId="0" hidden="1">{"'Sheet1'!$L$16"}</definedName>
    <definedName name="SADASC" hidden="1">{"'Sheet1'!$L$16"}</definedName>
    <definedName name="sadcs" localSheetId="0" hidden="1">{"'Sheet1'!$L$16"}</definedName>
    <definedName name="sadcs" hidden="1">{"'Sheet1'!$L$16"}</definedName>
    <definedName name="sadf¸a" localSheetId="0" hidden="1">{"'Sheet1'!$L$16"}</definedName>
    <definedName name="sadf¸a" hidden="1">{"'Sheet1'!$L$16"}</definedName>
    <definedName name="sadSa" localSheetId="0" hidden="1">{#N/A,#N/A,FALSE,"Chi tiÆt"}</definedName>
    <definedName name="sadSa" hidden="1">{#N/A,#N/A,FALSE,"Chi tiÆt"}</definedName>
    <definedName name="SADSAD" hidden="1">#REF!</definedName>
    <definedName name="sadsgfjhkhluiluil" hidden="1">#REF!</definedName>
    <definedName name="SAFCS" hidden="1">#REF!</definedName>
    <definedName name="safd" localSheetId="0" hidden="1">{#N/A,#N/A,FALSE,"MARCH"}</definedName>
    <definedName name="safd" hidden="1">{#N/A,#N/A,FALSE,"MARCH"}</definedName>
    <definedName name="safdaf" hidden="1">#REF!</definedName>
    <definedName name="safEF" localSheetId="0" hidden="1">{#N/A,#N/A,FALSE,"MARCH"}</definedName>
    <definedName name="safEF" hidden="1">{#N/A,#N/A,FALSE,"MARCH"}</definedName>
    <definedName name="safsdg" hidden="1">#REF!</definedName>
    <definedName name="sagawa" hidden="1">#REF!</definedName>
    <definedName name="sailech" localSheetId="0" hidden="1">{"Offgrid",#N/A,FALSE,"OFFGRID";"Region",#N/A,FALSE,"REGION";"Offgrid -2",#N/A,FALSE,"OFFGRID";"WTP",#N/A,FALSE,"WTP";"WTP -2",#N/A,FALSE,"WTP";"Project",#N/A,FALSE,"PROJECT";"Summary -2",#N/A,FALSE,"SUMMARY"}</definedName>
    <definedName name="sailech" hidden="1">{"Offgrid",#N/A,FALSE,"OFFGRID";"Region",#N/A,FALSE,"REGION";"Offgrid -2",#N/A,FALSE,"OFFGRID";"WTP",#N/A,FALSE,"WTP";"WTP -2",#N/A,FALSE,"WTP";"Project",#N/A,FALSE,"PROJECT";"Summary -2",#N/A,FALSE,"SUMMARY"}</definedName>
    <definedName name="Sample" hidden="1">#REF!</definedName>
    <definedName name="san" localSheetId="0" hidden="1">{"'Sheet1'!$L$16"}</definedName>
    <definedName name="san" hidden="1">{"'Sheet1'!$L$16"}</definedName>
    <definedName name="sang" localSheetId="0"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localSheetId="0" hidden="1">{#N/A,#N/A,FALSE,"Sheet1";#N/A,#N/A,FALSE,"Sheet3";#N/A,#N/A,FALSE,"Sheet5"}</definedName>
    <definedName name="sasa" hidden="1">{#N/A,#N/A,FALSE,"Sheet1";#N/A,#N/A,FALSE,"Sheet3";#N/A,#N/A,FALSE,"Sheet5"}</definedName>
    <definedName name="SAVDSVVAV" localSheetId="0" hidden="1">{"'Sheet1'!$L$16"}</definedName>
    <definedName name="SAVDSVVAV" hidden="1">{"'Sheet1'!$L$16"}</definedName>
    <definedName name="sb">#REF!</definedName>
    <definedName name="SBSDGBRS" localSheetId="0" hidden="1">{"'Sheet1'!$L$16"}</definedName>
    <definedName name="SBSDGBRS" hidden="1">{"'Sheet1'!$L$16"}</definedName>
    <definedName name="sc" localSheetId="0" hidden="1">{"'ELEC'!$A$2:$H$216","'ELEC'!$C$2:$D$2"}</definedName>
    <definedName name="sc" hidden="1">{"'ELEC'!$A$2:$H$216","'ELEC'!$C$2:$D$2"}</definedName>
    <definedName name="scẪ" localSheetId="0" hidden="1">{"'Sheet1'!$L$16"}</definedName>
    <definedName name="scẪ" hidden="1">{"'Sheet1'!$L$16"}</definedName>
    <definedName name="scÂC" localSheetId="0" hidden="1">{"'Sheet1'!$L$16"}</definedName>
    <definedName name="scÂC" hidden="1">{"'Sheet1'!$L$16"}</definedName>
    <definedName name="Scaffolding" localSheetId="0" hidden="1">{"'Break down'!$A$4"}</definedName>
    <definedName name="Scaffolding" hidden="1">{"'Break down'!$A$4"}</definedName>
    <definedName name="schedule" localSheetId="0" hidden="1">{"'Sheet1'!$L$16"}</definedName>
    <definedName name="schedule" hidden="1">{"'Sheet1'!$L$16"}</definedName>
    <definedName name="schedule.nos" hidden="1">#REF!</definedName>
    <definedName name="sCol" localSheetId="0" hidden="1">zIsDgiaCTiet_Gia.VTu*2+3</definedName>
    <definedName name="sCol" hidden="1">zIsDgiaCTiet_Gia.VTu*2+3</definedName>
    <definedName name="sctcn" localSheetId="0" hidden="1">{"'Sheet1'!$L$16"}</definedName>
    <definedName name="sctcn" hidden="1">{"'Sheet1'!$L$16"}</definedName>
    <definedName name="SCTX" localSheetId="0" hidden="1">{"'Sheet1'!$L$16"}</definedName>
    <definedName name="SCTX" hidden="1">{"'Sheet1'!$L$16"}</definedName>
    <definedName name="SCURVE" hidden="1">#REF!</definedName>
    <definedName name="scw">#REF!</definedName>
    <definedName name="scxca" localSheetId="0" hidden="1">{"'Sheet1'!$L$16"}</definedName>
    <definedName name="scxca" hidden="1">{"'Sheet1'!$L$16"}</definedName>
    <definedName name="sd" localSheetId="0" hidden="1">{"'Sheet1'!$L$16"}</definedName>
    <definedName name="sd" hidden="1">{"'Sheet1'!$L$16"}</definedName>
    <definedName name="sđ" localSheetId="0" hidden="1">{"'Sheet1'!$L$16"}</definedName>
    <definedName name="sđ" hidden="1">{"'Sheet1'!$L$16"}</definedName>
    <definedName name="sda" hidden="1">#REF!</definedName>
    <definedName name="sdad" localSheetId="0" hidden="1">{"'Sheet1'!$L$16"}</definedName>
    <definedName name="sdad" hidden="1">{"'Sheet1'!$L$16"}</definedName>
    <definedName name="sdaf" localSheetId="0" hidden="1">{"'Sheet1'!$L$16"}</definedName>
    <definedName name="sdaf" hidden="1">{"'Sheet1'!$L$16"}</definedName>
    <definedName name="sdasa" localSheetId="0" hidden="1">{#N/A,#N/A,TRUE,"SUM";#N/A,#N/A,TRUE,"EE";#N/A,#N/A,TRUE,"AC";#N/A,#N/A,TRUE,"SN"}</definedName>
    <definedName name="sdasa" hidden="1">{#N/A,#N/A,TRUE,"SUM";#N/A,#N/A,TRUE,"EE";#N/A,#N/A,TRUE,"AC";#N/A,#N/A,TRUE,"SN"}</definedName>
    <definedName name="sdbv" localSheetId="0" hidden="1">{"'Sheet1'!$L$16"}</definedName>
    <definedName name="sdbv" hidden="1">{"'Sheet1'!$L$16"}</definedName>
    <definedName name="sdcsd" localSheetId="0" hidden="1">{"'Sheet1'!$L$16"}</definedName>
    <definedName name="sdcsd" hidden="1">{"'Sheet1'!$L$16"}</definedName>
    <definedName name="sdd" localSheetId="0" hidden="1">{"'Sheet1'!$L$16"}</definedName>
    <definedName name="sdd" hidden="1">{"'Sheet1'!$L$16"}</definedName>
    <definedName name="sddsd" localSheetId="0" hidden="1">{"'Break down'!$A$4"}</definedName>
    <definedName name="sddsd" hidden="1">{"'Break down'!$A$4"}</definedName>
    <definedName name="sdf" localSheetId="0" hidden="1">{"'Sheet1'!$L$16"}</definedName>
    <definedName name="sdf" hidden="1">{"'Sheet1'!$L$16"}</definedName>
    <definedName name="sdfas" localSheetId="0" hidden="1">{"'Sheet1'!$L$16"}</definedName>
    <definedName name="sdfas" hidden="1">{"'Sheet1'!$L$16"}</definedName>
    <definedName name="SDFASFSA" localSheetId="0" hidden="1">{"'Sheet1'!$L$16"}</definedName>
    <definedName name="SDFASFSA" hidden="1">{"'Sheet1'!$L$16"}</definedName>
    <definedName name="sdfastgawtwqetr" hidden="1">#REF!</definedName>
    <definedName name="sdfda" localSheetId="0" hidden="1">{"'Sheet1'!$L$16"}</definedName>
    <definedName name="sdfda" hidden="1">{"'Sheet1'!$L$16"}</definedName>
    <definedName name="SDFDS" localSheetId="0" hidden="1">{"'Sheet1'!$L$16"}</definedName>
    <definedName name="SDFDS" hidden="1">{"'Sheet1'!$L$16"}</definedName>
    <definedName name="sdfdsfdsf" localSheetId="0"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localSheetId="0" hidden="1">{"'Sheet1'!$L$16"}</definedName>
    <definedName name="SDFSDFS" hidden="1">{"'Sheet1'!$L$16"}</definedName>
    <definedName name="sdfsdfsd" localSheetId="0" hidden="1">{"'Sheet1'!$L$16"}</definedName>
    <definedName name="sdfsdfsd" hidden="1">{"'Sheet1'!$L$16"}</definedName>
    <definedName name="SDFSDGD" localSheetId="0" hidden="1">{"'Sheet1'!$L$16"}</definedName>
    <definedName name="SDFSDGD" hidden="1">{"'Sheet1'!$L$16"}</definedName>
    <definedName name="SDFSDGF" localSheetId="0" hidden="1">{"'Sheet1'!$L$16"}</definedName>
    <definedName name="SDFSDGF" hidden="1">{"'Sheet1'!$L$16"}</definedName>
    <definedName name="sdfsdgfdg" hidden="1">#REF!</definedName>
    <definedName name="SDFSE" localSheetId="0" hidden="1">{"'Sheet1'!$L$16"}</definedName>
    <definedName name="SDFSE" hidden="1">{"'Sheet1'!$L$16"}</definedName>
    <definedName name="sdfsfd" localSheetId="0" hidden="1">{"'Sheet1'!$L$16"}</definedName>
    <definedName name="sdfsfd" hidden="1">{"'Sheet1'!$L$16"}</definedName>
    <definedName name="sdg" hidden="1">#REF!</definedName>
    <definedName name="SDGSDG" localSheetId="0" hidden="1">{"'Sheet1'!$L$16"}</definedName>
    <definedName name="SDGSDG" hidden="1">{"'Sheet1'!$L$16"}</definedName>
    <definedName name="SDGSDHET" localSheetId="0" hidden="1">{"'Sheet1'!$L$16"}</definedName>
    <definedName name="SDGSDHET" hidden="1">{"'Sheet1'!$L$16"}</definedName>
    <definedName name="SDGWRSRWG" localSheetId="0" hidden="1">{"'Sheet1'!$L$16"}</definedName>
    <definedName name="SDGWRSRWG" hidden="1">{"'Sheet1'!$L$16"}</definedName>
    <definedName name="sdryhj" localSheetId="0" hidden="1">{"'용역비'!$A$4:$C$8"}</definedName>
    <definedName name="sdryhj" hidden="1">{"'용역비'!$A$4:$C$8"}</definedName>
    <definedName name="SDS" localSheetId="0" hidden="1">{#N/A,#N/A,FALSE,"Sheet1";#N/A,#N/A,FALSE,"Sheet3";#N/A,#N/A,FALSE,"Sheet5"}</definedName>
    <definedName name="SDS" hidden="1">{#N/A,#N/A,FALSE,"Sheet1";#N/A,#N/A,FALSE,"Sheet3";#N/A,#N/A,FALSE,"Sheet5"}</definedName>
    <definedName name="SDSD" localSheetId="0"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localSheetId="0" hidden="1">{"'Sheet1'!$L$16"}</definedName>
    <definedName name="sdz" hidden="1">{"'Sheet1'!$L$16"}</definedName>
    <definedName name="SE" localSheetId="0" hidden="1">{"'용역비'!$A$4:$C$8"}</definedName>
    <definedName name="SE" hidden="1">{"'용역비'!$A$4:$C$8"}</definedName>
    <definedName name="SEC.C1" hidden="1">#REF!</definedName>
    <definedName name="sen" localSheetId="0" hidden="1">{"'Sheet1'!$L$16"}</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localSheetId="0" hidden="1">{#N/A,#N/A,FALSE,"이태원철근"}</definedName>
    <definedName name="SERVICE" hidden="1">{#N/A,#N/A,FALSE,"이태원철근"}</definedName>
    <definedName name="sétbs" hidden="1">#REF!</definedName>
    <definedName name="SFA" hidden="1">#REF!</definedName>
    <definedName name="SFBAS" localSheetId="0" hidden="1">{"'Sheet1'!$L$16"}</definedName>
    <definedName name="SFBAS" hidden="1">{"'Sheet1'!$L$16"}</definedName>
    <definedName name="sfdgdfgfhgjgjgjghj" hidden="1">#REF!</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localSheetId="0" hidden="1">{"'Sheet1'!$L$16"}</definedName>
    <definedName name="SFEFSG" hidden="1">{"'Sheet1'!$L$16"}</definedName>
    <definedName name="sfg" localSheetId="0" hidden="1">{"'Sheet1'!$L$16"}</definedName>
    <definedName name="sfg" hidden="1">{"'Sheet1'!$L$16"}</definedName>
    <definedName name="sfsafsfds" localSheetId="0" hidden="1">{"'Sheet1'!$L$16"}</definedName>
    <definedName name="sfsafsfds" hidden="1">{"'Sheet1'!$L$16"}</definedName>
    <definedName name="sfsd" localSheetId="0" hidden="1">{"'Sheet1'!$L$16"}</definedName>
    <definedName name="sfsd" hidden="1">{"'Sheet1'!$L$16"}</definedName>
    <definedName name="sfsdg" localSheetId="0" hidden="1">{"'Sheet1'!$L$16"}</definedName>
    <definedName name="sfsdg" hidden="1">{"'Sheet1'!$L$16"}</definedName>
    <definedName name="SFSFS" localSheetId="0" hidden="1">{"'Sheet1'!$L$16"}</definedName>
    <definedName name="SFSFS" hidden="1">{"'Sheet1'!$L$16"}</definedName>
    <definedName name="sfsfsfas" localSheetId="0"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localSheetId="0" hidden="1">{"'Sheet1'!$L$16"}</definedName>
    <definedName name="sgfdgdf" hidden="1">{"'Sheet1'!$L$16"}</definedName>
    <definedName name="sgfhsdhe" localSheetId="0" hidden="1">{"'Sheet1'!$L$16"}</definedName>
    <definedName name="sgfhsdhe" hidden="1">{"'Sheet1'!$L$16"}</definedName>
    <definedName name="SGG" localSheetId="0" hidden="1">{"'Sheet1'!$L$16"}</definedName>
    <definedName name="SGG" hidden="1">{"'Sheet1'!$L$16"}</definedName>
    <definedName name="sgjhk" localSheetId="0" hidden="1">{"'Sheet1'!$L$16"}</definedName>
    <definedName name="sgjhk" hidden="1">{"'Sheet1'!$L$16"}</definedName>
    <definedName name="sgjyti" localSheetId="0" hidden="1">{"'Sheet1'!$L$16"}</definedName>
    <definedName name="sgjyti" hidden="1">{"'Sheet1'!$L$16"}</definedName>
    <definedName name="sgs" localSheetId="0" hidden="1">{"'Sheet1'!$L$16"}</definedName>
    <definedName name="sgs" hidden="1">{"'Sheet1'!$L$16"}</definedName>
    <definedName name="sgsdg" localSheetId="0" hidden="1">{"'Sheet1'!$L$16"}</definedName>
    <definedName name="sgsdg" hidden="1">{"'Sheet1'!$L$16"}</definedName>
    <definedName name="sgsr" localSheetId="0" hidden="1">{"'Sheet1'!$L$16"}</definedName>
    <definedName name="sgsr" hidden="1">{"'Sheet1'!$L$16"}</definedName>
    <definedName name="shee12" localSheetId="0" hidden="1">{"'Sheet1'!$L$16"}</definedName>
    <definedName name="shee12" hidden="1">{"'Sheet1'!$L$16"}</definedName>
    <definedName name="sheet" localSheetId="0" hidden="1">{"'Sheet1'!$L$16"}</definedName>
    <definedName name="sheet" hidden="1">{"'Sheet1'!$L$16"}</definedName>
    <definedName name="sheet1" localSheetId="0" hidden="1">{#N/A,#N/A,FALSE,"CCTV"}</definedName>
    <definedName name="sheet1" hidden="1">{#N/A,#N/A,FALSE,"CCTV"}</definedName>
    <definedName name="SHEET100" hidden="1">#REF!</definedName>
    <definedName name="Sheet2" localSheetId="0" hidden="1">{#N/A,#N/A,FALSE,"Sheet1"}</definedName>
    <definedName name="Sheet2" hidden="1">{#N/A,#N/A,FALSE,"Sheet1"}</definedName>
    <definedName name="sheet3" localSheetId="0" hidden="1">{"NGUYEN QUI THIEP - Personal View",#N/A,FALSE,"XDCB.HT.FUR."}</definedName>
    <definedName name="sheet3" hidden="1">{"NGUYEN QUI THIEP - Personal View",#N/A,FALSE,"XDCB.HT.FUR."}</definedName>
    <definedName name="sheet4" localSheetId="0" hidden="1">{"NGUYEN QUI THIEP - Personal View",#N/A,FALSE,"XDCB.HT.FUR."}</definedName>
    <definedName name="sheet4" hidden="1">{"NGUYEN QUI THIEP - Personal View",#N/A,FALSE,"XDCB.HT.FUR."}</definedName>
    <definedName name="sheet5" localSheetId="0" hidden="1">{"'Sheet1'!$L$16"}</definedName>
    <definedName name="sheet5" hidden="1">{"'Sheet1'!$L$16"}</definedName>
    <definedName name="shsrhtr" localSheetId="0" hidden="1">{"'Sheet1'!$L$16"}</definedName>
    <definedName name="shsrhtr" hidden="1">{"'Sheet1'!$L$16"}</definedName>
    <definedName name="sHsVlNcCm" localSheetId="0" hidden="1">VALUE(IF(LEFT(OFFSET(Acell,0,-4),1)="A",dTHKP_HsVl,IF(LEFT(OFFSET(Acell,0,-4),1)="B",dTHKP_HsNc,dTHKP_HsCm)))</definedName>
    <definedName name="sHsVlNcCm" hidden="1">VALUE(IF(LEFT(OFFSET(Acell,0,-4),1)="A",dTHKP_HsVl,IF(LEFT(OFFSET(Acell,0,-4),1)="B",dTHKP_HsNc,dTHKP_HsCm)))</definedName>
    <definedName name="silo4" localSheetId="0" hidden="1">{"'ELEC'!$A$2:$H$216","'ELEC'!$C$2:$D$2"}</definedName>
    <definedName name="silo4" hidden="1">{"'ELEC'!$A$2:$H$216","'ELEC'!$C$2:$D$2"}</definedName>
    <definedName name="site.ref" hidden="1">#REF!</definedName>
    <definedName name="sj" hidden="1">#REF!</definedName>
    <definedName name="SK">0.1</definedName>
    <definedName name="skskksksks" localSheetId="0" hidden="1">{#N/A,#N/A,FALSE,"주간공정";#N/A,#N/A,FALSE,"주간보고";#N/A,#N/A,FALSE,"주간공정표"}</definedName>
    <definedName name="skskksksks" hidden="1">{#N/A,#N/A,FALSE,"주간공정";#N/A,#N/A,FALSE,"주간보고";#N/A,#N/A,FALSE,"주간공정표"}</definedName>
    <definedName name="sl">#REF!</definedName>
    <definedName name="slab3" hidden="1">#REF!</definedName>
    <definedName name="sMh" localSheetId="0" hidden="1">IF(LEFT(OFFSET(Acell,0,-6),1)="1",dVTu_Mh,IF(LEFT(OFFSET(Acell,0,-6),1)="2",dNCong_Mh,dCMay_Mh))</definedName>
    <definedName name="sMh" hidden="1">IF(LEFT(OFFSET(Acell,0,-6),1)="1",dVTu_Mh,IF(LEFT(OFFSET(Acell,0,-6),1)="2",dNCong_Mh,dCMay_Mh))</definedName>
    <definedName name="sName" localSheetId="0" hidden="1">IF(LEFT(OFFSET(Acell,0,-6),1)="1",dVTu_Name,IF(LEFT(OFFSET(Acell,0,-6),1)="2",dNCong_Name,dCMay_Name))</definedName>
    <definedName name="sName" hidden="1">IF(LEFT(OFFSET(Acell,0,-6),1)="1",dVTu_Name,IF(LEFT(OFFSET(Acell,0,-6),1)="2",dNCong_Name,dCMay_Name))</definedName>
    <definedName name="sodu" localSheetId="0" hidden="1">{"'Sheet1'!$L$16"}</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localSheetId="0" hidden="1">binary</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localSheetId="0" hidden="1">{#N/A,#N/A,FALSE,"CCTV"}</definedName>
    <definedName name="SON" hidden="1">{#N/A,#N/A,FALSE,"CCTV"}</definedName>
    <definedName name="sort" hidden="1">#REF!</definedName>
    <definedName name="Sosanh2" localSheetId="0" hidden="1">{"'Sheet1'!$L$16"}</definedName>
    <definedName name="Sosanh2" hidden="1">{"'Sheet1'!$L$16"}</definedName>
    <definedName name="sp_lk">#REF!</definedName>
    <definedName name="Spample" localSheetId="0" hidden="1">{"'Sheet1'!$L$16"}</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localSheetId="0" hidden="1">IF(LEFT(OFFSET(Acell,0,-6),1)="1",dVTu_Rng,IF(LEFT(OFFSET(Acell,0,-6),1)="2",dNCong_Rng,dCMay_Rng))</definedName>
    <definedName name="sRng" hidden="1">IF(LEFT(OFFSET(Acell,0,-6),1)="1",dVTu_Rng,IF(LEFT(OFFSET(Acell,0,-6),1)="2",dNCong_Rng,dCMay_Rng))</definedName>
    <definedName name="srter" hidden="1">#REF!</definedName>
    <definedName name="srth" localSheetId="0" hidden="1">{"'용역비'!$A$4:$C$8"}</definedName>
    <definedName name="srth" hidden="1">{"'용역비'!$A$4:$C$8"}</definedName>
    <definedName name="SRTWER" localSheetId="0" hidden="1">{"'Sheet1'!$L$16"}</definedName>
    <definedName name="SRTWER" hidden="1">{"'Sheet1'!$L$16"}</definedName>
    <definedName name="ss" hidden="1">#REF!</definedName>
    <definedName name="sscsd" localSheetId="0" hidden="1">{"'Sheet1'!$L$16"}</definedName>
    <definedName name="sscsd" hidden="1">{"'Sheet1'!$L$16"}</definedName>
    <definedName name="sss" localSheetId="0" hidden="1">{#N/A,#N/A,FALSE,"전력간선"}</definedName>
    <definedName name="sss" hidden="1">{#N/A,#N/A,FALSE,"전력간선"}</definedName>
    <definedName name="sssdsdsd" hidden="1">#REF!</definedName>
    <definedName name="ssss" hidden="1">#REF!</definedName>
    <definedName name="ssss_1" localSheetId="0" hidden="1">{"ECA Qtrs C",#N/A,TRUE,"ECA_Qtrs_C";"ECA Qtrs D",#N/A,TRUE,"ECA_Qtrs_D";"ECA Qtrs F",#N/A,TRUE,"ECA_Qtrs_F";"ECA Qtrs G",#N/A,TRUE,"ECA_Qtrs_G";"ECA SisterApt",#N/A,TRUE,"ECA_SisterApt";"ECA Nurses",#N/A,TRUE,"ECA_NursesHostel"}</definedName>
    <definedName name="ssss_1"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sssssssss" localSheetId="0" hidden="1">{#N/A,#N/A,FALSE,"Chi tiÆt"}</definedName>
    <definedName name="sssssssss" hidden="1">{#N/A,#N/A,FALSE,"Chi tiÆt"}</definedName>
    <definedName name="ST_TH2_131">3</definedName>
    <definedName name="steel">#REF!</definedName>
    <definedName name="STJST" localSheetId="0" hidden="1">{"'Sheet1'!$L$16"}</definedName>
    <definedName name="STJST" hidden="1">{"'Sheet1'!$L$16"}</definedName>
    <definedName name="STS" localSheetId="0" hidden="1">{"'용역비'!$A$4:$C$8"}</definedName>
    <definedName name="STS" hidden="1">{"'용역비'!$A$4:$C$8"}</definedName>
    <definedName name="sualoixm" localSheetId="0" hidden="1">{"Offgrid",#N/A,FALSE,"OFFGRID";"Region",#N/A,FALSE,"REGION";"Offgrid -2",#N/A,FALSE,"OFFGRID";"WTP",#N/A,FALSE,"WTP";"WTP -2",#N/A,FALSE,"WTP";"Project",#N/A,FALSE,"PROJECT";"Summary -2",#N/A,FALSE,"SUMMARY"}</definedName>
    <definedName name="sualoixm"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localSheetId="0" hidden="1">{"'Sheet1'!$L$16"}</definedName>
    <definedName name="sumimasenn" hidden="1">{"'Sheet1'!$L$16"}</definedName>
    <definedName name="summar" localSheetId="0" hidden="1">{#N/A,#N/A,TRUE,"SUM";#N/A,#N/A,TRUE,"EE";#N/A,#N/A,TRUE,"AC";#N/A,#N/A,TRUE,"SN"}</definedName>
    <definedName name="summar" hidden="1">{#N/A,#N/A,TRUE,"SUM";#N/A,#N/A,TRUE,"EE";#N/A,#N/A,TRUE,"AC";#N/A,#N/A,TRUE,"SN"}</definedName>
    <definedName name="SUMMARY">#REF!</definedName>
    <definedName name="Summary_Budget_Form_For_Development_Expenditure">#REF!</definedName>
    <definedName name="SUMMARYQ" localSheetId="0">{"Thuxm2.xls","Sheet1"}</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localSheetId="0" hidden="1">{"'Sheet1'!$L$16"}</definedName>
    <definedName name="SUOIDOI2" hidden="1">{"'Sheet1'!$L$16"}</definedName>
    <definedName name="SWw" localSheetId="0" hidden="1">{#N/A,#N/A,TRUE,"SUM";#N/A,#N/A,TRUE,"EE";#N/A,#N/A,TRUE,"AC";#N/A,#N/A,TRUE,"SN"}</definedName>
    <definedName name="SWw" hidden="1">{#N/A,#N/A,TRUE,"SUM";#N/A,#N/A,TRUE,"EE";#N/A,#N/A,TRUE,"AC";#N/A,#N/A,TRUE,"SN"}</definedName>
    <definedName name="swㅗ" localSheetId="0" hidden="1">{#N/A,#N/A,FALSE,"집계표"}</definedName>
    <definedName name="swㅗ" hidden="1">{#N/A,#N/A,FALSE,"집계표"}</definedName>
    <definedName name="sxcsac" localSheetId="0" hidden="1">{"'Sheet1'!$L$16"}</definedName>
    <definedName name="sxcsac" hidden="1">{"'Sheet1'!$L$16"}</definedName>
    <definedName name="sxcxc" localSheetId="0" hidden="1">{"'Sheet1'!$L$16"}</definedName>
    <definedName name="sxcxc" hidden="1">{"'Sheet1'!$L$16"}</definedName>
    <definedName name="sy" hidden="1">#REF!</definedName>
    <definedName name="szdasda" localSheetId="0" hidden="1">{#N/A,#N/A,FALSE,"Chi tiÆt"}</definedName>
    <definedName name="szdasda" hidden="1">{#N/A,#N/A,FALSE,"Chi tiÆt"}</definedName>
    <definedName name="t" hidden="1">#REF!</definedName>
    <definedName name="T.3" localSheetId="0" hidden="1">{"'Sheet1'!$L$16"}</definedName>
    <definedName name="T.3" hidden="1">{"'Sheet1'!$L$16"}</definedName>
    <definedName name="t01nt">#REF!</definedName>
    <definedName name="t02st">#REF!</definedName>
    <definedName name="T1PC" localSheetId="0" hidden="1">{"'Sheet1'!$L$16"}</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localSheetId="0" hidden="1">{"'Sheet1'!$L$16"}</definedName>
    <definedName name="TamdanTB" hidden="1">{"'Sheet1'!$L$16"}</definedName>
    <definedName name="tamm" localSheetId="0" hidden="1">{"'Sheet1'!$L$16"}</definedName>
    <definedName name="tamm" hidden="1">{"'Sheet1'!$L$16"}</definedName>
    <definedName name="tammm" localSheetId="0" hidden="1">{"'Sheet1'!$L$16"}</definedName>
    <definedName name="tammm" hidden="1">{"'Sheet1'!$L$16"}</definedName>
    <definedName name="tammmm" localSheetId="0" hidden="1">{#N/A,#N/A,FALSE,"Chi tiÆt"}</definedName>
    <definedName name="tammmm" hidden="1">{#N/A,#N/A,FALSE,"Chi tiÆt"}</definedName>
    <definedName name="tan" localSheetId="0" hidden="1">{"'Sheet1'!$L$16"}</definedName>
    <definedName name="tan" hidden="1">{"'Sheet1'!$L$16"}</definedName>
    <definedName name="tªtrt" localSheetId="0" hidden="1">{"'Sheet1'!$L$16"}</definedName>
    <definedName name="tªtrt" hidden="1">{"'Sheet1'!$L$16"}</definedName>
    <definedName name="taun" localSheetId="0" hidden="1">{"'Sheet1'!$L$16"}</definedName>
    <definedName name="taun" hidden="1">{"'Sheet1'!$L$16"}</definedName>
    <definedName name="TaxTV">10%</definedName>
    <definedName name="TaxXL">5%</definedName>
    <definedName name="tbao" localSheetId="0" hidden="1">{"'Sheet1'!$L$16"}</definedName>
    <definedName name="tbao" hidden="1">{"'Sheet1'!$L$16"}</definedName>
    <definedName name="tbl_ProdInfo" hidden="1">#REF!</definedName>
    <definedName name="TDC">#REF!</definedName>
    <definedName name="tdrutru" localSheetId="0" hidden="1">{#N/A,#N/A,FALSE,"Sheet6"}</definedName>
    <definedName name="tdrutru" hidden="1">{#N/A,#N/A,FALSE,"Sheet6"}</definedName>
    <definedName name="tdt" hidden="1">#REF!</definedName>
    <definedName name="te" hidden="1">#REF!</definedName>
    <definedName name="tecco" localSheetId="0" hidden="1">{"'Sheet1'!$L$16"}</definedName>
    <definedName name="tecco" hidden="1">{"'Sheet1'!$L$16"}</definedName>
    <definedName name="technical" hidden="1">#REF!</definedName>
    <definedName name="tem" localSheetId="0" hidden="1">{"'Sheet1'!$L$16"}</definedName>
    <definedName name="tem" hidden="1">{"'Sheet1'!$L$16"}</definedName>
    <definedName name="TEMP" hidden="1">#REF!</definedName>
    <definedName name="temporary" localSheetId="0" hidden="1">{#N/A,#N/A,FALSE,"CCTV"}</definedName>
    <definedName name="temporary" hidden="1">{#N/A,#N/A,FALSE,"CCTV"}</definedName>
    <definedName name="Tend_Box" hidden="1">#REF!</definedName>
    <definedName name="TenHM" hidden="1">#REF!</definedName>
    <definedName name="test2" localSheetId="0" hidden="1">{"IASTrail",#N/A,FALSE,"IAS"}</definedName>
    <definedName name="test2" hidden="1">{"IASTrail",#N/A,FALSE,"IAS"}</definedName>
    <definedName name="test3" localSheetId="0" hidden="1">{#N/A,#N/A,FALSE,"FA_1";#N/A,#N/A,FALSE,"Dep'n SE";#N/A,#N/A,FALSE,"Dep'n FC"}</definedName>
    <definedName name="test3" hidden="1">{#N/A,#N/A,FALSE,"FA_1";#N/A,#N/A,FALSE,"Dep'n SE";#N/A,#N/A,FALSE,"Dep'n FC"}</definedName>
    <definedName name="tet" localSheetId="0" hidden="1">{0,#NULL!,0,FALSE;0,0,0,0;0,0,0,7.29290327383173E-304;0,0,0,0;0,0,0,0;0,0,0,0;0,0,0,0}</definedName>
    <definedName name="tet" hidden="1">{0,#NULL!,0,FALSE;0,0,0,0;0,0,0,7.29290327383173E-304;0,0,0,0;0,0,0,0;0,0,0,0;0,0,0,0}</definedName>
    <definedName name="tểt" localSheetId="0" hidden="1">{"'Sheet1'!$L$16"}</definedName>
    <definedName name="tểt" hidden="1">{"'Sheet1'!$L$16"}</definedName>
    <definedName name="TextRefCopyRangeCount" hidden="1">21</definedName>
    <definedName name="tfrefefewfrefe" localSheetId="0" hidden="1">{#N/A,#N/A,FALSE,"Chi tiÆt"}</definedName>
    <definedName name="tfrefefewfrefe" hidden="1">{#N/A,#N/A,FALSE,"Chi tiÆt"}</definedName>
    <definedName name="TFUI" localSheetId="0" hidden="1">{"'용역비'!$A$4:$C$8"}</definedName>
    <definedName name="TFUI" hidden="1">{"'용역비'!$A$4:$C$8"}</definedName>
    <definedName name="tg">#REF!</definedName>
    <definedName name="TGB" hidden="1">#REF!</definedName>
    <definedName name="tghy" localSheetId="0" hidden="1">{"'Break down'!$A$4"}</definedName>
    <definedName name="tghy" hidden="1">{"'Break down'!$A$4"}</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tgt_xd">#REF!</definedName>
    <definedName name="tgưgz" localSheetId="0" hidden="1">{"'Sheet1'!$L$16"}</definedName>
    <definedName name="tgưgz" hidden="1">{"'Sheet1'!$L$16"}</definedName>
    <definedName name="tgyty" hidden="1">#REF!</definedName>
    <definedName name="TH" localSheetId="0" hidden="1">{#N/A,#N/A,FALSE,"Chi tiÆt"}</definedName>
    <definedName name="TH" hidden="1">{#N/A,#N/A,FALSE,"Chi tiÆt"}</definedName>
    <definedName name="th.xls" localSheetId="0" hidden="1">{"'Sheet1'!$L$16"}</definedName>
    <definedName name="th.xls" hidden="1">{"'Sheet1'!$L$16"}</definedName>
    <definedName name="thµ" localSheetId="0" hidden="1">{"'Sheet1'!$L$16"}</definedName>
    <definedName name="thµ" hidden="1">{"'Sheet1'!$L$16"}</definedName>
    <definedName name="tha" localSheetId="0" hidden="1">{"'Sheet1'!$L$16"}</definedName>
    <definedName name="tha" hidden="1">{"'Sheet1'!$L$16"}</definedName>
    <definedName name="thai" localSheetId="0" hidden="1">{"'Sheet1'!$L$16"}</definedName>
    <definedName name="thai" hidden="1">{"'Sheet1'!$L$16"}</definedName>
    <definedName name="ThamTraDT" hidden="1">#REF!</definedName>
    <definedName name="ThamTraTK" hidden="1">#REF!</definedName>
    <definedName name="thang" localSheetId="0" hidden="1">{"'Sheet1'!$L$16"}</definedName>
    <definedName name="thang" hidden="1">{"'Sheet1'!$L$16"}</definedName>
    <definedName name="thang_1" localSheetId="0" hidden="1">{"'Sheet1'!$L$16"}</definedName>
    <definedName name="thang_1" hidden="1">{"'Sheet1'!$L$16"}</definedName>
    <definedName name="Thang1" localSheetId="0" hidden="1">{"'Sheet1'!$L$16"}</definedName>
    <definedName name="Thang1" hidden="1">{"'Sheet1'!$L$16"}</definedName>
    <definedName name="thang10" localSheetId="0" hidden="1">{"'Sheet1'!$L$16"}</definedName>
    <definedName name="thang10" hidden="1">{"'Sheet1'!$L$16"}</definedName>
    <definedName name="Thang12" localSheetId="0" hidden="1">{"'Sheet1'!$L$16"}</definedName>
    <definedName name="Thang12" hidden="1">{"'Sheet1'!$L$16"}</definedName>
    <definedName name="thang13" localSheetId="0" hidden="1">{"'Sheet1'!$L$16"}</definedName>
    <definedName name="thang13" hidden="1">{"'Sheet1'!$L$16"}</definedName>
    <definedName name="thang2" localSheetId="0" hidden="1">{"'Sheet1'!$L$16"}</definedName>
    <definedName name="thang2" hidden="1">{"'Sheet1'!$L$16"}</definedName>
    <definedName name="THANH" localSheetId="0" hidden="1">{"'Sheet1'!$L$16"}</definedName>
    <definedName name="THANH" hidden="1">{"'Sheet1'!$L$16"}</definedName>
    <definedName name="THANH_1" localSheetId="0" hidden="1">{"'Sheet1'!$L$16"}</definedName>
    <definedName name="THANH_1" hidden="1">{"'Sheet1'!$L$16"}</definedName>
    <definedName name="thanhtoankl" localSheetId="0" hidden="1">{"'Sheet1'!$L$16"}</definedName>
    <definedName name="thanhtoankl" hidden="1">{"'Sheet1'!$L$16"}</definedName>
    <definedName name="thao1" localSheetId="0" hidden="1">{"'Sheet1'!$L$16"}</definedName>
    <definedName name="thao1" hidden="1">{"'Sheet1'!$L$16"}</definedName>
    <definedName name="thao2" localSheetId="0" hidden="1">{"'Sheet1'!$L$16"}</definedName>
    <definedName name="thao2" hidden="1">{"'Sheet1'!$L$16"}</definedName>
    <definedName name="THC" localSheetId="0" hidden="1">{"'Sheet1'!$L$16"}</definedName>
    <definedName name="THC" hidden="1">{"'Sheet1'!$L$16"}</definedName>
    <definedName name="THDT" localSheetId="0" hidden="1">{"'Sheet1'!$L$16"}</definedName>
    <definedName name="THDT" hidden="1">{"'Sheet1'!$L$16"}</definedName>
    <definedName name="them01" hidden="1">#REF!</definedName>
    <definedName name="Thepsan" localSheetId="0" hidden="1">{"'Sheet1'!$L$16"}</definedName>
    <definedName name="Thepsan" hidden="1">{"'Sheet1'!$L$16"}</definedName>
    <definedName name="thepsan2" localSheetId="0" hidden="1">{"'Sheet1'!$L$16"}</definedName>
    <definedName name="thepsan2" hidden="1">{"'Sheet1'!$L$16"}</definedName>
    <definedName name="THG" localSheetId="0" hidden="1">{"'Sheet1'!$L$16"}</definedName>
    <definedName name="THG" hidden="1">{"'Sheet1'!$L$16"}</definedName>
    <definedName name="THGT" localSheetId="0" hidden="1">{"'Sheet1'!$L$16"}</definedName>
    <definedName name="THGT" hidden="1">{"'Sheet1'!$L$16"}</definedName>
    <definedName name="THHD" localSheetId="0" hidden="1">{"'Sheet1'!$L$16"}</definedName>
    <definedName name="THHD" hidden="1">{"'Sheet1'!$L$16"}</definedName>
    <definedName name="THHVT" localSheetId="0" hidden="1">{"'Sheet1'!$L$16"}</definedName>
    <definedName name="THHVT" hidden="1">{"'Sheet1'!$L$16"}</definedName>
    <definedName name="thien" hidden="1">#REF!</definedName>
    <definedName name="Thietbi" localSheetId="0" hidden="1">{"'Sheet1'!$L$16"}</definedName>
    <definedName name="Thietbi" hidden="1">{"'Sheet1'!$L$16"}</definedName>
    <definedName name="ThietBiTK" hidden="1">#REF!</definedName>
    <definedName name="THKLDD" localSheetId="0" hidden="1">{"'Sheet1'!$L$16"}</definedName>
    <definedName name="THKLDD" hidden="1">{"'Sheet1'!$L$16"}</definedName>
    <definedName name="thkp5" localSheetId="0" hidden="1">{"'Sheet1'!$L$16"}</definedName>
    <definedName name="thkp5" hidden="1">{"'Sheet1'!$L$16"}</definedName>
    <definedName name="thkp6" localSheetId="0" hidden="1">{"'Sheet1'!$L$16"}</definedName>
    <definedName name="thkp6" hidden="1">{"'Sheet1'!$L$16"}</definedName>
    <definedName name="thkp7" localSheetId="0" hidden="1">{"'Sheet1'!$L$16"}</definedName>
    <definedName name="thkp7" hidden="1">{"'Sheet1'!$L$16"}</definedName>
    <definedName name="THKP7YT" localSheetId="0" hidden="1">{"'Sheet1'!$L$16"}</definedName>
    <definedName name="THKP7YT" hidden="1">{"'Sheet1'!$L$16"}</definedName>
    <definedName name="thkpdnt" localSheetId="0" hidden="1">{"'Sheet1'!$L$16"}</definedName>
    <definedName name="thkpdnt" hidden="1">{"'Sheet1'!$L$16"}</definedName>
    <definedName name="THKPM8" localSheetId="0" hidden="1">{"'Sheet1'!$L$16"}</definedName>
    <definedName name="THKPM8" hidden="1">{"'Sheet1'!$L$16"}</definedName>
    <definedName name="thkprtn" localSheetId="0" hidden="1">{"'Sheet1'!$L$16"}</definedName>
    <definedName name="thkprtn" hidden="1">{"'Sheet1'!$L$16"}</definedName>
    <definedName name="THLeloi" localSheetId="0" hidden="1">{"'Sheet1'!$L$16"}</definedName>
    <definedName name="THLeloi" hidden="1">{"'Sheet1'!$L$16"}</definedName>
    <definedName name="thng" localSheetId="0" hidden="1">{#N/A,#N/A,FALSE,"Chi tiÆt"}</definedName>
    <definedName name="thng" hidden="1">{#N/A,#N/A,FALSE,"Chi tiÆt"}</definedName>
    <definedName name="THNgHue" localSheetId="0" hidden="1">{"'Sheet1'!$L$16"}</definedName>
    <definedName name="THNgHue" hidden="1">{"'Sheet1'!$L$16"}</definedName>
    <definedName name="THNgThHoc" localSheetId="0" hidden="1">{"'Sheet1'!$L$16"}</definedName>
    <definedName name="THNgThHoc" hidden="1">{"'Sheet1'!$L$16"}</definedName>
    <definedName name="THOAT" localSheetId="0" hidden="1">{"'Sheet1'!$L$16"}</definedName>
    <definedName name="THOAT" hidden="1">{"'Sheet1'!$L$16"}</definedName>
    <definedName name="thopsohoc" localSheetId="0" hidden="1">{"Offgrid",#N/A,FALSE,"OFFGRID";"Region",#N/A,FALSE,"REGION";"Offgrid -2",#N/A,FALSE,"OFFGRID";"WTP",#N/A,FALSE,"WTP";"WTP -2",#N/A,FALSE,"WTP";"Project",#N/A,FALSE,"PROJECT";"Summary -2",#N/A,FALSE,"SUMMARY"}</definedName>
    <definedName name="thopsohoc" hidden="1">{"Offgrid",#N/A,FALSE,"OFFGRID";"Region",#N/A,FALSE,"REGION";"Offgrid -2",#N/A,FALSE,"OFFGRID";"WTP",#N/A,FALSE,"WTP";"WTP -2",#N/A,FALSE,"WTP";"Project",#N/A,FALSE,"PROJECT";"Summary -2",#N/A,FALSE,"SUMMARY"}</definedName>
    <definedName name="THQT" localSheetId="0" hidden="1">{#N/A,#N/A,FALSE,"Chi tiÆt"}</definedName>
    <definedName name="THQT" hidden="1">{#N/A,#N/A,FALSE,"Chi tiÆt"}</definedName>
    <definedName name="thqtpsg" localSheetId="0" hidden="1">{"'Sheet1'!$L$16"}</definedName>
    <definedName name="thqtpsg" hidden="1">{"'Sheet1'!$L$16"}</definedName>
    <definedName name="THQuiCapChan" localSheetId="0" hidden="1">{"'Sheet1'!$L$16"}</definedName>
    <definedName name="THQuiCapChan" hidden="1">{"'Sheet1'!$L$16"}</definedName>
    <definedName name="thQuicaple" localSheetId="0" hidden="1">{"'Sheet1'!$L$16"}</definedName>
    <definedName name="thQuicaple" hidden="1">{"'Sheet1'!$L$16"}</definedName>
    <definedName name="tht" localSheetId="0" hidden="1">{"'Sheet1'!$L$16"}</definedName>
    <definedName name="tht" hidden="1">{"'Sheet1'!$L$16"}</definedName>
    <definedName name="THTranPhu" localSheetId="0" hidden="1">{"'Sheet1'!$L$16"}</definedName>
    <definedName name="THTranPhu" hidden="1">{"'Sheet1'!$L$16"}</definedName>
    <definedName name="thtrh" hidden="1">#REF!</definedName>
    <definedName name="thtyhyjyjyjyjjjyujyj" hidden="1">#REF!</definedName>
    <definedName name="thu" localSheetId="0" hidden="1">{"'Sheet1'!$L$16"}</definedName>
    <definedName name="thu" hidden="1">{"'Sheet1'!$L$16"}</definedName>
    <definedName name="THUAN" localSheetId="0" hidden="1">{#N/A,#N/A,FALSE,"CCTV"}</definedName>
    <definedName name="THUAN" hidden="1">{#N/A,#N/A,FALSE,"CCTV"}</definedName>
    <definedName name="thuat" localSheetId="0" hidden="1">{"'Sheet1'!$L$16"}</definedName>
    <definedName name="thuat" hidden="1">{"'Sheet1'!$L$16"}</definedName>
    <definedName name="Thuong" localSheetId="0" hidden="1">{"'Sheet1'!$L$16"}</definedName>
    <definedName name="Thuong" hidden="1">{"'Sheet1'!$L$16"}</definedName>
    <definedName name="thuy" localSheetId="0" hidden="1">{"'Sheet1'!$L$16"}</definedName>
    <definedName name="thuy" hidden="1">{"'Sheet1'!$L$16"}</definedName>
    <definedName name="thvlmoi" localSheetId="0" hidden="1">{"'Sheet1'!$L$16"}</definedName>
    <definedName name="thvlmoi" hidden="1">{"'Sheet1'!$L$16"}</definedName>
    <definedName name="thvlmoimoi" localSheetId="0" hidden="1">{"'Sheet1'!$L$16"}</definedName>
    <definedName name="thvlmoimoi" hidden="1">{"'Sheet1'!$L$16"}</definedName>
    <definedName name="THVT" localSheetId="0" hidden="1">{"'ELEC'!$A$2:$H$216","'ELEC'!$C$2:$D$2"}</definedName>
    <definedName name="THVT" hidden="1">{"'ELEC'!$A$2:$H$216","'ELEC'!$C$2:$D$2"}</definedName>
    <definedName name="thytr" hidden="1">#REF!</definedName>
    <definedName name="tien" hidden="1">#REF!</definedName>
    <definedName name="tieu" hidden="1">#REF!</definedName>
    <definedName name="TIM" localSheetId="0" hidden="1">{"'Sheet1'!$L$16"}</definedName>
    <definedName name="TIM" hidden="1">{"'Sheet1'!$L$16"}</definedName>
    <definedName name="TINH" localSheetId="0" hidden="1">{#N/A,#N/A,FALSE,"CCTV"}</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localSheetId="0" hidden="1">{"'Sheet1'!$L$16"}</definedName>
    <definedName name="tirirn" hidden="1">{"'Sheet1'!$L$16"}</definedName>
    <definedName name="tit" localSheetId="0" hidden="1">{"'Sheet1'!$L$16"}</definedName>
    <definedName name="tit" hidden="1">{"'Sheet1'!$L$16"}</definedName>
    <definedName name="tjhrfgth" hidden="1">#REF!</definedName>
    <definedName name="tjhtrjntrsjnsr" localSheetId="0" hidden="1">{"'Sheet1'!$L$16"}</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localSheetId="0" hidden="1">{#N/A,#N/A,FALSE,"Chi tiÆt"}</definedName>
    <definedName name="TL" hidden="1">{#N/A,#N/A,FALSE,"Chi tiÆt"}</definedName>
    <definedName name="tlc" localSheetId="0" hidden="1">{"'Sheet1'!$L$16"}</definedName>
    <definedName name="tlc" hidden="1">{"'Sheet1'!$L$16"}</definedName>
    <definedName name="TLP" localSheetId="0" hidden="1">{#N/A,#N/A,FALSE,"Chi tiÆt"}</definedName>
    <definedName name="TLP" hidden="1">{#N/A,#N/A,FALSE,"Chi tiÆt"}</definedName>
    <definedName name="TLPMG" localSheetId="0" hidden="1">{"'Sheet1'!$L$16"}</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localSheetId="0" hidden="1">{"'Break down'!$A$4"}</definedName>
    <definedName name="tmp" hidden="1">{"'Break down'!$A$4"}</definedName>
    <definedName name="tn" localSheetId="0" hidden="1">{"'Sheet1'!$L$16"}</definedName>
    <definedName name="tn" hidden="1">{"'Sheet1'!$L$16"}</definedName>
    <definedName name="tntn" localSheetId="0" hidden="1">{"'Sheet1'!$L$16"}</definedName>
    <definedName name="tntn" hidden="1">{"'Sheet1'!$L$16"}</definedName>
    <definedName name="toan" localSheetId="0" hidden="1">{"'Sheet1'!$L$16"}</definedName>
    <definedName name="toan" hidden="1">{"'Sheet1'!$L$16"}</definedName>
    <definedName name="toång_coäng">#REF!</definedName>
    <definedName name="toilet" localSheetId="0" hidden="1">{"'Sheet1'!$L$16"}</definedName>
    <definedName name="toilet" hidden="1">{"'Sheet1'!$L$16"}</definedName>
    <definedName name="TOK" hidden="1">#REF!</definedName>
    <definedName name="tol" localSheetId="0" hidden="1">{"'Sheet1'!$L$16"}</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localSheetId="0" hidden="1">{"'Sheet1'!$L$16"}</definedName>
    <definedName name="tÓtrte" hidden="1">{"'Sheet1'!$L$16"}</definedName>
    <definedName name="tr" hidden="1">#REF!</definedName>
    <definedName name="Tram" localSheetId="0" hidden="1">{"'Sheet1'!$L$16"}</definedName>
    <definedName name="Tram" hidden="1">{"'Sheet1'!$L$16"}</definedName>
    <definedName name="tran" localSheetId="0" hidden="1">{"'现金流量表（全部投资）'!$B$4:$P$23"}</definedName>
    <definedName name="tran" hidden="1">{"'现金流量表（全部投资）'!$B$4:$P$23"}</definedName>
    <definedName name="tre" localSheetId="0" hidden="1">{#N/A,#N/A,FALSE,"Chi tiÆt"}</definedName>
    <definedName name="tre" hidden="1">{#N/A,#N/A,FALSE,"Chi tiÆt"}</definedName>
    <definedName name="treerrt" hidden="1">#REF!</definedName>
    <definedName name="TRHEE" localSheetId="0" hidden="1">{#N/A,#N/A,FALSE,"Sheet6"}</definedName>
    <definedName name="TRHEE" hidden="1">{#N/A,#N/A,FALSE,"Sheet6"}</definedName>
    <definedName name="TRHEH" localSheetId="0" hidden="1">{"'Sheet1'!$L$16"}</definedName>
    <definedName name="TRHEH" hidden="1">{"'Sheet1'!$L$16"}</definedName>
    <definedName name="trhr" localSheetId="0" hidden="1">{#N/A,#N/A,FALSE,"Sheet6"}</definedName>
    <definedName name="trhr" hidden="1">{#N/A,#N/A,FALSE,"Sheet6"}</definedName>
    <definedName name="trieu" localSheetId="0" hidden="1">{"'Sheet1'!$L$16"}</definedName>
    <definedName name="trieu" hidden="1">{"'Sheet1'!$L$16"}</definedName>
    <definedName name="trong" localSheetId="0" hidden="1">{"'Sheet1'!$L$16"}</definedName>
    <definedName name="trong" hidden="1">{"'Sheet1'!$L$16"}</definedName>
    <definedName name="trr" localSheetId="0" hidden="1">{"Offgrid",#N/A,FALSE,"OFFGRID";"Region",#N/A,FALSE,"REGION";"Offgrid -2",#N/A,FALSE,"OFFGRID";"WTP",#N/A,FALSE,"WTP";"WTP -2",#N/A,FALSE,"WTP";"Project",#N/A,FALSE,"PROJECT";"Summary -2",#N/A,FALSE,"SUMMARY"}</definedName>
    <definedName name="trr" hidden="1">{"Offgrid",#N/A,FALSE,"OFFGRID";"Region",#N/A,FALSE,"REGION";"Offgrid -2",#N/A,FALSE,"OFFGRID";"WTP",#N/A,FALSE,"WTP";"WTP -2",#N/A,FALSE,"WTP";"Project",#N/A,FALSE,"PROJECT";"Summary -2",#N/A,FALSE,"SUMMARY"}</definedName>
    <definedName name="trrh" localSheetId="0" hidden="1">{"'Sheet1'!$L$16"}</definedName>
    <definedName name="trrh" hidden="1">{"'Sheet1'!$L$16"}</definedName>
    <definedName name="trunggiang" hidden="1">#REF!</definedName>
    <definedName name="TRUNGNGUYEN" localSheetId="0" hidden="1">{#N/A,#N/A,FALSE,"Chi tiÆt"}</definedName>
    <definedName name="TRUNGNGUYEN" hidden="1">{#N/A,#N/A,FALSE,"Chi tiÆt"}</definedName>
    <definedName name="trunking_od" hidden="1">#REF!</definedName>
    <definedName name="trutriutit" localSheetId="0" hidden="1">{#N/A,#N/A,FALSE,"속도"}</definedName>
    <definedName name="trutriutit" hidden="1">{#N/A,#N/A,FALSE,"속도"}</definedName>
    <definedName name="tt" localSheetId="0" hidden="1">{"'Sheet1'!$L$16"}</definedName>
    <definedName name="tt" hidden="1">{"'Sheet1'!$L$16"}</definedName>
    <definedName name="tthkprtn" localSheetId="0" hidden="1">{"'Sheet1'!$L$16"}</definedName>
    <definedName name="tthkprtn" hidden="1">{"'Sheet1'!$L$16"}</definedName>
    <definedName name="TTHU" localSheetId="0" hidden="1">{"'Sheet1'!$L$16"}</definedName>
    <definedName name="TTHU" hidden="1">{"'Sheet1'!$L$16"}</definedName>
    <definedName name="ttoan" localSheetId="0" hidden="1">{"'Sheet1'!$L$16"}</definedName>
    <definedName name="ttoan" hidden="1">{"'Sheet1'!$L$16"}</definedName>
    <definedName name="ttr" localSheetId="0" hidden="1">{#N/A,#N/A,FALSE,"Sheet6"}</definedName>
    <definedName name="ttr" hidden="1">{#N/A,#N/A,FALSE,"Sheet6"}</definedName>
    <definedName name="tttskldf" localSheetId="0" hidden="1">{0}</definedName>
    <definedName name="tttskldf" hidden="1">{0}</definedName>
    <definedName name="tttt" localSheetId="0" hidden="1">{"'Sheet1'!$L$16"}</definedName>
    <definedName name="tttt" hidden="1">{"'Sheet1'!$L$16"}</definedName>
    <definedName name="ｔｔｔｔｔ" localSheetId="0" hidden="1">{"'Sheet1'!$L$16"}</definedName>
    <definedName name="ｔｔｔｔｔ" hidden="1">{"'Sheet1'!$L$16"}</definedName>
    <definedName name="tttttt" localSheetId="0" hidden="1">{#N/A,#N/A,FALSE,"Chi tiÆt"}</definedName>
    <definedName name="tttttt" hidden="1">{#N/A,#N/A,FALSE,"Chi tiÆt"}</definedName>
    <definedName name="TU" localSheetId="0" hidden="1">{"'Sheet1'!$L$16"}</definedName>
    <definedName name="TU" hidden="1">{"'Sheet1'!$L$16"}</definedName>
    <definedName name="TU." hidden="1">#REF!</definedName>
    <definedName name="tuam" localSheetId="0" hidden="1">{"'Sheet1'!$L$16"}</definedName>
    <definedName name="tuam" hidden="1">{"'Sheet1'!$L$16"}</definedName>
    <definedName name="Tuan" localSheetId="0" hidden="1">{"'Sheet1'!$L$16"}</definedName>
    <definedName name="Tuan" hidden="1">{"'Sheet1'!$L$16"}</definedName>
    <definedName name="tuan03" localSheetId="0" hidden="1">{"'Sheet1'!$L$16"}</definedName>
    <definedName name="tuan03" hidden="1">{"'Sheet1'!$L$16"}</definedName>
    <definedName name="tuan123456" localSheetId="0" hidden="1">{"'Sheet1'!$L$16"}</definedName>
    <definedName name="tuan123456" hidden="1">{"'Sheet1'!$L$16"}</definedName>
    <definedName name="tuan2" localSheetId="0" hidden="1">{"'Sheet1'!$L$16"}</definedName>
    <definedName name="tuan2" hidden="1">{"'Sheet1'!$L$16"}</definedName>
    <definedName name="TUANKHANHTUYET45" localSheetId="0" hidden="1">{0}</definedName>
    <definedName name="TUANKHANHTUYET45" hidden="1">{0}</definedName>
    <definedName name="tuannn" localSheetId="0" hidden="1">{"'Sheet1'!$L$16"}</definedName>
    <definedName name="tuannn" hidden="1">{"'Sheet1'!$L$16"}</definedName>
    <definedName name="tuilol" localSheetId="0" hidden="1">{"'용역비'!$A$4:$C$8"}</definedName>
    <definedName name="tuilol" hidden="1">{"'용역비'!$A$4:$C$8"}</definedName>
    <definedName name="TUKHKJT" localSheetId="0" hidden="1">{"'Sheet1'!$L$16"}</definedName>
    <definedName name="TUKHKJT" hidden="1">{"'Sheet1'!$L$16"}</definedName>
    <definedName name="TUONG" hidden="1">#REF!</definedName>
    <definedName name="tuurtur" localSheetId="0" hidden="1">{"'Sheet1'!$L$16"}</definedName>
    <definedName name="tuurtur" hidden="1">{"'Sheet1'!$L$16"}</definedName>
    <definedName name="tuy" localSheetId="0" hidden="1">{"'Sheet1'!$L$16"}</definedName>
    <definedName name="tuy" hidden="1">{"'Sheet1'!$L$16"}</definedName>
    <definedName name="tuyennhanh" localSheetId="0" hidden="1">{"'Sheet1'!$L$16"}</definedName>
    <definedName name="tuyennhanh" hidden="1">{"'Sheet1'!$L$16"}</definedName>
    <definedName name="tuyet" localSheetId="0" hidden="1">{"'Sheet1'!$L$16"}</definedName>
    <definedName name="tuyet" hidden="1">{"'Sheet1'!$L$16"}</definedName>
    <definedName name="tv" localSheetId="0" hidden="1">{"'Sheet1'!$L$16"}</definedName>
    <definedName name="tv"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localSheetId="0" hidden="1">{#N/A,#N/A,FALSE,"Sheet6"}</definedName>
    <definedName name="tyiutyui" hidden="1">{#N/A,#N/A,FALSE,"Sheet6"}</definedName>
    <definedName name="TYJ" localSheetId="0" hidden="1">{"'용역비'!$A$4:$C$8"}</definedName>
    <definedName name="TYJ" hidden="1">{"'용역비'!$A$4:$C$8"}</definedName>
    <definedName name="tyje" localSheetId="0" hidden="1">{"'용역비'!$A$4:$C$8"}</definedName>
    <definedName name="tyje" hidden="1">{"'용역비'!$A$4:$C$8"}</definedName>
    <definedName name="tyjet" localSheetId="0" hidden="1">{"'용역비'!$A$4:$C$8"}</definedName>
    <definedName name="tyjet" hidden="1">{"'용역비'!$A$4:$C$8"}</definedName>
    <definedName name="TYJTJMMHJM" localSheetId="0" hidden="1">{"'Sheet1'!$L$16"}</definedName>
    <definedName name="TYJTJMMHJM"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yu" hidden="1">{"'Sheet1'!$L$16"}</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ư" hidden="1">#REF!</definedName>
    <definedName name="u5u6" localSheetId="0" hidden="1">{"'Sheet1'!$L$16"}</definedName>
    <definedName name="u5u6" hidden="1">{"'Sheet1'!$L$16"}</definedName>
    <definedName name="uassw_sh" localSheetId="0" hidden="1">{"'Sheet1'!$L$16"}</definedName>
    <definedName name="uassw_sh" hidden="1">{"'Sheet1'!$L$16"}</definedName>
    <definedName name="uchihashi" localSheetId="0" hidden="1">{#N/A,#N/A,FALSE,"特殊室（ＢＱ表）"}</definedName>
    <definedName name="uchihashi" hidden="1">{#N/A,#N/A,FALSE,"特殊室（ＢＱ表）"}</definedName>
    <definedName name="ucost">#REF!</definedName>
    <definedName name="ưe" hidden="1">#REF!</definedName>
    <definedName name="ưeawegw" hidden="1">#REF!</definedName>
    <definedName name="ưegweg" localSheetId="0" hidden="1">{"'Sheet1'!$L$16"}</definedName>
    <definedName name="ưegweg" hidden="1">{"'Sheet1'!$L$16"}</definedName>
    <definedName name="ưeq" hidden="1">#REF!</definedName>
    <definedName name="ưergasd" hidden="1">#REF!</definedName>
    <definedName name="ưergwrgn" localSheetId="0" hidden="1">{"'Sheet1'!$L$16"}</definedName>
    <definedName name="ưergwrgn" hidden="1">{"'Sheet1'!$L$16"}</definedName>
    <definedName name="ƯERWER" localSheetId="0" hidden="1">{"'Sheet1'!$L$16"}</definedName>
    <definedName name="ƯERWER" hidden="1">{"'Sheet1'!$L$16"}</definedName>
    <definedName name="ưgawegw" hidden="1">#REF!</definedName>
    <definedName name="úh" hidden="1">#REF!</definedName>
    <definedName name="ui" hidden="1">#REF!</definedName>
    <definedName name="uip" localSheetId="0" hidden="1">{"'Sheet1'!$L$16"}</definedName>
    <definedName name="uip" hidden="1">{"'Sheet1'!$L$16"}</definedName>
    <definedName name="ujdffdf" localSheetId="0" hidden="1">{#N/A,#N/A,FALSE,"단가표지"}</definedName>
    <definedName name="ujdffdf" hidden="1">{#N/A,#N/A,FALSE,"단가표지"}</definedName>
    <definedName name="ukj" localSheetId="0" hidden="1">{#N/A,#N/A,FALSE,"전력간선"}</definedName>
    <definedName name="ukj" hidden="1">{#N/A,#N/A,FALSE,"전력간선"}</definedName>
    <definedName name="ukluy" localSheetId="0" hidden="1">{"'Sheet1'!$L$16"}</definedName>
    <definedName name="ukluy" hidden="1">{"'Sheet1'!$L$16"}</definedName>
    <definedName name="UL" localSheetId="0" hidden="1">{"'Sheet1'!$L$16"}</definedName>
    <definedName name="UL" hidden="1">{"'Sheet1'!$L$16"}</definedName>
    <definedName name="ulo" localSheetId="0" hidden="1">{"'용역비'!$A$4:$C$8"}</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localSheetId="0" hidden="1">{"'Sheet1'!$L$16"}</definedName>
    <definedName name="ủnt" hidden="1">{"'Sheet1'!$L$16"}</definedName>
    <definedName name="UP">#REF!,#REF!,#REF!,#REF!,#REF!,#REF!,#REF!,#REF!,#REF!,#REF!,#REF!</definedName>
    <definedName name="urreur" localSheetId="0" hidden="1">{#N/A,#N/A,FALSE,"사업총괄";#N/A,#N/A,FALSE,"장비사업";#N/A,#N/A,FALSE,"철구사업";#N/A,#N/A,FALSE,"준설사업"}</definedName>
    <definedName name="urreur" hidden="1">{#N/A,#N/A,FALSE,"사업총괄";#N/A,#N/A,FALSE,"장비사업";#N/A,#N/A,FALSE,"철구사업";#N/A,#N/A,FALSE,"준설사업"}</definedName>
    <definedName name="urtureu" localSheetId="0" hidden="1">{#N/A,#N/A,FALSE,"전력간선"}</definedName>
    <definedName name="urtureu" hidden="1">{#N/A,#N/A,FALSE,"전력간선"}</definedName>
    <definedName name="urtureuer" localSheetId="0" hidden="1">{#N/A,#N/A,FALSE,"구조2"}</definedName>
    <definedName name="urtureuer" hidden="1">{#N/A,#N/A,FALSE,"구조2"}</definedName>
    <definedName name="uru4u4urur" localSheetId="0" hidden="1">{#N/A,#N/A,FALSE,"배수1"}</definedName>
    <definedName name="uru4u4urur" hidden="1">{#N/A,#N/A,FALSE,"배수1"}</definedName>
    <definedName name="usd">22300</definedName>
    <definedName name="utrutr" localSheetId="0" hidden="1">{#N/A,#N/A,FALSE,"배수2"}</definedName>
    <definedName name="utrutr" hidden="1">{#N/A,#N/A,FALSE,"배수2"}</definedName>
    <definedName name="ututut" localSheetId="0" hidden="1">{"'Sheet1'!$L$16"}</definedName>
    <definedName name="ututut" hidden="1">{"'Sheet1'!$L$16"}</definedName>
    <definedName name="UTWER" localSheetId="0" hidden="1">{"'Sheet1'!$L$16"}</definedName>
    <definedName name="UTWER"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u" localSheetId="0" hidden="1">{"'용역비'!$A$4:$C$8"}</definedName>
    <definedName name="uu" hidden="1">{"'용역비'!$A$4:$C$8"}</definedName>
    <definedName name="UUU" hidden="1">#REF!</definedName>
    <definedName name="uuuii" hidden="1">#REF!</definedName>
    <definedName name="uuuu" localSheetId="0" hidden="1">{#N/A,#N/A,FALSE,"단가표지"}</definedName>
    <definedName name="uuuu" hidden="1">{#N/A,#N/A,FALSE,"단가표지"}</definedName>
    <definedName name="ưvwbv" hidden="1">#REF!</definedName>
    <definedName name="uyi" localSheetId="0" hidden="1">{"'Sheet1'!$L$16"}</definedName>
    <definedName name="uyi" hidden="1">{"'Sheet1'!$L$16"}</definedName>
    <definedName name="uyteyj" hidden="1">#REF!</definedName>
    <definedName name="ủytỉt" localSheetId="0" hidden="1">{"'Sheet1'!$L$16"}</definedName>
    <definedName name="ủytỉt" hidden="1">{"'Sheet1'!$L$16"}</definedName>
    <definedName name="uytjhtdjtj" localSheetId="0" hidden="1">{"'Sheet1'!$L$16"}</definedName>
    <definedName name="uytjhtdjtj" hidden="1">{"'Sheet1'!$L$16"}</definedName>
    <definedName name="uytu" hidden="1">#REF!</definedName>
    <definedName name="v" hidden="1">#REF!</definedName>
    <definedName name="V.clvl3" localSheetId="0" hidden="1">{"'Sheet1'!$L$16"}</definedName>
    <definedName name="V.clvl3" hidden="1">{"'Sheet1'!$L$16"}</definedName>
    <definedName name="V_a_b__t_ng_M200____1x2" localSheetId="0">ptdg</definedName>
    <definedName name="V_a_b__t_ng_M200____1x2">ptdg</definedName>
    <definedName name="V8.Refresh" localSheetId="0" hidden="1">{"NGUYEN QUI THIEP - Personal View",#N/A,FALSE,"XDCB.HT.FUR."}</definedName>
    <definedName name="V8.Refresh" hidden="1">{"NGUYEN QUI THIEP - Personal View",#N/A,FALSE,"XDCB.HT.FUR."}</definedName>
    <definedName name="VAÄT_LIEÄU">"ATRAM"</definedName>
    <definedName name="VaDate" hidden="1">#REF!</definedName>
    <definedName name="vadvsa" localSheetId="0" hidden="1">{"'Sheet1'!$L$16"}</definedName>
    <definedName name="vadvsa" hidden="1">{"'Sheet1'!$L$16"}</definedName>
    <definedName name="Valve" localSheetId="0" hidden="1">{"'Sheet1'!$L$16"}</definedName>
    <definedName name="Valve" hidden="1">{"'Sheet1'!$L$16"}</definedName>
    <definedName name="Valve_1" localSheetId="0" hidden="1">{"'Sheet1'!$L$16"}</definedName>
    <definedName name="Valve_1" hidden="1">{"'Sheet1'!$L$16"}</definedName>
    <definedName name="VarDate" hidden="1">#REF!</definedName>
    <definedName name="VAT">#REF!</definedName>
    <definedName name="VATM" localSheetId="0" hidden="1">{"'Sheet1'!$L$16"}</definedName>
    <definedName name="VATM" hidden="1">{"'Sheet1'!$L$16"}</definedName>
    <definedName name="vb" localSheetId="0" hidden="1">{"'Sheet1'!$L$16"}</definedName>
    <definedName name="vb" hidden="1">{"'Sheet1'!$L$16"}</definedName>
    <definedName name="VBN" localSheetId="0" hidden="1">{#N/A,#N/A,FALSE,"이태원철근"}</definedName>
    <definedName name="VBN" hidden="1">{#N/A,#N/A,FALSE,"이태원철근"}</definedName>
    <definedName name="vbnhj" localSheetId="0" hidden="1">{#N/A,#N/A,FALSE,"Sheet6"}</definedName>
    <definedName name="vbnhj" hidden="1">{#N/A,#N/A,FALSE,"Sheet6"}</definedName>
    <definedName name="vbvb" hidden="1">#REF!</definedName>
    <definedName name="vcbo1" localSheetId="0" hidden="1">{"'Sheet1'!$L$16"}</definedName>
    <definedName name="vcbo1" hidden="1">{"'Sheet1'!$L$16"}</definedName>
    <definedName name="vcc" localSheetId="0" hidden="1">{#N/A,#N/A,FALSE,"구조1"}</definedName>
    <definedName name="vcc" hidden="1">{#N/A,#N/A,FALSE,"구조1"}</definedName>
    <definedName name="vcoto" localSheetId="0" hidden="1">{"'Sheet1'!$L$16"}</definedName>
    <definedName name="vcoto" hidden="1">{"'Sheet1'!$L$16"}</definedName>
    <definedName name="vcvc" localSheetId="0" hidden="1">{"'Sheet1'!$L$16"}</definedName>
    <definedName name="vcvc" hidden="1">{"'Sheet1'!$L$16"}</definedName>
    <definedName name="vd" localSheetId="0" hidden="1">{"'Sheet1'!$L$16"}</definedName>
    <definedName name="vd" hidden="1">{"'Sheet1'!$L$16"}</definedName>
    <definedName name="vdbdb" localSheetId="0" hidden="1">{"'Sheet1'!$L$16"}</definedName>
    <definedName name="vdbdb" hidden="1">{"'Sheet1'!$L$16"}</definedName>
    <definedName name="vdfgdfg" localSheetId="0" hidden="1">{"'Sheet1'!$L$16"}</definedName>
    <definedName name="vdfgdfg" hidden="1">{"'Sheet1'!$L$16"}</definedName>
    <definedName name="VEN" localSheetId="0" hidden="1">{#N/A,#N/A,TRUE,"SUM";#N/A,#N/A,TRUE,"EE";#N/A,#N/A,TRUE,"AC";#N/A,#N/A,TRUE,"SN"}</definedName>
    <definedName name="VEN" hidden="1">{#N/A,#N/A,TRUE,"SUM";#N/A,#N/A,TRUE,"EE";#N/A,#N/A,TRUE,"AC";#N/A,#N/A,TRUE,"SN"}</definedName>
    <definedName name="vetbun" localSheetId="0" hidden="1">{"'Sheet1'!$L$16"}</definedName>
    <definedName name="vetbun" hidden="1">{"'Sheet1'!$L$16"}</definedName>
    <definedName name="VF" localSheetId="0" hidden="1">{#N/A,#N/A,FALSE,"Sheet2";#N/A,#N/A,FALSE,"Sheet4";#N/A,#N/A,FALSE,"Sheet6"}</definedName>
    <definedName name="VF" hidden="1">{#N/A,#N/A,FALSE,"Sheet2";#N/A,#N/A,FALSE,"Sheet4";#N/A,#N/A,FALSE,"Sheet6"}</definedName>
    <definedName name="vfdg" hidden="1">#REF!</definedName>
    <definedName name="vgb" localSheetId="0" hidden="1">{"'Sheet1'!$L$16"}</definedName>
    <definedName name="vgb" hidden="1">{"'Sheet1'!$L$16"}</definedName>
    <definedName name="vghn" localSheetId="0" hidden="1">{"'Sheet1'!$L$16"}</definedName>
    <definedName name="vghn" hidden="1">{"'Sheet1'!$L$16"}</definedName>
    <definedName name="vgho" localSheetId="0" hidden="1">{"'Sheet1'!$L$16"}</definedName>
    <definedName name="vgho" hidden="1">{"'Sheet1'!$L$16"}</definedName>
    <definedName name="vgjh" localSheetId="0" hidden="1">{#N/A,#N/A,FALSE,"特殊室（ＢＱ表）"}</definedName>
    <definedName name="vgjh" hidden="1">{#N/A,#N/A,FALSE,"特殊室（ＢＱ表）"}</definedName>
    <definedName name="vi" localSheetId="0" hidden="1">{"'Sheet1'!$L$16"}</definedName>
    <definedName name="vi" hidden="1">{"'Sheet1'!$L$16"}</definedName>
    <definedName name="vien" hidden="1">#REF!</definedName>
    <definedName name="Viet" localSheetId="0" hidden="1">{"'Sheet1'!$L$16"}</definedName>
    <definedName name="Viet" hidden="1">{"'Sheet1'!$L$16"}</definedName>
    <definedName name="Viets" localSheetId="0" hidden="1">{"'Sheet1'!$L$16"}</definedName>
    <definedName name="Viets" hidden="1">{"'Sheet1'!$L$16"}</definedName>
    <definedName name="vinod" localSheetId="0" hidden="1">{#N/A,#N/A,FALSE,"估價單  (3)"}</definedName>
    <definedName name="vinod" hidden="1">{#N/A,#N/A,FALSE,"估價單  (3)"}</definedName>
    <definedName name="vista" hidden="1">#REF!</definedName>
    <definedName name="vitcon" hidden="1">#REF!</definedName>
    <definedName name="vl" localSheetId="0" hidden="1">{"'Sheet1'!$L$16"}</definedName>
    <definedName name="vl" hidden="1">{"'Sheet1'!$L$16"}</definedName>
    <definedName name="vlct" localSheetId="0" hidden="1">{"'Sheet1'!$L$16"}</definedName>
    <definedName name="vlct" hidden="1">{"'Sheet1'!$L$16"}</definedName>
    <definedName name="VLKhac">#REF!</definedName>
    <definedName name="VLPhu" hidden="1">#REF!</definedName>
    <definedName name="VLXD" hidden="1">#REF!</definedName>
    <definedName name="vnd_list" localSheetId="0" hidden="1">{"một";"hai";"ba";"bốn";"năm";"sáu";"bảy";"tám";"chín";"mười";"mươi";"mốt";"lăm";"trăm";"nghìn";"triệu";"tỷ";"lẻ";"không trăm";"Bằng chử : "}</definedName>
    <definedName name="vnd_list" hidden="1">{"một";"hai";"ba";"bốn";"năm";"sáu";"bảy";"tám";"chín";"mười";"mươi";"mốt";"lăm";"trăm";"nghìn";"triệu";"tỷ";"lẻ";"không trăm";"Bằng chử : "}</definedName>
    <definedName name="vnvnvn" localSheetId="0" hidden="1">{"'Sheet1'!$L$16"}</definedName>
    <definedName name="vnvnvn" hidden="1">{"'Sheet1'!$L$16"}</definedName>
    <definedName name="vo" localSheetId="0" hidden="1">{"'CPA Sum'!$A$1:$X$30","'CPA'!$A$1:$K$187","'Infra Cost'!$A$1:$Q$30","'Dev't Cost'!$A$1:$AH$40","'Cashflow'!$A$1:$DG$82"}</definedName>
    <definedName name="vo" hidden="1">{"'CPA Sum'!$A$1:$X$30","'CPA'!$A$1:$K$187","'Infra Cost'!$A$1:$Q$30","'Dev't Cost'!$A$1:$AH$40","'Cashflow'!$A$1:$DG$82"}</definedName>
    <definedName name="VOLTAGE" localSheetId="0" hidden="1">{#N/A,#N/A,FALSE,"Sheet1";#N/A,#N/A,FALSE,"Sheet3";#N/A,#N/A,FALSE,"Sheet5"}</definedName>
    <definedName name="VOLTAGE" hidden="1">{#N/A,#N/A,FALSE,"Sheet1";#N/A,#N/A,FALSE,"Sheet3";#N/A,#N/A,FALSE,"Sheet5"}</definedName>
    <definedName name="VON">#N/A</definedName>
    <definedName name="vsvs" localSheetId="0" hidden="1">{"'Sheet1'!$L$16"}</definedName>
    <definedName name="vsvs" hidden="1">{"'Sheet1'!$L$16"}</definedName>
    <definedName name="VT">#REF!</definedName>
    <definedName name="vttc2" localSheetId="0" hidden="1">{#N/A,#N/A,FALSE,"Sheet1";#N/A,#N/A,FALSE,"Sheet1";#N/A,#N/A,FALSE,"Sheet1"}</definedName>
    <definedName name="vttc2" hidden="1">{#N/A,#N/A,FALSE,"Sheet1";#N/A,#N/A,FALSE,"Sheet1";#N/A,#N/A,FALSE,"Sheet1"}</definedName>
    <definedName name="VTuphu" localSheetId="0" hidden="1">{"'Sheet1'!$L$16"}</definedName>
    <definedName name="VTuphu" hidden="1">{"'Sheet1'!$L$16"}</definedName>
    <definedName name="VU" localSheetId="0" hidden="1">{"'Sheet1'!$L$16"}</definedName>
    <definedName name="VU" hidden="1">{"'Sheet1'!$L$16"}</definedName>
    <definedName name="VUNGTB" localSheetId="0" hidden="1">{"'Sheet1'!$L$16"}</definedName>
    <definedName name="VUNGTB" hidden="1">{"'Sheet1'!$L$16"}</definedName>
    <definedName name="vut" localSheetId="0" hidden="1">{#N/A,#N/A,FALSE,"Chi tiÆt"}</definedName>
    <definedName name="vut" hidden="1">{#N/A,#N/A,FALSE,"Chi tiÆt"}</definedName>
    <definedName name="vv" localSheetId="0" hidden="1">{"'Sheet1'!$L$16"}</definedName>
    <definedName name="vv" hidden="1">{"'Sheet1'!$L$16"}</definedName>
    <definedName name="vvv" localSheetId="0" hidden="1">{"'Sheet1'!$L$16"}</definedName>
    <definedName name="vvv" hidden="1">{"'Sheet1'!$L$16"}</definedName>
    <definedName name="ｖｖｖｖｖ" localSheetId="0" hidden="1">{"'Sheet1'!$L$16"}</definedName>
    <definedName name="ｖｖｖｖｖ" hidden="1">{"'Sheet1'!$L$16"}</definedName>
    <definedName name="VVVVVV" localSheetId="0" hidden="1">{"'Sheet1'!$L$16"}</definedName>
    <definedName name="VVVVVV" hidden="1">{"'Sheet1'!$L$16"}</definedName>
    <definedName name="vvvvvvv" localSheetId="0" hidden="1">{#N/A,#N/A,FALSE,"Chi tiÆt"}</definedName>
    <definedName name="vvvvvvv" hidden="1">{#N/A,#N/A,FALSE,"Chi tiÆt"}</definedName>
    <definedName name="vxcgs" localSheetId="0" hidden="1">{"'Sheet1'!$L$16"}</definedName>
    <definedName name="vxcgs" hidden="1">{"'Sheet1'!$L$16"}</definedName>
    <definedName name="VXVZX" localSheetId="0" hidden="1">{"'Sheet1'!$L$16"}</definedName>
    <definedName name="VXVZX" hidden="1">{"'Sheet1'!$L$16"}</definedName>
    <definedName name="vyu" localSheetId="0" hidden="1">{"'Sheet1'!$L$16"}</definedName>
    <definedName name="vyu" hidden="1">{"'Sheet1'!$L$16"}</definedName>
    <definedName name="VZDVA" localSheetId="0" hidden="1">{"'Sheet1'!$L$16"}</definedName>
    <definedName name="VZDVA" hidden="1">{"'Sheet1'!$L$16"}</definedName>
    <definedName name="VZVZD" localSheetId="0" hidden="1">{"'Sheet1'!$L$16"}</definedName>
    <definedName name="VZVZD" hidden="1">{"'Sheet1'!$L$16"}</definedName>
    <definedName name="VZVZXCZ" localSheetId="0" hidden="1">{"'Sheet1'!$L$16"}</definedName>
    <definedName name="VZVZXCZ"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localSheetId="0" hidden="1">{#N/A,#N/A,FALSE,"Chi tiÆt"}</definedName>
    <definedName name="waa" hidden="1">{#N/A,#N/A,FALSE,"Chi tiÆt"}</definedName>
    <definedName name="wafef" localSheetId="0" hidden="1">{"'Sheet1'!$L$16"}</definedName>
    <definedName name="wafef" hidden="1">{"'Sheet1'!$L$16"}</definedName>
    <definedName name="walkway" localSheetId="0" hidden="1">{"'Sheet1'!$L$16"}</definedName>
    <definedName name="walkway" hidden="1">{"'Sheet1'!$L$16"}</definedName>
    <definedName name="wd" hidden="1">#REF!</definedName>
    <definedName name="wdd" localSheetId="0" hidden="1">{"'Sheet1'!$L$16"}</definedName>
    <definedName name="wdd" hidden="1">{"'Sheet1'!$L$16"}</definedName>
    <definedName name="WDDLS">#REF!</definedName>
    <definedName name="WE" localSheetId="0" hidden="1">{#N/A,#N/A,FALSE,"CCTV"}</definedName>
    <definedName name="WE" hidden="1">{#N/A,#N/A,FALSE,"CCTV"}</definedName>
    <definedName name="wedus" hidden="1">#REF!</definedName>
    <definedName name="wefwgfwegf" localSheetId="0" hidden="1">{"'Sheet1'!$L$16"}</definedName>
    <definedName name="wefwgfwegf" hidden="1">{"'Sheet1'!$L$16"}</definedName>
    <definedName name="weqew" hidden="1">#REF!</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QWEQ" hidden="1">{0,0,0,0}</definedName>
    <definedName name="wer" hidden="1">#REF!</definedName>
    <definedName name="werar" localSheetId="0" hidden="1">{"'Sheet1'!$L$16"}</definedName>
    <definedName name="werar" hidden="1">{"'Sheet1'!$L$16"}</definedName>
    <definedName name="wererr" localSheetId="0" hidden="1">{#N/A,#N/A,FALSE,"운반시간"}</definedName>
    <definedName name="wererr" hidden="1">{#N/A,#N/A,FALSE,"운반시간"}</definedName>
    <definedName name="werewr" localSheetId="0" hidden="1">{#N/A,#N/A,FALSE,"골재소요량";#N/A,#N/A,FALSE,"골재소요량"}</definedName>
    <definedName name="werewr"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localSheetId="0" hidden="1">{"'Sheet1'!$L$16"}</definedName>
    <definedName name="wgyw" hidden="1">{"'Sheet1'!$L$16"}</definedName>
    <definedName name="window" localSheetId="0" hidden="1">{"ECA Qtrs C",#N/A,TRUE,"ECA_Qtrs_C";"ECA Qtrs D",#N/A,TRUE,"ECA_Qtrs_D";"ECA Qtrs F",#N/A,TRUE,"ECA_Qtrs_F";"ECA Qtrs G",#N/A,TRUE,"ECA_Qtrs_G";"ECA SisterApt",#N/A,TRUE,"ECA_SisterApt";"ECA Nurses",#N/A,TRUE,"ECA_NursesHostel"}</definedName>
    <definedName name="window"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localSheetId="0" hidden="1">{#N/A,#N/A,FALSE,"견적대비-2"}</definedName>
    <definedName name="WK" hidden="1">{#N/A,#N/A,FALSE,"견적대비-2"}</definedName>
    <definedName name="WLQ" localSheetId="0" hidden="1">{#N/A,#N/A,FALSE,"명세표"}</definedName>
    <definedName name="WLQ" hidden="1">{#N/A,#N/A,FALSE,"명세표"}</definedName>
    <definedName name="wlqrp" hidden="1">0</definedName>
    <definedName name="wm.조골재1" localSheetId="0" hidden="1">{#N/A,#N/A,FALSE,"조골재"}</definedName>
    <definedName name="wm.조골재1" hidden="1">{#N/A,#N/A,FALSE,"조골재"}</definedName>
    <definedName name="WPWPPW" localSheetId="0" hidden="1">{#N/A,#N/A,FALSE,"주간공정";#N/A,#N/A,FALSE,"주간보고";#N/A,#N/A,FALSE,"주간공정표"}</definedName>
    <definedName name="WPWPPW" hidden="1">{#N/A,#N/A,FALSE,"주간공정";#N/A,#N/A,FALSE,"주간보고";#N/A,#N/A,FALSE,"주간공정표"}</definedName>
    <definedName name="wqe" localSheetId="0" hidden="1">{"'ELEC'!$A$2:$H$216","'ELEC'!$C$2:$D$2"}</definedName>
    <definedName name="wqe" hidden="1">{"'ELEC'!$A$2:$H$216","'ELEC'!$C$2:$D$2"}</definedName>
    <definedName name="wqweqr" localSheetId="0" hidden="1">{"'Sheet1'!$L$16"}</definedName>
    <definedName name="wqweqr" hidden="1">{"'Sheet1'!$L$16"}</definedName>
    <definedName name="WREWR" hidden="1">#REF!</definedName>
    <definedName name="WRITE" localSheetId="0" hidden="1">{#N/A,#N/A,FALSE,"CCTV"}</definedName>
    <definedName name="WRITE" hidden="1">{#N/A,#N/A,FALSE,"CCTV"}</definedName>
    <definedName name="WRN" localSheetId="0" hidden="1">{#N/A,#N/A,FALSE,"CCTV"}</definedName>
    <definedName name="WRN"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1." hidden="1">{#N/A,#N/A,FALSE,"TOTAL"}</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 hidden="1">{#N/A,#N/A,FALSE,"지침";#N/A,#N/A,FALSE,"환경분석";#N/A,#N/A,FALSE,"Sheet16"}</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98." localSheetId="0" hidden="1">{#N/A,#N/A,FALSE,"지침";#N/A,#N/A,FALSE,"환경분석";#N/A,#N/A,FALSE,"Sheet16"}</definedName>
    <definedName name="WRN.98." hidden="1">{#N/A,#N/A,FALSE,"지침";#N/A,#N/A,FALSE,"환경분석";#N/A,#N/A,FALSE,"Sheet16"}</definedName>
    <definedName name="wrn.A." localSheetId="0" hidden="1">{#N/A,#N/A,TRUE,"SUM";#N/A,#N/A,TRUE,"EE";#N/A,#N/A,TRUE,"AC";#N/A,#N/A,TRUE,"SN"}</definedName>
    <definedName name="wrn.A." hidden="1">{#N/A,#N/A,TRUE,"SUM";#N/A,#N/A,TRUE,"EE";#N/A,#N/A,TRUE,"AC";#N/A,#N/A,TRUE,"SN"}</definedName>
    <definedName name="wrn.aaa." localSheetId="0" hidden="1">{#N/A,#N/A,FALSE,"Sheet1";#N/A,#N/A,FALSE,"Sheet1";#N/A,#N/A,FALSE,"Sheet1"}</definedName>
    <definedName name="wrn.aaa." hidden="1">{#N/A,#N/A,FALSE,"Sheet1";#N/A,#N/A,FALSE,"Sheet1";#N/A,#N/A,FALSE,"Sheet1"}</definedName>
    <definedName name="wrn.aaa.1" localSheetId="0" hidden="1">{#N/A,#N/A,FALSE,"Sheet1";#N/A,#N/A,FALSE,"Sheet1";#N/A,#N/A,FALSE,"Sheet1"}</definedName>
    <definedName name="wrn.aaa.1" hidden="1">{#N/A,#N/A,FALSE,"Sheet1";#N/A,#N/A,FALSE,"Sheet1";#N/A,#N/A,FALSE,"Sheet1"}</definedName>
    <definedName name="wrn.abc." localSheetId="0"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ng._.ke._.nhan._.hang." hidden="1">{#N/A,#N/A,FALSE,"Ke khai NH"}</definedName>
    <definedName name="wrn.BAOCAO." localSheetId="0" hidden="1">{#N/A,#N/A,FALSE,"sum";#N/A,#N/A,FALSE,"MARTV";#N/A,#N/A,FALSE,"APRTV"}</definedName>
    <definedName name="wrn.BAOCAO." hidden="1">{#N/A,#N/A,FALSE,"sum";#N/A,#N/A,FALSE,"MARTV";#N/A,#N/A,FALSE,"APRTV"}</definedName>
    <definedName name="wrn.bbb." localSheetId="0" hidden="1">{#N/A,#N/A,FALSE,"Sheet1";#N/A,#N/A,FALSE,"Sheet1";#N/A,#N/A,FALSE,"Sheet1"}</definedName>
    <definedName name="wrn.bbb." hidden="1">{#N/A,#N/A,FALSE,"Sheet1";#N/A,#N/A,FALSE,"Sheet1";#N/A,#N/A,FALSE,"Sheet1"}</definedName>
    <definedName name="wrn.BIDSUM." localSheetId="0" hidden="1">{#N/A,#N/A,TRUE,"SUMMARY";#N/A,#N/A,TRUE,"ISBL";#N/A,#N/A,TRUE,"OSBL";#N/A,#N/A,TRUE,"OFFSITE";#N/A,#N/A,TRUE,"STEAM"}</definedName>
    <definedName name="wrn.BIDSUM." hidden="1">{#N/A,#N/A,TRUE,"SUMMARY";#N/A,#N/A,TRUE,"ISBL";#N/A,#N/A,TRUE,"OSBL";#N/A,#N/A,TRUE,"OFFSITE";#N/A,#N/A,TRUE,"STEAM"}</definedName>
    <definedName name="wrn.BILLS._.OF._.QUANTITY." localSheetId="0" hidden="1">{#N/A,#N/A,TRUE,"Str.";#N/A,#N/A,TRUE,"Steel &amp; Roof";#N/A,#N/A,TRUE,"Arc.";#N/A,#N/A,TRUE,"Preliminary";#N/A,#N/A,TRUE,"Sum_Prelim"}</definedName>
    <definedName name="wrn.BILLS._.OF._.QUANTITY." hidden="1">{#N/A,#N/A,TRUE,"Str.";#N/A,#N/A,TRUE,"Steel &amp; Roof";#N/A,#N/A,TRUE,"Arc.";#N/A,#N/A,TRUE,"Preliminary";#N/A,#N/A,TRUE,"Sum_Prelim"}</definedName>
    <definedName name="wrn.BM" localSheetId="0" hidden="1">{#N/A,#N/A,FALSE,"CCTV"}</definedName>
    <definedName name="wrn.BM" hidden="1">{#N/A,#N/A,FALSE,"CCTV"}</definedName>
    <definedName name="wrn.BM." localSheetId="0" hidden="1">{#N/A,#N/A,FALSE,"CCTV"}</definedName>
    <definedName name="wrn.BM." hidden="1">{#N/A,#N/A,FALSE,"CCTV"}</definedName>
    <definedName name="wrn.Boq_summary." localSheetId="0" hidden="1">{#N/A,#N/A,FALSE,"Sum_BOQ";#N/A,#N/A,FALSE,"Preliminary";#N/A,#N/A,FALSE,"Sum_Prelim";#N/A,#N/A,FALSE,"Prime Cost&amp;Prov_sum"}</definedName>
    <definedName name="wrn.Boq_summary." hidden="1">{#N/A,#N/A,FALSE,"Sum_BOQ";#N/A,#N/A,FALSE,"Preliminary";#N/A,#N/A,FALSE,"Sum_Prelim";#N/A,#N/A,FALSE,"Prime Cost&amp;Prov_sum"}</definedName>
    <definedName name="wrn.Charts." localSheetId="0" hidden="1">{"Chart 1",#N/A,TRUE,"Charts";"Chart 2",#N/A,TRUE,"Charts"}</definedName>
    <definedName name="wrn.Charts." hidden="1">{"Chart 1",#N/A,TRUE,"Charts";"Chart 2",#N/A,TRUE,"Charts"}</definedName>
    <definedName name="wrn.Che._.do._.duoc._.huong." localSheetId="0" hidden="1">{#N/A,#N/A,FALSE,"BN (2)"}</definedName>
    <definedName name="wrn.Che._.do._.duoc._.huong." hidden="1">{#N/A,#N/A,FALSE,"BN (2)"}</definedName>
    <definedName name="wrn.chi._.tiÆt." localSheetId="0" hidden="1">{#N/A,#N/A,FALSE,"Chi tiÆt"}</definedName>
    <definedName name="wrn.chi._.tiÆt." hidden="1">{#N/A,#N/A,FALSE,"Chi tiÆt"}</definedName>
    <definedName name="wrn.clntrpt." localSheetId="0"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ded._.IAS._.FS." localSheetId="0" hidden="1">{"IASTrail",#N/A,FALSE,"IAS"}</definedName>
    <definedName name="wrn.Coded._.IAS._.FS."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ng." hidden="1">{#N/A,#N/A,FALSE,"Sheet1"}</definedName>
    <definedName name="wrn.Cost._.Summary." localSheetId="0" hidden="1">{"Cost Summary",#N/A,FALSE,"B";"Cost Detail 1",#N/A,FALSE,"C";"Cost Detail 2",#N/A,FALSE,"C"}</definedName>
    <definedName name="wrn.Cost._.Summary."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umulative._.Material._.Cost." hidden="1">{#N/A,#N/A,FALSE,"MARCH"}</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etail."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cavation." hidden="1">{"excavation",#N/A,FALSE,"DETAIL.XLS"}</definedName>
    <definedName name="wrn.Exterior._.Wall." localSheetId="0" hidden="1">{#N/A,#N/A,FALSE,"Paramters";"print range",#N/A,FALSE,"GSF.XLS";"exterior wall",#N/A,FALSE,"DETAIL.XLS"}</definedName>
    <definedName name="wrn.Exterior._.Wall."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ixed._.Assets._.Note._.and._.Depreciation."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IAS._.STATEMENTS."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Full._.TRAIL." hidden="1">{"IAS Mapping",#N/A,FALSE,"RSA_FS";#N/A,#N/A,FALSE,"CHECK!";#N/A,#N/A,FALSE,"Recon";#N/A,#N/A,FALSE,"NMG";#N/A,#N/A,FALSE,"Journals";"AnalRSA",#N/A,FALSE,"PL-Anal";"AnalIAS",#N/A,FALSE,"PL-Anal";#N/A,#N/A,FALSE,"COS"}</definedName>
    <definedName name="wrn.GENSERV." localSheetId="0" hidden="1">{#N/A,#N/A,FALSE,"VISTAF"}</definedName>
    <definedName name="wrn.GENSERV." hidden="1">{#N/A,#N/A,FALSE,"VISTAF"}</definedName>
    <definedName name="wrn.Giáy._.bao._.no." localSheetId="0" hidden="1">{#N/A,#N/A,FALSE,"BN"}</definedName>
    <definedName name="wrn.Giáy._.bao._.no." hidden="1">{#N/A,#N/A,FALSE,"BN"}</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Help." localSheetId="0" hidden="1">{#N/A,#N/A,TRUE,"MAP";#N/A,#N/A,TRUE,"STEPS";#N/A,#N/A,TRUE,"RULES"}</definedName>
    <definedName name="wrn.Help." hidden="1">{#N/A,#N/A,TRUE,"MAP";#N/A,#N/A,TRUE,"STEPS";#N/A,#N/A,TRUE,"RULES"}</definedName>
    <definedName name="wrn.IAS._.BS._.PL._.CF._.and._.Notes." localSheetId="0" hidden="1">{"IASBS",#N/A,TRUE,"IAS";"IASPL",#N/A,TRUE,"IAS";"IASNotes",#N/A,TRUE,"IAS";"CFDir - expanded",#N/A,TRUE,"CF DIR"}</definedName>
    <definedName name="wrn.IAS._.BS._.PL._.CF._.and._.Notes."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AS._.Mapping." hidden="1">{"IAS Mapping",#N/A,TRUE,"RSA_FS"}</definedName>
    <definedName name="wrn.INDIRCOS." localSheetId="0"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Inflation._.factors._.used." localSheetId="0" hidden="1">{#N/A,#N/A,FALSE,"Infl_fact"}</definedName>
    <definedName name="wrn.Inflation._.factors._.used." hidden="1">{#N/A,#N/A,FALSE,"Infl_fact"}</definedName>
    <definedName name="wrn.Interior._.finishes." localSheetId="0" hidden="1">{"interior finishes",#N/A,FALSE,"DETAIL.XLS"}</definedName>
    <definedName name="wrn.Interior._.finishes."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i._.khanh."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ARGIN." hidden="1">{#N/A,#N/A,FALSE,"VISTAF"}</definedName>
    <definedName name="wrn.mhrfcst." localSheetId="0" hidden="1">{#N/A,#N/A,FALSE,"MANHR FCST-BASE"}</definedName>
    <definedName name="wrn.mhrfcst." hidden="1">{#N/A,#N/A,FALSE,"MANHR FCST-BASE"}</definedName>
    <definedName name="wrn.Monthly._.Statement." localSheetId="0" hidden="1">{#N/A,#N/A,FALSE,"Tabelle2";#N/A,#N/A,FALSE,"Tabelle1"}</definedName>
    <definedName name="wrn.Monthly._.Statement." hidden="1">{#N/A,#N/A,FALSE,"Tabelle2";#N/A,#N/A,FALSE,"Tabelle1"}</definedName>
    <definedName name="wrn.MTD1." localSheetId="0" hidden="1">{#N/A,#N/A,FALSE,"Sheet1";#N/A,#N/A,FALSE,"Sheet3";#N/A,#N/A,FALSE,"Sheet5"}</definedName>
    <definedName name="wrn.MTD1." hidden="1">{#N/A,#N/A,FALSE,"Sheet1";#N/A,#N/A,FALSE,"Sheet3";#N/A,#N/A,FALSE,"Sheet5"}</definedName>
    <definedName name="wrn.MTD2." localSheetId="0" hidden="1">{#N/A,#N/A,FALSE,"Sheet2";#N/A,#N/A,FALSE,"Sheet4";#N/A,#N/A,FALSE,"Sheet6"}</definedName>
    <definedName name="wrn.MTD2." hidden="1">{#N/A,#N/A,FALSE,"Sheet2";#N/A,#N/A,FALSE,"Sheet4";#N/A,#N/A,FALSE,"Sheet6"}</definedName>
    <definedName name="wrn.Output." localSheetId="0" hidden="1">{#N/A,#N/A,TRUE,"Summary";#N/A,#N/A,TRUE,"Assumptions";#N/A,#N/A,TRUE,"Stack";#N/A,#N/A,TRUE,"Budget";#N/A,#N/A,TRUE,"Condo Summary";#N/A,#N/A,TRUE,"Condo Sellout Summary"}</definedName>
    <definedName name="wrn.Output."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 hidden="1">{#N/A,#N/A,FALSE,"mgtsum.XLS";#N/A,#N/A,FALSE,"CAPONE";#N/A,#N/A,FALSE,"CAPTWO";#N/A,#N/A,FALSE,"CAPTHREE"}</definedName>
    <definedName name="wrn.p854._.addendum2" localSheetId="0" hidden="1">{#N/A,#N/A,FALSE,"mgtsum.XLS";#N/A,#N/A,FALSE,"CAPONE";#N/A,#N/A,FALSE,"CAPTWO";#N/A,#N/A,FALSE,"CAPTHREE"}</definedName>
    <definedName name="wrn.p854._.addendum2" hidden="1">{#N/A,#N/A,FALSE,"mgtsum.XLS";#N/A,#N/A,FALSE,"CAPONE";#N/A,#N/A,FALSE,"CAPTWO";#N/A,#N/A,FALSE,"CAPTHREE"}</definedName>
    <definedName name="wrn.p854._.addendum3" localSheetId="0" hidden="1">{#N/A,#N/A,FALSE,"mgtsum.XLS";#N/A,#N/A,FALSE,"CAPONE";#N/A,#N/A,FALSE,"CAPTWO";#N/A,#N/A,FALSE,"CAPTHREE"}</definedName>
    <definedName name="wrn.p854._.addendum3" hidden="1">{#N/A,#N/A,FALSE,"mgtsum.XLS";#N/A,#N/A,FALSE,"CAPONE";#N/A,#N/A,FALSE,"CAPTWO";#N/A,#N/A,FALSE,"CAPTHREE"}</definedName>
    <definedName name="wrn.PL._.Analysis." localSheetId="0" hidden="1">{"AnalRSA",#N/A,TRUE,"PL-Anal";"AnalIAS",#N/A,TRUE,"PL-Anal"}</definedName>
    <definedName name="wrn.PL._.Analysis." hidden="1">{"AnalRSA",#N/A,TRUE,"PL-Anal";"AnalIAS",#N/A,TRUE,"PL-Anal"}</definedName>
    <definedName name="wrn.Present." localSheetId="0" hidden="1">{"Present",#N/A,FALSE,"Assump";"Present",#N/A,FALSE,"Calc";"Present",#N/A,FALSE,"Cover"}</definedName>
    <definedName name="wrn.Present."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int._.Output." hidden="1">{#N/A,#N/A,FALSE,"OUTPUT SHEET "}</definedName>
    <definedName name="wrn.Profile." localSheetId="0" hidden="1">{"View 1",#N/A,FALSE,"Profile";"View 2",#N/A,FALSE,"Profile";"View 3",#N/A,FALSE,"Profile"}</definedName>
    <definedName name="wrn.Profile."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0" hidden="1">{#N/A,#N/A,FALSE,"特殊室（ＢＱ表）"}</definedName>
    <definedName name="wrn.report1." hidden="1">{#N/A,#N/A,FALSE,"特殊室（ＢＱ表）"}</definedName>
    <definedName name="wrn.reports." localSheetId="0" hidden="1">{#N/A,#N/A,FALSE,"Project Summary";#N/A,#N/A,FALSE,"Parameter Summary";#N/A,#N/A,FALSE,"Budget Control Report";#N/A,#N/A,FALSE,"DETAIL.XLS"}</definedName>
    <definedName name="wrn.reports."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ide._.Estimate."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RSA._.BS._.and._.PL." hidden="1">{"BS1",#N/A,TRUE,"RSA_FS";"BS2",#N/A,TRUE,"RSA_FS";"BS3",#N/A,TRUE,"RSA_FS"}</definedName>
    <definedName name="wrn.SCHEDULE." localSheetId="0" hidden="1">{"SCHEDULE",#N/A,FALSE,"Fin_sched"}</definedName>
    <definedName name="wrn.SCHEDULE."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how._.Estimate."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ite._.expenses."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ANDARD._.RACKS."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tructural._.Frame." hidden="1">{"structural",#N/A,FALSE,"DETAIL.XLS"}</definedName>
    <definedName name="wrn.SUMMARY." localSheetId="0" hidden="1">{"SUMMARY",#N/A,FALSE,"Fin_sched"}</definedName>
    <definedName name="wrn.SUMMARY." hidden="1">{"SUMMARY",#N/A,FALSE,"Fin_sched"}</definedName>
    <definedName name="wrn.TEST." localSheetId="0" hidden="1">{#N/A,#N/A,FALSE,"估價單  (3)"}</definedName>
    <definedName name="wrn.TEST." hidden="1">{#N/A,#N/A,FALSE,"估價單  (3)"}</definedName>
    <definedName name="wrn.test1." localSheetId="0" hidden="1">{#N/A,#N/A,FALSE,"명세표"}</definedName>
    <definedName name="wrn.test1." hidden="1">{#N/A,#N/A,FALSE,"명세표"}</definedName>
    <definedName name="wrn.TOTALE." localSheetId="0" hidden="1">{"sintesi",#N/A,FALSE,"contrib_unit";"dett_materiali",#N/A,FALSE,"contrib_unit";"dett_lav.ne",#N/A,FALSE,"contrib_unit";"dett_altre_ind.li",#N/A,FALSE,"contrib_unit";"dett_commerciali",#N/A,FALSE,"contrib_unit"}</definedName>
    <definedName name="wrn.TOTALE."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tou구매." hidden="1">{#N/A,#N/A,FALSE,"견적대비-2"}</definedName>
    <definedName name="wrn.vd." localSheetId="0" hidden="1">{#N/A,#N/A,TRUE,"BT M200 da 10x20"}</definedName>
    <definedName name="wrn.vd." hidden="1">{#N/A,#N/A,TRUE,"BT M200 da 10x20"}</definedName>
    <definedName name="WRN.VOLTAGE." localSheetId="0" hidden="1">{#N/A,#N/A,FALSE,"Sheet2";#N/A,#N/A,FALSE,"Sheet4";#N/A,#N/A,FALSE,"Sheet6"}</definedName>
    <definedName name="WRN.VOLTAGE." hidden="1">{#N/A,#N/A,FALSE,"Sheet2";#N/A,#N/A,FALSE,"Sheet4";#N/A,#N/A,FALSE,"Sheet6"}</definedName>
    <definedName name="wrn.Warrington._.Widnes._.QS._.Costs." localSheetId="0" hidden="1">{#N/A,#N/A,TRUE,"Cover";#N/A,#N/A,TRUE,"Conts";#N/A,#N/A,TRUE,"VOS";#N/A,#N/A,TRUE,"Warrington";#N/A,#N/A,TRUE,"Widnes"}</definedName>
    <definedName name="wrn.Warrington._.Widnes._.QS._.Costs."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감가."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0" hidden="1">{#N/A,#N/A,FALSE,"Sheet1";#N/A,#N/A,FALSE,"Sheet2";#N/A,#N/A,FALSE,"TAB96-1"}</definedName>
    <definedName name="wrn.견적." hidden="1">{#N/A,#N/A,FALSE,"Sheet1";#N/A,#N/A,FALSE,"Sheet2";#N/A,#N/A,FALSE,"TAB96-1"}</definedName>
    <definedName name="wrn.고희석." localSheetId="0" hidden="1">{#N/A,#N/A,FALSE,"교리2"}</definedName>
    <definedName name="wrn.고희석." hidden="1">{#N/A,#N/A,FALSE,"교리2"}</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교육청.1" localSheetId="0" hidden="1">{#N/A,#N/A,FALSE,"전력간선"}</definedName>
    <definedName name="wrn.교육청.1"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리스현황." hidden="1">{#N/A,#N/A,FALSE,"집계표"}</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변경예산." localSheetId="0"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속도."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이태원._.철근." localSheetId="0" hidden="1">{#N/A,#N/A,FALSE,"이태원철근"}</definedName>
    <definedName name="wrn.이태원._.철근." hidden="1">{#N/A,#N/A,FALSE,"이태원철근"}</definedName>
    <definedName name="wrn.전열선출서." localSheetId="0" hidden="1">{#N/A,#N/A,FALSE,"전열산출서"}</definedName>
    <definedName name="wrn.전열선출서." hidden="1">{#N/A,#N/A,FALSE,"전열산출서"}</definedName>
    <definedName name="wrn.조골재." localSheetId="0" hidden="1">{#N/A,#N/A,FALSE,"조골재"}</definedName>
    <definedName name="wrn.조골재." hidden="1">{#N/A,#N/A,FALSE,"조골재"}</definedName>
    <definedName name="wrn.종점1" localSheetId="0" hidden="1">{#N/A,#N/A,FALSE,"이정표"}</definedName>
    <definedName name="wrn.종점1" hidden="1">{#N/A,#N/A,FALSE,"이정표"}</definedName>
    <definedName name="wrn.주간보고." localSheetId="0" hidden="1">{#N/A,#N/A,FALSE,"주간공정";#N/A,#N/A,FALSE,"주간보고";#N/A,#N/A,FALSE,"주간공정표"}</definedName>
    <definedName name="wrn.주간보고."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중공업군포견적서."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집기비품보고서._.품목별._.및._.현장별._.집계표." hidden="1">{#N/A,#N/A,FALSE,"Sheet6"}</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통신지." localSheetId="0" hidden="1">{#N/A,#N/A,FALSE,"기안지";#N/A,#N/A,FALSE,"통신지"}</definedName>
    <definedName name="wrn.통신지." hidden="1">{#N/A,#N/A,FALSE,"기안지";#N/A,#N/A,FALSE,"통신지"}</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포장단가." localSheetId="0" hidden="1">{#N/A,#N/A,FALSE,"포장단가"}</definedName>
    <definedName name="wrn.포장단가."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0" hidden="1">{#N/A,#N/A,FALSE,"혼합골재"}</definedName>
    <definedName name="wrn.혼합골재." hidden="1">{#N/A,#N/A,FALSE,"혼합골재"}</definedName>
    <definedName name="wrn_xoa2" localSheetId="0" hidden="1">{#N/A,#N/A,FALSE,"Chi tiÆt"}</definedName>
    <definedName name="wrn_xoa2" hidden="1">{#N/A,#N/A,FALSE,"Chi tiÆt"}</definedName>
    <definedName name="WRNE.CHARTS" localSheetId="0" hidden="1">{"Chart 1",#N/A,TRUE,"Charts";"Chart 2",#N/A,TRUE,"Charts"}</definedName>
    <definedName name="WRNE.CHARTS" hidden="1">{"Chart 1",#N/A,TRUE,"Charts";"Chart 2",#N/A,TRUE,"Charts"}</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localSheetId="0" hidden="1">{"'장비'!$A$3:$M$12"}</definedName>
    <definedName name="WRS" hidden="1">{"'장비'!$A$3:$M$12"}</definedName>
    <definedName name="WRTWE" localSheetId="0" hidden="1">{"'Sheet1'!$L$16"}</definedName>
    <definedName name="WRTWE" hidden="1">{"'Sheet1'!$L$16"}</definedName>
    <definedName name="wrty" localSheetId="0" hidden="1">{"'용역비'!$A$4:$C$8"}</definedName>
    <definedName name="wrty" hidden="1">{"'용역비'!$A$4:$C$8"}</definedName>
    <definedName name="wrtyrtyrt" localSheetId="0" hidden="1">{"'용역비'!$A$4:$C$8"}</definedName>
    <definedName name="wrtyrtyrt" hidden="1">{"'용역비'!$A$4:$C$8"}</definedName>
    <definedName name="wrtywrtywr" localSheetId="0" hidden="1">{"'용역비'!$A$4:$C$8"}</definedName>
    <definedName name="wrtywrtywr" hidden="1">{"'용역비'!$A$4:$C$8"}</definedName>
    <definedName name="WS" hidden="1">#REF!</definedName>
    <definedName name="wtwtwtew" hidden="1">#REF!</definedName>
    <definedName name="wuy" localSheetId="0" hidden="1">{"'용역비'!$A$4:$C$8"}</definedName>
    <definedName name="wuy"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 hidden="1">{"'Sheet1'!$L$16"}</definedName>
    <definedName name="WWF" localSheetId="0" hidden="1">{"'Sheet1'!$L$16"}</definedName>
    <definedName name="WWF" hidden="1">{"'Sheet1'!$L$16"}</definedName>
    <definedName name="wwhwhwrh" localSheetId="0" hidden="1">{"'Sheet1'!$L$16"}</definedName>
    <definedName name="wwhwhwrh" hidden="1">{"'Sheet1'!$L$16"}</definedName>
    <definedName name="www" localSheetId="0"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localSheetId="0" hidden="1">{"'Sheet1'!$L$16"}</definedName>
    <definedName name="wwwrwee" hidden="1">{"'Sheet1'!$L$16"}</definedName>
    <definedName name="WWWW" localSheetId="0" hidden="1">{"'Sheet1'!$L$16"}</definedName>
    <definedName name="WWWW" hidden="1">{"'Sheet1'!$L$16"}</definedName>
    <definedName name="wwwwwww" localSheetId="0"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 name="WWWWWWWWWW" hidden="1">#REF!</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localSheetId="0" hidden="1">{"'Sheet1'!$L$16"}</definedName>
    <definedName name="xcccccccccccccccccccccccc" hidden="1">{"'Sheet1'!$L$16"}</definedName>
    <definedName name="XCCT">0.5</definedName>
    <definedName name="xcfgdfg" hidden="1">#REF!</definedName>
    <definedName name="xcvc" hidden="1">#REF!</definedName>
    <definedName name="XDKT" localSheetId="0" hidden="1">{"NGUYEN QUI THIEP - Personal View",#N/A,FALSE,"XDCB.HT.FUR."}</definedName>
    <definedName name="XDKT" hidden="1">{"NGUYEN QUI THIEP - Personal View",#N/A,FALSE,"XDCB.HT.FUR."}</definedName>
    <definedName name="xf" localSheetId="0" hidden="1">{#N/A,#N/A,FALSE,"Sheet6"}</definedName>
    <definedName name="xf" hidden="1">{#N/A,#N/A,FALSE,"Sheet6"}</definedName>
    <definedName name="XFBDSBSB" localSheetId="0" hidden="1">{"'Sheet1'!$L$16"}</definedName>
    <definedName name="XFBDSBSB" hidden="1">{"'Sheet1'!$L$16"}</definedName>
    <definedName name="XFHGHTD" localSheetId="0" hidden="1">{"'Sheet1'!$L$16"}</definedName>
    <definedName name="XFHGHTD" hidden="1">{"'Sheet1'!$L$16"}</definedName>
    <definedName name="xls." localSheetId="0" hidden="1">{"'Break down'!$A$4"}</definedName>
    <definedName name="xls." hidden="1">{"'Break down'!$A$4"}</definedName>
    <definedName name="xlttbninh" localSheetId="0" hidden="1">{"'Sheet1'!$L$16"}</definedName>
    <definedName name="xlttbninh" hidden="1">{"'Sheet1'!$L$16"}</definedName>
    <definedName name="XN908nam2003" localSheetId="0" hidden="1">{"'Sheet1'!$L$16"}</definedName>
    <definedName name="XN908nam2003" hidden="1">{"'Sheet1'!$L$16"}</definedName>
    <definedName name="xoa1" localSheetId="0" hidden="1">{"'Sheet1'!$L$16"}</definedName>
    <definedName name="xoa1" hidden="1">{"'Sheet1'!$L$16"}</definedName>
    <definedName name="xoa1_1" localSheetId="0" hidden="1">{"'Sheet1'!$L$16"}</definedName>
    <definedName name="xoa1_1" hidden="1">{"'Sheet1'!$L$16"}</definedName>
    <definedName name="xoa2" localSheetId="0" hidden="1">{#N/A,#N/A,FALSE,"Chi tiÆt"}</definedName>
    <definedName name="xoa2" hidden="1">{#N/A,#N/A,FALSE,"Chi tiÆt"}</definedName>
    <definedName name="xoa3" localSheetId="0"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localSheetId="0" hidden="1">{"'Sheet1'!$L$16"}</definedName>
    <definedName name="xscxz" hidden="1">{"'Sheet1'!$L$16"}</definedName>
    <definedName name="xu" localSheetId="0" hidden="1">{#N/A,#N/A,FALSE,"Chi tiÆt"}</definedName>
    <definedName name="xu" hidden="1">{#N/A,#N/A,FALSE,"Chi tiÆt"}</definedName>
    <definedName name="XuÊt8" localSheetId="0" hidden="1">{"'Sheet1'!$L$16"}</definedName>
    <definedName name="XuÊt8" hidden="1">{"'Sheet1'!$L$16"}</definedName>
    <definedName name="xvxcvxc" localSheetId="0" hidden="1">{"'Sheet1'!$L$16"}</definedName>
    <definedName name="xvxcvxc" hidden="1">{"'Sheet1'!$L$16"}</definedName>
    <definedName name="XVXZ" localSheetId="0" hidden="1">{"'Sheet1'!$L$16"}</definedName>
    <definedName name="XVXZ" hidden="1">{"'Sheet1'!$L$16"}</definedName>
    <definedName name="xx" hidden="1">#REF!</definedName>
    <definedName name="xxx" localSheetId="0" hidden="1">{"'Sheet1'!$L$16"}</definedName>
    <definedName name="xxx" hidden="1">{"'Sheet1'!$L$16"}</definedName>
    <definedName name="XXXAAAA" localSheetId="0" hidden="1">{"'Sheet1'!$L$16"}</definedName>
    <definedName name="XXXAAAA" hidden="1">{"'Sheet1'!$L$16"}</definedName>
    <definedName name="XXXAAAA_1" localSheetId="0" hidden="1">{"'Sheet1'!$L$16"}</definedName>
    <definedName name="XXXAAAA_1" hidden="1">{"'Sheet1'!$L$16"}</definedName>
    <definedName name="ｘｘｘｘ" localSheetId="0" hidden="1">{"'Sheet1'!$L$16"}</definedName>
    <definedName name="ｘｘｘｘ" hidden="1">{"'Sheet1'!$L$16"}</definedName>
    <definedName name="ｘｘｘｘｘ" localSheetId="0" hidden="1">{"'Sheet1'!$L$16"}</definedName>
    <definedName name="ｘｘｘｘｘ" hidden="1">{"'Sheet1'!$L$16"}</definedName>
    <definedName name="xxxxxxx" localSheetId="0" hidden="1">{#N/A,#N/A,FALSE,"MARCH"}</definedName>
    <definedName name="xxxxxxx" hidden="1">{#N/A,#N/A,FALSE,"MARCH"}</definedName>
    <definedName name="y" localSheetId="0" hidden="1">{#N/A,#N/A,FALSE,"Chi tiÆt"}</definedName>
    <definedName name="y" hidden="1">{#N/A,#N/A,FALSE,"Chi tiÆt"}</definedName>
    <definedName name="ỵ" localSheetId="0" hidden="1">{"'Sheet1'!$L$16"}</definedName>
    <definedName name="ỵ" hidden="1">{"'Sheet1'!$L$16"}</definedName>
    <definedName name="y5ey3y33y3" localSheetId="0" hidden="1">{#N/A,#N/A,FALSE,"Chi tiÆt"}</definedName>
    <definedName name="y5ey3y33y3" hidden="1">{#N/A,#N/A,FALSE,"Chi tiÆt"}</definedName>
    <definedName name="Y5T45" localSheetId="0" hidden="1">{"'Sheet1'!$L$16"}</definedName>
    <definedName name="Y5T45" hidden="1">{"'Sheet1'!$L$16"}</definedName>
    <definedName name="y6ytyjtyjytjtyj" hidden="1">#REF!</definedName>
    <definedName name="yans" hidden="1">#REF!</definedName>
    <definedName name="ỳdhgg" localSheetId="0" hidden="1">{"'Sheet1'!$L$16"}</definedName>
    <definedName name="ỳdhgg" hidden="1">{"'Sheet1'!$L$16"}</definedName>
    <definedName name="ýenda" localSheetId="0" hidden="1">{"'Sheet1'!$L$16"}</definedName>
    <definedName name="ýenda" hidden="1">{"'Sheet1'!$L$16"}</definedName>
    <definedName name="yeryewy3" localSheetId="0" hidden="1">{#N/A,#N/A,TRUE,"1";#N/A,#N/A,TRUE,"2";#N/A,#N/A,TRUE,"3";#N/A,#N/A,TRUE,"4";#N/A,#N/A,TRUE,"5";#N/A,#N/A,TRUE,"6";#N/A,#N/A,TRUE,"7"}</definedName>
    <definedName name="yeryewy3" hidden="1">{#N/A,#N/A,TRUE,"1";#N/A,#N/A,TRUE,"2";#N/A,#N/A,TRUE,"3";#N/A,#N/A,TRUE,"4";#N/A,#N/A,TRUE,"5";#N/A,#N/A,TRUE,"6";#N/A,#N/A,TRUE,"7"}</definedName>
    <definedName name="yeyegf" hidden="1">#REF!</definedName>
    <definedName name="YFU" localSheetId="0" hidden="1">{"'용역비'!$A$4:$C$8"}</definedName>
    <definedName name="YFU" hidden="1">{"'용역비'!$A$4:$C$8"}</definedName>
    <definedName name="yheryey" hidden="1">#REF!</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7I" hidden="1">{"'Sheet1'!$L$16"}</definedName>
    <definedName name="yidti" localSheetId="0" hidden="1">{"'Sheet1'!$L$16"}</definedName>
    <definedName name="yidti" hidden="1">{"'Sheet1'!$L$16"}</definedName>
    <definedName name="YSY" localSheetId="0" hidden="1">{#N/A,#N/A,FALSE,"Sheet2";#N/A,#N/A,FALSE,"Sheet4";#N/A,#N/A,FALSE,"Sheet6"}</definedName>
    <definedName name="YSY" hidden="1">{#N/A,#N/A,FALSE,"Sheet2";#N/A,#N/A,FALSE,"Sheet4";#N/A,#N/A,FALSE,"Sheet6"}</definedName>
    <definedName name="yteye5y" localSheetId="0" hidden="1">{"'Sheet1'!$L$16"}</definedName>
    <definedName name="yteye5y" hidden="1">{"'Sheet1'!$L$16"}</definedName>
    <definedName name="YTJTY" localSheetId="0" hidden="1">{0,0,0,0}</definedName>
    <definedName name="YTJTY" hidden="1">{0,0,0,0}</definedName>
    <definedName name="ytrytwyt" hidden="1">#REF!</definedName>
    <definedName name="YTYT" localSheetId="0" hidden="1">{"'Sheet1'!$L$16"}</definedName>
    <definedName name="YTYT" hidden="1">{"'Sheet1'!$L$16"}</definedName>
    <definedName name="yu" localSheetId="0" hidden="1">{#N/A,#N/A,FALSE,"Sheet6"}</definedName>
    <definedName name="yu" hidden="1">{#N/A,#N/A,FALSE,"Sheet6"}</definedName>
    <definedName name="ỵu" localSheetId="0" hidden="1">{"'Sheet1'!$L$16"}</definedName>
    <definedName name="ỵu" hidden="1">{"'Sheet1'!$L$16"}</definedName>
    <definedName name="yuj" localSheetId="0" hidden="1">{#N/A,#N/A,TRUE,"1";#N/A,#N/A,TRUE,"2";#N/A,#N/A,TRUE,"3";#N/A,#N/A,TRUE,"4";#N/A,#N/A,TRUE,"5";#N/A,#N/A,TRUE,"6";#N/A,#N/A,TRUE,"7"}</definedName>
    <definedName name="yuj" hidden="1">{#N/A,#N/A,TRUE,"1";#N/A,#N/A,TRUE,"2";#N/A,#N/A,TRUE,"3";#N/A,#N/A,TRUE,"4";#N/A,#N/A,TRUE,"5";#N/A,#N/A,TRUE,"6";#N/A,#N/A,TRUE,"7"}</definedName>
    <definedName name="YUK" localSheetId="0" hidden="1">{"'용역비'!$A$4:$C$8"}</definedName>
    <definedName name="YUK" hidden="1">{"'용역비'!$A$4:$C$8"}</definedName>
    <definedName name="yuo" hidden="1">#REF!</definedName>
    <definedName name="YUTY" localSheetId="0" hidden="1">{#N/A,#N/A,FALSE,"Sheet6"}</definedName>
    <definedName name="YUTY" hidden="1">{#N/A,#N/A,FALSE,"Sheet6"}</definedName>
    <definedName name="yuyu" hidden="1">#REF!</definedName>
    <definedName name="yy" localSheetId="0" hidden="1">{"'장비'!$A$3:$M$12"}</definedName>
    <definedName name="yy" hidden="1">{"'장비'!$A$3:$M$12"}</definedName>
    <definedName name="yyiiyff" localSheetId="0" hidden="1">{#N/A,#N/A,FALSE,"Chi tiÆt"}</definedName>
    <definedName name="yyiiyff" hidden="1">{#N/A,#N/A,FALSE,"Chi tiÆt"}</definedName>
    <definedName name="yyjy_ukyu" localSheetId="0" hidden="1">{"'Sheet1'!$L$16"}</definedName>
    <definedName name="yyjy_ukyu" hidden="1">{"'Sheet1'!$L$16"}</definedName>
    <definedName name="ｙｙｙ" localSheetId="0" hidden="1">{"'Sheet1'!$L$16"}</definedName>
    <definedName name="ｙｙｙ" hidden="1">{"'Sheet1'!$L$16"}</definedName>
    <definedName name="yyyyy" localSheetId="0" hidden="1">{#N/A,#N/A,FALSE,"이정표"}</definedName>
    <definedName name="yyyyy"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localSheetId="0" hidden="1">{"'용역비'!$A$4:$C$8"}</definedName>
    <definedName name="z011111111" hidden="1">{"'용역비'!$A$4:$C$8"}</definedName>
    <definedName name="za" hidden="1">#REF!</definedName>
    <definedName name="ZCZXC" localSheetId="0" hidden="1">{"'Sheet1'!$L$16"}</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localSheetId="0" hidden="1">{"'Sheet1'!$L$16"}</definedName>
    <definedName name="zKm2" hidden="1">{"'Sheet1'!$L$16"}</definedName>
    <definedName name="zscsxz" localSheetId="0" hidden="1">{"'Sheet1'!$L$16"}</definedName>
    <definedName name="zscsxz" hidden="1">{"'Sheet1'!$L$16"}</definedName>
    <definedName name="zx" hidden="1">#REF!</definedName>
    <definedName name="ZXC" localSheetId="0" hidden="1">{#N/A,#N/A,FALSE,"이태원철근"}</definedName>
    <definedName name="ZXC" hidden="1">{#N/A,#N/A,FALSE,"이태원철근"}</definedName>
    <definedName name="ZXCXZ" hidden="1">#REF!</definedName>
    <definedName name="ZXzX" localSheetId="0" hidden="1">{"'Sheet1'!$L$16"}</definedName>
    <definedName name="ZXzX" hidden="1">{"'Sheet1'!$L$16"}</definedName>
    <definedName name="zxzxasasas" localSheetId="0" hidden="1">{#N/A,#N/A,FALSE,"Chi tiÆt"}</definedName>
    <definedName name="zxzxasasas" hidden="1">{#N/A,#N/A,FALSE,"Chi tiÆt"}</definedName>
    <definedName name="ZYX">#REF!</definedName>
    <definedName name="zz">#N/A</definedName>
    <definedName name="ZZZ">#REF!</definedName>
    <definedName name="ｚｚｚｚｚ" localSheetId="0" hidden="1">{"'Sheet1'!$L$16"}</definedName>
    <definedName name="ｚｚｚｚｚ" hidden="1">{"'Sheet1'!$L$16"}</definedName>
    <definedName name="ｚｚｚｚｚｚ" localSheetId="0" hidden="1">{"'Sheet1'!$L$16"}</definedName>
    <definedName name="ｚｚｚｚｚｚ"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нне" hidden="1">{"sintesi",#N/A,FALSE,"contrib_unit";"dett_materiali",#N/A,FALSE,"contrib_unit";"dett_lav.ne",#N/A,FALSE,"contrib_unit";"dett_altre_ind.li",#N/A,FALSE,"contrib_unit";"dett_commerciali",#N/A,FALSE,"contrib_unit"}</definedName>
    <definedName name="あ" localSheetId="0" hidden="1">{"'Sheet1'!$L$16"}</definedName>
    <definedName name="あ" hidden="1">{"'Sheet1'!$L$16"}</definedName>
    <definedName name="ああ" localSheetId="0" hidden="1">{"'Sheet1'!$L$16"}</definedName>
    <definedName name="ああ" hidden="1">{"'Sheet1'!$L$16"}</definedName>
    <definedName name="あああ" localSheetId="0" hidden="1">{"'Sheet1'!$L$16"}</definedName>
    <definedName name="あああ" hidden="1">{"'Sheet1'!$L$16"}</definedName>
    <definedName name="ああああ" localSheetId="0" hidden="1">{"'Sheet1'!$L$16"}</definedName>
    <definedName name="ああああ" hidden="1">{"'Sheet1'!$L$16"}</definedName>
    <definedName name="あああああ" localSheetId="0" hidden="1">{"'Sheet1'!$L$16"}</definedName>
    <definedName name="あああああ" hidden="1">{"'Sheet1'!$L$16"}</definedName>
    <definedName name="ううう" localSheetId="0" hidden="1">{"'Sheet1'!$L$16"}</definedName>
    <definedName name="ううう" hidden="1">{"'Sheet1'!$L$16"}</definedName>
    <definedName name="えええ" localSheetId="0" hidden="1">{"'Sheet1'!$L$16"}</definedName>
    <definedName name="えええ" hidden="1">{"'Sheet1'!$L$16"}</definedName>
    <definedName name="っｋ" hidden="1">#REF!</definedName>
    <definedName name="んｎ" localSheetId="0" hidden="1">{"'Sheet1'!$L$16"}</definedName>
    <definedName name="んｎ" hidden="1">{"'Sheet1'!$L$16"}</definedName>
    <definedName name="んんｎ" localSheetId="0" hidden="1">{"'Sheet1'!$L$16"}</definedName>
    <definedName name="んんｎ" hidden="1">{"'Sheet1'!$L$16"}</definedName>
    <definedName name="ㄱ" localSheetId="0" hidden="1">{#N/A,#N/A,FALSE,"골재소요량";#N/A,#N/A,FALSE,"골재소요량"}</definedName>
    <definedName name="ㄱ" hidden="1">{#N/A,#N/A,FALSE,"골재소요량";#N/A,#N/A,FALSE,"골재소요량"}</definedName>
    <definedName name="ㄱㄱ" localSheetId="0" hidden="1">{#N/A,#N/A,FALSE,"전력간선"}</definedName>
    <definedName name="ㄱㄱ" hidden="1">{#N/A,#N/A,FALSE,"전력간선"}</definedName>
    <definedName name="ㄱㄱㄱ" localSheetId="0" hidden="1">{#N/A,#N/A,FALSE,"표지목차"}</definedName>
    <definedName name="ㄱㄱㄱ" hidden="1">{#N/A,#N/A,FALSE,"표지목차"}</definedName>
    <definedName name="ㄱㄱㄱㄱ" localSheetId="0" hidden="1">{#N/A,#N/A,FALSE,"지침";#N/A,#N/A,FALSE,"환경분석";#N/A,#N/A,FALSE,"Sheet16"}</definedName>
    <definedName name="ㄱㄱㄱㄱ" hidden="1">{#N/A,#N/A,FALSE,"지침";#N/A,#N/A,FALSE,"환경분석";#N/A,#N/A,FALSE,"Sheet16"}</definedName>
    <definedName name="ㄱㄱㄱㄱㄱ" localSheetId="0" hidden="1">{#N/A,#N/A,FALSE,"교리2"}</definedName>
    <definedName name="ㄱㄱㄱㄱㄱ" hidden="1">{#N/A,#N/A,FALSE,"교리2"}</definedName>
    <definedName name="ㄱㄱㄱㅎ" localSheetId="0" hidden="1">{#N/A,#N/A,FALSE,"Sheet6"}</definedName>
    <definedName name="ㄱㄱㄱㅎ" hidden="1">{#N/A,#N/A,FALSE,"Sheet6"}</definedName>
    <definedName name="ㄱㄷㄱ" localSheetId="0" hidden="1">{#N/A,#N/A,FALSE,"Sheet6"}</definedName>
    <definedName name="ㄱㄷㄱ" hidden="1">{#N/A,#N/A,FALSE,"Sheet6"}</definedName>
    <definedName name="ㄱㄷㄱㄷㄱㄱㅎㄺㄷ" localSheetId="0" hidden="1">{"'장비'!$A$3:$M$12"}</definedName>
    <definedName name="ㄱㄷㄱㄷㄱㄱㅎㄺㄷ"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ㅅ" hidden="1">{#N/A,#N/A,FALSE,"Sheet6"}</definedName>
    <definedName name="ㄱㄷㅈㄱㄷㅈㄱㅈㄷ" localSheetId="0" hidden="1">{#N/A,#N/A,FALSE,"혼합골재"}</definedName>
    <definedName name="ㄱㄷㅈㄱㄷㅈㄱㅈㄷ" hidden="1">{#N/A,#N/A,FALSE,"혼합골재"}</definedName>
    <definedName name="ㄱㄹ홍ㄱ호" localSheetId="0" hidden="1">{#N/A,#N/A,FALSE,"Sheet6"}</definedName>
    <definedName name="ㄱㄹ홍ㄱ호" hidden="1">{#N/A,#N/A,FALSE,"Sheet6"}</definedName>
    <definedName name="ㄱ서ㅗㅇ" localSheetId="0" hidden="1">{#N/A,#N/A,FALSE,"집계표"}</definedName>
    <definedName name="ㄱ서ㅗㅇ" hidden="1">{#N/A,#N/A,FALSE,"집계표"}</definedName>
    <definedName name="ㄱ솧" localSheetId="0" hidden="1">{#N/A,#N/A,FALSE,"집계표"}</definedName>
    <definedName name="ㄱ솧" hidden="1">{#N/A,#N/A,FALSE,"집계표"}</definedName>
    <definedName name="ㄱ쇽" localSheetId="0" hidden="1">{#N/A,#N/A,FALSE,"Sheet6"}</definedName>
    <definedName name="ㄱ쇽" hidden="1">{#N/A,#N/A,FALSE,"Sheet6"}</definedName>
    <definedName name="ㄱㅈㅎ" hidden="1">#REF!</definedName>
    <definedName name="가" localSheetId="0" hidden="1">{#N/A,#N/A,FALSE,"골재소요량";#N/A,#N/A,FALSE,"골재소요량"}</definedName>
    <definedName name="가" hidden="1">{#N/A,#N/A,FALSE,"골재소요량";#N/A,#N/A,FALSE,"골재소요량"}</definedName>
    <definedName name="가리" hidden="1">#REF!</definedName>
    <definedName name="가설건물면적산정" localSheetId="0" hidden="1">{#N/A,#N/A,FALSE,"사업총괄";#N/A,#N/A,FALSE,"장비사업";#N/A,#N/A,FALSE,"철구사업";#N/A,#N/A,FALSE,"준설사업"}</definedName>
    <definedName name="가설건물면적산정"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설공사" hidden="1">{#N/A,#N/A,FALSE,"예상손익";#N/A,#N/A,FALSE,"관리분석";#N/A,#N/A,FALSE,"장비분석";#N/A,#N/A,FALSE,"준설분석";#N/A,#N/A,FALSE,"철구분석"}</definedName>
    <definedName name="가실행1" localSheetId="0" hidden="1">{#N/A,#N/A,FALSE,"배수1"}</definedName>
    <definedName name="가실행1" hidden="1">{#N/A,#N/A,FALSE,"배수1"}</definedName>
    <definedName name="가아" hidden="1">#REF!</definedName>
    <definedName name="가재가시설" localSheetId="0" hidden="1">{#N/A,#N/A,FALSE,"Sheet6"}</definedName>
    <definedName name="가재가시설" hidden="1">{#N/A,#N/A,FALSE,"Sheet6"}</definedName>
    <definedName name="간접경비" hidden="1">#REF!</definedName>
    <definedName name="간접비" localSheetId="0"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리상주" hidden="1">{#N/A,#N/A,FALSE,"지침";#N/A,#N/A,FALSE,"환경분석";#N/A,#N/A,FALSE,"Sheet16"}</definedName>
    <definedName name="감복만" localSheetId="0" hidden="1">{#N/A,#N/A,FALSE,"교리2"}</definedName>
    <definedName name="감복만" hidden="1">{#N/A,#N/A,FALSE,"교리2"}</definedName>
    <definedName name="감승주" localSheetId="0" hidden="1">{#N/A,#N/A,FALSE,"교리2"}</definedName>
    <definedName name="감승주" hidden="1">{#N/A,#N/A,FALSE,"교리2"}</definedName>
    <definedName name="갑지" hidden="1">#REF!</definedName>
    <definedName name="갑지02" localSheetId="0" hidden="1">{#N/A,#N/A,FALSE,"Sheet6"}</definedName>
    <definedName name="갑지02" hidden="1">{#N/A,#N/A,FALSE,"Sheet6"}</definedName>
    <definedName name="갑지2" localSheetId="0" hidden="1">{#N/A,#N/A,FALSE,"CCTV"}</definedName>
    <definedName name="갑지2" hidden="1">{#N/A,#N/A,FALSE,"CCTV"}</definedName>
    <definedName name="갑지3" localSheetId="0" hidden="1">{#N/A,#N/A,FALSE,"CCTV"}</definedName>
    <definedName name="갑지3" hidden="1">{#N/A,#N/A,FALSE,"CCTV"}</definedName>
    <definedName name="갑지외" localSheetId="0" hidden="1">{#N/A,#N/A,FALSE,"CCTV"}</definedName>
    <definedName name="갑지외" hidden="1">{#N/A,#N/A,FALSE,"CCTV"}</definedName>
    <definedName name="갑지지" hidden="1">#REF!</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교" hidden="1">{#N/A,#N/A,FALSE,"포장2"}</definedName>
    <definedName name="강구조물" localSheetId="0" hidden="1">{#N/A,#N/A,FALSE,"포장1";#N/A,#N/A,FALSE,"포장1"}</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localSheetId="0" hidden="1">{#N/A,#N/A,FALSE,"예상손익";#N/A,#N/A,FALSE,"관리분석";#N/A,#N/A,FALSE,"장비분석";#N/A,#N/A,FALSE,"준설분석";#N/A,#N/A,FALSE,"철구분석"}</definedName>
    <definedName name="갸" hidden="1">{#N/A,#N/A,FALSE,"예상손익";#N/A,#N/A,FALSE,"관리분석";#N/A,#N/A,FALSE,"장비분석";#N/A,#N/A,FALSE,"준설분석";#N/A,#N/A,FALSE,"철구분석"}</definedName>
    <definedName name="거소" localSheetId="0" hidden="1">{#N/A,#N/A,FALSE,"집계표"}</definedName>
    <definedName name="거소" hidden="1">{#N/A,#N/A,FALSE,"집계표"}</definedName>
    <definedName name="거추서" localSheetId="0" hidden="1">{#N/A,#N/A,FALSE,"견적갑지";#N/A,#N/A,FALSE,"총괄표";#N/A,#N/A,FALSE,"철골공사";#N/A,#N/A,FALSE,"토목공사";#N/A,#N/A,FALSE,"판넬전기공사"}</definedName>
    <definedName name="거추서" hidden="1">{#N/A,#N/A,FALSE,"견적갑지";#N/A,#N/A,FALSE,"총괄표";#N/A,#N/A,FALSE,"철골공사";#N/A,#N/A,FALSE,"토목공사";#N/A,#N/A,FALSE,"판넬전기공사"}</definedName>
    <definedName name="거ㅏ" hidden="1">#REF!</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 hidden="1">{#N/A,#N/A,FALSE,"기안지";#N/A,#N/A,FALSE,"통신지"}</definedName>
    <definedName name="건3" localSheetId="0" hidden="1">{#N/A,#N/A,FALSE,"견적갑지";#N/A,#N/A,FALSE,"총괄표";#N/A,#N/A,FALSE,"철골공사";#N/A,#N/A,FALSE,"토목공사";#N/A,#N/A,FALSE,"판넬전기공사"}</definedName>
    <definedName name="건3"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localSheetId="0" hidden="1">{"'Sheet1'!$A$4:$M$21","'Sheet1'!$J$17:$K$19"}</definedName>
    <definedName name="건걱" hidden="1">{"'Sheet1'!$A$4:$M$21","'Sheet1'!$J$17:$K$19"}</definedName>
    <definedName name="건검" localSheetId="0" hidden="1">{#N/A,#N/A,FALSE,"견적갑지";#N/A,#N/A,FALSE,"총괄표";#N/A,#N/A,FALSE,"철골공사";#N/A,#N/A,FALSE,"토목공사";#N/A,#N/A,FALSE,"판넬전기공사"}</definedName>
    <definedName name="건검" hidden="1">{#N/A,#N/A,FALSE,"견적갑지";#N/A,#N/A,FALSE,"총괄표";#N/A,#N/A,FALSE,"철골공사";#N/A,#N/A,FALSE,"토목공사";#N/A,#N/A,FALSE,"판넬전기공사"}</definedName>
    <definedName name="건적" localSheetId="0" hidden="1">{"'Sheet1'!$A$4:$M$21","'Sheet1'!$J$17:$K$19"}</definedName>
    <definedName name="건적" hidden="1">{"'Sheet1'!$A$4:$M$21","'Sheet1'!$J$17:$K$19"}</definedName>
    <definedName name="건추" localSheetId="0" hidden="1">{#N/A,#N/A,FALSE,"견적갑지";#N/A,#N/A,FALSE,"총괄표";#N/A,#N/A,FALSE,"철골공사";#N/A,#N/A,FALSE,"토목공사";#N/A,#N/A,FALSE,"판넬전기공사"}</definedName>
    <definedName name="건추" hidden="1">{#N/A,#N/A,FALSE,"견적갑지";#N/A,#N/A,FALSE,"총괄표";#N/A,#N/A,FALSE,"철골공사";#N/A,#N/A,FALSE,"토목공사";#N/A,#N/A,FALSE,"판넬전기공사"}</definedName>
    <definedName name="건축내역2" localSheetId="0" hidden="1">{#N/A,#N/A,FALSE,"기안지";#N/A,#N/A,FALSE,"통신지"}</definedName>
    <definedName name="건축내역2" hidden="1">{#N/A,#N/A,FALSE,"기안지";#N/A,#N/A,FALSE,"통신지"}</definedName>
    <definedName name="건축비목집계" localSheetId="0" hidden="1">{#N/A,#N/A,FALSE,"표지"}</definedName>
    <definedName name="건축비목집계" hidden="1">{#N/A,#N/A,FALSE,"표지"}</definedName>
    <definedName name="건축원가" hidden="1">#REF!</definedName>
    <definedName name="건축토공" localSheetId="0" hidden="1">{#N/A,#N/A,FALSE,"기안지";#N/A,#N/A,FALSE,"통신지"}</definedName>
    <definedName name="건축토공" hidden="1">{#N/A,#N/A,FALSE,"기안지";#N/A,#N/A,FALSE,"통신지"}</definedName>
    <definedName name="건축토공2" localSheetId="0" hidden="1">{#N/A,#N/A,FALSE,"기안지";#N/A,#N/A,FALSE,"통신지"}</definedName>
    <definedName name="건축토공2" hidden="1">{#N/A,#N/A,FALSE,"기안지";#N/A,#N/A,FALSE,"통신지"}</definedName>
    <definedName name="건축팀별" localSheetId="0" hidden="1">{#N/A,#N/A,FALSE,"지침";#N/A,#N/A,FALSE,"환경분석";#N/A,#N/A,FALSE,"Sheet16"}</definedName>
    <definedName name="건축팀별" hidden="1">{#N/A,#N/A,FALSE,"지침";#N/A,#N/A,FALSE,"환경분석";#N/A,#N/A,FALSE,"Sheet16"}</definedName>
    <definedName name="견본갑을" localSheetId="0" hidden="1">{#N/A,#N/A,FALSE,"Sheet1"}</definedName>
    <definedName name="견본갑을" hidden="1">{#N/A,#N/A,FALSE,"Sheet1"}</definedName>
    <definedName name="견적" localSheetId="0" hidden="1">{#N/A,#N/A,FALSE,"CCTV"}</definedName>
    <definedName name="견적"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2" hidden="1">{#N/A,#N/A,FALSE,"CCTV"}</definedName>
    <definedName name="견적3" localSheetId="0" hidden="1">{#N/A,#N/A,FALSE,"Sheet6"}</definedName>
    <definedName name="견적3"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SHEET"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내역" hidden="1">{#N/A,#N/A,FALSE,"CCTV"}</definedName>
    <definedName name="견적대비" localSheetId="0" hidden="1">{#N/A,#N/A,FALSE,"포장2"}</definedName>
    <definedName name="견적대비" hidden="1">{#N/A,#N/A,FALSE,"포장2"}</definedName>
    <definedName name="견적대비표" hidden="1">#REF!</definedName>
    <definedName name="견적서" localSheetId="0" hidden="1">{#N/A,#N/A,FALSE,"구조2"}</definedName>
    <definedName name="견적서"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견적조건8" hidden="1">{#N/A,#N/A,FALSE,"CCTV"}</definedName>
    <definedName name="결" localSheetId="0" hidden="1">{#N/A,#N/A,FALSE,"포장2"}</definedName>
    <definedName name="결" hidden="1">{#N/A,#N/A,FALSE,"포장2"}</definedName>
    <definedName name="결과" localSheetId="0" hidden="1">{#N/A,#N/A,FALSE,"포장2"}</definedName>
    <definedName name="결과"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고" hidden="1">{#N/A,#N/A,FALSE,"조골재"}</definedName>
    <definedName name="곧ㄱ" localSheetId="0" hidden="1">{#N/A,#N/A,FALSE,"Sheet6"}</definedName>
    <definedName name="곧ㄱ" hidden="1">{#N/A,#N/A,FALSE,"Sheet6"}</definedName>
    <definedName name="공" localSheetId="0" hidden="1">{#N/A,#N/A,FALSE,"Sheet1"}</definedName>
    <definedName name="공" hidden="1">{#N/A,#N/A,FALSE,"Sheet1"}</definedName>
    <definedName name="공간" hidden="1">5</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localSheetId="0" hidden="1">{#N/A,#N/A,FALSE,"Sheet6"}</definedName>
    <definedName name="공내역ㅇ" hidden="1">{#N/A,#N/A,FALSE,"Sheet6"}</definedName>
    <definedName name="공동구토공" localSheetId="0" hidden="1">{#N/A,#N/A,FALSE,"기안지";#N/A,#N/A,FALSE,"통신지"}</definedName>
    <definedName name="공동구토공" hidden="1">{#N/A,#N/A,FALSE,"기안지";#N/A,#N/A,FALSE,"통신지"}</definedName>
    <definedName name="공동구토공2" localSheetId="0" hidden="1">{#N/A,#N/A,FALSE,"기안지";#N/A,#N/A,FALSE,"통신지"}</definedName>
    <definedName name="공동구토공2" hidden="1">{#N/A,#N/A,FALSE,"기안지";#N/A,#N/A,FALSE,"통신지"}</definedName>
    <definedName name="공사" localSheetId="0" hidden="1">{#N/A,#N/A,FALSE,"이태원철근"}</definedName>
    <definedName name="공사" hidden="1">{#N/A,#N/A,FALSE,"이태원철근"}</definedName>
    <definedName name="공사비" localSheetId="0" hidden="1">{#N/A,#N/A,FALSE,"전력간선"}</definedName>
    <definedName name="공사비" hidden="1">{#N/A,#N/A,FALSE,"전력간선"}</definedName>
    <definedName name="공사비분석" hidden="1">#REF!</definedName>
    <definedName name="공사원가계산서" localSheetId="0" hidden="1">{#N/A,#N/A,TRUE,"토적및재료집계";#N/A,#N/A,TRUE,"토적및재료집계";#N/A,#N/A,TRUE,"단위량"}</definedName>
    <definedName name="공사원가계산서" hidden="1">{#N/A,#N/A,TRUE,"토적및재료집계";#N/A,#N/A,TRUE,"토적및재료집계";#N/A,#N/A,TRUE,"단위량"}</definedName>
    <definedName name="공양식" localSheetId="0" hidden="1">{#N/A,#N/A,FALSE,"교리2"}</definedName>
    <definedName name="공양식" hidden="1">{#N/A,#N/A,FALSE,"교리2"}</definedName>
    <definedName name="공정계획" localSheetId="0" hidden="1">{#N/A,#N/A,FALSE,"이태원철근"}</definedName>
    <definedName name="공정계획" hidden="1">{#N/A,#N/A,FALSE,"이태원철근"}</definedName>
    <definedName name="공정표" localSheetId="0" hidden="1">{#N/A,#N/A,FALSE,"사업총괄";#N/A,#N/A,FALSE,"장비사업";#N/A,#N/A,FALSE,"철구사업";#N/A,#N/A,FALSE,"준설사업"}</definedName>
    <definedName name="공정표"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localSheetId="0" hidden="1">{#N/A,#N/A,FALSE,"포장2"}</definedName>
    <definedName name="관리" hidden="1">{#N/A,#N/A,FALSE,"포장2"}</definedName>
    <definedName name="관리비" hidden="1">#REF!</definedName>
    <definedName name="관리비2" localSheetId="0"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localSheetId="0" hidden="1">{#N/A,#N/A,FALSE,"이태원철근"}</definedName>
    <definedName name="교동토목공사" hidden="1">{#N/A,#N/A,FALSE,"이태원철근"}</definedName>
    <definedName name="교좌" localSheetId="0" hidden="1">{#N/A,#N/A,FALSE,"포장2"}</definedName>
    <definedName name="교좌" hidden="1">{#N/A,#N/A,FALSE,"포장2"}</definedName>
    <definedName name="굗ㄱ" localSheetId="0" hidden="1">{#N/A,#N/A,FALSE,"Sheet6"}</definedName>
    <definedName name="굗ㄱ"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룡대보2공구" hidden="1">{#N/A,#N/A,FALSE,"부대2"}</definedName>
    <definedName name="구본" localSheetId="0" hidden="1">{#N/A,#N/A,FALSE,"Sheet6"}</definedName>
    <definedName name="구본" hidden="1">{#N/A,#N/A,FALSE,"Sheet6"}</definedName>
    <definedName name="구산갑지" hidden="1">#REF!</definedName>
    <definedName name="구자관" localSheetId="0" hidden="1">{#N/A,#N/A,FALSE,"신청통보";#N/A,#N/A,FALSE,"기성확인서";#N/A,#N/A,FALSE,"기성내역서"}</definedName>
    <definedName name="구자관" hidden="1">{#N/A,#N/A,FALSE,"신청통보";#N/A,#N/A,FALSE,"기성확인서";#N/A,#N/A,FALSE,"기성내역서"}</definedName>
    <definedName name="국보" localSheetId="0" hidden="1">{#N/A,#N/A,FALSE,"Sheet6"}</definedName>
    <definedName name="국보"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광추정"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1"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localSheetId="0" hidden="1">{#N/A,#N/A,FALSE,"CCTV"}</definedName>
    <definedName name="기계주차" hidden="1">{#N/A,#N/A,FALSE,"CCTV"}</definedName>
    <definedName name="기계집계" localSheetId="0" hidden="1">{#N/A,#N/A,FALSE,"견적갑지";#N/A,#N/A,FALSE,"총괄표";#N/A,#N/A,FALSE,"철골공사";#N/A,#N/A,FALSE,"토목공사";#N/A,#N/A,FALSE,"판넬전기공사"}</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localSheetId="0" hidden="1">{#N/A,#N/A,FALSE,"CCTV"}</definedName>
    <definedName name="기성3" hidden="1">{#N/A,#N/A,FALSE,"CCTV"}</definedName>
    <definedName name="기술" localSheetId="0" hidden="1">{#N/A,#N/A,FALSE,"부대1"}</definedName>
    <definedName name="기술" hidden="1">{#N/A,#N/A,FALSE,"부대1"}</definedName>
    <definedName name="기타경비" localSheetId="0" hidden="1">{#N/A,#N/A,TRUE,"토적및재료집계";#N/A,#N/A,TRUE,"토적및재료집계";#N/A,#N/A,TRUE,"단위량"}</definedName>
    <definedName name="기타경비"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localSheetId="0" hidden="1">{#N/A,#N/A,FALSE,"2~8번"}</definedName>
    <definedName name="김0" hidden="1">{#N/A,#N/A,FALSE,"2~8번"}</definedName>
    <definedName name="김1" localSheetId="0" hidden="1">{#N/A,#N/A,FALSE,"골재소요량";#N/A,#N/A,FALSE,"골재소요량"}</definedName>
    <definedName name="김1" hidden="1">{#N/A,#N/A,FALSE,"골재소요량";#N/A,#N/A,FALSE,"골재소요량"}</definedName>
    <definedName name="김5" localSheetId="0" hidden="1">{#N/A,#N/A,FALSE,"운반시간"}</definedName>
    <definedName name="김5" hidden="1">{#N/A,#N/A,FALSE,"운반시간"}</definedName>
    <definedName name="김6" localSheetId="0" hidden="1">{#N/A,#N/A,FALSE,"조골재"}</definedName>
    <definedName name="김6" hidden="1">{#N/A,#N/A,FALSE,"조골재"}</definedName>
    <definedName name="김병국임" localSheetId="0" hidden="1">{#N/A,#N/A,FALSE,"단가표지"}</definedName>
    <definedName name="김병국임" hidden="1">{#N/A,#N/A,FALSE,"단가표지"}</definedName>
    <definedName name="김봉만" localSheetId="0" hidden="1">{#N/A,#N/A,FALSE,"교리2"}</definedName>
    <definedName name="김봉만" hidden="1">{#N/A,#N/A,FALSE,"교리2"}</definedName>
    <definedName name="김승주" localSheetId="0" hidden="1">{#N/A,#N/A,FALSE,"교리2"}</definedName>
    <definedName name="김승주" hidden="1">{#N/A,#N/A,FALSE,"교리2"}</definedName>
    <definedName name="김영훈" localSheetId="0" hidden="1">{#N/A,#N/A,FALSE,"변경관리예산";#N/A,#N/A,FALSE,"변경장비예산";#N/A,#N/A,FALSE,"변경준설예산";#N/A,#N/A,FALSE,"변경철구예산"}</definedName>
    <definedName name="김영훈" hidden="1">{#N/A,#N/A,FALSE,"변경관리예산";#N/A,#N/A,FALSE,"변경장비예산";#N/A,#N/A,FALSE,"변경준설예산";#N/A,#N/A,FALSE,"변경철구예산"}</definedName>
    <definedName name="김중규" localSheetId="0" hidden="1">{#N/A,#N/A,FALSE,"이태원철근"}</definedName>
    <definedName name="김중규" hidden="1">{#N/A,#N/A,FALSE,"이태원철근"}</definedName>
    <definedName name="ㄳㄳㄳㄳ" localSheetId="0" hidden="1">{"'용역비'!$A$4:$C$8"}</definedName>
    <definedName name="ㄳㄳㄳㄳ" hidden="1">{"'용역비'!$A$4:$C$8"}</definedName>
    <definedName name="ㄳㄷ" localSheetId="0" hidden="1">{#N/A,#N/A,FALSE,"Sheet6"}</definedName>
    <definedName name="ㄳㄷ"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localSheetId="0" hidden="1">{#N/A,#N/A,FALSE,"집계표"}</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localSheetId="0" hidden="1">{#N/A,#N/A,FALSE,"집계표"}</definedName>
    <definedName name="ㄴㄴㅎ" hidden="1">{#N/A,#N/A,FALSE,"집계표"}</definedName>
    <definedName name="ㄴ너넌ㄱㅎ" localSheetId="0" hidden="1">{#N/A,#N/A,FALSE,"집계표"}</definedName>
    <definedName name="ㄴ너넌ㄱㅎ" hidden="1">{#N/A,#N/A,FALSE,"집계표"}</definedName>
    <definedName name="ㄴ눀너노" localSheetId="0" hidden="1">{#N/A,#N/A,FALSE,"집계표"}</definedName>
    <definedName name="ㄴ눀너노" hidden="1">{#N/A,#N/A,FALSE,"집계표"}</definedName>
    <definedName name="ㄴㄶ" localSheetId="0" hidden="1">{#N/A,#N/A,FALSE,"집계표"}</definedName>
    <definedName name="ㄴㄶ" hidden="1">{#N/A,#N/A,FALSE,"집계표"}</definedName>
    <definedName name="ㄴㄷㄱㅈ" localSheetId="0" hidden="1">{#N/A,#N/A,FALSE,"Sheet6"}</definedName>
    <definedName name="ㄴㄷㄱㅈ" hidden="1">{#N/A,#N/A,FALSE,"Sheet6"}</definedName>
    <definedName name="ㄴㄷㄹ" localSheetId="0" hidden="1">{#N/A,#N/A,FALSE,"Sheet1"}</definedName>
    <definedName name="ㄴㄷㄹ" hidden="1">{#N/A,#N/A,FALSE,"Sheet1"}</definedName>
    <definedName name="ㄴㄹ" localSheetId="0" hidden="1">{#N/A,#N/A,FALSE,"집계표"}</definedName>
    <definedName name="ㄴㄹ" hidden="1">{#N/A,#N/A,FALSE,"집계표"}</definedName>
    <definedName name="ㄴㄹㅇㄹㅇㄴ" localSheetId="0" hidden="1">{#N/A,#N/A,FALSE,"Aging Summary";#N/A,#N/A,FALSE,"Ratio Analysis";#N/A,#N/A,FALSE,"Test 120 Day Accts";#N/A,#N/A,FALSE,"Tickmarks"}</definedName>
    <definedName name="ㄴㄹㅇㄹㅇㄴ" hidden="1">{#N/A,#N/A,FALSE,"Aging Summary";#N/A,#N/A,FALSE,"Ratio Analysis";#N/A,#N/A,FALSE,"Test 120 Day Accts";#N/A,#N/A,FALSE,"Tickmarks"}</definedName>
    <definedName name="ㄴㄹㅇ호" localSheetId="0" hidden="1">{#N/A,#N/A,FALSE,"집계표"}</definedName>
    <definedName name="ㄴㄹㅇ호" hidden="1">{#N/A,#N/A,FALSE,"집계표"}</definedName>
    <definedName name="ㄴㅁ" hidden="1">#REF!</definedName>
    <definedName name="ㄴㅁㄴㅇㄹ" localSheetId="0" hidden="1">{#N/A,#N/A,FALSE,"집계표"}</definedName>
    <definedName name="ㄴㅁㄴㅇㄹ" hidden="1">{#N/A,#N/A,FALSE,"집계표"}</definedName>
    <definedName name="ㄴㅁㄹ아ㅣㅏ" localSheetId="0" hidden="1">{#N/A,#N/A,FALSE,"집계표"}</definedName>
    <definedName name="ㄴㅁㄹ아ㅣㅏ" hidden="1">{#N/A,#N/A,FALSE,"집계표"}</definedName>
    <definedName name="ㄴㅁㅇㄹ" localSheetId="0" hidden="1">{#N/A,#N/A,FALSE,"집계표"}</definedName>
    <definedName name="ㄴㅁㅇㄹ" hidden="1">{#N/A,#N/A,FALSE,"집계표"}</definedName>
    <definedName name="ㄴㅁㅇ라ㅓ" localSheetId="0" hidden="1">{#N/A,#N/A,FALSE,"집계표"}</definedName>
    <definedName name="ㄴㅁㅇ라ㅓ" hidden="1">{#N/A,#N/A,FALSE,"집계표"}</definedName>
    <definedName name="ㄴㅁ아겈" localSheetId="0" hidden="1">{#N/A,#N/A,FALSE,"집계표"}</definedName>
    <definedName name="ㄴㅁ아겈" hidden="1">{#N/A,#N/A,FALSE,"집계표"}</definedName>
    <definedName name="ㄴㅁ아ㅓ린ㅁ" localSheetId="0" hidden="1">{#N/A,#N/A,FALSE,"집계표"}</definedName>
    <definedName name="ㄴㅁ아ㅓ린ㅁ" hidden="1">{#N/A,#N/A,FALSE,"집계표"}</definedName>
    <definedName name="ㄴ마ㅓㅇㅎ리ㅏㅇㄴ" localSheetId="0" hidden="1">{#N/A,#N/A,FALSE,"집계표"}</definedName>
    <definedName name="ㄴ마ㅓㅇㅎ리ㅏㅇㄴ" hidden="1">{#N/A,#N/A,FALSE,"집계표"}</definedName>
    <definedName name="ㄴ뫃ㄴ오" localSheetId="0" hidden="1">{#N/A,#N/A,FALSE,"집계표"}</definedName>
    <definedName name="ㄴ뫃ㄴ오" hidden="1">{#N/A,#N/A,FALSE,"집계표"}</definedName>
    <definedName name="ㄴㅇ" hidden="1">#REF!</definedName>
    <definedName name="ㄴㅇ다ㅓㅀㅌ" localSheetId="0" hidden="1">{#N/A,#N/A,FALSE,"집계표"}</definedName>
    <definedName name="ㄴㅇ다ㅓㅀㅌ" hidden="1">{#N/A,#N/A,FALSE,"집계표"}</definedName>
    <definedName name="ㄴㅇ닳ㅌ처" localSheetId="0" hidden="1">{#N/A,#N/A,FALSE,"집계표"}</definedName>
    <definedName name="ㄴㅇ닳ㅌ처" hidden="1">{#N/A,#N/A,FALSE,"집계표"}</definedName>
    <definedName name="ㄴㅇㄹ" hidden="1">#REF!</definedName>
    <definedName name="ㄴㅇㄹㄴ" localSheetId="0" hidden="1">{#N/A,#N/A,FALSE,"사업총괄";#N/A,#N/A,FALSE,"장비사업";#N/A,#N/A,FALSE,"철구사업";#N/A,#N/A,FALSE,"준설사업"}</definedName>
    <definedName name="ㄴㅇㄹㄴ" hidden="1">{#N/A,#N/A,FALSE,"사업총괄";#N/A,#N/A,FALSE,"장비사업";#N/A,#N/A,FALSE,"철구사업";#N/A,#N/A,FALSE,"준설사업"}</definedName>
    <definedName name="ㄴㅇㄹㅇㄴ" hidden="1">#REF!</definedName>
    <definedName name="ㄴㅇㄹ하ㅓ" localSheetId="0" hidden="1">{#N/A,#N/A,FALSE,"집계표"}</definedName>
    <definedName name="ㄴㅇㄹ하ㅓ" hidden="1">{#N/A,#N/A,FALSE,"집계표"}</definedName>
    <definedName name="ㄴㅇㄹ헤ㅐㅇㅅㄱㄷ" localSheetId="0" hidden="1">{#N/A,#N/A,FALSE,"집계표"}</definedName>
    <definedName name="ㄴㅇㄹ헤ㅐㅇㅅㄱㄷ" hidden="1">{#N/A,#N/A,FALSE,"집계표"}</definedName>
    <definedName name="ㄴㅇㄹ호" localSheetId="0" hidden="1">{#N/A,#N/A,FALSE,"집계표"}</definedName>
    <definedName name="ㄴㅇㄹ호" hidden="1">{#N/A,#N/A,FALSE,"집계표"}</definedName>
    <definedName name="ㄴㅇㄹ히ㅏㅓ" localSheetId="0" hidden="1">{#N/A,#N/A,FALSE,"집계표"}</definedName>
    <definedName name="ㄴㅇㄹ히ㅏㅓ" hidden="1">{#N/A,#N/A,FALSE,"집계표"}</definedName>
    <definedName name="ㄴㅇㄹ히ㅏㅓㄴㅇㄹ하ㅓ" localSheetId="0" hidden="1">{#N/A,#N/A,FALSE,"집계표"}</definedName>
    <definedName name="ㄴㅇㄹ히ㅏㅓㄴㅇㄹ하ㅓ" hidden="1">{#N/A,#N/A,FALSE,"집계표"}</definedName>
    <definedName name="ㄴㅇ레ㅔㅔ" localSheetId="0" hidden="1">{#N/A,#N/A,FALSE,"집계표"}</definedName>
    <definedName name="ㄴㅇ레ㅔㅔ" hidden="1">{#N/A,#N/A,FALSE,"집계표"}</definedName>
    <definedName name="ㄴㅇ로" localSheetId="0" hidden="1">{#N/A,#N/A,FALSE,"집계표"}</definedName>
    <definedName name="ㄴㅇ로" hidden="1">{#N/A,#N/A,FALSE,"집계표"}</definedName>
    <definedName name="ㄴㅇㄻㅇㄴ" localSheetId="0" hidden="1">{#N/A,#N/A,FALSE,"집계표"}</definedName>
    <definedName name="ㄴㅇㄻㅇㄴ" hidden="1">{#N/A,#N/A,FALSE,"집계표"}</definedName>
    <definedName name="ㄴㅇㅀㄴ" localSheetId="0" hidden="1">{#N/A,#N/A,FALSE,"집계표"}</definedName>
    <definedName name="ㄴㅇㅀㄴ" hidden="1">{#N/A,#N/A,FALSE,"집계표"}</definedName>
    <definedName name="ㄴㅇㅀㄴㅇㅀ" hidden="1">#REF!</definedName>
    <definedName name="ㄴㅇㅀㄹ" localSheetId="0" hidden="1">{#N/A,#N/A,FALSE,"집계표"}</definedName>
    <definedName name="ㄴㅇㅀㄹ" hidden="1">{#N/A,#N/A,FALSE,"집계표"}</definedName>
    <definedName name="ㄴㅇㅀㅇ" localSheetId="0" hidden="1">{#N/A,#N/A,FALSE,"집계표"}</definedName>
    <definedName name="ㄴㅇㅀㅇ" hidden="1">{#N/A,#N/A,FALSE,"집계표"}</definedName>
    <definedName name="ㄴㅇㅀㅇㄶ" localSheetId="0" hidden="1">{#N/A,#N/A,FALSE,"집계표"}</definedName>
    <definedName name="ㄴㅇㅀㅇㄶ" hidden="1">{#N/A,#N/A,FALSE,"집계표"}</definedName>
    <definedName name="ㄴㅇㅁㅎ리ㅏㅓㅣ" localSheetId="0" hidden="1">{#N/A,#N/A,FALSE,"집계표"}</definedName>
    <definedName name="ㄴㅇㅁㅎ리ㅏㅓㅣ" hidden="1">{#N/A,#N/A,FALSE,"집계표"}</definedName>
    <definedName name="ㄴㅇㅅ" localSheetId="0" hidden="1">{#N/A,#N/A,FALSE,"집계표"}</definedName>
    <definedName name="ㄴㅇㅅ"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ㅇㄹ" hidden="1">{#N/A,#N/A,FALSE,"CCTV"}</definedName>
    <definedName name="ㄴㅇㅎㄴㄹㅇ" hidden="1">#REF!</definedName>
    <definedName name="ㄴㅇㅎㄹ" localSheetId="0" hidden="1">{#N/A,#N/A,FALSE,"집계표"}</definedName>
    <definedName name="ㄴㅇㅎㄹ" hidden="1">{#N/A,#N/A,FALSE,"집계표"}</definedName>
    <definedName name="ㄴㅇㅎ리ㅏ" localSheetId="0" hidden="1">{#N/A,#N/A,FALSE,"집계표"}</definedName>
    <definedName name="ㄴㅇㅎ리ㅏ" hidden="1">{#N/A,#N/A,FALSE,"집계표"}</definedName>
    <definedName name="ㄴㅇㅎ리ㅏㅓㅊㅌ" localSheetId="0" hidden="1">{#N/A,#N/A,FALSE,"집계표"}</definedName>
    <definedName name="ㄴㅇㅎ리ㅏㅓㅊㅌ" hidden="1">{#N/A,#N/A,FALSE,"집계표"}</definedName>
    <definedName name="ㄴ어" localSheetId="0" hidden="1">{#N/A,#N/A,FALSE,"집계표"}</definedName>
    <definedName name="ㄴ어" hidden="1">{#N/A,#N/A,FALSE,"집계표"}</definedName>
    <definedName name="ㄴ어ㅏ엉ㄹ" localSheetId="0" hidden="1">{#N/A,#N/A,FALSE,"집계표"}</definedName>
    <definedName name="ㄴ어ㅏ엉ㄹ" hidden="1">{#N/A,#N/A,FALSE,"집계표"}</definedName>
    <definedName name="ㄴ옿ㅅㄴㅇ" localSheetId="0" hidden="1">{#N/A,#N/A,FALSE,"집계표"}</definedName>
    <definedName name="ㄴ옿ㅅㄴㅇ" hidden="1">{#N/A,#N/A,FALSE,"집계표"}</definedName>
    <definedName name="ㄴ이라ㅓㅎ" localSheetId="0" hidden="1">{#N/A,#N/A,FALSE,"집계표"}</definedName>
    <definedName name="ㄴ이라ㅓㅎ" hidden="1">{#N/A,#N/A,FALSE,"집계표"}</definedName>
    <definedName name="ㄴ이ㅏ렇" localSheetId="0" hidden="1">{#N/A,#N/A,FALSE,"집계표"}</definedName>
    <definedName name="ㄴ이ㅏ렇" hidden="1">{#N/A,#N/A,FALSE,"집계표"}</definedName>
    <definedName name="ㄴ이ㅏㅎ러" localSheetId="0" hidden="1">{#N/A,#N/A,FALSE,"집계표"}</definedName>
    <definedName name="ㄴ이ㅏㅎ러" hidden="1">{#N/A,#N/A,FALSE,"집계표"}</definedName>
    <definedName name="ㄴ이ㅏㅎ러ㅗ" localSheetId="0" hidden="1">{#N/A,#N/A,FALSE,"집계표"}</definedName>
    <definedName name="ㄴ이ㅏㅎ러ㅗ" hidden="1">{#N/A,#N/A,FALSE,"집계표"}</definedName>
    <definedName name="ㄴ잏라ㅓ" localSheetId="0" hidden="1">{#N/A,#N/A,FALSE,"집계표"}</definedName>
    <definedName name="ㄴ잏라ㅓ" hidden="1">{#N/A,#N/A,FALSE,"집계표"}</definedName>
    <definedName name="ㄴ잏라ㅓㅣㅏㅇㄴㅀ" localSheetId="0" hidden="1">{#N/A,#N/A,FALSE,"집계표"}</definedName>
    <definedName name="ㄴ잏라ㅓㅣㅏㅇㄴㅀ" hidden="1">{#N/A,#N/A,FALSE,"집계표"}</definedName>
    <definedName name="ㄴㅊㅌㅇㅍ" localSheetId="0" hidden="1">{#N/A,#N/A,FALSE,"집계표"}</definedName>
    <definedName name="ㄴㅊㅌㅇㅍ" hidden="1">{#N/A,#N/A,FALSE,"집계표"}</definedName>
    <definedName name="ㄴㅗㅎ" localSheetId="0" hidden="1">{#N/A,#N/A,FALSE,"집계표"}</definedName>
    <definedName name="ㄴㅗㅎ" hidden="1">{#N/A,#N/A,FALSE,"집계표"}</definedName>
    <definedName name="나" localSheetId="0" hidden="1">{#N/A,#N/A,FALSE,"교리2"}</definedName>
    <definedName name="나" hidden="1">{#N/A,#N/A,FALSE,"교리2"}</definedName>
    <definedName name="나나너넌너" localSheetId="0" hidden="1">{#N/A,#N/A,FALSE,"집계표"}</definedName>
    <definedName name="나나너넌너" hidden="1">{#N/A,#N/A,FALSE,"집계표"}</definedName>
    <definedName name="나난" localSheetId="0" hidden="1">{#N/A,#N/A,FALSE,"주간공정";#N/A,#N/A,FALSE,"주간보고";#N/A,#N/A,FALSE,"주간공정표"}</definedName>
    <definedName name="나난" hidden="1">{#N/A,#N/A,FALSE,"주간공정";#N/A,#N/A,FALSE,"주간보고";#N/A,#N/A,FALSE,"주간공정표"}</definedName>
    <definedName name="나는" localSheetId="0" hidden="1">{#N/A,#N/A,FALSE,"집계표"}</definedName>
    <definedName name="나는"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ㄴ난나ㅏ난" hidden="1">{#N/A,#N/A,FALSE,"집계표"}</definedName>
    <definedName name="난나ㅏㄴ" localSheetId="0" hidden="1">{#N/A,#N/A,FALSE,"집계표"}</definedName>
    <definedName name="난나ㅏㄴ" hidden="1">{#N/A,#N/A,FALSE,"집계표"}</definedName>
    <definedName name="난느오늘" localSheetId="0" hidden="1">{#N/A,#N/A,FALSE,"집계표"}</definedName>
    <definedName name="난느오늘" hidden="1">{#N/A,#N/A,FALSE,"집계표"}</definedName>
    <definedName name="남남" hidden="1">#REF!</definedName>
    <definedName name="내역" localSheetId="0" hidden="1">{#N/A,#N/A,FALSE,"CCTV"}</definedName>
    <definedName name="내역" hidden="1">{#N/A,#N/A,FALSE,"CCTV"}</definedName>
    <definedName name="내역산출근거" localSheetId="0" hidden="1">{#N/A,#N/A,TRUE,"1";#N/A,#N/A,TRUE,"2";#N/A,#N/A,TRUE,"3";#N/A,#N/A,TRUE,"4";#N/A,#N/A,TRUE,"5";#N/A,#N/A,TRUE,"6";#N/A,#N/A,TRUE,"7"}</definedName>
    <definedName name="내역산출근거"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냐ㅡ내ㅜ" hidden="1">{#N/A,#N/A,FALSE,"CCTV"}</definedName>
    <definedName name="너를" localSheetId="0" hidden="1">{#N/A,#N/A,FALSE,"집계표"}</definedName>
    <definedName name="너를"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논현동외" hidden="1">{#N/A,#N/A,FALSE,"Sheet6"}</definedName>
    <definedName name="놓ㄹㅇ" localSheetId="0" hidden="1">{#N/A,#N/A,FALSE,"집계표"}</definedName>
    <definedName name="놓ㄹㅇ" hidden="1">{#N/A,#N/A,FALSE,"집계표"}</definedName>
    <definedName name="뇫" localSheetId="0" hidden="1">{#N/A,#N/A,FALSE,"집계표"}</definedName>
    <definedName name="뇫" hidden="1">{#N/A,#N/A,FALSE,"집계표"}</definedName>
    <definedName name="늘푸른쉼나무" localSheetId="0" hidden="1">{#N/A,#N/A,FALSE,"이태원철근"}</definedName>
    <definedName name="늘푸른쉼나무"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니니ㅣㄴ" hidden="1">{#N/A,#N/A,FALSE,"주간공정";#N/A,#N/A,FALSE,"주간보고";#N/A,#N/A,FALSE,"주간공정표"}</definedName>
    <definedName name="ㄶ" localSheetId="0" hidden="1">{#N/A,#N/A,FALSE,"집계표"}</definedName>
    <definedName name="ㄶ"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ㄳ"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localSheetId="0" hidden="1">{#N/A,#N/A,FALSE,"집계표"}</definedName>
    <definedName name="ㄷㅇㅊ" hidden="1">{#N/A,#N/A,FALSE,"집계표"}</definedName>
    <definedName name="ㄷㅈㄱ" localSheetId="0" hidden="1">{#N/A,#N/A,FALSE,"포장1";#N/A,#N/A,FALSE,"포장1"}</definedName>
    <definedName name="ㄷㅈㄱ" hidden="1">{#N/A,#N/A,FALSE,"포장1";#N/A,#N/A,FALSE,"포장1"}</definedName>
    <definedName name="ㄷㅈ거" localSheetId="0" hidden="1">{#N/A,#N/A,FALSE,"집계표"}</definedName>
    <definedName name="ㄷㅈ거" hidden="1">{#N/A,#N/A,FALSE,"집계표"}</definedName>
    <definedName name="ㄷㅈㄹㄷㅈ" hidden="1">#REF!</definedName>
    <definedName name="ㄷㅈㅂㄷ" localSheetId="0" hidden="1">{"'장비'!$A$3:$M$12"}</definedName>
    <definedName name="ㄷㅈㅂㄷ" hidden="1">{"'장비'!$A$3:$M$12"}</definedName>
    <definedName name="ㄷㅎㄹㅇ" hidden="1">#REF!</definedName>
    <definedName name="다" localSheetId="0" hidden="1">{#N/A,#N/A,FALSE,"표지목차"}</definedName>
    <definedName name="다" hidden="1">{#N/A,#N/A,FALSE,"표지목차"}</definedName>
    <definedName name="다라" localSheetId="0" hidden="1">{#N/A,#N/A,FALSE,"표지목차"}</definedName>
    <definedName name="다라" hidden="1">{#N/A,#N/A,FALSE,"표지목차"}</definedName>
    <definedName name="단ㄱ" localSheetId="0" hidden="1">{#N/A,#N/A,FALSE,"전력간선"}</definedName>
    <definedName name="단ㄱ" hidden="1">{#N/A,#N/A,FALSE,"전력간선"}</definedName>
    <definedName name="단가대" hidden="1">#REF!</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대대대대" hidden="1">{#N/A,#N/A,FALSE,"주간공정";#N/A,#N/A,FALSE,"주간보고";#N/A,#N/A,FALSE,"주간공정표"}</definedName>
    <definedName name="대비3" localSheetId="0" hidden="1">{"'용역비'!$A$4:$C$8"}</definedName>
    <definedName name="대비3" hidden="1">{"'용역비'!$A$4:$C$8"}</definedName>
    <definedName name="대표회의" localSheetId="0" hidden="1">{#N/A,#N/A,FALSE,"현장 NCR 분석";#N/A,#N/A,FALSE,"현장품질감사";#N/A,#N/A,FALSE,"현장품질감사"}</definedName>
    <definedName name="대표회의"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 hidden="1">{#N/A,#N/A,FALSE,"포장2"}</definedName>
    <definedName name="덕진" localSheetId="0" hidden="1">{#N/A,#N/A,FALSE,"포장2"}</definedName>
    <definedName name="덕진" hidden="1">{#N/A,#N/A,FALSE,"포장2"}</definedName>
    <definedName name="덕호" localSheetId="0" hidden="1">{#N/A,#N/A,FALSE,"포장2"}</definedName>
    <definedName name="덕호"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localSheetId="0" hidden="1">{#N/A,#N/A,FALSE,"Sheet1"}</definedName>
    <definedName name="도장" hidden="1">{#N/A,#N/A,FALSE,"Sheet1"}</definedName>
    <definedName name="독립기초" localSheetId="0" hidden="1">{#N/A,#N/A,FALSE,"기안지";#N/A,#N/A,FALSE,"통신지"}</definedName>
    <definedName name="독립기초" hidden="1">{#N/A,#N/A,FALSE,"기안지";#N/A,#N/A,FALSE,"통신지"}</definedName>
    <definedName name="독립기초토공수량산출" localSheetId="0" hidden="1">{#N/A,#N/A,FALSE,"기안지";#N/A,#N/A,FALSE,"통신지"}</definedName>
    <definedName name="독립기초토공수량산출"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광" hidden="1">{#N/A,#N/A,FALSE,"CCTV"}</definedName>
    <definedName name="동구연숩" localSheetId="0" hidden="1">{#N/A,#N/A,FALSE,"전력간선"}</definedName>
    <definedName name="동구연숩" hidden="1">{#N/A,#N/A,FALSE,"전력간선"}</definedName>
    <definedName name="동력" localSheetId="0" hidden="1">{#N/A,#N/A,FALSE,"CCTV"}</definedName>
    <definedName name="동력"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 hidden="1">{"'Sheet1'!$A$4:$M$21","'Sheet1'!$J$17:$K$19"}</definedName>
    <definedName name="동별내역" localSheetId="0" hidden="1">{"'Sheet1'!$A$4:$M$21","'Sheet1'!$J$17:$K$19"}</definedName>
    <definedName name="동별내역"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디" hidden="1">{#N/A,#N/A,FALSE,"견적갑지";#N/A,#N/A,FALSE,"총괄표";#N/A,#N/A,FALSE,"철골공사";#N/A,#N/A,FALSE,"토목공사";#N/A,#N/A,FALSE,"판넬전기공사"}</definedName>
    <definedName name="ㄹ" localSheetId="0" hidden="1">{#N/A,#N/A,TRUE,"토적및재료집계";#N/A,#N/A,TRUE,"토적및재료집계";#N/A,#N/A,TRUE,"단위량"}</definedName>
    <definedName name="ㄹ"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ㄴㅇㄹㄴㅇㄹㄴㄱㄴㅇ" hidden="1">{#N/A,#N/A,FALSE,"지침";#N/A,#N/A,FALSE,"환경분석";#N/A,#N/A,FALSE,"Sheet16"}</definedName>
    <definedName name="ㄹㄶㅗ" localSheetId="0" hidden="1">{#N/A,#N/A,FALSE,"집계표"}</definedName>
    <definedName name="ㄹㄶㅗ" hidden="1">{#N/A,#N/A,FALSE,"집계표"}</definedName>
    <definedName name="ㄹㄹ" localSheetId="0" hidden="1">{#N/A,#N/A,FALSE,"CCTV"}</definedName>
    <definedName name="ㄹㄹ" hidden="1">{#N/A,#N/A,FALSE,"CCTV"}</definedName>
    <definedName name="ㄹㄹㄹ" hidden="1">#REF!</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ㄹㅇㄴㄹㄹㅇㄴㄹㅇㄶㅀ" hidden="1">{#N/A,#N/A,FALSE,"집계표"}</definedName>
    <definedName name="ㄹㅇ" localSheetId="0" hidden="1">{#N/A,#N/A,FALSE,"도급대비시행율";#N/A,#N/A,FALSE,"결의서";#N/A,#N/A,FALSE,"내역서";#N/A,#N/A,FALSE,"도급예상"}</definedName>
    <definedName name="ㄹㅇ"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ㅁ" hidden="1">{#N/A,#N/A,TRUE,"1";#N/A,#N/A,TRUE,"2";#N/A,#N/A,TRUE,"3";#N/A,#N/A,TRUE,"4";#N/A,#N/A,TRUE,"5";#N/A,#N/A,TRUE,"6";#N/A,#N/A,TRUE,"7"}</definedName>
    <definedName name="ㄹㅇㄴㅁㄹㅇ" hidden="1">#REF!</definedName>
    <definedName name="ㄹㅇㄴㅇㄴㅇㄹㅇ" localSheetId="0" hidden="1">{#N/A,#N/A,FALSE,"집계표"}</definedName>
    <definedName name="ㄹㅇㄴㅇㄴㅇㄹㅇ" hidden="1">{#N/A,#N/A,FALSE,"집계표"}</definedName>
    <definedName name="ㄹㅇ넛교ㅗ" localSheetId="0" hidden="1">{#N/A,#N/A,FALSE,"집계표"}</definedName>
    <definedName name="ㄹㅇ넛교ㅗ" hidden="1">{#N/A,#N/A,FALSE,"집계표"}</definedName>
    <definedName name="ㄹㅇ노ㅎ" localSheetId="0" hidden="1">{#N/A,#N/A,FALSE,"집계표"}</definedName>
    <definedName name="ㄹㅇ노ㅎ" hidden="1">{#N/A,#N/A,FALSE,"집계표"}</definedName>
    <definedName name="ㄹㅇㄶ" hidden="1">#REF!</definedName>
    <definedName name="ㄹㅇㄶㄴㅅ" localSheetId="0" hidden="1">{#N/A,#N/A,FALSE,"집계표"}</definedName>
    <definedName name="ㄹㅇㄶㄴㅅ" hidden="1">{#N/A,#N/A,FALSE,"집계표"}</definedName>
    <definedName name="ㄹㅇㄶ옿" hidden="1">#REF!</definedName>
    <definedName name="ㄹㅇㄶㅎㅇㄶㅇㅎㄹㅇ" localSheetId="0" hidden="1">{#N/A,#N/A,FALSE,"집계표"}</definedName>
    <definedName name="ㄹㅇㄶㅎㅇㄶㅇㅎㄹㅇ" hidden="1">{#N/A,#N/A,FALSE,"집계표"}</definedName>
    <definedName name="ㄹㅇㄹㅇ" hidden="1">#REF!</definedName>
    <definedName name="ㄹㅇㄹㅇㄹㅇ" localSheetId="0" hidden="1">{#N/A,#N/A,FALSE,"CCTV"}</definedName>
    <definedName name="ㄹㅇㄹㅇㄹㅇ"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서ㅗ" hidden="1">{#N/A,#N/A,FALSE,"집계표"}</definedName>
    <definedName name="ㄹㅇ소ㅛ" localSheetId="0" hidden="1">{#N/A,#N/A,FALSE,"집계표"}</definedName>
    <definedName name="ㄹㅇ소ㅛ" hidden="1">{#N/A,#N/A,FALSE,"집계표"}</definedName>
    <definedName name="ㄹㅇㅇㅇㅇㅇㅇ" localSheetId="0" hidden="1">{#N/A,#N/A,FALSE,"집계표"}</definedName>
    <definedName name="ㄹㅇㅇㅇㅇㅇㅇ" hidden="1">{#N/A,#N/A,FALSE,"집계표"}</definedName>
    <definedName name="ㄹㅇㅇㅇㅇㅇㅇㅇㅇㅇㅇ" localSheetId="0" hidden="1">{#N/A,#N/A,FALSE,"집계표"}</definedName>
    <definedName name="ㄹㅇㅇㅇㅇㅇㅇㅇㅇㅇㅇ" hidden="1">{#N/A,#N/A,FALSE,"집계표"}</definedName>
    <definedName name="ㄹㅇ옷" localSheetId="0" hidden="1">{#N/A,#N/A,FALSE,"집계표"}</definedName>
    <definedName name="ㄹㅇ옷" hidden="1">{#N/A,#N/A,FALSE,"집계표"}</definedName>
    <definedName name="ㄹㅇㅌㅇㄴㄱㄷ" localSheetId="0" hidden="1">{#N/A,#N/A,FALSE,"포장2"}</definedName>
    <definedName name="ㄹㅇㅌㅇㄴㄱㄷ" hidden="1">{#N/A,#N/A,FALSE,"포장2"}</definedName>
    <definedName name="ㄹㅇㅌㅎㅎㅎㅎㅎ" localSheetId="0" hidden="1">{#N/A,#N/A,FALSE,"집계표"}</definedName>
    <definedName name="ㄹㅇㅌㅎㅎㅎㅎㅎ" hidden="1">{#N/A,#N/A,FALSE,"집계표"}</definedName>
    <definedName name="ㄹㅇㅎ" localSheetId="0" hidden="1">{#N/A,#N/A,FALSE,"집계표"}</definedName>
    <definedName name="ㄹㅇㅎ" hidden="1">{#N/A,#N/A,FALSE,"집계표"}</definedName>
    <definedName name="ㄹㅇㅎㅊㅌㅍㅍ" localSheetId="0" hidden="1">{#N/A,#N/A,FALSE,"집계표"}</definedName>
    <definedName name="ㄹㅇㅎㅊㅌㅍㅍ" hidden="1">{#N/A,#N/A,FALSE,"집계표"}</definedName>
    <definedName name="ㄹㅇㅎㅎㅎㅎㅎㅎㅎㅎㅎ" localSheetId="0" hidden="1">{#N/A,#N/A,FALSE,"집계표"}</definedName>
    <definedName name="ㄹㅇㅎㅎㅎㅎㅎㅎㅎㅎㅎ" hidden="1">{#N/A,#N/A,FALSE,"집계표"}</definedName>
    <definedName name="ㄹㅇ허ㅗ" localSheetId="0" hidden="1">{#N/A,#N/A,FALSE,"집계표"}</definedName>
    <definedName name="ㄹㅇ허ㅗ" hidden="1">{#N/A,#N/A,FALSE,"집계표"}</definedName>
    <definedName name="ㄹㅇ효" localSheetId="0" hidden="1">{#N/A,#N/A,FALSE,"집계표"}</definedName>
    <definedName name="ㄹㅇ효" hidden="1">{#N/A,#N/A,FALSE,"집계표"}</definedName>
    <definedName name="ㄹ어호" localSheetId="0" hidden="1">{#N/A,#N/A,FALSE,"집계표"}</definedName>
    <definedName name="ㄹ어호" hidden="1">{#N/A,#N/A,FALSE,"집계표"}</definedName>
    <definedName name="ㄹ오" localSheetId="0" hidden="1">{#N/A,#N/A,FALSE,"집계표"}</definedName>
    <definedName name="ㄹ오" hidden="1">{#N/A,#N/A,FALSE,"집계표"}</definedName>
    <definedName name="ㄹ오ㅛ" localSheetId="0" hidden="1">{#N/A,#N/A,FALSE,"집계표"}</definedName>
    <definedName name="ㄹ오ㅛ" hidden="1">{#N/A,#N/A,FALSE,"집계표"}</definedName>
    <definedName name="ㄹ옿" localSheetId="0" hidden="1">{#N/A,#N/A,FALSE,"집계표"}</definedName>
    <definedName name="ㄹ옿" hidden="1">{#N/A,#N/A,FALSE,"집계표"}</definedName>
    <definedName name="ㄹ옿ㄴㄴㄴ노" localSheetId="0" hidden="1">{#N/A,#N/A,FALSE,"집계표"}</definedName>
    <definedName name="ㄹ옿ㄴㄴㄴ노" hidden="1">{#N/A,#N/A,FALSE,"집계표"}</definedName>
    <definedName name="ㄹ옿ㅇㄹ" localSheetId="0" hidden="1">{#N/A,#N/A,FALSE,"집계표"}</definedName>
    <definedName name="ㄹ옿ㅇㄹ" hidden="1">{#N/A,#N/A,FALSE,"집계표"}</definedName>
    <definedName name="ㄹ옿ㅎㅎㅎㅎㅎㅎㅎ" localSheetId="0" hidden="1">{#N/A,#N/A,FALSE,"집계표"}</definedName>
    <definedName name="ㄹ옿ㅎㅎㅎㅎㅎㅎㅎ" hidden="1">{#N/A,#N/A,FALSE,"집계표"}</definedName>
    <definedName name="ㄹㅎㄹㅎㅀ" hidden="1">#REF!</definedName>
    <definedName name="ㄹ하ㅏㅏㅏㅏㅏ" localSheetId="0" hidden="1">{#N/A,#N/A,FALSE,"집계표"}</definedName>
    <definedName name="ㄹ하ㅏㅏㅏㅏㅏ" hidden="1">{#N/A,#N/A,FALSE,"집계표"}</definedName>
    <definedName name="ㄹ허ㅗ" localSheetId="0" hidden="1">{#N/A,#N/A,FALSE,"집계표"}</definedName>
    <definedName name="ㄹ허ㅗ" hidden="1">{#N/A,#N/A,FALSE,"집계표"}</definedName>
    <definedName name="ㄹ허ㅛㅛㅛㅛㅛㅛ" localSheetId="0" hidden="1">{#N/A,#N/A,FALSE,"집계표"}</definedName>
    <definedName name="ㄹ허ㅛㅛㅛㅛㅛㅛ" hidden="1">{#N/A,#N/A,FALSE,"집계표"}</definedName>
    <definedName name="ㄹ혀퍼ㅜㅠ" localSheetId="0" hidden="1">{#N/A,#N/A,FALSE,"집계표"}</definedName>
    <definedName name="ㄹ혀퍼ㅜㅠ" hidden="1">{#N/A,#N/A,FALSE,"집계표"}</definedName>
    <definedName name="ㄹ호" hidden="1">#REF!</definedName>
    <definedName name="ㄹ호ㅓㅛ" localSheetId="0" hidden="1">{#N/A,#N/A,FALSE,"집계표"}</definedName>
    <definedName name="ㄹ호ㅓㅛ" hidden="1">{#N/A,#N/A,FALSE,"집계표"}</definedName>
    <definedName name="ㄹ호ㅗㅎ" localSheetId="0" hidden="1">{#N/A,#N/A,FALSE,"집계표"}</definedName>
    <definedName name="ㄹ호ㅗㅎ" hidden="1">{#N/A,#N/A,FALSE,"집계표"}</definedName>
    <definedName name="ㄹ홀ㅅ" localSheetId="0" hidden="1">{#N/A,#N/A,FALSE,"집계표"}</definedName>
    <definedName name="ㄹ홀ㅅ" hidden="1">{#N/A,#N/A,FALSE,"집계표"}</definedName>
    <definedName name="ㄹ홓ㄹ로ㅗㅗㅗㅗㅗㅗㅗ" localSheetId="0" hidden="1">{#N/A,#N/A,FALSE,"집계표"}</definedName>
    <definedName name="ㄹ홓ㄹ로ㅗㅗㅗㅗㅗㅗㅗ" hidden="1">{#N/A,#N/A,FALSE,"집계표"}</definedName>
    <definedName name="ㄹ효ㅓㅕ" localSheetId="0" hidden="1">{#N/A,#N/A,FALSE,"집계표"}</definedName>
    <definedName name="ㄹ효ㅓㅕ" hidden="1">{#N/A,#N/A,FALSE,"집계표"}</definedName>
    <definedName name="라" localSheetId="0" hidden="1">{"'Sheet1'!$A$22:$G$23","'Sheet1'!$A$6","'Sheet1'!$E$10","'Sheet1'!$A$1:$F$23","'Sheet1'!$B$10","'Sheet1'!$A$1:$G$22","'Sheet1'!$A$1:$G$51"}</definedName>
    <definedName name="라" hidden="1">{"'Sheet1'!$A$22:$G$23","'Sheet1'!$A$6","'Sheet1'!$E$10","'Sheet1'!$A$1:$F$23","'Sheet1'!$B$10","'Sheet1'!$A$1:$G$22","'Sheet1'!$A$1:$G$51"}</definedName>
    <definedName name="라라라ㅏㄹ" localSheetId="0" hidden="1">{#N/A,#N/A,FALSE,"집계표"}</definedName>
    <definedName name="라라라ㅏㄹ" hidden="1">{#N/A,#N/A,FALSE,"집계표"}</definedName>
    <definedName name="라ㅏㅏ" localSheetId="0" hidden="1">{#N/A,#N/A,FALSE,"집계표"}</definedName>
    <definedName name="라ㅏㅏ"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랏구" hidden="1">{#N/A,#N/A,FALSE,"집계표"}</definedName>
    <definedName name="래" localSheetId="0" hidden="1">{#N/A,#N/A,FALSE,"변경관리예산";#N/A,#N/A,FALSE,"변경장비예산";#N/A,#N/A,FALSE,"변경준설예산";#N/A,#N/A,FALSE,"변경철구예산"}</definedName>
    <definedName name="래" hidden="1">{#N/A,#N/A,FALSE,"변경관리예산";#N/A,#N/A,FALSE,"변경장비예산";#N/A,#N/A,FALSE,"변경준설예산";#N/A,#N/A,FALSE,"변경철구예산"}</definedName>
    <definedName name="래그" localSheetId="0" hidden="1">{#N/A,#N/A,FALSE,"CCTV"}</definedName>
    <definedName name="래그" hidden="1">{#N/A,#N/A,FALSE,"CCTV"}</definedName>
    <definedName name="랴" localSheetId="0" hidden="1">{#N/A,#N/A,FALSE,"예상손익";#N/A,#N/A,FALSE,"관리분석";#N/A,#N/A,FALSE,"장비분석";#N/A,#N/A,FALSE,"준설분석";#N/A,#N/A,FALSE,"철구분석"}</definedName>
    <definedName name="랴" hidden="1">{#N/A,#N/A,FALSE,"예상손익";#N/A,#N/A,FALSE,"관리분석";#N/A,#N/A,FALSE,"장비분석";#N/A,#N/A,FALSE,"준설분석";#N/A,#N/A,FALSE,"철구분석"}</definedName>
    <definedName name="러러럴" localSheetId="0" hidden="1">{#N/A,#N/A,FALSE,"주간공정";#N/A,#N/A,FALSE,"주간보고";#N/A,#N/A,FALSE,"주간공정표"}</definedName>
    <definedName name="러러럴" hidden="1">{#N/A,#N/A,FALSE,"주간공정";#N/A,#N/A,FALSE,"주간보고";#N/A,#N/A,FALSE,"주간공정표"}</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ㅏㄹ" localSheetId="0" hidden="1">{#N/A,#N/A,FALSE,"주간공정";#N/A,#N/A,FALSE,"주간보고";#N/A,#N/A,FALSE,"주간공정표"}</definedName>
    <definedName name="러ㅏㄹ"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렃퍼ㅗ"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련" hidden="1">{#N/A,#N/A,FALSE,"변경관리예산";#N/A,#N/A,FALSE,"변경장비예산";#N/A,#N/A,FALSE,"변경준설예산";#N/A,#N/A,FALSE,"변경철구예산"}</definedName>
    <definedName name="로헝ㄱ" localSheetId="0" hidden="1">{#N/A,#N/A,FALSE,"집계표"}</definedName>
    <definedName name="로헝ㄱ" hidden="1">{#N/A,#N/A,FALSE,"집계표"}</definedName>
    <definedName name="롷ㅎㅎㅎㅎ" localSheetId="0" hidden="1">{#N/A,#N/A,FALSE,"집계표"}</definedName>
    <definedName name="롷ㅎㅎㅎㅎ" hidden="1">{#N/A,#N/A,FALSE,"집계표"}</definedName>
    <definedName name="룸" localSheetId="0" hidden="1">{#N/A,#N/A,FALSE,"사업총괄";#N/A,#N/A,FALSE,"장비사업";#N/A,#N/A,FALSE,"철구사업";#N/A,#N/A,FALSE,"준설사업"}</definedName>
    <definedName name="룸" hidden="1">{#N/A,#N/A,FALSE,"사업총괄";#N/A,#N/A,FALSE,"장비사업";#N/A,#N/A,FALSE,"철구사업";#N/A,#N/A,FALSE,"준설사업"}</definedName>
    <definedName name="류ㅣㅏ" localSheetId="0" hidden="1">{#N/A,#N/A,FALSE,"집계표"}</definedName>
    <definedName name="류ㅣㅏ"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ㄺ" hidden="1">{#N/A,#N/A,FALSE,"Aging Summary";#N/A,#N/A,FALSE,"Ratio Analysis";#N/A,#N/A,FALSE,"Test 120 Day Accts";#N/A,#N/A,FALSE,"Tickmarks"}</definedName>
    <definedName name="ㄿ호ㅗㅗ" localSheetId="0" hidden="1">{#N/A,#N/A,FALSE,"집계표"}</definedName>
    <definedName name="ㄿ호ㅗㅗ" hidden="1">{#N/A,#N/A,FALSE,"집계표"}</definedName>
    <definedName name="ㅀ" hidden="1">#REF!</definedName>
    <definedName name="ㅀㅅㄱ" localSheetId="0" hidden="1">{#N/A,#N/A,FALSE,"Sheet6"}</definedName>
    <definedName name="ㅀㅅㄱ" hidden="1">{#N/A,#N/A,FALSE,"Sheet6"}</definedName>
    <definedName name="ㅀㅇ" localSheetId="0" hidden="1">{#N/A,#N/A,FALSE,"집계표"}</definedName>
    <definedName name="ㅀㅇ" hidden="1">{#N/A,#N/A,FALSE,"집계표"}</definedName>
    <definedName name="ㅀ오ㅓㅎ롱ㄶㄹㄴ" localSheetId="0" hidden="1">{#N/A,#N/A,FALSE,"2~8번"}</definedName>
    <definedName name="ㅀ오ㅓㅎ롱ㄶㄹㄴ" hidden="1">{#N/A,#N/A,FALSE,"2~8번"}</definedName>
    <definedName name="ㅀ허" localSheetId="0" hidden="1">{#N/A,#N/A,FALSE,"CCTV"}</definedName>
    <definedName name="ㅀ허"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ㄱㄷㅋㄴㅇ" hidden="1">{#N/A,#N/A,FALSE,"집계표"}</definedName>
    <definedName name="ㅁㄴ" hidden="1">#REF!</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ㄹ"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ㄹ" hidden="1">{#N/A,#N/A,FALSE,"집계표"}</definedName>
    <definedName name="ㅁㄴㅇㅁㄴㅇ" hidden="1">#REF!</definedName>
    <definedName name="ㅁㄴㅇㅁㅌㅋ" localSheetId="0" hidden="1">{#N/A,#N/A,FALSE,"집계표"}</definedName>
    <definedName name="ㅁㄴㅇㅁㅌㅋ" hidden="1">{#N/A,#N/A,FALSE,"집계표"}</definedName>
    <definedName name="ㅁㄴ아랴" localSheetId="0" hidden="1">{#N/A,#N/A,FALSE,"집계표"}</definedName>
    <definedName name="ㅁㄴ아랴" hidden="1">{#N/A,#N/A,FALSE,"집계표"}</definedName>
    <definedName name="ㅁㄴ아ㅓㄹ킽" localSheetId="0" hidden="1">{#N/A,#N/A,FALSE,"집계표"}</definedName>
    <definedName name="ㅁㄴ아ㅓㄹ킽" hidden="1">{#N/A,#N/A,FALSE,"집계표"}</definedName>
    <definedName name="ㅁㄴ아ㅓㅎ" localSheetId="0" hidden="1">{#N/A,#N/A,FALSE,"집계표"}</definedName>
    <definedName name="ㅁㄴ아ㅓㅎ" hidden="1">{#N/A,#N/A,FALSE,"집계표"}</definedName>
    <definedName name="ㅁㄴ얼" localSheetId="0" hidden="1">{#N/A,#N/A,FALSE,"집계표"}</definedName>
    <definedName name="ㅁㄴ얼" hidden="1">{#N/A,#N/A,FALSE,"집계표"}</definedName>
    <definedName name="ㅁ날어" localSheetId="0" hidden="1">{#N/A,#N/A,FALSE,"집계표"}</definedName>
    <definedName name="ㅁ날어" hidden="1">{#N/A,#N/A,FALSE,"집계표"}</definedName>
    <definedName name="ㅁ널머밀ㅇㄴ" localSheetId="0" hidden="1">{#N/A,#N/A,FALSE,"집계표"}</definedName>
    <definedName name="ㅁ널머밀ㅇㄴ" hidden="1">{#N/A,#N/A,FALSE,"집계표"}</definedName>
    <definedName name="ㅁ널이ㅏㅓㄴ" localSheetId="0" hidden="1">{#N/A,#N/A,FALSE,"집계표"}</definedName>
    <definedName name="ㅁ널이ㅏㅓㄴ" hidden="1">{#N/A,#N/A,FALSE,"집계표"}</definedName>
    <definedName name="ㅁ니ㅏㅎㅋㅇ" localSheetId="0" hidden="1">{#N/A,#N/A,FALSE,"집계표"}</definedName>
    <definedName name="ㅁ니ㅏㅎㅋㅇ" hidden="1">{#N/A,#N/A,FALSE,"집계표"}</definedName>
    <definedName name="ㅁㄶ리ㅏㅓ" localSheetId="0" hidden="1">{#N/A,#N/A,FALSE,"집계표"}</definedName>
    <definedName name="ㅁㄶ리ㅏㅓ" hidden="1">{#N/A,#N/A,FALSE,"집계표"}</definedName>
    <definedName name="ㅁㄶㅇ" localSheetId="0" hidden="1">{#N/A,#N/A,FALSE,"집계표"}</definedName>
    <definedName name="ㅁㄶㅇ" hidden="1">{#N/A,#N/A,FALSE,"집계표"}</definedName>
    <definedName name="ㅁㄷ나ㅓㅇㅇㅌ" localSheetId="0" hidden="1">{#N/A,#N/A,FALSE,"집계표"}</definedName>
    <definedName name="ㅁㄷ나ㅓㅇㅇㅌ" hidden="1">{#N/A,#N/A,FALSE,"집계표"}</definedName>
    <definedName name="ㅁㄻ" localSheetId="0" hidden="1">{#N/A,#N/A,FALSE,"Sheet1"}</definedName>
    <definedName name="ㅁㄻ" hidden="1">{#N/A,#N/A,FALSE,"Sheet1"}</definedName>
    <definedName name="ㅁㅁ" hidden="1">#REF!</definedName>
    <definedName name="ㅁㅁㅁ" hidden="1">#REF!</definedName>
    <definedName name="ㅁㅁㅁㅁ" localSheetId="0" hidden="1">{"'Sheet1'!$A$4","'Sheet1'!$A$9:$G$28"}</definedName>
    <definedName name="ㅁㅁㅁㅁ"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나ㅓ키ㅏㄴ" hidden="1">{#N/A,#N/A,FALSE,"집계표"}</definedName>
    <definedName name="ㅁㅇㄹㅇㅎㄻㅍ" localSheetId="0" hidden="1">{#N/A,#N/A,FALSE,"집계표"}</definedName>
    <definedName name="ㅁㅇㄹㅇㅎㄻㅍ" hidden="1">{#N/A,#N/A,FALSE,"집계표"}</definedName>
    <definedName name="ㅁㅇㅇ" localSheetId="0" hidden="1">{#N/A,#N/A,FALSE,"Sheet1"}</definedName>
    <definedName name="ㅁㅇㅇ" hidden="1">{#N/A,#N/A,FALSE,"Sheet1"}</definedName>
    <definedName name="ㅁㅈㅂㄷㄺㅂ" localSheetId="0" hidden="1">{#N/A,#N/A,FALSE,"집계표"}</definedName>
    <definedName name="ㅁㅈㅂㄷㄺㅂ" hidden="1">{#N/A,#N/A,FALSE,"집계표"}</definedName>
    <definedName name="ㅁㅈ뱔ㅇ" localSheetId="0" hidden="1">{#N/A,#N/A,FALSE,"집계표"}</definedName>
    <definedName name="ㅁㅈ뱔ㅇ" hidden="1">{#N/A,#N/A,FALSE,"집계표"}</definedName>
    <definedName name="ㅁㅋㄴ이ㅏㄹ" localSheetId="0" hidden="1">{#N/A,#N/A,FALSE,"집계표"}</definedName>
    <definedName name="ㅁㅋㄴ이ㅏㄹ" hidden="1">{#N/A,#N/A,FALSE,"집계표"}</definedName>
    <definedName name="ㅁㅎㅁ" localSheetId="0" hidden="1">{#N/A,#N/A,FALSE,"Sheet1"}</definedName>
    <definedName name="ㅁㅎㅁ" hidden="1">{#N/A,#N/A,FALSE,"Sheet1"}</definedName>
    <definedName name="ㅁㅎ이ㅏ" localSheetId="0" hidden="1">{#N/A,#N/A,FALSE,"집계표"}</definedName>
    <definedName name="ㅁㅎ이ㅏ" hidden="1">{#N/A,#N/A,FALSE,"집계표"}</definedName>
    <definedName name="ㅁㅎㅎ" hidden="1">#REF!</definedName>
    <definedName name="마널이ㅏ" localSheetId="0" hidden="1">{#N/A,#N/A,FALSE,"집계표"}</definedName>
    <definedName name="마널이ㅏ" hidden="1">{#N/A,#N/A,FALSE,"집계표"}</definedName>
    <definedName name="만득이" localSheetId="0" hidden="1">{#N/A,#N/A,FALSE,"2~8번"}</definedName>
    <definedName name="만득이"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매입세액" hidden="1">{#N/A,#N/A,FALSE,"예상손익";#N/A,#N/A,FALSE,"관리분석";#N/A,#N/A,FALSE,"장비분석";#N/A,#N/A,FALSE,"준설분석";#N/A,#N/A,FALSE,"철구분석"}</definedName>
    <definedName name="매출액" hidden="1">#REF!</definedName>
    <definedName name="맨홀집계표" localSheetId="0" hidden="1">{#N/A,#N/A,FALSE,"포장단가"}</definedName>
    <definedName name="맨홀집계표" hidden="1">{#N/A,#N/A,FALSE,"포장단가"}</definedName>
    <definedName name="머" localSheetId="0" hidden="1">{#N/A,#N/A,FALSE,"명세표"}</definedName>
    <definedName name="머"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명일" hidden="1">{#N/A,#N/A,FALSE,"속도"}</definedName>
    <definedName name="모" localSheetId="0" hidden="1">{#N/A,#N/A,FALSE,"변경관리예산";#N/A,#N/A,FALSE,"변경장비예산";#N/A,#N/A,FALSE,"변경준설예산";#N/A,#N/A,FALSE,"변경철구예산"}</definedName>
    <definedName name="모" hidden="1">{#N/A,#N/A,FALSE,"변경관리예산";#N/A,#N/A,FALSE,"변경장비예산";#N/A,#N/A,FALSE,"변경준설예산";#N/A,#N/A,FALSE,"변경철구예산"}</definedName>
    <definedName name="목수장계산" localSheetId="0" hidden="1">{#N/A,#N/A,FALSE,"이태원철근"}</definedName>
    <definedName name="목수장계산" hidden="1">{#N/A,#N/A,FALSE,"이태원철근"}</definedName>
    <definedName name="목수장원가계산" localSheetId="0" hidden="1">{#N/A,#N/A,FALSE,"이태원철근"}</definedName>
    <definedName name="목수장원가계산" hidden="1">{#N/A,#N/A,FALSE,"이태원철근"}</definedName>
    <definedName name="목수장원가계산서" localSheetId="0" hidden="1">{#N/A,#N/A,FALSE,"이태원철근"}</definedName>
    <definedName name="목수장원가계산서" hidden="1">{#N/A,#N/A,FALSE,"이태원철근"}</definedName>
    <definedName name="목재틀" localSheetId="0" hidden="1">{#N/A,#N/A,FALSE,"CCTV"}</definedName>
    <definedName name="목재틀" hidden="1">{#N/A,#N/A,FALSE,"CCTV"}</definedName>
    <definedName name="목재틀갑지" localSheetId="0" hidden="1">{#N/A,#N/A,FALSE,"CCTV"}</definedName>
    <definedName name="목재틀갑지" hidden="1">{#N/A,#N/A,FALSE,"CCTV"}</definedName>
    <definedName name="몰라" hidden="1">0</definedName>
    <definedName name="문서" localSheetId="0" hidden="1">{#N/A,#N/A,FALSE,"현장 NCR 분석";#N/A,#N/A,FALSE,"현장품질감사";#N/A,#N/A,FALSE,"현장품질감사"}</definedName>
    <definedName name="문서" hidden="1">{#N/A,#N/A,FALSE,"현장 NCR 분석";#N/A,#N/A,FALSE,"현장품질감사";#N/A,#N/A,FALSE,"현장품질감사"}</definedName>
    <definedName name="물" localSheetId="0" hidden="1">{#N/A,#N/A,FALSE,"이태원철근"}</definedName>
    <definedName name="물" hidden="1">{#N/A,#N/A,FALSE,"이태원철근"}</definedName>
    <definedName name="물가" localSheetId="0" hidden="1">{#N/A,#N/A,FALSE,"이태원철근"}</definedName>
    <definedName name="물가" hidden="1">{#N/A,#N/A,FALSE,"이태원철근"}</definedName>
    <definedName name="물량산출랍" localSheetId="0" hidden="1">{#N/A,#N/A,FALSE,"Sheet1"}</definedName>
    <definedName name="물량산출랍" hidden="1">{#N/A,#N/A,FALSE,"Sheet1"}</definedName>
    <definedName name="뭐가이태원이야" localSheetId="0" hidden="1">{#N/A,#N/A,FALSE,"이태원철근"}</definedName>
    <definedName name="뭐가이태원이야" hidden="1">{#N/A,#N/A,FALSE,"이태원철근"}</definedName>
    <definedName name="므ㅓ" localSheetId="0" hidden="1">{#N/A,#N/A,FALSE,"집계표"}</definedName>
    <definedName name="므ㅓ"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localSheetId="0" hidden="1">{#N/A,#N/A,FALSE,"Sheet1"}</definedName>
    <definedName name="미장물량" hidden="1">{#N/A,#N/A,FALSE,"Sheet1"}</definedName>
    <definedName name="미ㅣㅁ" localSheetId="0" hidden="1">{#N/A,#N/A,FALSE,"집계표"}</definedName>
    <definedName name="미ㅣㅁ"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민원품의" hidden="1">{#N/A,#N/A,FALSE,"변경관리예산";#N/A,#N/A,FALSE,"변경장비예산";#N/A,#N/A,FALSE,"변경준설예산";#N/A,#N/A,FALSE,"변경철구예산"}</definedName>
    <definedName name="ㅂ" localSheetId="0" hidden="1">{#N/A,#N/A,FALSE,"조골재"}</definedName>
    <definedName name="ㅂ" hidden="1">{#N/A,#N/A,FALSE,"조골재"}</definedName>
    <definedName name="ㅂ2ㅂ2" localSheetId="0" hidden="1">{#N/A,#N/A,FALSE,"배수1"}</definedName>
    <definedName name="ㅂ2ㅂ2" hidden="1">{#N/A,#N/A,FALSE,"배수1"}</definedName>
    <definedName name="ㅂㄷㄳㄷㅂㄱ" hidden="1">#REF!</definedName>
    <definedName name="ㅂㄷㅅㅄ" hidden="1">#REF!</definedName>
    <definedName name="ㅂㅂ" localSheetId="0" hidden="1">{#N/A,#N/A,FALSE,"표지"}</definedName>
    <definedName name="ㅂㅂ" hidden="1">{#N/A,#N/A,FALSE,"표지"}</definedName>
    <definedName name="ㅂㅂㅂ" localSheetId="0" hidden="1">{#N/A,#N/A,FALSE,"혼합골재"}</definedName>
    <definedName name="ㅂㅂㅂ" hidden="1">{#N/A,#N/A,FALSE,"혼합골재"}</definedName>
    <definedName name="ㅂㅂㅂㅂㅂ" localSheetId="0" hidden="1">{"'별표'!$N$220"}</definedName>
    <definedName name="ㅂㅂㅂㅂㅂ" hidden="1">{"'별표'!$N$220"}</definedName>
    <definedName name="ㅂㅂㅂㅂㅂㅂ" localSheetId="0" hidden="1">{"'용역비'!$A$4:$C$8"}</definedName>
    <definedName name="ㅂㅂㅂㅂㅂㅂ" hidden="1">{"'용역비'!$A$4:$C$8"}</definedName>
    <definedName name="ㅂㅂㅂㅂㅂㅂㅂ" localSheetId="0" hidden="1">{#N/A,#N/A,FALSE,"명세표"}</definedName>
    <definedName name="ㅂㅂㅂㅂㅂㅂㅂ" hidden="1">{#N/A,#N/A,FALSE,"명세표"}</definedName>
    <definedName name="ㅂㅈ" localSheetId="0" hidden="1">{#N/A,#N/A,TRUE,"1";#N/A,#N/A,TRUE,"2";#N/A,#N/A,TRUE,"3";#N/A,#N/A,TRUE,"4";#N/A,#N/A,TRUE,"5";#N/A,#N/A,TRUE,"6";#N/A,#N/A,TRUE,"7"}</definedName>
    <definedName name="ㅂㅈ" hidden="1">{#N/A,#N/A,TRUE,"1";#N/A,#N/A,TRUE,"2";#N/A,#N/A,TRUE,"3";#N/A,#N/A,TRUE,"4";#N/A,#N/A,TRUE,"5";#N/A,#N/A,TRUE,"6";#N/A,#N/A,TRUE,"7"}</definedName>
    <definedName name="ㅂㅈㄱㅂㅈㄷㄱ" localSheetId="0" hidden="1">{"'장비'!$A$3:$M$12"}</definedName>
    <definedName name="ㅂㅈㄱㅂㅈㄷㄱ" hidden="1">{"'장비'!$A$3:$M$12"}</definedName>
    <definedName name="ㅂㅈㄷ" localSheetId="0" hidden="1">{"'장비'!$A$3:$M$12"}</definedName>
    <definedName name="ㅂㅈㄷ" hidden="1">{"'장비'!$A$3:$M$12"}</definedName>
    <definedName name="ㅂㅈㄷㄱ" localSheetId="0" hidden="1">{#N/A,#N/A,FALSE,"지침";#N/A,#N/A,FALSE,"환경분석";#N/A,#N/A,FALSE,"Sheet16"}</definedName>
    <definedName name="ㅂㅈㄷㄱ" hidden="1">{#N/A,#N/A,FALSE,"지침";#N/A,#N/A,FALSE,"환경분석";#N/A,#N/A,FALSE,"Sheet16"}</definedName>
    <definedName name="ㅂㅈㄷㄷㅂㅈㅈㅂ" localSheetId="0" hidden="1">{"'장비'!$A$3:$M$12"}</definedName>
    <definedName name="ㅂㅈㄷㄷㅂㅈㅈㅂ" hidden="1">{"'장비'!$A$3:$M$12"}</definedName>
    <definedName name="ㅂㅈㄷㅂㅈ" localSheetId="0" hidden="1">{"'장비'!$A$3:$M$12"}</definedName>
    <definedName name="ㅂㅈㄷㅂㅈ" hidden="1">{"'장비'!$A$3:$M$12"}</definedName>
    <definedName name="ㅂㅈㄷㅂㅈㅈㅂㄷ" localSheetId="0" hidden="1">{"'장비'!$A$3:$M$12"}</definedName>
    <definedName name="ㅂㅈㄷㅂㅈㅈㅂㄷ" hidden="1">{"'장비'!$A$3:$M$12"}</definedName>
    <definedName name="ㅂㅈㄷㅈㅂㄷ" localSheetId="0" hidden="1">{"'장비'!$A$3:$M$12"}</definedName>
    <definedName name="ㅂㅈㄷㅈㅂㄷ" hidden="1">{"'장비'!$A$3:$M$12"}</definedName>
    <definedName name="ㅂ쟈ㅕㅑㅂ1" localSheetId="0" hidden="1">{#N/A,#N/A,FALSE,"배수1"}</definedName>
    <definedName name="ㅂ쟈ㅕㅑㅂ1" hidden="1">{#N/A,#N/A,FALSE,"배수1"}</definedName>
    <definedName name="바닥재" localSheetId="0" hidden="1">{#N/A,#N/A,FALSE,"CCTV"}</definedName>
    <definedName name="바닥재" hidden="1">{#N/A,#N/A,FALSE,"CCTV"}</definedName>
    <definedName name="바닥제외갑지" localSheetId="0" hidden="1">{#N/A,#N/A,FALSE,"CCTV"}</definedName>
    <definedName name="바닥제외갑지" hidden="1">{#N/A,#N/A,FALSE,"CCTV"}</definedName>
    <definedName name="바부" localSheetId="0" hidden="1">{"'용역비'!$A$4:$C$8"}</definedName>
    <definedName name="바부" hidden="1">{"'용역비'!$A$4:$C$8"}</definedName>
    <definedName name="바붕" localSheetId="0" hidden="1">{#N/A,#N/A,FALSE,"전력간선"}</definedName>
    <definedName name="바붕" hidden="1">{#N/A,#N/A,FALSE,"전력간선"}</definedName>
    <definedName name="박" localSheetId="0" hidden="1">{#N/A,#N/A,FALSE,"구조1"}</definedName>
    <definedName name="박"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방수시방1" hidden="1">{#N/A,#N/A,FALSE,"현장 NCR 분석";#N/A,#N/A,FALSE,"현장품질감사";#N/A,#N/A,FALSE,"현장품질감사"}</definedName>
    <definedName name="배관공수율" hidden="1">#REF!</definedName>
    <definedName name="배기덕트공사" localSheetId="0" hidden="1">{#N/A,#N/A,FALSE,"CCTV"}</definedName>
    <definedName name="배기덕트공사" hidden="1">{#N/A,#N/A,FALSE,"CCTV"}</definedName>
    <definedName name="배수공집계_주요자재" localSheetId="0" hidden="1">{#N/A,#N/A,FALSE,"포장단가"}</definedName>
    <definedName name="배수공집계_주요자재" hidden="1">{#N/A,#N/A,FALSE,"포장단가"}</definedName>
    <definedName name="벙" localSheetId="0" hidden="1">{#N/A,#N/A,FALSE,"Sheet6"}</definedName>
    <definedName name="벙" hidden="1">{#N/A,#N/A,FALSE,"Sheet6"}</definedName>
    <definedName name="벽체" localSheetId="0" hidden="1">{#N/A,#N/A,FALSE,"혼합골재"}</definedName>
    <definedName name="벽체"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localSheetId="0" hidden="1">{#N/A,#N/A,FALSE,"집계표"}</definedName>
    <definedName name="보고자료" hidden="1">{#N/A,#N/A,FALSE,"집계표"}</definedName>
    <definedName name="보링" localSheetId="0" hidden="1">{#N/A,#N/A,FALSE,"포장2"}</definedName>
    <definedName name="보링"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할" hidden="1">{#N/A,#N/A,FALSE,"이태원철근"}</definedName>
    <definedName name="보활공정" localSheetId="0" hidden="1">{#N/A,#N/A,FALSE,"이태원철근"}</definedName>
    <definedName name="보활공정" hidden="1">{#N/A,#N/A,FALSE,"이태원철근"}</definedName>
    <definedName name="복지" hidden="1">#REF!</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 hidden="1">{#N/A,#N/A,FALSE,"골재소요량";#N/A,#N/A,FALSE,"골재소요량"}</definedName>
    <definedName name="부대a" localSheetId="0" hidden="1">{#N/A,#N/A,FALSE,"골재소요량";#N/A,#N/A,FALSE,"골재소요량"}</definedName>
    <definedName name="부대a" hidden="1">{#N/A,#N/A,FALSE,"골재소요량";#N/A,#N/A,FALSE,"골재소요량"}</definedName>
    <definedName name="부대건축2" hidden="1">#REF!</definedName>
    <definedName name="부대구조" localSheetId="0" hidden="1">{#N/A,#N/A,FALSE,"골재소요량";#N/A,#N/A,FALSE,"골재소요량"}</definedName>
    <definedName name="부대구조" hidden="1">{#N/A,#N/A,FALSE,"골재소요량";#N/A,#N/A,FALSE,"골재소요량"}</definedName>
    <definedName name="부대방안" localSheetId="0" hidden="1">{#N/A,#N/A,FALSE,"단가표지"}</definedName>
    <definedName name="부대방안"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가" hidden="1">{#N/A,#N/A,FALSE,"배수2"}</definedName>
    <definedName name="부대원본" localSheetId="0" hidden="1">{#N/A,#N/A,FALSE,"토공2"}</definedName>
    <definedName name="부대원본" hidden="1">{#N/A,#N/A,FALSE,"토공2"}</definedName>
    <definedName name="부대입찰서류작성" hidden="1">#REF!</definedName>
    <definedName name="부대철콘" localSheetId="0" hidden="1">{#N/A,#N/A,FALSE,"배수1"}</definedName>
    <definedName name="부대철콘" hidden="1">{#N/A,#N/A,FALSE,"배수1"}</definedName>
    <definedName name="부대토공" localSheetId="0" hidden="1">{#N/A,#N/A,FALSE,"구조2"}</definedName>
    <definedName name="부대토공" hidden="1">{#N/A,#N/A,FALSE,"구조2"}</definedName>
    <definedName name="부대토공2" localSheetId="0" hidden="1">{#N/A,#N/A,FALSE,"구조2"}</definedName>
    <definedName name="부대토공2" hidden="1">{#N/A,#N/A,FALSE,"구조2"}</definedName>
    <definedName name="부발" localSheetId="0" hidden="1">{#N/A,#N/A,FALSE,"견적갑지";#N/A,#N/A,FALSE,"총괄표";#N/A,#N/A,FALSE,"철골공사";#N/A,#N/A,FALSE,"토목공사";#N/A,#N/A,FALSE,"판넬전기공사"}</definedName>
    <definedName name="부발"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부천상동조경" localSheetId="0" hidden="1">{#N/A,#N/A,FALSE,"표지"}</definedName>
    <definedName name="부천상동조경" hidden="1">{#N/A,#N/A,FALSE,"표지"}</definedName>
    <definedName name="분" localSheetId="0" hidden="1">{#N/A,#N/A,FALSE,"이태원철근"}</definedName>
    <definedName name="분" hidden="1">{#N/A,#N/A,FALSE,"이태원철근"}</definedName>
    <definedName name="분당공" hidden="1">#REF!</definedName>
    <definedName name="분당물가" hidden="1">#REF!</definedName>
    <definedName name="분당코아" hidden="1">#REF!</definedName>
    <definedName name="분당협조" localSheetId="0" hidden="1">{#N/A,#N/A,FALSE,"이태원철근"}</definedName>
    <definedName name="분당협조" hidden="1">{#N/A,#N/A,FALSE,"이태원철근"}</definedName>
    <definedName name="분석" localSheetId="0" hidden="1">{#N/A,#N/A,FALSE,"예상손익";#N/A,#N/A,FALSE,"관리분석";#N/A,#N/A,FALSE,"장비분석";#N/A,#N/A,FALSE,"준설분석";#N/A,#N/A,FALSE,"철구분석"}</definedName>
    <definedName name="분석"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석표"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localSheetId="0" hidden="1">{#N/A,#N/A,FALSE,"견적갑지";#N/A,#N/A,FALSE,"총괄표";#N/A,#N/A,FALSE,"철골공사";#N/A,#N/A,FALSE,"토목공사";#N/A,#N/A,FALSE,"판넬전기공사"}</definedName>
    <definedName name="빙"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localSheetId="0" hidden="1">{#N/A,#N/A,TRUE,"토적및재료집계";#N/A,#N/A,TRUE,"토적및재료집계";#N/A,#N/A,TRUE,"단위량"}</definedName>
    <definedName name="ㅅ" hidden="1">{#N/A,#N/A,TRUE,"토적및재료집계";#N/A,#N/A,TRUE,"토적및재료집계";#N/A,#N/A,TRUE,"단위량"}</definedName>
    <definedName name="ㅅ54ㅛㄳ" hidden="1">#REF!</definedName>
    <definedName name="ㅅㄱㄱㄷ" localSheetId="0" hidden="1">{#N/A,#N/A,FALSE,"집계표"}</definedName>
    <definedName name="ㅅㄱㄱㄷ" hidden="1">{#N/A,#N/A,FALSE,"집계표"}</definedName>
    <definedName name="ㅅㄱㄷㅅㄱㄷ" localSheetId="0" hidden="1">{#N/A,#N/A,FALSE,"구조2"}</definedName>
    <definedName name="ㅅㄱㄷㅅㄱㄷ" hidden="1">{#N/A,#N/A,FALSE,"구조2"}</definedName>
    <definedName name="ㅅㄱㄷㅅㄷㄱ" localSheetId="0" hidden="1">{#N/A,#N/A,FALSE,"단가표지"}</definedName>
    <definedName name="ㅅㄱㄷㅅㄷㄱ" hidden="1">{#N/A,#N/A,FALSE,"단가표지"}</definedName>
    <definedName name="ㅅㄱㄷㅅㄷㄳ" localSheetId="0" hidden="1">{#N/A,#N/A,FALSE,"골재소요량";#N/A,#N/A,FALSE,"골재소요량"}</definedName>
    <definedName name="ㅅㄱㄷㅅㄷㄳ" hidden="1">{#N/A,#N/A,FALSE,"골재소요량";#N/A,#N/A,FALSE,"골재소요량"}</definedName>
    <definedName name="ㅅㄱ혿ㄱㅎ" localSheetId="0" hidden="1">{#N/A,#N/A,FALSE,"Sheet6"}</definedName>
    <definedName name="ㅅㄱ혿ㄱㅎ" hidden="1">{#N/A,#N/A,FALSE,"Sheet6"}</definedName>
    <definedName name="ㅅ곣ㅈ궈ㅕ" hidden="1">#REF!</definedName>
    <definedName name="ㅅ굔ㄱㄷ" localSheetId="0" hidden="1">{#N/A,#N/A,FALSE,"Sheet6"}</definedName>
    <definedName name="ㅅ굔ㄱㄷ" hidden="1">{#N/A,#N/A,FALSE,"Sheet6"}</definedName>
    <definedName name="ㅅ굦ㄷㄱ" localSheetId="0" hidden="1">{#N/A,#N/A,FALSE,"집계표"}</definedName>
    <definedName name="ㅅ굦ㄷㄱ" hidden="1">{#N/A,#N/A,FALSE,"집계표"}</definedName>
    <definedName name="ㅅㅅ" hidden="1">#REF!</definedName>
    <definedName name="ㅅㅅㅅ" localSheetId="0" hidden="1">{#N/A,#N/A,FALSE,"견적갑지";#N/A,#N/A,FALSE,"총괄표";#N/A,#N/A,FALSE,"철골공사";#N/A,#N/A,FALSE,"토목공사";#N/A,#N/A,FALSE,"판넬전기공사"}</definedName>
    <definedName name="ㅅㅅㅅ"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ㅅㅎㅌㅇ료" hidden="1">{#N/A,#N/A,FALSE,"집계표"}</definedName>
    <definedName name="ㅅㅓ" hidden="1">#REF!</definedName>
    <definedName name="사" hidden="1">#REF!</definedName>
    <definedName name="사1" localSheetId="0" hidden="1">{#N/A,#N/A,FALSE,"지침";#N/A,#N/A,FALSE,"환경분석";#N/A,#N/A,FALSE,"Sheet16"}</definedName>
    <definedName name="사1" hidden="1">{#N/A,#N/A,FALSE,"지침";#N/A,#N/A,FALSE,"환경분석";#N/A,#N/A,FALSE,"Sheet16"}</definedName>
    <definedName name="사급" localSheetId="0" hidden="1">{#N/A,#N/A,FALSE,"배수2"}</definedName>
    <definedName name="사급" hidden="1">{#N/A,#N/A,FALSE,"배수2"}</definedName>
    <definedName name="사면녹화공" localSheetId="0" hidden="1">{#N/A,#N/A,FALSE,"CCTV"}</definedName>
    <definedName name="사면녹화공" hidden="1">{#N/A,#N/A,FALSE,"CCTV"}</definedName>
    <definedName name="사사삿" localSheetId="0" hidden="1">{#N/A,#N/A,FALSE,"견적갑지";#N/A,#N/A,FALSE,"총괄표";#N/A,#N/A,FALSE,"철골공사";#N/A,#N/A,FALSE,"토목공사";#N/A,#N/A,FALSE,"판넬전기공사"}</definedName>
    <definedName name="사사삿" hidden="1">{#N/A,#N/A,FALSE,"견적갑지";#N/A,#N/A,FALSE,"총괄표";#N/A,#N/A,FALSE,"철골공사";#N/A,#N/A,FALSE,"토목공사";#N/A,#N/A,FALSE,"판넬전기공사"}</definedName>
    <definedName name="사인원가" hidden="1">#REF!</definedName>
    <definedName name="산출갑" localSheetId="0" hidden="1">{#N/A,#N/A,FALSE,"구조2"}</definedName>
    <definedName name="산출갑"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삼호" hidden="1">{#N/A,#N/A,FALSE,"배수2"}</definedName>
    <definedName name="삽" localSheetId="0" hidden="1">{#N/A,#N/A,FALSE,"Sheet6"}</definedName>
    <definedName name="삽" hidden="1">{#N/A,#N/A,FALSE,"Sheet6"}</definedName>
    <definedName name="상주" localSheetId="0" hidden="1">{#N/A,#N/A,FALSE,"지침";#N/A,#N/A,FALSE,"환경분석";#N/A,#N/A,FALSE,"Sheet16"}</definedName>
    <definedName name="상주" hidden="1">{#N/A,#N/A,FALSE,"지침";#N/A,#N/A,FALSE,"환경분석";#N/A,#N/A,FALSE,"Sheet16"}</definedName>
    <definedName name="상주감리" localSheetId="0" hidden="1">{#N/A,#N/A,FALSE,"지침";#N/A,#N/A,FALSE,"환경분석";#N/A,#N/A,FALSE,"Sheet16"}</definedName>
    <definedName name="상주감리"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공통" hidden="1">{#N/A,#N/A,FALSE,"이태원철근"}</definedName>
    <definedName name="새내역서" localSheetId="0" hidden="1">{#N/A,#N/A,FALSE,"Sheet1"}</definedName>
    <definedName name="새내역서" hidden="1">{#N/A,#N/A,FALSE,"Sheet1"}</definedName>
    <definedName name="샘풀카피" localSheetId="0" hidden="1">{#N/A,#N/A,FALSE,"CCTV"}</definedName>
    <definedName name="샘풀카피" hidden="1">{#N/A,#N/A,FALSE,"CCTV"}</definedName>
    <definedName name="샘플카피2" localSheetId="0" hidden="1">{#N/A,#N/A,FALSE,"CCTV"}</definedName>
    <definedName name="샘플카피2" hidden="1">{#N/A,#N/A,FALSE,"CCTV"}</definedName>
    <definedName name="샘플카피3" localSheetId="0" hidden="1">{#N/A,#N/A,FALSE,"CCTV"}</definedName>
    <definedName name="샘플카피3" hidden="1">{#N/A,#N/A,FALSE,"CCTV"}</definedName>
    <definedName name="서아" localSheetId="0" hidden="1">{#N/A,#N/A,FALSE,"집계표"}</definedName>
    <definedName name="서아" hidden="1">{#N/A,#N/A,FALSE,"집계표"}</definedName>
    <definedName name="석" localSheetId="0" hidden="1">{#N/A,#N/A,FALSE,"지침";#N/A,#N/A,FALSE,"환경분석";#N/A,#N/A,FALSE,"Sheet16"}</definedName>
    <definedName name="석" hidden="1">{#N/A,#N/A,FALSE,"지침";#N/A,#N/A,FALSE,"환경분석";#N/A,#N/A,FALSE,"Sheet16"}</definedName>
    <definedName name="석재받은의뢰업체" hidden="1">255</definedName>
    <definedName name="석항" localSheetId="0" hidden="1">{#N/A,#N/A,FALSE,"명세표"}</definedName>
    <definedName name="석항" hidden="1">{#N/A,#N/A,FALSE,"명세표"}</definedName>
    <definedName name="설명서" localSheetId="0" hidden="1">{#N/A,#N/A,FALSE,"포장1";#N/A,#N/A,FALSE,"포장1"}</definedName>
    <definedName name="설명서" hidden="1">{#N/A,#N/A,FALSE,"포장1";#N/A,#N/A,FALSE,"포장1"}</definedName>
    <definedName name="설비" localSheetId="0" hidden="1">{#N/A,#N/A,FALSE,"이태원철근"}</definedName>
    <definedName name="설비" hidden="1">{#N/A,#N/A,FALSE,"이태원철근"}</definedName>
    <definedName name="설비산출" localSheetId="0" hidden="1">{"'건축내역'!$A$1:$L$413"}</definedName>
    <definedName name="설비산출" hidden="1">{"'건축내역'!$A$1:$L$413"}</definedName>
    <definedName name="세전익익" localSheetId="0" hidden="1">{#N/A,#N/A,FALSE,"지침";#N/A,#N/A,FALSE,"환경분석";#N/A,#N/A,FALSE,"Sheet16"}</definedName>
    <definedName name="세전익익"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요계획2"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localSheetId="0" hidden="1">{#N/A,#N/A,FALSE,"CCTV"}</definedName>
    <definedName name="소화갑지" hidden="1">{#N/A,#N/A,FALSE,"CCTV"}</definedName>
    <definedName name="소ㅑ104" hidden="1">#REF!</definedName>
    <definedName name="손익변경" localSheetId="0" hidden="1">{#N/A,#N/A,FALSE,"지침";#N/A,#N/A,FALSE,"환경분석";#N/A,#N/A,FALSE,"Sheet16"}</definedName>
    <definedName name="손익변경"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ㅏㅅ" hidden="1">{#N/A,#N/A,FALSE,"Sheet6"}</definedName>
    <definedName name="쇼ㅓㅎㄹ" localSheetId="0" hidden="1">{#N/A,#N/A,FALSE,"집계표"}</definedName>
    <definedName name="쇼ㅓㅎㄹ" hidden="1">{#N/A,#N/A,FALSE,"집계표"}</definedName>
    <definedName name="쇼ㅗㅎ로" localSheetId="0" hidden="1">{"'장비'!$A$3:$M$12"}</definedName>
    <definedName name="쇼ㅗㅎ로" hidden="1">{"'장비'!$A$3:$M$12"}</definedName>
    <definedName name="숏교" localSheetId="0" hidden="1">{#N/A,#N/A,FALSE,"Sheet6"}</definedName>
    <definedName name="숏교" hidden="1">{#N/A,#N/A,FALSE,"Sheet6"}</definedName>
    <definedName name="숑" localSheetId="0" hidden="1">{#N/A,#N/A,FALSE,"도급대비시행율";#N/A,#N/A,FALSE,"결의서";#N/A,#N/A,FALSE,"내역서";#N/A,#N/A,FALSE,"도급예상"}</definedName>
    <definedName name="숑" hidden="1">{#N/A,#N/A,FALSE,"도급대비시행율";#N/A,#N/A,FALSE,"결의서";#N/A,#N/A,FALSE,"내역서";#N/A,#N/A,FALSE,"도급예상"}</definedName>
    <definedName name="수" hidden="1">#REF!</definedName>
    <definedName name="수량산출근거" localSheetId="0" hidden="1">{#N/A,#N/A,FALSE,"표지"}</definedName>
    <definedName name="수량산출근거"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승"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트" hidden="1">{#N/A,#N/A,FALSE,"견적갑지";#N/A,#N/A,FALSE,"총괄표";#N/A,#N/A,FALSE,"철골공사";#N/A,#N/A,FALSE,"토목공사";#N/A,#N/A,FALSE,"판넬전기공사"}</definedName>
    <definedName name="시행" localSheetId="0" hidden="1">{#N/A,#N/A,FALSE,"이태원철근"}</definedName>
    <definedName name="시행" hidden="1">{#N/A,#N/A,FALSE,"이태원철근"}</definedName>
    <definedName name="시험실과식당" localSheetId="0" hidden="1">{#N/A,#N/A,FALSE,"사업총괄";#N/A,#N/A,FALSE,"장비사업";#N/A,#N/A,FALSE,"철구사업";#N/A,#N/A,FALSE,"준설사업"}</definedName>
    <definedName name="시험실과식당"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설"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안" hidden="1">{#N/A,#N/A,FALSE,"현장 NCR 분석";#N/A,#N/A,FALSE,"현장품질감사";#N/A,#N/A,FALSE,"현장품질감사"}</definedName>
    <definedName name="신재점" localSheetId="0" hidden="1">{#N/A,#N/A,FALSE,"이태원철근"}</definedName>
    <definedName name="신재점" hidden="1">{#N/A,#N/A,FALSE,"이태원철근"}</definedName>
    <definedName name="실행검토" hidden="1">#REF!</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localSheetId="0" hidden="1">{#N/A,#N/A,FALSE,"집계표"}</definedName>
    <definedName name="ㅇㄱ로ㅕㅛ" hidden="1">{#N/A,#N/A,FALSE,"집계표"}</definedName>
    <definedName name="ㅇ거" localSheetId="0" hidden="1">{#N/A,#N/A,FALSE,"집계표"}</definedName>
    <definedName name="ㅇ거" hidden="1">{#N/A,#N/A,FALSE,"집계표"}</definedName>
    <definedName name="ㅇㄳㄹ호" localSheetId="0" hidden="1">{#N/A,#N/A,FALSE,"집계표"}</definedName>
    <definedName name="ㅇㄳㄹ호" hidden="1">{#N/A,#N/A,FALSE,"집계표"}</definedName>
    <definedName name="ㅇㄴㄱ숖ㅊ" localSheetId="0" hidden="1">{#N/A,#N/A,FALSE,"집계표"}</definedName>
    <definedName name="ㅇㄴㄱ숖ㅊ" hidden="1">{#N/A,#N/A,FALSE,"집계표"}</definedName>
    <definedName name="ㅇㄴ굫ㅅ" localSheetId="0" hidden="1">{#N/A,#N/A,FALSE,"집계표"}</definedName>
    <definedName name="ㅇㄴ굫ㅅ" hidden="1">{#N/A,#N/A,FALSE,"집계표"}</definedName>
    <definedName name="ㅇㄴㄴㄴㄴㄴㄴㄴㄴ" localSheetId="0" hidden="1">{#N/A,#N/A,FALSE,"집계표"}</definedName>
    <definedName name="ㅇㄴㄴㄴㄴㄴㄴㄴㄴ" hidden="1">{#N/A,#N/A,FALSE,"집계표"}</definedName>
    <definedName name="ㅇㄴㄹ" localSheetId="0" hidden="1">{#N/A,#N/A,FALSE,"Sheet1"}</definedName>
    <definedName name="ㅇㄴㄹ" hidden="1">{#N/A,#N/A,FALSE,"Sheet1"}</definedName>
    <definedName name="ㅇㄴㄹㄴㄹㅇㄹ" localSheetId="0" hidden="1">{#N/A,#N/A,FALSE,"CCTV"}</definedName>
    <definedName name="ㅇㄴㄹㄴㄹㅇㄹ" hidden="1">{#N/A,#N/A,FALSE,"CCTV"}</definedName>
    <definedName name="ㅇㄴㄹㅎ" localSheetId="0" hidden="1">{#N/A,#N/A,FALSE,"집계표"}</definedName>
    <definedName name="ㅇㄴㄹㅎ" hidden="1">{#N/A,#N/A,FALSE,"집계표"}</definedName>
    <definedName name="ㅇㄴㄹ해" localSheetId="0" hidden="1">{#N/A,#N/A,FALSE,"집계표"}</definedName>
    <definedName name="ㅇㄴㄹ해" hidden="1">{#N/A,#N/A,FALSE,"집계표"}</definedName>
    <definedName name="ㅇㄴㄹ혼" localSheetId="0" hidden="1">{#N/A,#N/A,FALSE,"집계표"}</definedName>
    <definedName name="ㅇㄴㄹ혼" hidden="1">{#N/A,#N/A,FALSE,"집계표"}</definedName>
    <definedName name="ㅇㄴㄹ히ㅑㅓ" localSheetId="0" hidden="1">{#N/A,#N/A,FALSE,"집계표"}</definedName>
    <definedName name="ㅇㄴㄹ히ㅑㅓ" hidden="1">{#N/A,#N/A,FALSE,"집계표"}</definedName>
    <definedName name="ㅇㄴ라ㅔㅐ" localSheetId="0" hidden="1">{#N/A,#N/A,FALSE,"집계표"}</definedName>
    <definedName name="ㅇㄴ라ㅔㅐ" hidden="1">{#N/A,#N/A,FALSE,"집계표"}</definedName>
    <definedName name="ㅇㄴ로" localSheetId="0" hidden="1">{#N/A,#N/A,FALSE,"집계표"}</definedName>
    <definedName name="ㅇㄴ로" hidden="1">{#N/A,#N/A,FALSE,"집계표"}</definedName>
    <definedName name="ㅇㄴ로ㅗㅗㅗㅗㅗㅗㅗㅗ" localSheetId="0" hidden="1">{#N/A,#N/A,FALSE,"집계표"}</definedName>
    <definedName name="ㅇㄴ로ㅗㅗㅗㅗㅗㅗㅗㅗ" hidden="1">{#N/A,#N/A,FALSE,"집계표"}</definedName>
    <definedName name="ㅇㄴ롷" localSheetId="0" hidden="1">{#N/A,#N/A,FALSE,"집계표"}</definedName>
    <definedName name="ㅇㄴ롷" hidden="1">{#N/A,#N/A,FALSE,"집계표"}</definedName>
    <definedName name="ㅇㄴ롷ㄴ" localSheetId="0" hidden="1">{#N/A,#N/A,FALSE,"집계표"}</definedName>
    <definedName name="ㅇㄴ롷ㄴ" hidden="1">{#N/A,#N/A,FALSE,"집계표"}</definedName>
    <definedName name="ㅇㄴ롷ㅇㄴ롷ㄴ" localSheetId="0" hidden="1">{#N/A,#N/A,FALSE,"집계표"}</definedName>
    <definedName name="ㅇㄴ롷ㅇㄴ롷ㄴ" hidden="1">{#N/A,#N/A,FALSE,"집계표"}</definedName>
    <definedName name="ㅇㄴ리ㅏ허ㅣ" localSheetId="0" hidden="1">{#N/A,#N/A,FALSE,"집계표"}</definedName>
    <definedName name="ㅇㄴ리ㅏ허ㅣ" hidden="1">{#N/A,#N/A,FALSE,"집계표"}</definedName>
    <definedName name="ㅇㄴㄿ" localSheetId="0" hidden="1">{#N/A,#N/A,FALSE,"CCTV"}</definedName>
    <definedName name="ㅇㄴㄿ" hidden="1">{#N/A,#N/A,FALSE,"CCTV"}</definedName>
    <definedName name="ㅇㄴㅀㄴㄿㅊ" localSheetId="0" hidden="1">{#N/A,#N/A,FALSE,"집계표"}</definedName>
    <definedName name="ㅇㄴㅀㄴㄿㅊ" hidden="1">{#N/A,#N/A,FALSE,"집계표"}</definedName>
    <definedName name="ㅇㄴㅀㄴㅇㄱ" localSheetId="0" hidden="1">{#N/A,#N/A,FALSE,"집계표"}</definedName>
    <definedName name="ㅇㄴㅀㄴㅇㄱ" hidden="1">{#N/A,#N/A,FALSE,"집계표"}</definedName>
    <definedName name="ㅇㄴㅀㅁㄱㄷㅎ" localSheetId="0" hidden="1">{#N/A,#N/A,FALSE,"집계표"}</definedName>
    <definedName name="ㅇㄴㅀㅁㄱㄷㅎ" hidden="1">{#N/A,#N/A,FALSE,"집계표"}</definedName>
    <definedName name="ㅇㄴㅀ쇼ㅗㅗㅗㅗㅗ" localSheetId="0" hidden="1">{#N/A,#N/A,FALSE,"집계표"}</definedName>
    <definedName name="ㅇㄴㅀ쇼ㅗㅗㅗㅗㅗ" hidden="1">{#N/A,#N/A,FALSE,"집계표"}</definedName>
    <definedName name="ㅇㄴㅀㅇㄴ" localSheetId="0" hidden="1">{#N/A,#N/A,FALSE,"집계표"}</definedName>
    <definedName name="ㅇㄴㅀㅇㄴ" hidden="1">{#N/A,#N/A,FALSE,"집계표"}</definedName>
    <definedName name="ㅇㄴㅁ" hidden="1">#REF!</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ㄴㅁㅎㄹ" hidden="1">{#N/A,#N/A,FALSE,"집계표"}</definedName>
    <definedName name="ㅇ낳리ㅓ" localSheetId="0" hidden="1">{#N/A,#N/A,FALSE,"집계표"}</definedName>
    <definedName name="ㅇ낳리ㅓ" hidden="1">{#N/A,#N/A,FALSE,"집계표"}</definedName>
    <definedName name="ㅇ낸에네ㅔ" localSheetId="0" hidden="1">{#N/A,#N/A,FALSE,"집계표"}</definedName>
    <definedName name="ㅇ낸에네ㅔ" hidden="1">{#N/A,#N/A,FALSE,"집계표"}</definedName>
    <definedName name="ㅇ놓ㄹㄹㄹㄹㄹ" localSheetId="0" hidden="1">{#N/A,#N/A,FALSE,"집계표"}</definedName>
    <definedName name="ㅇ놓ㄹㄹㄹㄹㄹ" hidden="1">{#N/A,#N/A,FALSE,"집계표"}</definedName>
    <definedName name="ㅇ놓로횻ㅅ" localSheetId="0" hidden="1">{#N/A,#N/A,FALSE,"집계표"}</definedName>
    <definedName name="ㅇ놓로횻ㅅ" hidden="1">{#N/A,#N/A,FALSE,"집계표"}</definedName>
    <definedName name="ㅇ니ㅏㅎ러" localSheetId="0" hidden="1">{#N/A,#N/A,FALSE,"집계표"}</definedName>
    <definedName name="ㅇ니ㅏㅎ러" hidden="1">{#N/A,#N/A,FALSE,"집계표"}</definedName>
    <definedName name="ㅇ니ㅏㅓㄹ힝니ㅏㅎㄹ" localSheetId="0" hidden="1">{#N/A,#N/A,FALSE,"집계표"}</definedName>
    <definedName name="ㅇ니ㅏㅓㄹ힝니ㅏㅎㄹ" hidden="1">{#N/A,#N/A,FALSE,"집계표"}</definedName>
    <definedName name="ㅇ니ㅏㅓ로히ㅏ" localSheetId="0" hidden="1">{#N/A,#N/A,FALSE,"집계표"}</definedName>
    <definedName name="ㅇ니ㅏㅓ로히ㅏ" hidden="1">{#N/A,#N/A,FALSE,"집계표"}</definedName>
    <definedName name="ㅇ니ㅓㅎ로" localSheetId="0" hidden="1">{#N/A,#N/A,FALSE,"집계표"}</definedName>
    <definedName name="ㅇ니ㅓㅎ로" hidden="1">{#N/A,#N/A,FALSE,"집계표"}</definedName>
    <definedName name="ㅇㄶ" localSheetId="0" hidden="1">{#N/A,#N/A,FALSE,"표지"}</definedName>
    <definedName name="ㅇㄶ" hidden="1">{#N/A,#N/A,FALSE,"표지"}</definedName>
    <definedName name="ㅇㄷㄱㅎㄴㅇ" localSheetId="0" hidden="1">{#N/A,#N/A,FALSE,"집계표"}</definedName>
    <definedName name="ㅇㄷㄱㅎㄴㅇ" hidden="1">{#N/A,#N/A,FALSE,"집계표"}</definedName>
    <definedName name="ㅇ더퍼" localSheetId="0" hidden="1">{#N/A,#N/A,FALSE,"집계표"}</definedName>
    <definedName name="ㅇ더퍼" hidden="1">{#N/A,#N/A,FALSE,"집계표"}</definedName>
    <definedName name="ㅇㄹ" localSheetId="0" hidden="1">{#N/A,#N/A,FALSE,"CCTV"}</definedName>
    <definedName name="ㅇㄹ" hidden="1">{#N/A,#N/A,FALSE,"CCTV"}</definedName>
    <definedName name="ㅇㄹㄴㄹ" localSheetId="0" hidden="1">{#N/A,#N/A,FALSE,"CCTV"}</definedName>
    <definedName name="ㅇㄹㄴㄹ" hidden="1">{#N/A,#N/A,FALSE,"CCTV"}</definedName>
    <definedName name="ㅇㄹㄴ호" localSheetId="0" hidden="1">{#N/A,#N/A,FALSE,"집계표"}</definedName>
    <definedName name="ㅇㄹㄴ호" hidden="1">{#N/A,#N/A,FALSE,"집계표"}</definedName>
    <definedName name="ㅇㄹㄹ" hidden="1">#REF!</definedName>
    <definedName name="ㅇㄹㄹㅀㅎㅎㅎㅎㅎㅎㅎㅎㅎㅎ" localSheetId="0" hidden="1">{#N/A,#N/A,FALSE,"집계표"}</definedName>
    <definedName name="ㅇㄹㄹㅀㅎㅎㅎㅎㅎㅎㅎㅎㅎㅎ" hidden="1">{#N/A,#N/A,FALSE,"집계표"}</definedName>
    <definedName name="ㅇㄹㅇ" hidden="1">#REF!</definedName>
    <definedName name="ㅇㄹㅇㄹ" hidden="1">#REF!</definedName>
    <definedName name="ㅇㄹㅇㄹㅇ" localSheetId="0" hidden="1">{#N/A,#N/A,FALSE,"CCTV"}</definedName>
    <definedName name="ㅇㄹㅇㄹㅇ" hidden="1">{#N/A,#N/A,FALSE,"CCTV"}</definedName>
    <definedName name="ㅇㄹㅇㄹㅇㄹ" localSheetId="0" hidden="1">{#N/A,#N/A,FALSE,"CCTV"}</definedName>
    <definedName name="ㅇㄹㅇㄹㅇㄹ" hidden="1">{#N/A,#N/A,FALSE,"CCTV"}</definedName>
    <definedName name="ㅇㄹㅎ" localSheetId="0" hidden="1">{#N/A,#N/A,FALSE,"집계표"}</definedName>
    <definedName name="ㅇㄹㅎ" hidden="1">{#N/A,#N/A,FALSE,"집계표"}</definedName>
    <definedName name="ㅇㄹ허ㅗ" localSheetId="0" hidden="1">{#N/A,#N/A,FALSE,"집계표"}</definedName>
    <definedName name="ㅇㄹ허ㅗ" hidden="1">{#N/A,#N/A,FALSE,"집계표"}</definedName>
    <definedName name="ㅇㄹ호" localSheetId="0" hidden="1">{#N/A,#N/A,FALSE,"집계표"}</definedName>
    <definedName name="ㅇㄹ호" hidden="1">{#N/A,#N/A,FALSE,"집계표"}</definedName>
    <definedName name="ㅇㄹ호ㄹ옿" localSheetId="0" hidden="1">{#N/A,#N/A,FALSE,"집계표"}</definedName>
    <definedName name="ㅇㄹ호ㄹ옿" hidden="1">{#N/A,#N/A,FALSE,"집계표"}</definedName>
    <definedName name="ㅇㄹ호옿ㅎㄹ오" localSheetId="0" hidden="1">{#N/A,#N/A,FALSE,"집계표"}</definedName>
    <definedName name="ㅇㄹ호옿ㅎㄹ오" hidden="1">{#N/A,#N/A,FALSE,"집계표"}</definedName>
    <definedName name="ㅇㄹ호허ㅗㅓㅓ" localSheetId="0" hidden="1">{#N/A,#N/A,FALSE,"집계표"}</definedName>
    <definedName name="ㅇㄹ호허ㅗㅓㅓ" hidden="1">{#N/A,#N/A,FALSE,"집계표"}</definedName>
    <definedName name="ㅇㄹ호ㅗㅗㅗ" localSheetId="0" hidden="1">{#N/A,#N/A,FALSE,"집계표"}</definedName>
    <definedName name="ㅇㄹ호ㅗㅗㅗ" hidden="1">{#N/A,#N/A,FALSE,"집계표"}</definedName>
    <definedName name="ㅇㄹㅗㅎ" localSheetId="0" hidden="1">{#N/A,#N/A,FALSE,"집계표"}</definedName>
    <definedName name="ㅇㄹㅗㅎ" hidden="1">{#N/A,#N/A,FALSE,"집계표"}</definedName>
    <definedName name="ㅇ라ㅓㅎ킥" localSheetId="0" hidden="1">{#N/A,#N/A,FALSE,"집계표"}</definedName>
    <definedName name="ㅇ라ㅓㅎ킥"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 hidden="1">{#N/A,#N/A,FALSE,"집계표"}</definedName>
    <definedName name="ㅇ러ㅗㅎ" localSheetId="0" hidden="1">{#N/A,#N/A,FALSE,"집계표"}</definedName>
    <definedName name="ㅇ러ㅗㅎ" hidden="1">{#N/A,#N/A,FALSE,"집계표"}</definedName>
    <definedName name="ㅇ렇ㅇ" localSheetId="0" hidden="1">{#N/A,#N/A,FALSE,"집계표"}</definedName>
    <definedName name="ㅇ렇ㅇ" hidden="1">{#N/A,#N/A,FALSE,"집계표"}</definedName>
    <definedName name="ㅇ롷" localSheetId="0" hidden="1">{#N/A,#N/A,FALSE,"집계표"}</definedName>
    <definedName name="ㅇ롷" hidden="1">{#N/A,#N/A,FALSE,"집계표"}</definedName>
    <definedName name="ㅇㅀㅁ" localSheetId="0" hidden="1">{#N/A,#N/A,FALSE,"집계표"}</definedName>
    <definedName name="ㅇㅀㅁ" hidden="1">{#N/A,#N/A,FALSE,"집계표"}</definedName>
    <definedName name="ㅇㅀㅇㄱ" localSheetId="0" hidden="1">{#N/A,#N/A,FALSE,"집계표"}</definedName>
    <definedName name="ㅇㅀㅇㄱ" hidden="1">{#N/A,#N/A,FALSE,"집계표"}</definedName>
    <definedName name="ㅇㅇ" hidden="1">#REF!</definedName>
    <definedName name="ㅇㅇㄱ" localSheetId="0" hidden="1">{#N/A,#N/A,FALSE,"집계표"}</definedName>
    <definedName name="ㅇㅇㄱ" hidden="1">{#N/A,#N/A,FALSE,"집계표"}</definedName>
    <definedName name="ㅇㅇㄹ" hidden="1">#REF!</definedName>
    <definedName name="ㅇㅇㄹㅇㄹ" localSheetId="0" hidden="1">{#N/A,#N/A,FALSE,"집계표"}</definedName>
    <definedName name="ㅇㅇㄹㅇㄹ" hidden="1">{#N/A,#N/A,FALSE,"집계표"}</definedName>
    <definedName name="ㅇㅇㄹㅇㄹㅇ" localSheetId="0" hidden="1">{#N/A,#N/A,FALSE,"CCTV"}</definedName>
    <definedName name="ㅇㅇㄹㅇㄹㅇ" hidden="1">{#N/A,#N/A,FALSE,"CCTV"}</definedName>
    <definedName name="ㅇㅇㅇ" localSheetId="0" hidden="1">{#N/A,#N/A,FALSE,"주간공정";#N/A,#N/A,FALSE,"주간보고";#N/A,#N/A,FALSE,"주간공정표"}</definedName>
    <definedName name="ㅇㅇㅇ" hidden="1">{#N/A,#N/A,FALSE,"주간공정";#N/A,#N/A,FALSE,"주간보고";#N/A,#N/A,FALSE,"주간공정표"}</definedName>
    <definedName name="ㅇㅇㅇㄴㄷㄷㄷㄷ" hidden="1">#REF!</definedName>
    <definedName name="ㅇㅇㅇㅇ" hidden="1">#REF!</definedName>
    <definedName name="ㅇㅇㅇㅇㅇ" localSheetId="0" hidden="1">{#N/A,#N/A,FALSE,"주간공정";#N/A,#N/A,FALSE,"주간보고";#N/A,#N/A,FALSE,"주간공정표"}</definedName>
    <definedName name="ㅇㅇㅇㅇㅇ" hidden="1">{#N/A,#N/A,FALSE,"주간공정";#N/A,#N/A,FALSE,"주간보고";#N/A,#N/A,FALSE,"주간공정표"}</definedName>
    <definedName name="ㅇㅇㅇㅇㅇㅇ" localSheetId="0" hidden="1">{#N/A,#N/A,FALSE,"지침";#N/A,#N/A,FALSE,"환경분석";#N/A,#N/A,FALSE,"Sheet16"}</definedName>
    <definedName name="ㅇㅇㅇㅇㅇㅇ" hidden="1">{#N/A,#N/A,FALSE,"지침";#N/A,#N/A,FALSE,"환경분석";#N/A,#N/A,FALSE,"Sheet16"}</definedName>
    <definedName name="ㅇㅇㅎ" localSheetId="0" hidden="1">{#N/A,#N/A,FALSE,"집계표"}</definedName>
    <definedName name="ㅇㅇㅎ" hidden="1">{#N/A,#N/A,FALSE,"집계표"}</definedName>
    <definedName name="ㅇㅎㄷ" localSheetId="0" hidden="1">{#N/A,#N/A,FALSE,"집계표"}</definedName>
    <definedName name="ㅇㅎㄷ" hidden="1">{#N/A,#N/A,FALSE,"집계표"}</definedName>
    <definedName name="ㅇㅎ러ㅗㅇ" localSheetId="0" hidden="1">{#N/A,#N/A,FALSE,"집계표"}</definedName>
    <definedName name="ㅇㅎ러ㅗㅇ" hidden="1">{#N/A,#N/A,FALSE,"집계표"}</definedName>
    <definedName name="ㅇㅎㄻㄴㅇㅁㅎㄴㅀㅁㄴㅇㅎㄴ" localSheetId="0" hidden="1">{#N/A,#N/A,FALSE,"Sheet6"}</definedName>
    <definedName name="ㅇㅎㄻㄴㅇㅁㅎㄴㅀㅁㄴㅇㅎㄴ" hidden="1">{#N/A,#N/A,FALSE,"Sheet6"}</definedName>
    <definedName name="아" localSheetId="0" hidden="1">{#N/A,#N/A,FALSE,"주간공정";#N/A,#N/A,FALSE,"주간보고";#N/A,#N/A,FALSE,"주간공정표"}</definedName>
    <definedName name="아" hidden="1">{#N/A,#N/A,FALSE,"주간공정";#N/A,#N/A,FALSE,"주간보고";#N/A,#N/A,FALSE,"주간공정표"}</definedName>
    <definedName name="아니" localSheetId="0" hidden="1">{"'Sheet1'!$A$4:$M$21","'Sheet1'!$J$17:$K$19"}</definedName>
    <definedName name="아니"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무" hidden="1">{#N/A,#N/A,FALSE,"배수2"}</definedName>
    <definedName name="아무거나" hidden="1">#REF!</definedName>
    <definedName name="아스콘2" hidden="1">#REF!</definedName>
    <definedName name="아싸" localSheetId="0" hidden="1">{#N/A,#N/A,FALSE,"CCTV"}</definedName>
    <definedName name="아싸" hidden="1">{#N/A,#N/A,FALSE,"CCTV"}</definedName>
    <definedName name="아아아앙" localSheetId="0" hidden="1">{#N/A,#N/A,FALSE,"주간공정";#N/A,#N/A,FALSE,"주간보고";#N/A,#N/A,FALSE,"주간공정표"}</definedName>
    <definedName name="아아아앙" hidden="1">{#N/A,#N/A,FALSE,"주간공정";#N/A,#N/A,FALSE,"주간보고";#N/A,#N/A,FALSE,"주간공정표"}</definedName>
    <definedName name="아아ㅏ앙" localSheetId="0" hidden="1">{#N/A,#N/A,FALSE,"주간공정";#N/A,#N/A,FALSE,"주간보고";#N/A,#N/A,FALSE,"주간공정표"}</definedName>
    <definedName name="아아ㅏ앙"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 hidden="1">{"'Sheet1'!$A$4:$M$21","'Sheet1'!$J$17:$K$19"}</definedName>
    <definedName name="아파트내역2" localSheetId="0" hidden="1">{"'Sheet1'!$A$4:$M$21","'Sheet1'!$J$17:$K$19"}</definedName>
    <definedName name="아파트내역2"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아ㅓ림"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알파"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앞지" hidden="1">{#N/A,#N/A,FALSE,"이태원철근"}</definedName>
    <definedName name="야간" localSheetId="0" hidden="1">{#N/A,#N/A,FALSE,"지침";#N/A,#N/A,FALSE,"환경분석";#N/A,#N/A,FALSE,"Sheet16"}</definedName>
    <definedName name="야간" hidden="1">{#N/A,#N/A,FALSE,"지침";#N/A,#N/A,FALSE,"환경분석";#N/A,#N/A,FALSE,"Sheet16"}</definedName>
    <definedName name="양재승2222222" hidden="1">#REF!</definedName>
    <definedName name="어어엉" localSheetId="0" hidden="1">{#N/A,#N/A,FALSE,"주간공정";#N/A,#N/A,FALSE,"주간보고";#N/A,#N/A,FALSE,"주간공정표"}</definedName>
    <definedName name="어어엉" hidden="1">{#N/A,#N/A,FALSE,"주간공정";#N/A,#N/A,FALSE,"주간보고";#N/A,#N/A,FALSE,"주간공정표"}</definedName>
    <definedName name="어쭈구리" localSheetId="0" hidden="1">{#N/A,#N/A,FALSE,"교리2"}</definedName>
    <definedName name="어쭈구리"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억이상"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종" hidden="1">{#N/A,#N/A,FALSE,"포장2"}</definedName>
    <definedName name="업체" hidden="1">#REF!</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업체순위" hidden="1">{#N/A,#N/A,FALSE,"배수2"}</definedName>
    <definedName name="연습" hidden="1">#REF!</definedName>
    <definedName name="연습2" hidden="1">#REF!</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상hw집계" hidden="1">{"'용역비'!$A$4:$C$8"}</definedName>
    <definedName name="영암실행" localSheetId="0" hidden="1">{#N/A,#N/A,FALSE,"전력간선"}</definedName>
    <definedName name="영암실행" hidden="1">{#N/A,#N/A,FALSE,"전력간선"}</definedName>
    <definedName name="영업" localSheetId="0" hidden="1">{#N/A,#N/A,FALSE,"지침";#N/A,#N/A,FALSE,"환경분석";#N/A,#N/A,FALSE,"Sheet16"}</definedName>
    <definedName name="영업" hidden="1">{#N/A,#N/A,FALSE,"지침";#N/A,#N/A,FALSE,"환경분석";#N/A,#N/A,FALSE,"Sheet16"}</definedName>
    <definedName name="영업현금" localSheetId="0" hidden="1">{#N/A,#N/A,FALSE,"지침";#N/A,#N/A,FALSE,"환경분석";#N/A,#N/A,FALSE,"Sheet16"}</definedName>
    <definedName name="영업현금" hidden="1">{#N/A,#N/A,FALSE,"지침";#N/A,#N/A,FALSE,"환경분석";#N/A,#N/A,FALSE,"Sheet16"}</definedName>
    <definedName name="영종" localSheetId="0" hidden="1">{#N/A,#N/A,FALSE,"CCTV"}</definedName>
    <definedName name="영종" hidden="1">{#N/A,#N/A,FALSE,"CCTV"}</definedName>
    <definedName name="예상계획" localSheetId="0" hidden="1">{#N/A,#N/A,FALSE,"집계표"}</definedName>
    <definedName name="예상계획" hidden="1">{#N/A,#N/A,FALSE,"집계표"}</definedName>
    <definedName name="예정가" localSheetId="0" hidden="1">{#N/A,#N/A,FALSE,"포장2"}</definedName>
    <definedName name="예정가" hidden="1">{#N/A,#N/A,FALSE,"포장2"}</definedName>
    <definedName name="오" hidden="1">#REF!</definedName>
    <definedName name="오됴" localSheetId="0" hidden="1">{#N/A,#N/A,FALSE,"집계표"}</definedName>
    <definedName name="오됴" hidden="1">{#N/A,#N/A,FALSE,"집계표"}</definedName>
    <definedName name="오배수" localSheetId="0" hidden="1">{#N/A,#N/A,TRUE,"천상그린44PY"}</definedName>
    <definedName name="오배수" hidden="1">{#N/A,#N/A,TRUE,"천상그린44PY"}</definedName>
    <definedName name="오배수입상" localSheetId="0" hidden="1">{#N/A,#N/A,TRUE,"천상그린44PY"}</definedName>
    <definedName name="오배수입상" hidden="1">{#N/A,#N/A,TRUE,"천상그린44PY"}</definedName>
    <definedName name="오수토공" localSheetId="0" hidden="1">{#N/A,#N/A,FALSE,"기안지";#N/A,#N/A,FALSE,"통신지"}</definedName>
    <definedName name="오수토공"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공사" hidden="1">{#N/A,#N/A,FALSE,"이태원철근"}</definedName>
    <definedName name="옥외대비" localSheetId="0" hidden="1">{#N/A,#N/A,FALSE,"이태원철근"}</definedName>
    <definedName name="옥외대비" hidden="1">{#N/A,#N/A,FALSE,"이태원철근"}</definedName>
    <definedName name="옥탑층" localSheetId="0" hidden="1">{#N/A,#N/A,FALSE,"Sheet1"}</definedName>
    <definedName name="옥탑층" hidden="1">{#N/A,#N/A,FALSE,"Sheet1"}</definedName>
    <definedName name="옹" localSheetId="0" hidden="1">{#N/A,#N/A,FALSE,"골재소요량";#N/A,#N/A,FALSE,"골재소요량"}</definedName>
    <definedName name="옹" hidden="1">{#N/A,#N/A,FALSE,"골재소요량";#N/A,#N/A,FALSE,"골재소요량"}</definedName>
    <definedName name="옹벽수량집계표" localSheetId="0" hidden="1">{#N/A,#N/A,FALSE,"2~8번"}</definedName>
    <definedName name="옹벽수량집계표" hidden="1">{#N/A,#N/A,FALSE,"2~8번"}</definedName>
    <definedName name="옹벽수량집계표총괄" localSheetId="0" hidden="1">{#N/A,#N/A,FALSE,"혼합골재"}</definedName>
    <definedName name="옹벽수량집계표총괄" hidden="1">{#N/A,#N/A,FALSE,"혼합골재"}</definedName>
    <definedName name="옿" localSheetId="0" hidden="1">{#N/A,#N/A,FALSE,"집계표"}</definedName>
    <definedName name="옿" hidden="1">{#N/A,#N/A,FALSE,"집계표"}</definedName>
    <definedName name="완공3" hidden="1">#REF!</definedName>
    <definedName name="완도" localSheetId="0" hidden="1">{#N/A,#N/A,FALSE,"포장2"}</definedName>
    <definedName name="완도" hidden="1">{#N/A,#N/A,FALSE,"포장2"}</definedName>
    <definedName name="외주의뢰1" hidden="1">#REF!</definedName>
    <definedName name="용용" localSheetId="0" hidden="1">{#N/A,#N/A,FALSE,"포장2"}</definedName>
    <definedName name="용용" hidden="1">{#N/A,#N/A,FALSE,"포장2"}</definedName>
    <definedName name="우리" localSheetId="0" hidden="1">{#N/A,#N/A,FALSE,"사업총괄";#N/A,#N/A,FALSE,"장비사업";#N/A,#N/A,FALSE,"철구사업";#N/A,#N/A,FALSE,"준설사업"}</definedName>
    <definedName name="우리" hidden="1">{#N/A,#N/A,FALSE,"사업총괄";#N/A,#N/A,FALSE,"장비사업";#N/A,#N/A,FALSE,"철구사업";#N/A,#N/A,FALSE,"준설사업"}</definedName>
    <definedName name="우후" localSheetId="0" hidden="1">{"'별표'!$N$220"}</definedName>
    <definedName name="우후" hidden="1">{"'별표'!$N$220"}</definedName>
    <definedName name="울트구룡대보2공구" localSheetId="0" hidden="1">{#N/A,#N/A,FALSE,"속도"}</definedName>
    <definedName name="울트구룡대보2공구" hidden="1">{#N/A,#N/A,FALSE,"속도"}</definedName>
    <definedName name="울트라" localSheetId="0" hidden="1">{#N/A,#N/A,FALSE,"구조1"}</definedName>
    <definedName name="울트라" hidden="1">{#N/A,#N/A,FALSE,"구조1"}</definedName>
    <definedName name="울트라구룡2공구" localSheetId="0" hidden="1">{#N/A,#N/A,FALSE,"이정표"}</definedName>
    <definedName name="울트라구룡2공구" hidden="1">{#N/A,#N/A,FALSE,"이정표"}</definedName>
    <definedName name="원가" localSheetId="0" hidden="1">{#N/A,#N/A,FALSE,"운반시간"}</definedName>
    <definedName name="원가" hidden="1">{#N/A,#N/A,FALSE,"운반시간"}</definedName>
    <definedName name="원가12" localSheetId="0" hidden="1">{#N/A,#N/A,FALSE,"운반시간"}</definedName>
    <definedName name="원가12"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localSheetId="0" hidden="1">{#N/A,#N/A,FALSE,"이태원철근"}</definedName>
    <definedName name="월드건설" hidden="1">{#N/A,#N/A,FALSE,"이태원철근"}</definedName>
    <definedName name="월별투입" localSheetId="0" hidden="1">{#N/A,#N/A,FALSE,"지침";#N/A,#N/A,FALSE,"환경분석";#N/A,#N/A,FALSE,"Sheet16"}</definedName>
    <definedName name="월별투입" hidden="1">{#N/A,#N/A,FALSE,"지침";#N/A,#N/A,FALSE,"환경분석";#N/A,#N/A,FALSE,"Sheet16"}</definedName>
    <definedName name="유가증권" localSheetId="0" hidden="1">{#N/A,#N/A,FALSE,"Aging Summary";#N/A,#N/A,FALSE,"Ratio Analysis";#N/A,#N/A,FALSE,"Test 120 Day Accts";#N/A,#N/A,FALSE,"Tickmarks"}</definedName>
    <definedName name="유가증권" hidden="1">{#N/A,#N/A,FALSE,"Aging Summary";#N/A,#N/A,FALSE,"Ratio Analysis";#N/A,#N/A,FALSE,"Test 120 Day Accts";#N/A,#N/A,FALSE,"Tickmarks"}</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의" localSheetId="0" hidden="1">{#N/A,#N/A,FALSE,"운반시간"}</definedName>
    <definedName name="의"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름" hidden="1">{#N/A,#N/A,FALSE,"구조1"}</definedName>
    <definedName name="이릉" hidden="1">#REF!</definedName>
    <definedName name="이슈" localSheetId="0" hidden="1">{#N/A,#N/A,FALSE,"지침";#N/A,#N/A,FALSE,"환경분석";#N/A,#N/A,FALSE,"Sheet16"}</definedName>
    <definedName name="이슈"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localSheetId="0" hidden="1">{#N/A,#N/A,FALSE,"이태원철근"}</definedName>
    <definedName name="일정표" hidden="1">{#N/A,#N/A,FALSE,"이태원철근"}</definedName>
    <definedName name="일정표0124" localSheetId="0" hidden="1">{#N/A,#N/A,FALSE,"이태원철근"}</definedName>
    <definedName name="일정표0124" hidden="1">{#N/A,#N/A,FALSE,"이태원철근"}</definedName>
    <definedName name="임시" localSheetId="0" hidden="1">{#N/A,#N/A,FALSE,"현장 NCR 분석";#N/A,#N/A,FALSE,"현장품질감사";#N/A,#N/A,FALSE,"현장품질감사"}</definedName>
    <definedName name="임시" hidden="1">{#N/A,#N/A,FALSE,"현장 NCR 분석";#N/A,#N/A,FALSE,"현장품질감사";#N/A,#N/A,FALSE,"현장품질감사"}</definedName>
    <definedName name="임직" hidden="1">#REF!</definedName>
    <definedName name="임형" localSheetId="0" hidden="1">{#N/A,#N/A,FALSE,"포장2"}</definedName>
    <definedName name="임형" hidden="1">{#N/A,#N/A,FALSE,"포장2"}</definedName>
    <definedName name="입찰" localSheetId="0" hidden="1">{#N/A,#N/A,FALSE,"구조2"}</definedName>
    <definedName name="입찰" hidden="1">{#N/A,#N/A,FALSE,"구조2"}</definedName>
    <definedName name="입찰금액안" hidden="1">#REF!</definedName>
    <definedName name="ㅈ" localSheetId="0" hidden="1">{#N/A,#N/A,FALSE,"명세표"}</definedName>
    <definedName name="ㅈ"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ㄳㅎㅍㅊㅊ" hidden="1">{#N/A,#N/A,FALSE,"집계표"}</definedName>
    <definedName name="ㅈㄷㄱㄷㄱㄷ" localSheetId="0" hidden="1">{"'용역비'!$A$4:$C$8"}</definedName>
    <definedName name="ㅈㄷㄱㄷㄱㄷ" hidden="1">{"'용역비'!$A$4:$C$8"}</definedName>
    <definedName name="ㅈㄷㄱㅈ" localSheetId="0" hidden="1">{#N/A,#N/A,FALSE,"Sheet6"}</definedName>
    <definedName name="ㅈㄷㄱㅈ" hidden="1">{#N/A,#N/A,FALSE,"Sheet6"}</definedName>
    <definedName name="ㅈㄷㄳㅈㄷ" localSheetId="0" hidden="1">{#N/A,#N/A,FALSE,"Sheet6"}</definedName>
    <definedName name="ㅈㄷㄳㅈㄷ" hidden="1">{#N/A,#N/A,FALSE,"Sheet6"}</definedName>
    <definedName name="ㅈㄷㅅ교" localSheetId="0" hidden="1">{#N/A,#N/A,FALSE,"집계표"}</definedName>
    <definedName name="ㅈㄷㅅ교" hidden="1">{#N/A,#N/A,FALSE,"집계표"}</definedName>
    <definedName name="ㅈㄷㅅㅁㅇㄴㄹ" localSheetId="0" hidden="1">{#N/A,#N/A,FALSE,"집계표"}</definedName>
    <definedName name="ㅈㄷㅅㅁㅇㄴㄹ" hidden="1">{#N/A,#N/A,FALSE,"집계표"}</definedName>
    <definedName name="ㅈㅂㄹㅇㅁㄴㅇㅍㅌㅋㅁㄴㅇㄻㅎㅁ" localSheetId="0" hidden="1">{#N/A,#N/A,FALSE,"집계표"}</definedName>
    <definedName name="ㅈㅂㄹㅇㅁㄴㅇㅍㅌㅋㅁㄴㅇㄻㅎㅁ"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ㄷㅈㅇ"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ㅈㅈㅈ" hidden="1">{#N/A,#N/A,FALSE,"명세표"}</definedName>
    <definedName name="ㅈ자" localSheetId="0" hidden="1">{#N/A,#N/A,FALSE,"CCTV"}</definedName>
    <definedName name="ㅈ자" hidden="1">{#N/A,#N/A,FALSE,"CCTV"}</definedName>
    <definedName name="자" localSheetId="0" hidden="1">{"'Sheet1'!$A$4:$M$21","'Sheet1'!$J$17:$K$19"}</definedName>
    <definedName name="자" hidden="1">{"'Sheet1'!$A$4:$M$21","'Sheet1'!$J$17:$K$19"}</definedName>
    <definedName name="자미" localSheetId="0" hidden="1">{#N/A,#N/A,FALSE,"명세표"}</definedName>
    <definedName name="자미" hidden="1">{#N/A,#N/A,FALSE,"명세표"}</definedName>
    <definedName name="자본금" localSheetId="0" hidden="1">{#N/A,#N/A,FALSE,"Aging Summary";#N/A,#N/A,FALSE,"Ratio Analysis";#N/A,#N/A,FALSE,"Test 120 Day Accts";#N/A,#N/A,FALSE,"Tickmarks"}</definedName>
    <definedName name="자본금" hidden="1">{#N/A,#N/A,FALSE,"Aging Summary";#N/A,#N/A,FALSE,"Ratio Analysis";#N/A,#N/A,FALSE,"Test 120 Day Accts";#N/A,#N/A,FALSE,"Tickmarks"}</definedName>
    <definedName name="자야" localSheetId="0" hidden="1">{#N/A,#N/A,FALSE,"집계표"}</definedName>
    <definedName name="자야" hidden="1">{#N/A,#N/A,FALSE,"집계표"}</definedName>
    <definedName name="자양" localSheetId="0" hidden="1">{#N/A,#N/A,FALSE,"이태원철근"}</definedName>
    <definedName name="자양" hidden="1">{#N/A,#N/A,FALSE,"이태원철근"}</definedName>
    <definedName name="자양공사개요" localSheetId="0" hidden="1">{#N/A,#N/A,FALSE,"이태원철근"}</definedName>
    <definedName name="자양공사개요" hidden="1">{#N/A,#N/A,FALSE,"이태원철근"}</definedName>
    <definedName name="자재1" localSheetId="0" hidden="1">{#N/A,#N/A,FALSE,"포장2"}</definedName>
    <definedName name="자재1" hidden="1">{#N/A,#N/A,FALSE,"포장2"}</definedName>
    <definedName name="자재2" localSheetId="0" hidden="1">{#N/A,#N/A,FALSE,"구조2"}</definedName>
    <definedName name="자재2" hidden="1">{#N/A,#N/A,FALSE,"구조2"}</definedName>
    <definedName name="자재단가근거" hidden="1">#REF!</definedName>
    <definedName name="자ㅓㅏ" localSheetId="0" hidden="1">{#N/A,#N/A,FALSE,"집계표"}</definedName>
    <definedName name="자ㅓㅏ" hidden="1">{#N/A,#N/A,FALSE,"집계표"}</definedName>
    <definedName name="장" localSheetId="0" hidden="1">{#N/A,#N/A,FALSE,"CCTV"}</definedName>
    <definedName name="장" hidden="1">{#N/A,#N/A,FALSE,"CCTV"}</definedName>
    <definedName name="장구" localSheetId="0" hidden="1">{#N/A,#N/A,FALSE,"Sheet6"}</definedName>
    <definedName name="장구"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localSheetId="0" hidden="1">{#N/A,#N/A,FALSE,"估價單  (3)"}</definedName>
    <definedName name="저층부공내역" hidden="1">{#N/A,#N/A,FALSE,"估價單  (3)"}</definedName>
    <definedName name="저층부금액" localSheetId="0" hidden="1">{#N/A,#N/A,FALSE,"估價單  (3)"}</definedName>
    <definedName name="저층부금액" hidden="1">{#N/A,#N/A,FALSE,"估價單  (3)"}</definedName>
    <definedName name="저층부금액1" localSheetId="0" hidden="1">{#N/A,#N/A,FALSE,"估價單  (3)"}</definedName>
    <definedName name="저층부금액1" hidden="1">{#N/A,#N/A,FALSE,"估價單  (3)"}</definedName>
    <definedName name="전계장금액" hidden="1">#REF!</definedName>
    <definedName name="전기" localSheetId="0" hidden="1">{"'Sheet1'!$A$1:$E$59"}</definedName>
    <definedName name="전기" hidden="1">{"'Sheet1'!$A$1:$E$59"}</definedName>
    <definedName name="전기1" localSheetId="0" hidden="1">{#N/A,#N/A,FALSE,"견적갑지";#N/A,#N/A,FALSE,"총괄표";#N/A,#N/A,FALSE,"철골공사";#N/A,#N/A,FALSE,"토목공사";#N/A,#N/A,FALSE,"판넬전기공사"}</definedName>
    <definedName name="전기1"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localSheetId="0" hidden="1">{#N/A,#N/A,FALSE,"CCTV"}</definedName>
    <definedName name="전기내역" hidden="1">{#N/A,#N/A,FALSE,"CCTV"}</definedName>
    <definedName name="전기산출" hidden="1">#REF!</definedName>
    <definedName name="전기산출내역" hidden="1">#REF!</definedName>
    <definedName name="전기특기조건" localSheetId="0" hidden="1">{#N/A,#N/A,FALSE,"현장 NCR 분석";#N/A,#N/A,FALSE,"현장품질감사";#N/A,#N/A,FALSE,"현장품질감사"}</definedName>
    <definedName name="전기특기조건" hidden="1">{#N/A,#N/A,FALSE,"현장 NCR 분석";#N/A,#N/A,FALSE,"현장품질감사";#N/A,#N/A,FALSE,"현장품질감사"}</definedName>
    <definedName name="전등설비" localSheetId="0" hidden="1">{#N/A,#N/A,FALSE,"CCTV"}</definedName>
    <definedName name="전등설비" hidden="1">{#N/A,#N/A,FALSE,"CCTV"}</definedName>
    <definedName name="전열" localSheetId="0" hidden="1">{#N/A,#N/A,FALSE,"CCTV"}</definedName>
    <definedName name="전열" hidden="1">{#N/A,#N/A,FALSE,"CCTV"}</definedName>
    <definedName name="전자CF" localSheetId="0" hidden="1">{#N/A,#N/A,FALSE,"지침";#N/A,#N/A,FALSE,"환경분석";#N/A,#N/A,FALSE,"Sheet16"}</definedName>
    <definedName name="전자CF" hidden="1">{#N/A,#N/A,FALSE,"지침";#N/A,#N/A,FALSE,"환경분석";#N/A,#N/A,FALSE,"Sheet16"}</definedName>
    <definedName name="젇주ㅠㅜㅇㄴ" localSheetId="0" hidden="1">{#N/A,#N/A,FALSE,"집계표"}</definedName>
    <definedName name="젇주ㅠㅜㅇㄴ" hidden="1">{#N/A,#N/A,FALSE,"집계표"}</definedName>
    <definedName name="절" hidden="1">#REF!</definedName>
    <definedName name="정리" localSheetId="0" hidden="1">{#N/A,#N/A,FALSE,"CCTV"}</definedName>
    <definedName name="정리" hidden="1">{#N/A,#N/A,FALSE,"CCTV"}</definedName>
    <definedName name="정보통신" localSheetId="0" hidden="1">{"'Firr(선)'!$AS$1:$AY$62","'Firr(사)'!$AS$1:$AY$62","'Firr(회)'!$AS$1:$AY$62","'Firr(선)'!$L$1:$V$62","'Firr(사)'!$L$1:$V$62","'Firr(회)'!$L$1:$V$62"}</definedName>
    <definedName name="정보통신" hidden="1">{"'Firr(선)'!$AS$1:$AY$62","'Firr(사)'!$AS$1:$AY$62","'Firr(회)'!$AS$1:$AY$62","'Firr(선)'!$L$1:$V$62","'Firr(사)'!$L$1:$V$62","'Firr(회)'!$L$1:$V$62"}</definedName>
    <definedName name="정산표" localSheetId="0" hidden="1">{#N/A,#N/A,FALSE,"현장 NCR 분석";#N/A,#N/A,FALSE,"현장품질감사";#N/A,#N/A,FALSE,"현장품질감사"}</definedName>
    <definedName name="정산표" hidden="1">{#N/A,#N/A,FALSE,"현장 NCR 분석";#N/A,#N/A,FALSE,"현장품질감사";#N/A,#N/A,FALSE,"현장품질감사"}</definedName>
    <definedName name="제2짱" localSheetId="0" hidden="1">{#N/A,#N/A,FALSE,"운반시간"}</definedName>
    <definedName name="제2짱" hidden="1">{#N/A,#N/A,FALSE,"운반시간"}</definedName>
    <definedName name="제외공사" localSheetId="0" hidden="1">{#N/A,#N/A,FALSE,"지침";#N/A,#N/A,FALSE,"환경분석";#N/A,#N/A,FALSE,"Sheet16"}</definedName>
    <definedName name="제외공사"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공사" hidden="1">{#N/A,#N/A,FALSE,"표지"}</definedName>
    <definedName name="조경사본" localSheetId="0" hidden="1">{#N/A,#N/A,FALSE,"표지"}</definedName>
    <definedName name="조경사본" hidden="1">{#N/A,#N/A,FALSE,"표지"}</definedName>
    <definedName name="조사가" hidden="1">#REF!</definedName>
    <definedName name="조정1" hidden="1">#REF!</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직4.2" hidden="1">{#N/A,#N/A,FALSE,"예상손익";#N/A,#N/A,FALSE,"관리분석";#N/A,#N/A,FALSE,"장비분석";#N/A,#N/A,FALSE,"준설분석";#N/A,#N/A,FALSE,"철구분석"}</definedName>
    <definedName name="조차장" localSheetId="0" hidden="1">{#N/A,#N/A,FALSE,"명세표"}</definedName>
    <definedName name="조차장" hidden="1">{#N/A,#N/A,FALSE,"명세표"}</definedName>
    <definedName name="조창현" localSheetId="0" hidden="1">{#N/A,#N/A,FALSE,"교리2"}</definedName>
    <definedName name="조창현" hidden="1">{#N/A,#N/A,FALSE,"교리2"}</definedName>
    <definedName name="조후" localSheetId="0" hidden="1">{#N/A,#N/A,FALSE,"예상손익";#N/A,#N/A,FALSE,"관리분석";#N/A,#N/A,FALSE,"장비분석";#N/A,#N/A,FALSE,"준설분석";#N/A,#N/A,FALSE,"철구분석"}</definedName>
    <definedName name="조후" hidden="1">{#N/A,#N/A,FALSE,"예상손익";#N/A,#N/A,FALSE,"관리분석";#N/A,#N/A,FALSE,"장비분석";#N/A,#N/A,FALSE,"준설분석";#N/A,#N/A,FALSE,"철구분석"}</definedName>
    <definedName name="종별물량실행" localSheetId="0" hidden="1">{#N/A,#N/A,FALSE,"CCTV"}</definedName>
    <definedName name="종별물량실행"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주차장" hidden="1">{#N/A,#N/A,FALSE,"표지"}</definedName>
    <definedName name="죽전5차" localSheetId="0" hidden="1">{#N/A,#N/A,FALSE,"이태원철근"}</definedName>
    <definedName name="죽전5차" hidden="1">{#N/A,#N/A,FALSE,"이태원철근"}</definedName>
    <definedName name="준공검사원" localSheetId="0" hidden="1">{#N/A,#N/A,FALSE,"전력간선"}</definedName>
    <definedName name="준공검사원" hidden="1">{#N/A,#N/A,FALSE,"전력간선"}</definedName>
    <definedName name="증감내역" hidden="1">#REF!</definedName>
    <definedName name="지" localSheetId="0" hidden="1">{#N/A,#N/A,FALSE,"배수2"}</definedName>
    <definedName name="지" hidden="1">{#N/A,#N/A,FALSE,"배수2"}</definedName>
    <definedName name="지급" localSheetId="0" hidden="1">{#N/A,#N/A,FALSE,"견적갑지";#N/A,#N/A,FALSE,"총괄표";#N/A,#N/A,FALSE,"철골공사";#N/A,#N/A,FALSE,"토목공사";#N/A,#N/A,FALSE,"판넬전기공사"}</definedName>
    <definedName name="지급" hidden="1">{#N/A,#N/A,FALSE,"견적갑지";#N/A,#N/A,FALSE,"총괄표";#N/A,#N/A,FALSE,"철골공사";#N/A,#N/A,FALSE,"토목공사";#N/A,#N/A,FALSE,"판넬전기공사"}</definedName>
    <definedName name="지역" localSheetId="0" hidden="1">{#N/A,#N/A,FALSE,"포장2"}</definedName>
    <definedName name="지역" hidden="1">{#N/A,#N/A,FALSE,"포장2"}</definedName>
    <definedName name="지역업체" localSheetId="0" hidden="1">{#N/A,#N/A,FALSE,"배수2"}</definedName>
    <definedName name="지역업체" hidden="1">{#N/A,#N/A,FALSE,"배수2"}</definedName>
    <definedName name="지철" localSheetId="0" hidden="1">{#N/A,#N/A,FALSE,"포장2"}</definedName>
    <definedName name="지철" hidden="1">{#N/A,#N/A,FALSE,"포장2"}</definedName>
    <definedName name="지철자재" localSheetId="0" hidden="1">{#N/A,#N/A,FALSE,"포장2"}</definedName>
    <definedName name="지철자재" hidden="1">{#N/A,#N/A,FALSE,"포장2"}</definedName>
    <definedName name="지토" localSheetId="0" hidden="1">{#N/A,#N/A,FALSE,"포장1";#N/A,#N/A,FALSE,"포장1"}</definedName>
    <definedName name="지토" hidden="1">{#N/A,#N/A,FALSE,"포장1";#N/A,#N/A,FALSE,"포장1"}</definedName>
    <definedName name="지토자재" localSheetId="0" hidden="1">{#N/A,#N/A,FALSE,"포장2"}</definedName>
    <definedName name="지토자재" hidden="1">{#N/A,#N/A,FALSE,"포장2"}</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계표"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집집"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쩨" hidden="1">{#N/A,#N/A,FALSE,"변경관리예산";#N/A,#N/A,FALSE,"변경장비예산";#N/A,#N/A,FALSE,"변경준설예산";#N/A,#N/A,FALSE,"변경철구예산"}</definedName>
    <definedName name="ㅊ" localSheetId="0" hidden="1">{#N/A,#N/A,FALSE,"운반시간"}</definedName>
    <definedName name="ㅊ" hidden="1">{#N/A,#N/A,FALSE,"운반시간"}</definedName>
    <definedName name="ㅊㄹㅎ" localSheetId="0" hidden="1">{#N/A,#N/A,FALSE,"집계표"}</definedName>
    <definedName name="ㅊㄹㅎ" hidden="1">{#N/A,#N/A,FALSE,"집계표"}</definedName>
    <definedName name="ㅊㄹ헝ㅇ" localSheetId="0" hidden="1">{#N/A,#N/A,FALSE,"집계표"}</definedName>
    <definedName name="ㅊㄹ헝ㅇ" hidden="1">{#N/A,#N/A,FALSE,"집계표"}</definedName>
    <definedName name="ㅊㄹ호" localSheetId="0" hidden="1">{#N/A,#N/A,FALSE,"집계표"}</definedName>
    <definedName name="ㅊㄹ호" hidden="1">{#N/A,#N/A,FALSE,"집계표"}</definedName>
    <definedName name="ㅊㅀㅎㅎㅎㅎㅎㅎㅎㅎ" localSheetId="0" hidden="1">{#N/A,#N/A,FALSE,"집계표"}</definedName>
    <definedName name="ㅊㅀㅎㅎㅎㅎㅎㅎㅎㅎ" hidden="1">{#N/A,#N/A,FALSE,"집계표"}</definedName>
    <definedName name="ㅊㅊㅊㅊ" localSheetId="0" hidden="1">{#N/A,#N/A,FALSE,"단가표지"}</definedName>
    <definedName name="ㅊㅊㅊㅊ" hidden="1">{#N/A,#N/A,FALSE,"단가표지"}</definedName>
    <definedName name="ㅊㅌㅅ" localSheetId="0" hidden="1">{#N/A,#N/A,FALSE,"집계표"}</definedName>
    <definedName name="ㅊㅌㅅ" hidden="1">{#N/A,#N/A,FALSE,"집계표"}</definedName>
    <definedName name="ㅊㅌ포촣" localSheetId="0" hidden="1">{#N/A,#N/A,FALSE,"집계표"}</definedName>
    <definedName name="ㅊㅌ포촣" hidden="1">{#N/A,#N/A,FALSE,"집계표"}</definedName>
    <definedName name="ㅊㅌㅎㄹ쇼" localSheetId="0" hidden="1">{#N/A,#N/A,FALSE,"집계표"}</definedName>
    <definedName name="ㅊㅌㅎㄹ쇼" hidden="1">{#N/A,#N/A,FALSE,"집계표"}</definedName>
    <definedName name="ㅊ튶" localSheetId="0" hidden="1">{#N/A,#N/A,FALSE,"집계표"}</definedName>
    <definedName name="ㅊ튶" hidden="1">{#N/A,#N/A,FALSE,"집계표"}</definedName>
    <definedName name="ㅊㅍ허ㅓㅗ효" localSheetId="0" hidden="1">{#N/A,#N/A,FALSE,"집계표"}</definedName>
    <definedName name="ㅊㅍ허ㅓㅗ효" hidden="1">{#N/A,#N/A,FALSE,"집계표"}</definedName>
    <definedName name="ㅊ퍼ㅗㅗㅗㅗㅗ" localSheetId="0" hidden="1">{#N/A,#N/A,FALSE,"집계표"}</definedName>
    <definedName name="ㅊ퍼ㅗㅗㅗㅗㅗ" hidden="1">{#N/A,#N/A,FALSE,"집계표"}</definedName>
    <definedName name="ㅊ포ㅓㅊㅊㅊㅊㅊㅊㅊㅊㅊㅊ" localSheetId="0" hidden="1">{#N/A,#N/A,FALSE,"집계표"}</definedName>
    <definedName name="ㅊ포ㅓㅊㅊㅊㅊㅊㅊㅊㅊㅊㅊ" hidden="1">{#N/A,#N/A,FALSE,"집계표"}</definedName>
    <definedName name="ㅊ포ㅓㅓㅓㅓㅓㅓㅓㅓㅓㅓ" localSheetId="0" hidden="1">{#N/A,#N/A,FALSE,"집계표"}</definedName>
    <definedName name="ㅊ포ㅓㅓㅓㅓㅓㅓㅓㅓㅓㅓ" hidden="1">{#N/A,#N/A,FALSE,"집계표"}</definedName>
    <definedName name="ㅊ폴" localSheetId="0" hidden="1">{#N/A,#N/A,FALSE,"Sheet6"}</definedName>
    <definedName name="ㅊ폴" hidden="1">{#N/A,#N/A,FALSE,"Sheet6"}</definedName>
    <definedName name="ㅊ푸ㅡ" localSheetId="0" hidden="1">{#N/A,#N/A,FALSE,"집계표"}</definedName>
    <definedName name="ㅊ푸ㅡ" hidden="1">{#N/A,#N/A,FALSE,"집계표"}</definedName>
    <definedName name="ㅊ퓨ㅗ" localSheetId="0" hidden="1">{#N/A,#N/A,FALSE,"집계표"}</definedName>
    <definedName name="ㅊ퓨ㅗ" hidden="1">{#N/A,#N/A,FALSE,"집계표"}</definedName>
    <definedName name="ㅊㅎㄹㄹ" localSheetId="0" hidden="1">{#N/A,#N/A,FALSE,"집계표"}</definedName>
    <definedName name="ㅊㅎㄹㄹ" hidden="1">{#N/A,#N/A,FALSE,"집계표"}</definedName>
    <definedName name="ㅊ허ㅗㅗㅗㅗㅗ" localSheetId="0" hidden="1">{#N/A,#N/A,FALSE,"집계표"}</definedName>
    <definedName name="ㅊ허ㅗㅗㅗㅗㅗ" hidden="1">{#N/A,#N/A,FALSE,"집계표"}</definedName>
    <definedName name="ㅊ호ㅓㅗ" localSheetId="0" hidden="1">{#N/A,#N/A,FALSE,"집계표"}</definedName>
    <definedName name="ㅊ호ㅓㅗ" hidden="1">{#N/A,#N/A,FALSE,"집계표"}</definedName>
    <definedName name="차" localSheetId="0" hidden="1">{#N/A,#N/A,FALSE,"견적갑지";#N/A,#N/A,FALSE,"총괄표";#N/A,#N/A,FALSE,"철골공사";#N/A,#N/A,FALSE,"토목공사";#N/A,#N/A,FALSE,"판넬전기공사"}</definedName>
    <definedName name="차"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처ㅗㅗㅗㅗㅗㅗㅗㅗㅗ" hidden="1">{#N/A,#N/A,FALSE,"집계표"}</definedName>
    <definedName name="철2" localSheetId="0" hidden="1">{#N/A,#N/A,FALSE,"혼합골재"}</definedName>
    <definedName name="철2" hidden="1">{#N/A,#N/A,FALSE,"혼합골재"}</definedName>
    <definedName name="철거단가" localSheetId="0" hidden="1">{#N/A,#N/A,FALSE,"조골재"}</definedName>
    <definedName name="철거단가" hidden="1">{#N/A,#N/A,FALSE,"조골재"}</definedName>
    <definedName name="철골협의" localSheetId="0" hidden="1">{#N/A,#N/A,FALSE,"현장 NCR 분석";#N/A,#N/A,FALSE,"현장품질감사";#N/A,#N/A,FALSE,"현장품질감사"}</definedName>
    <definedName name="철골협의" hidden="1">{#N/A,#N/A,FALSE,"현장 NCR 분석";#N/A,#N/A,FALSE,"현장품질감사";#N/A,#N/A,FALSE,"현장품질감사"}</definedName>
    <definedName name="철근량" localSheetId="0" hidden="1">{#N/A,#N/A,FALSE,"전력간선"}</definedName>
    <definedName name="철근량" hidden="1">{#N/A,#N/A,FALSE,"전력간선"}</definedName>
    <definedName name="철근수정본" localSheetId="0" hidden="1">{"'Sheet1'!$A$4:$M$21","'Sheet1'!$J$17:$K$19"}</definedName>
    <definedName name="철근수정본" hidden="1">{"'Sheet1'!$A$4:$M$21","'Sheet1'!$J$17:$K$19"}</definedName>
    <definedName name="철콘부대외" localSheetId="0" hidden="1">{#N/A,#N/A,FALSE,"Sheet1"}</definedName>
    <definedName name="철콘부대외" hidden="1">{#N/A,#N/A,FALSE,"Sheet1"}</definedName>
    <definedName name="첨부" hidden="1">0</definedName>
    <definedName name="체크아웃시스템" localSheetId="0" hidden="1">{#N/A,#N/A,FALSE,"견적갑지";#N/A,#N/A,FALSE,"총괄표";#N/A,#N/A,FALSE,"철골공사";#N/A,#N/A,FALSE,"토목공사";#N/A,#N/A,FALSE,"판넬전기공사"}</definedName>
    <definedName name="체크아웃시스템" hidden="1">{#N/A,#N/A,FALSE,"견적갑지";#N/A,#N/A,FALSE,"총괄표";#N/A,#N/A,FALSE,"철골공사";#N/A,#N/A,FALSE,"토목공사";#N/A,#N/A,FALSE,"판넬전기공사"}</definedName>
    <definedName name="총" localSheetId="0" hidden="1">{#N/A,#N/A,FALSE,"부대1"}</definedName>
    <definedName name="총" hidden="1">{#N/A,#N/A,FALSE,"부대1"}</definedName>
    <definedName name="총갑지" hidden="1">#REF!</definedName>
    <definedName name="총공" localSheetId="0" hidden="1">{#N/A,#N/A,FALSE,"운반시간"}</definedName>
    <definedName name="총공" hidden="1">{#N/A,#N/A,FALSE,"운반시간"}</definedName>
    <definedName name="총공사비2" localSheetId="0" hidden="1">{#N/A,#N/A,FALSE,"전력간선"}</definedName>
    <definedName name="총공사비2"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가기성" hidden="1">{#N/A,#N/A,FALSE,"집계표"}</definedName>
    <definedName name="추가내역" hidden="1">#REF!</definedName>
    <definedName name="추가내역2" hidden="1">#REF!</definedName>
    <definedName name="추가옵션01" hidden="1">#REF!</definedName>
    <definedName name="추산산서2" localSheetId="0" hidden="1">{#N/A,#N/A,FALSE,"견적갑지";#N/A,#N/A,FALSE,"총괄표";#N/A,#N/A,FALSE,"철골공사";#N/A,#N/A,FALSE,"토목공사";#N/A,#N/A,FALSE,"판넬전기공사"}</definedName>
    <definedName name="추산산서2" hidden="1">{#N/A,#N/A,FALSE,"견적갑지";#N/A,#N/A,FALSE,"총괄표";#N/A,#N/A,FALSE,"철골공사";#N/A,#N/A,FALSE,"토목공사";#N/A,#N/A,FALSE,"판넬전기공사"}</definedName>
    <definedName name="추정" localSheetId="0" hidden="1">{#N/A,#N/A,FALSE,"포장2"}</definedName>
    <definedName name="추정" hidden="1">{#N/A,#N/A,FALSE,"포장2"}</definedName>
    <definedName name="축수산장설비" localSheetId="0" hidden="1">{#N/A,#N/A,FALSE,"견적갑지";#N/A,#N/A,FALSE,"총괄표";#N/A,#N/A,FALSE,"철골공사";#N/A,#N/A,FALSE,"토목공사";#N/A,#N/A,FALSE,"판넬전기공사"}</definedName>
    <definedName name="축수산장설비" hidden="1">{#N/A,#N/A,FALSE,"견적갑지";#N/A,#N/A,FALSE,"총괄표";#N/A,#N/A,FALSE,"철골공사";#N/A,#N/A,FALSE,"토목공사";#N/A,#N/A,FALSE,"판넬전기공사"}</definedName>
    <definedName name="출판" localSheetId="0" hidden="1">{#N/A,#N/A,FALSE,"지침";#N/A,#N/A,FALSE,"환경분석";#N/A,#N/A,FALSE,"Sheet16"}</definedName>
    <definedName name="출판"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localSheetId="0" hidden="1">{#N/A,#N/A,FALSE,"이태원철근"}</definedName>
    <definedName name="취하" hidden="1">{#N/A,#N/A,FALSE,"이태원철근"}</definedName>
    <definedName name="취하실적1." localSheetId="0" hidden="1">{#N/A,#N/A,FALSE,"이태원철근"}</definedName>
    <definedName name="취하실적1." hidden="1">{#N/A,#N/A,FALSE,"이태원철근"}</definedName>
    <definedName name="츄" localSheetId="0" hidden="1">{#N/A,#N/A,FALSE,"집계표"}</definedName>
    <definedName name="츄"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ㅁ" hidden="1">{#N/A,#N/A,FALSE,"명세표"}</definedName>
    <definedName name="ㅋㅋ" localSheetId="0" hidden="1">{#N/A,#N/A,FALSE,"명세표"}</definedName>
    <definedName name="ㅋㅋ" hidden="1">{#N/A,#N/A,FALSE,"명세표"}</definedName>
    <definedName name="ㅋㅋㅋ" localSheetId="0" hidden="1">{#N/A,#N/A,FALSE,"전력간선"}</definedName>
    <definedName name="ㅋㅋㅋ" hidden="1">{#N/A,#N/A,FALSE,"전력간선"}</definedName>
    <definedName name="ㅋㅋㅋㅋ" localSheetId="0" hidden="1">{#N/A,#N/A,FALSE,"Aging Summary";#N/A,#N/A,FALSE,"Ratio Analysis";#N/A,#N/A,FALSE,"Test 120 Day Accts";#N/A,#N/A,FALSE,"Tickmarks"}</definedName>
    <definedName name="ㅋㅋㅋㅋ" hidden="1">{#N/A,#N/A,FALSE,"Aging Summary";#N/A,#N/A,FALSE,"Ratio Analysis";#N/A,#N/A,FALSE,"Test 120 Day Accts";#N/A,#N/A,FALSE,"Tickmarks"}</definedName>
    <definedName name="ㅋㅌ애ㅑㅓㅎㄹ" localSheetId="0" hidden="1">{#N/A,#N/A,FALSE,"집계표"}</definedName>
    <definedName name="ㅋㅌ애ㅑㅓㅎㄹ" hidden="1">{#N/A,#N/A,FALSE,"집계표"}</definedName>
    <definedName name="ㅋ타ㅓㄹㅇ" localSheetId="0" hidden="1">{#N/A,#N/A,FALSE,"집계표"}</definedName>
    <definedName name="ㅋ타ㅓㄹㅇ" hidden="1">{#N/A,#N/A,FALSE,"집계표"}</definedName>
    <definedName name="ㅋ텋리ㅏㄴㅁㄱ" localSheetId="0" hidden="1">{#N/A,#N/A,FALSE,"집계표"}</definedName>
    <definedName name="ㅋ텋리ㅏㄴㅁㄱ" hidden="1">{#N/A,#N/A,FALSE,"집계표"}</definedName>
    <definedName name="ㅋ하ㅓㅈㄴㄷㄱㅎ" localSheetId="0" hidden="1">{#N/A,#N/A,FALSE,"집계표"}</definedName>
    <definedName name="ㅋ하ㅓㅈㄴㄷㄱㅎ" hidden="1">{#N/A,#N/A,FALSE,"집계표"}</definedName>
    <definedName name="캐쉬" localSheetId="0" hidden="1">{#N/A,#N/A,FALSE,"지침";#N/A,#N/A,FALSE,"환경분석";#N/A,#N/A,FALSE,"Sheet16"}</definedName>
    <definedName name="캐쉬" hidden="1">{#N/A,#N/A,FALSE,"지침";#N/A,#N/A,FALSE,"환경분석";#N/A,#N/A,FALSE,"Sheet16"}</definedName>
    <definedName name="캬ㅓ래ㅑㅣㅏ" localSheetId="0" hidden="1">{#N/A,#N/A,FALSE,"집계표"}</definedName>
    <definedName name="캬ㅓ래ㅑㅣㅏ" hidden="1">{#N/A,#N/A,FALSE,"집계표"}</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켐온건축" localSheetId="0" hidden="1">{#N/A,#N/A,FALSE,"CCTV"}</definedName>
    <definedName name="켐온건축" hidden="1">{#N/A,#N/A,FALSE,"CCTV"}</definedName>
    <definedName name="키ㅏㄴ어리ㅑㅁㅈㄷ" localSheetId="0" hidden="1">{#N/A,#N/A,FALSE,"집계표"}</definedName>
    <definedName name="키ㅏㄴ어리ㅑㅁㅈㄷ" hidden="1">{#N/A,#N/A,FALSE,"집계표"}</definedName>
    <definedName name="ㅌㄹ요" localSheetId="0" hidden="1">{#N/A,#N/A,FALSE,"집계표"}</definedName>
    <definedName name="ㅌㄹ요" hidden="1">{#N/A,#N/A,FALSE,"집계표"}</definedName>
    <definedName name="ㅌㄹ호" localSheetId="0" hidden="1">{#N/A,#N/A,FALSE,"집계표"}</definedName>
    <definedName name="ㅌㄹ호" hidden="1">{#N/A,#N/A,FALSE,"집계표"}</definedName>
    <definedName name="ㅌ롷" localSheetId="0" hidden="1">{#N/A,#N/A,FALSE,"집계표"}</definedName>
    <definedName name="ㅌ롷" hidden="1">{#N/A,#N/A,FALSE,"집계표"}</definedName>
    <definedName name="ㅌㄾㅎ" localSheetId="0" hidden="1">{#N/A,#N/A,FALSE,"집계표"}</definedName>
    <definedName name="ㅌㄾㅎ" hidden="1">{#N/A,#N/A,FALSE,"집계표"}</definedName>
    <definedName name="ㅌㅅㅊㅌ" localSheetId="0" hidden="1">{#N/A,#N/A,FALSE,"집계표"}</definedName>
    <definedName name="ㅌㅅㅊㅌ" hidden="1">{#N/A,#N/A,FALSE,"집계표"}</definedName>
    <definedName name="ㅌ쇼ㅏ" localSheetId="0" hidden="1">{#N/A,#N/A,FALSE,"집계표"}</definedName>
    <definedName name="ㅌ쇼ㅏ" hidden="1">{#N/A,#N/A,FALSE,"집계표"}</definedName>
    <definedName name="ㅌㅇㄱㄱ" localSheetId="0" hidden="1">{#N/A,#N/A,FALSE,"집계표"}</definedName>
    <definedName name="ㅌㅇㄱㄱ" hidden="1">{#N/A,#N/A,FALSE,"집계표"}</definedName>
    <definedName name="ㅌㅇ려ㅛㄴㅇㅀ" localSheetId="0" hidden="1">{#N/A,#N/A,FALSE,"집계표"}</definedName>
    <definedName name="ㅌㅇ려ㅛㄴㅇㅀ" hidden="1">{#N/A,#N/A,FALSE,"집계표"}</definedName>
    <definedName name="ㅌㅇ롷ㄴㄱㄷ" localSheetId="0" hidden="1">{#N/A,#N/A,FALSE,"집계표"}</definedName>
    <definedName name="ㅌㅇ롷ㄴㄱㄷ" hidden="1">{#N/A,#N/A,FALSE,"집계표"}</definedName>
    <definedName name="ㅌㅇ료" localSheetId="0" hidden="1">{#N/A,#N/A,FALSE,"집계표"}</definedName>
    <definedName name="ㅌㅇ료" hidden="1">{#N/A,#N/A,FALSE,"집계표"}</definedName>
    <definedName name="ㅌㅊㄹ오" localSheetId="0" hidden="1">{#N/A,#N/A,FALSE,"집계표"}</definedName>
    <definedName name="ㅌㅊㄹ오" hidden="1">{#N/A,#N/A,FALSE,"집계표"}</definedName>
    <definedName name="ㅌㅊㄹ호" localSheetId="0" hidden="1">{#N/A,#N/A,FALSE,"집계표"}</definedName>
    <definedName name="ㅌㅊㄹ호" hidden="1">{#N/A,#N/A,FALSE,"집계표"}</definedName>
    <definedName name="ㅌㅊ룟" localSheetId="0" hidden="1">{#N/A,#N/A,FALSE,"집계표"}</definedName>
    <definedName name="ㅌㅊ룟" hidden="1">{#N/A,#N/A,FALSE,"집계표"}</definedName>
    <definedName name="ㅌ처히ㅏㅓㄹㅇ하" localSheetId="0" hidden="1">{#N/A,#N/A,FALSE,"집계표"}</definedName>
    <definedName name="ㅌ처히ㅏㅓㄹㅇ하" hidden="1">{#N/A,#N/A,FALSE,"집계표"}</definedName>
    <definedName name="ㅌㅋㅀ" localSheetId="0" hidden="1">{#N/A,#N/A,FALSE,"집계표"}</definedName>
    <definedName name="ㅌㅋㅀ" hidden="1">{#N/A,#N/A,FALSE,"집계표"}</definedName>
    <definedName name="ㅌㅋ퍼ㅣㅏㄴㅇ" localSheetId="0" hidden="1">{#N/A,#N/A,FALSE,"집계표"}</definedName>
    <definedName name="ㅌㅋ퍼ㅣㅏㄴㅇ" hidden="1">{#N/A,#N/A,FALSE,"집계표"}</definedName>
    <definedName name="ㅌ카ㅓ낭렇" localSheetId="0" hidden="1">{#N/A,#N/A,FALSE,"집계표"}</definedName>
    <definedName name="ㅌ카ㅓ낭렇" hidden="1">{#N/A,#N/A,FALSE,"집계표"}</definedName>
    <definedName name="ㅌㅌ" localSheetId="0" hidden="1">{#N/A,#N/A,FALSE,"표지"}</definedName>
    <definedName name="ㅌㅌ" hidden="1">{#N/A,#N/A,FALSE,"표지"}</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타히ㅓㅇ" hidden="1">{#N/A,#N/A,FALSE,"집계표"}</definedName>
    <definedName name="탈" localSheetId="0" hidden="1">{#N/A,#N/A,FALSE,"CCTV"}</definedName>
    <definedName name="탈" hidden="1">{#N/A,#N/A,FALSE,"CCTV"}</definedName>
    <definedName name="태영지급" localSheetId="0" hidden="1">{#N/A,#N/A,FALSE,"부대1"}</definedName>
    <definedName name="태영지급" hidden="1">{#N/A,#N/A,FALSE,"부대1"}</definedName>
    <definedName name="텨러" localSheetId="0" hidden="1">{#N/A,#N/A,FALSE,"집계표"}</definedName>
    <definedName name="텨러" hidden="1">{#N/A,#N/A,FALSE,"집계표"}</definedName>
    <definedName name="토" hidden="1">#REF!</definedName>
    <definedName name="토\40" localSheetId="0" hidden="1">{#N/A,#N/A,FALSE,"토공2"}</definedName>
    <definedName name="토\40" hidden="1">{#N/A,#N/A,FALSE,"토공2"}</definedName>
    <definedName name="토1" localSheetId="0" hidden="1">{#N/A,#N/A,FALSE,"이정표"}</definedName>
    <definedName name="토1" hidden="1">{#N/A,#N/A,FALSE,"이정표"}</definedName>
    <definedName name="토2" localSheetId="0" hidden="1">{#N/A,#N/A,FALSE,"조골재"}</definedName>
    <definedName name="토2" hidden="1">{#N/A,#N/A,FALSE,"조골재"}</definedName>
    <definedName name="토3" localSheetId="0" hidden="1">{#N/A,#N/A,FALSE,"구조1"}</definedName>
    <definedName name="토3"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11" hidden="1">{#N/A,#N/A,FALSE,"포장2"}</definedName>
    <definedName name="토공2" localSheetId="0" hidden="1">{#N/A,#N/A,FALSE,"2~8번"}</definedName>
    <definedName name="토공2" hidden="1">{#N/A,#N/A,FALSE,"2~8번"}</definedName>
    <definedName name="토공사" hidden="1">#REF!</definedName>
    <definedName name="토공사2" hidden="1">#REF!</definedName>
    <definedName name="토공전체" localSheetId="0" hidden="1">{#N/A,#N/A,FALSE,"운반시간"}</definedName>
    <definedName name="토공전체" hidden="1">{#N/A,#N/A,FALSE,"운반시간"}</definedName>
    <definedName name="토목" localSheetId="0" hidden="1">{#N/A,#N/A,FALSE,"CCTV"}</definedName>
    <definedName name="토목" hidden="1">{#N/A,#N/A,FALSE,"CCTV"}</definedName>
    <definedName name="토목공사" localSheetId="0" hidden="1">{#N/A,#N/A,FALSE,"이태원철근"}</definedName>
    <definedName name="토목공사" hidden="1">{#N/A,#N/A,FALSE,"이태원철근"}</definedName>
    <definedName name="토목공사강릉" hidden="1">#REF!</definedName>
    <definedName name="토목설계" localSheetId="0" hidden="1">{#N/A,#N/A,FALSE,"골재소요량";#N/A,#N/A,FALSE,"골재소요량"}</definedName>
    <definedName name="토목설계" hidden="1">{#N/A,#N/A,FALSE,"골재소요량";#N/A,#N/A,FALSE,"골재소요량"}</definedName>
    <definedName name="토목실견적" localSheetId="0" hidden="1">{#N/A,#N/A,FALSE,"이태원철근"}</definedName>
    <definedName name="토목실견적" hidden="1">{#N/A,#N/A,FALSE,"이태원철근"}</definedName>
    <definedName name="투3" localSheetId="0" hidden="1">{#N/A,#N/A,FALSE,"배수2"}</definedName>
    <definedName name="투3"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 hidden="1">{#N/A,#N/A,FALSE,"단가표지"}</definedName>
    <definedName name="투찰표" localSheetId="0" hidden="1">{#N/A,#N/A,FALSE,"부대1"}</definedName>
    <definedName name="투찰표" hidden="1">{#N/A,#N/A,FALSE,"부대1"}</definedName>
    <definedName name="툿" localSheetId="0" hidden="1">{#N/A,#N/A,FALSE,"사업총괄";#N/A,#N/A,FALSE,"장비사업";#N/A,#N/A,FALSE,"철구사업";#N/A,#N/A,FALSE,"준설사업"}</definedName>
    <definedName name="툿"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티" hidden="1">{#N/A,#N/A,FALSE,"예상손익";#N/A,#N/A,FALSE,"관리분석";#N/A,#N/A,FALSE,"장비분석";#N/A,#N/A,FALSE,"준설분석";#N/A,#N/A,FALSE,"철구분석"}</definedName>
    <definedName name="ㅍ" localSheetId="0" hidden="1">{#N/A,#N/A,FALSE,"조골재"}</definedName>
    <definedName name="ㅍ" hidden="1">{#N/A,#N/A,FALSE,"조골재"}</definedName>
    <definedName name="ㅍㄴㅇㄷ" localSheetId="0" hidden="1">{#N/A,#N/A,FALSE,"집계표"}</definedName>
    <definedName name="ㅍㄴㅇㄷ" hidden="1">{#N/A,#N/A,FALSE,"집계표"}</definedName>
    <definedName name="ㅍㅊㅇㅍㅊ" localSheetId="0" hidden="1">{#N/A,#N/A,FALSE,"집계표"}</definedName>
    <definedName name="ㅍㅊㅇㅍㅊ" hidden="1">{#N/A,#N/A,FALSE,"집계표"}</definedName>
    <definedName name="ㅍ초ㅓㅓㅓㅓㅓㅓㅓ" localSheetId="0" hidden="1">{#N/A,#N/A,FALSE,"집계표"}</definedName>
    <definedName name="ㅍ초ㅓㅓㅓㅓㅓㅓㅓ" hidden="1">{#N/A,#N/A,FALSE,"집계표"}</definedName>
    <definedName name="ㅍ츄ㅗ" localSheetId="0" hidden="1">{#N/A,#N/A,FALSE,"집계표"}</definedName>
    <definedName name="ㅍ츄ㅗ" hidden="1">{#N/A,#N/A,FALSE,"집계표"}</definedName>
    <definedName name="ㅍㅌㅋ이ㅏ" localSheetId="0" hidden="1">{#N/A,#N/A,FALSE,"집계표"}</definedName>
    <definedName name="ㅍㅌㅋ이ㅏ" hidden="1">{#N/A,#N/A,FALSE,"집계표"}</definedName>
    <definedName name="ㅍㅍ" localSheetId="0" hidden="1">{#N/A,#N/A,TRUE,"토적및재료집계";#N/A,#N/A,TRUE,"토적및재료집계";#N/A,#N/A,TRUE,"단위량"}</definedName>
    <definedName name="ㅍㅍ" hidden="1">{#N/A,#N/A,TRUE,"토적및재료집계";#N/A,#N/A,TRUE,"토적및재료집계";#N/A,#N/A,TRUE,"단위량"}</definedName>
    <definedName name="ㅍㅍㅍㅍㅍㅍ" localSheetId="0" hidden="1">{#N/A,#N/A,FALSE,"CCTV"}</definedName>
    <definedName name="ㅍㅍㅍㅍㅍㅍ" hidden="1">{#N/A,#N/A,FALSE,"CCTV"}</definedName>
    <definedName name="ㅍ햐ㅐㅣㅏ" localSheetId="0" hidden="1">{#N/A,#N/A,FALSE,"집계표"}</definedName>
    <definedName name="ㅍ햐ㅐㅣㅏ" hidden="1">{#N/A,#N/A,FALSE,"집계표"}</definedName>
    <definedName name="ㅍ화ㅓ" localSheetId="0" hidden="1">{#N/A,#N/A,FALSE,"집계표"}</definedName>
    <definedName name="ㅍ화ㅓ" hidden="1">{#N/A,#N/A,FALSE,"집계표"}</definedName>
    <definedName name="파" localSheetId="0" hidden="1">{#N/A,#N/A,FALSE,"견적갑지";#N/A,#N/A,FALSE,"총괄표";#N/A,#N/A,FALSE,"철골공사";#N/A,#N/A,FALSE,"토목공사";#N/A,#N/A,FALSE,"판넬전기공사"}</definedName>
    <definedName name="파" hidden="1">{#N/A,#N/A,FALSE,"견적갑지";#N/A,#N/A,FALSE,"총괄표";#N/A,#N/A,FALSE,"철골공사";#N/A,#N/A,FALSE,"토목공사";#N/A,#N/A,FALSE,"판넬전기공사"}</definedName>
    <definedName name="파일산출3" hidden="1">#REF!</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localSheetId="0" hidden="1">{#N/A,#N/A,FALSE,"전열산출서"}</definedName>
    <definedName name="패널물량"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2월ocf" hidden="1">{#N/A,#N/A,FALSE,"지침";#N/A,#N/A,FALSE,"환경분석";#N/A,#N/A,FALSE,"Sheet16"}</definedName>
    <definedName name="포장ocf" localSheetId="0" hidden="1">{#N/A,#N/A,FALSE,"지침";#N/A,#N/A,FALSE,"환경분석";#N/A,#N/A,FALSE,"Sheet16"}</definedName>
    <definedName name="포장ocf" hidden="1">{#N/A,#N/A,FALSE,"지침";#N/A,#N/A,FALSE,"환경분석";#N/A,#N/A,FALSE,"Sheet16"}</definedName>
    <definedName name="포지머ㅗㄱㄷㅌ킹1" localSheetId="0" hidden="1">{#N/A,#N/A,FALSE,"표지목차"}</definedName>
    <definedName name="포지머ㅗㄱㄷㅌ킹1" hidden="1">{#N/A,#N/A,FALSE,"표지목차"}</definedName>
    <definedName name="폽장2" localSheetId="0" hidden="1">{#N/A,#N/A,FALSE,"포장1";#N/A,#N/A,FALSE,"포장1"}</definedName>
    <definedName name="폽장2"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localSheetId="0" hidden="1">{#N/A,#N/A,FALSE,"속도"}</definedName>
    <definedName name="표지1"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localSheetId="0" hidden="1">{#N/A,#N/A,FALSE,"집계표"}</definedName>
    <definedName name="퓨ㅗ허" hidden="1">{#N/A,#N/A,FALSE,"집계표"}</definedName>
    <definedName name="퓸" localSheetId="0" hidden="1">{#N/A,#N/A,FALSE,"사업총괄";#N/A,#N/A,FALSE,"장비사업";#N/A,#N/A,FALSE,"철구사업";#N/A,#N/A,FALSE,"준설사업"}</definedName>
    <definedName name="퓸"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 hidden="1">{#N/A,#N/A,FALSE,"견적갑지";#N/A,#N/A,FALSE,"총괄표";#N/A,#N/A,FALSE,"철골공사";#N/A,#N/A,FALSE,"토목공사";#N/A,#N/A,FALSE,"판넬전기공사"}</definedName>
    <definedName name="피로티" localSheetId="0" hidden="1">{#N/A,#N/A,FALSE,"이태원철근"}</definedName>
    <definedName name="피로티" hidden="1">{#N/A,#N/A,FALSE,"이태원철근"}</definedName>
    <definedName name="피로티1" localSheetId="0" hidden="1">{#N/A,#N/A,FALSE,"이태원철근"}</definedName>
    <definedName name="피로티1" hidden="1">{#N/A,#N/A,FALSE,"이태원철근"}</definedName>
    <definedName name="ㅎ" localSheetId="0" hidden="1">{#N/A,#N/A,FALSE,"이태원철근"}</definedName>
    <definedName name="ㅎ" hidden="1">{#N/A,#N/A,FALSE,"이태원철근"}</definedName>
    <definedName name="ㅎㄴ" hidden="1">#REF!</definedName>
    <definedName name="ㅎㄴㅇㅀㄴ" localSheetId="0" hidden="1">{#N/A,#N/A,FALSE,"집계표"}</definedName>
    <definedName name="ㅎㄴㅇㅀㄴ" hidden="1">{#N/A,#N/A,FALSE,"집계표"}</definedName>
    <definedName name="ㅎㄹㅇㄴㅇ" localSheetId="0" hidden="1">{#N/A,#N/A,FALSE,"집계표"}</definedName>
    <definedName name="ㅎㄹㅇㄴㅇ" hidden="1">{#N/A,#N/A,FALSE,"집계표"}</definedName>
    <definedName name="ㅎㄹㅇ솔요" localSheetId="0" hidden="1">{#N/A,#N/A,FALSE,"집계표"}</definedName>
    <definedName name="ㅎㄹㅇ솔요" hidden="1">{#N/A,#N/A,FALSE,"집계표"}</definedName>
    <definedName name="ㅎㄹ어" localSheetId="0" hidden="1">{#N/A,#N/A,FALSE,"집계표"}</definedName>
    <definedName name="ㅎㄹ어" hidden="1">{#N/A,#N/A,FALSE,"집계표"}</definedName>
    <definedName name="ㅎㄹ오" localSheetId="0" hidden="1">{#N/A,#N/A,FALSE,"집계표"}</definedName>
    <definedName name="ㅎㄹ오"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ㄹ요서ㅗㅎㄹㅇ" hidden="1">{#N/A,#N/A,FALSE,"집계표"}</definedName>
    <definedName name="ㅎ러ㅗㅇ러" localSheetId="0" hidden="1">{#N/A,#N/A,FALSE,"집계표"}</definedName>
    <definedName name="ㅎ러ㅗㅇ러" hidden="1">{#N/A,#N/A,FALSE,"집계표"}</definedName>
    <definedName name="ㅎ러ㅘㅍㅊ" localSheetId="0" hidden="1">{#N/A,#N/A,FALSE,"집계표"}</definedName>
    <definedName name="ㅎ러ㅘㅍㅊ" hidden="1">{#N/A,#N/A,FALSE,"집계표"}</definedName>
    <definedName name="ㅎ려ㅑㅓㅏㄹ셔ㅛ" localSheetId="0" hidden="1">{#N/A,#N/A,FALSE,"집계표"}</definedName>
    <definedName name="ㅎ려ㅑㅓㅏㄹ셔ㅛ" hidden="1">{#N/A,#N/A,FALSE,"집계표"}</definedName>
    <definedName name="ㅎ로" localSheetId="0" hidden="1">{#N/A,#N/A,FALSE,"집계표"}</definedName>
    <definedName name="ㅎ로" hidden="1">{#N/A,#N/A,FALSE,"집계표"}</definedName>
    <definedName name="ㅎ로낟안" localSheetId="0" hidden="1">{#N/A,#N/A,FALSE,"혼합골재"}</definedName>
    <definedName name="ㅎ로낟안" hidden="1">{#N/A,#N/A,FALSE,"혼합골재"}</definedName>
    <definedName name="ㅎ로ㅓㅅㄱㄷ" localSheetId="0" hidden="1">{#N/A,#N/A,FALSE,"집계표"}</definedName>
    <definedName name="ㅎ로ㅓㅅㄱㄷ" hidden="1">{#N/A,#N/A,FALSE,"집계표"}</definedName>
    <definedName name="ㅎ로ㅓㅇ" localSheetId="0" hidden="1">{#N/A,#N/A,FALSE,"집계표"}</definedName>
    <definedName name="ㅎ로ㅓㅇ" hidden="1">{#N/A,#N/A,FALSE,"집계표"}</definedName>
    <definedName name="ㅎ로ㅓㅓㅓㅓㅓㅓㅓㅓㅓㅓ" localSheetId="0" hidden="1">{#N/A,#N/A,FALSE,"집계표"}</definedName>
    <definedName name="ㅎ로ㅓㅓㅓㅓㅓㅓㅓㅓㅓㅓ" hidden="1">{#N/A,#N/A,FALSE,"집계표"}</definedName>
    <definedName name="ㅎ롤ㅇㄴㄳㄱ" localSheetId="0" hidden="1">{#N/A,#N/A,FALSE,"집계표"}</definedName>
    <definedName name="ㅎ롤ㅇㄴㄳㄱ" hidden="1">{#N/A,#N/A,FALSE,"집계표"}</definedName>
    <definedName name="ㅎ롯ㅅ" localSheetId="0" hidden="1">{#N/A,#N/A,FALSE,"집계표"}</definedName>
    <definedName name="ㅎ롯ㅅ" hidden="1">{#N/A,#N/A,FALSE,"집계표"}</definedName>
    <definedName name="ㅎㅀㅀ" hidden="1">#REF!</definedName>
    <definedName name="ㅎㅀㅇ" hidden="1">#REF!</definedName>
    <definedName name="ㅎㅀㅎ" hidden="1">#REF!</definedName>
    <definedName name="ㅎㅁ" localSheetId="0" hidden="1">{#N/A,#N/A,FALSE,"집계표"}</definedName>
    <definedName name="ㅎㅁ" hidden="1">{#N/A,#N/A,FALSE,"집계표"}</definedName>
    <definedName name="ㅎㅁㄴ" hidden="1">#REF!</definedName>
    <definedName name="ㅎㅇ" localSheetId="0" hidden="1">{#N/A,#N/A,FALSE,"Aging Summary";#N/A,#N/A,FALSE,"Ratio Analysis";#N/A,#N/A,FALSE,"Test 120 Day Accts";#N/A,#N/A,FALSE,"Tickmarks"}</definedName>
    <definedName name="ㅎㅇ" hidden="1">{#N/A,#N/A,FALSE,"Aging Summary";#N/A,#N/A,FALSE,"Ratio Analysis";#N/A,#N/A,FALSE,"Test 120 Day Accts";#N/A,#N/A,FALSE,"Tickmarks"}</definedName>
    <definedName name="ㅎ처ㅗㅅㄹ요" localSheetId="0" hidden="1">{#N/A,#N/A,FALSE,"집계표"}</definedName>
    <definedName name="ㅎ처ㅗㅅㄹ요" hidden="1">{#N/A,#N/A,FALSE,"집계표"}</definedName>
    <definedName name="ㅎㅎ" hidden="1">#REF!</definedName>
    <definedName name="ㅎㅎㅎ" hidden="1">#REF!</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 hidden="1">{"'장비'!$A$3:$M$12"}</definedName>
    <definedName name="ㅎㅎㅎㅎㅎㅎㅎ" localSheetId="0" hidden="1">{#N/A,#N/A,FALSE,"교리2"}</definedName>
    <definedName name="ㅎㅎㅎㅎㅎㅎㅎ" hidden="1">{#N/A,#N/A,FALSE,"교리2"}</definedName>
    <definedName name="ㅎㅕㅓ" localSheetId="0" hidden="1">{#N/A,#N/A,FALSE,"집계표"}</definedName>
    <definedName name="ㅎㅕㅓ" hidden="1">{#N/A,#N/A,FALSE,"집계표"}</definedName>
    <definedName name="하" localSheetId="0" hidden="1">{#N/A,#N/A,FALSE,"지침";#N/A,#N/A,FALSE,"환경분석";#N/A,#N/A,FALSE,"Sheet16"}</definedName>
    <definedName name="하" hidden="1">{#N/A,#N/A,FALSE,"지침";#N/A,#N/A,FALSE,"환경분석";#N/A,#N/A,FALSE,"Sheet16"}</definedName>
    <definedName name="하나" localSheetId="0" hidden="1">{#N/A,#N/A,FALSE,"Sheet1"}</definedName>
    <definedName name="하나" hidden="1">{#N/A,#N/A,FALSE,"Sheet1"}</definedName>
    <definedName name="하도" localSheetId="0" hidden="1">{#N/A,#N/A,FALSE,"이정표"}</definedName>
    <definedName name="하도" hidden="1">{#N/A,#N/A,FALSE,"이정표"}</definedName>
    <definedName name="하도급" localSheetId="0" hidden="1">{#N/A,#N/A,FALSE,"사업총괄";#N/A,#N/A,FALSE,"장비사업";#N/A,#N/A,FALSE,"철구사업";#N/A,#N/A,FALSE,"준설사업"}</definedName>
    <definedName name="하도급"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localSheetId="0" hidden="1">{#N/A,#N/A,FALSE,"골재소요량";#N/A,#N/A,FALSE,"골재소요량"}</definedName>
    <definedName name="하도대상" hidden="1">{#N/A,#N/A,FALSE,"골재소요량";#N/A,#N/A,FALSE,"골재소요량"}</definedName>
    <definedName name="하도발주용공내역서" localSheetId="0" hidden="1">{#N/A,#N/A,FALSE,"사업총괄";#N/A,#N/A,FALSE,"장비사업";#N/A,#N/A,FALSE,"철구사업";#N/A,#N/A,FALSE,"준설사업"}</definedName>
    <definedName name="하도발주용공내역서"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수암거" hidden="1">{#N/A,#N/A,FALSE,"포장단가"}</definedName>
    <definedName name="하하하" localSheetId="0" hidden="1">{#N/A,#N/A,FALSE,"명세표"}</definedName>
    <definedName name="하하하" hidden="1">{#N/A,#N/A,FALSE,"명세표"}</definedName>
    <definedName name="하한선" localSheetId="0" hidden="1">{#N/A,#N/A,FALSE,"배수2"}</definedName>
    <definedName name="하한선" hidden="1">{#N/A,#N/A,FALSE,"배수2"}</definedName>
    <definedName name="한" hidden="1">#REF!</definedName>
    <definedName name="한동" localSheetId="0" hidden="1">{#N/A,#N/A,FALSE,"단가표지"}</definedName>
    <definedName name="한동" hidden="1">{#N/A,#N/A,FALSE,"단가표지"}</definedName>
    <definedName name="한동1" localSheetId="0" hidden="1">{#N/A,#N/A,FALSE,"단가표지"}</definedName>
    <definedName name="한동1" hidden="1">{#N/A,#N/A,FALSE,"단가표지"}</definedName>
    <definedName name="한울" hidden="1">#REF!</definedName>
    <definedName name="한울11" hidden="1">#REF!</definedName>
    <definedName name="한전수" localSheetId="0" hidden="1">{#N/A,#N/A,FALSE,"명세표"}</definedName>
    <definedName name="한전수" hidden="1">{#N/A,#N/A,FALSE,"명세표"}</definedName>
    <definedName name="햐" localSheetId="0" hidden="1">{#N/A,#N/A,FALSE,"사업총괄";#N/A,#N/A,FALSE,"장비사업";#N/A,#N/A,FALSE,"철구사업";#N/A,#N/A,FALSE,"준설사업"}</definedName>
    <definedName name="햐"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햐러" hidden="1">{#N/A,#N/A,FALSE,"변경관리예산";#N/A,#N/A,FALSE,"변경장비예산";#N/A,#N/A,FALSE,"변경준설예산";#N/A,#N/A,FALSE,"변경철구예산"}</definedName>
    <definedName name="허" localSheetId="0" hidden="1">{#N/A,#N/A,FALSE,"Sheet6"}</definedName>
    <definedName name="허" hidden="1">{#N/A,#N/A,FALSE,"Sheet6"}</definedName>
    <definedName name="허아ㅏㅇ" localSheetId="0" hidden="1">{#N/A,#N/A,FALSE,"집계표"}</definedName>
    <definedName name="허아ㅏㅇ" hidden="1">{#N/A,#N/A,FALSE,"집계표"}</definedName>
    <definedName name="허저터" localSheetId="0" hidden="1">{#N/A,#N/A,FALSE,"집계표"}</definedName>
    <definedName name="허저터" hidden="1">{#N/A,#N/A,FALSE,"집계표"}</definedName>
    <definedName name="허허헣ㅎ" localSheetId="0" hidden="1">{#N/A,#N/A,FALSE,"집계표"}</definedName>
    <definedName name="허허헣ㅎ" hidden="1">{#N/A,#N/A,FALSE,"집계표"}</definedName>
    <definedName name="허헣" localSheetId="0" hidden="1">{#N/A,#N/A,FALSE,"집계표"}</definedName>
    <definedName name="허헣" hidden="1">{#N/A,#N/A,FALSE,"집계표"}</definedName>
    <definedName name="허ㅗㅅ됴" localSheetId="0" hidden="1">{#N/A,#N/A,FALSE,"집계표"}</definedName>
    <definedName name="허ㅗㅅ됴" hidden="1">{#N/A,#N/A,FALSE,"집계표"}</definedName>
    <definedName name="허ㅚㅎ" localSheetId="0" hidden="1">{#N/A,#N/A,FALSE,"집계표"}</definedName>
    <definedName name="허ㅚㅎ" hidden="1">{#N/A,#N/A,FALSE,"집계표"}</definedName>
    <definedName name="현금등가물" localSheetId="0"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금흐름"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 hidden="1">{#N/A,#N/A,FALSE,"CCTV"}</definedName>
    <definedName name="현장운영비산출" hidden="1">#REF!</definedName>
    <definedName name="현장자재外" localSheetId="0" hidden="1">{"'Sheet1'!$A$4:$M$21","'Sheet1'!$J$17:$K$19"}</definedName>
    <definedName name="현장자재外" hidden="1">{"'Sheet1'!$A$4:$M$21","'Sheet1'!$J$17:$K$19"}</definedName>
    <definedName name="현조" hidden="1">#REF!</definedName>
    <definedName name="협" localSheetId="0" hidden="1">{#N/A,#N/A,FALSE,"배수2"}</definedName>
    <definedName name="협" hidden="1">{#N/A,#N/A,FALSE,"배수2"}</definedName>
    <definedName name="협력" localSheetId="0" hidden="1">{#N/A,#N/A,FALSE,"포장2"}</definedName>
    <definedName name="협력" hidden="1">{#N/A,#N/A,FALSE,"포장2"}</definedName>
    <definedName name="협력업체" localSheetId="0" hidden="1">{#N/A,#N/A,FALSE,"포장2"}</definedName>
    <definedName name="협력업체" hidden="1">{#N/A,#N/A,FALSE,"포장2"}</definedName>
    <definedName name="협조전" hidden="1">#REF!</definedName>
    <definedName name="협철" localSheetId="0" hidden="1">{#N/A,#N/A,FALSE,"포장2"}</definedName>
    <definedName name="협철" hidden="1">{#N/A,#N/A,FALSE,"포장2"}</definedName>
    <definedName name="협토" localSheetId="0" hidden="1">{#N/A,#N/A,FALSE,"포장1";#N/A,#N/A,FALSE,"포장1"}</definedName>
    <definedName name="협토" hidden="1">{#N/A,#N/A,FALSE,"포장1";#N/A,#N/A,FALSE,"포장1"}</definedName>
    <definedName name="협토1" localSheetId="0" hidden="1">{#N/A,#N/A,FALSE,"포장2"}</definedName>
    <definedName name="협토1" hidden="1">{#N/A,#N/A,FALSE,"포장2"}</definedName>
    <definedName name="협토자재" localSheetId="0" hidden="1">{#N/A,#N/A,FALSE,"포장2"}</definedName>
    <definedName name="협토자재" hidden="1">{#N/A,#N/A,FALSE,"포장2"}</definedName>
    <definedName name="형제" localSheetId="0" hidden="1">{#N/A,#N/A,FALSE,"포장2"}</definedName>
    <definedName name="형제" hidden="1">{#N/A,#N/A,FALSE,"포장2"}</definedName>
    <definedName name="호러ㅓㅓㅓㅓㅓㅓㅓ" localSheetId="0" hidden="1">{#N/A,#N/A,FALSE,"집계표"}</definedName>
    <definedName name="호러ㅓㅓㅓㅓㅓㅓㅓ" hidden="1">{#N/A,#N/A,FALSE,"집계표"}</definedName>
    <definedName name="호하ㅓ" localSheetId="0" hidden="1">{#N/A,#N/A,FALSE,"집계표"}</definedName>
    <definedName name="호하ㅓ" hidden="1">{#N/A,#N/A,FALSE,"집계표"}</definedName>
    <definedName name="호호" localSheetId="0" hidden="1">{#N/A,#N/A,FALSE,"포장1";#N/A,#N/A,FALSE,"포장1"}</definedName>
    <definedName name="호호" hidden="1">{#N/A,#N/A,FALSE,"포장1";#N/A,#N/A,FALSE,"포장1"}</definedName>
    <definedName name="호호호" localSheetId="0" hidden="1">{#N/A,#N/A,FALSE,"명세표"}</definedName>
    <definedName name="호호호" hidden="1">{#N/A,#N/A,FALSE,"명세표"}</definedName>
    <definedName name="호ㅓ" localSheetId="0" hidden="1">{#N/A,#N/A,FALSE,"집계표"}</definedName>
    <definedName name="호ㅓ" hidden="1">{#N/A,#N/A,FALSE,"집계표"}</definedName>
    <definedName name="호ㅓㅏ" localSheetId="0" hidden="1">{#N/A,#N/A,FALSE,"집계표"}</definedName>
    <definedName name="호ㅓㅏ" hidden="1">{#N/A,#N/A,FALSE,"집계표"}</definedName>
    <definedName name="호ㅓㅕㅏ6ㅅ서ㅛㅓ" hidden="1">#REF!</definedName>
    <definedName name="홇" localSheetId="0" hidden="1">{#N/A,#N/A,FALSE,"Sheet6"}</definedName>
    <definedName name="홇" hidden="1">{#N/A,#N/A,FALSE,"Sheet6"}</definedName>
    <definedName name="홋ㄱ" localSheetId="0" hidden="1">{#N/A,#N/A,FALSE,"Sheet6"}</definedName>
    <definedName name="홋ㄱ" hidden="1">{#N/A,#N/A,FALSE,"Sheet6"}</definedName>
    <definedName name="홍범표" localSheetId="0" hidden="1">{#N/A,#N/A,FALSE,"이태원철근"}</definedName>
    <definedName name="홍범표" hidden="1">{#N/A,#N/A,FALSE,"이태원철근"}</definedName>
    <definedName name="회ㅓㅗ허" localSheetId="0" hidden="1">{#N/A,#N/A,FALSE,"집계표"}</definedName>
    <definedName name="회ㅓㅗ허"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훃" hidden="1">{#N/A,#N/A,FALSE,"예상손익";#N/A,#N/A,FALSE,"관리분석";#N/A,#N/A,FALSE,"장비분석";#N/A,#N/A,FALSE,"준설분석";#N/A,#N/A,FALSE,"철구분석"}</definedName>
    <definedName name="히" localSheetId="0" hidden="1">{#N/A,#N/A,FALSE,"집계표"}</definedName>
    <definedName name="히" hidden="1">{#N/A,#N/A,FALSE,"집계표"}</definedName>
    <definedName name="힌울" hidden="1">#REF!</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 hidden="1">{#N/A,#N/A,FALSE,"이태원철근"}</definedName>
    <definedName name="ㅏ1" hidden="1">#REF!</definedName>
    <definedName name="ㅏㄱㄷ" localSheetId="0" hidden="1">{#N/A,#N/A,FALSE,"집계표"}</definedName>
    <definedName name="ㅏㄱㄷ" hidden="1">{#N/A,#N/A,FALSE,"집계표"}</definedName>
    <definedName name="ㅏㄹㄷㅈㄹ" hidden="1">#REF!</definedName>
    <definedName name="ㅏㅅ" localSheetId="0" hidden="1">{#N/A,#N/A,FALSE,"견적갑지";#N/A,#N/A,FALSE,"총괄표";#N/A,#N/A,FALSE,"철골공사";#N/A,#N/A,FALSE,"토목공사";#N/A,#N/A,FALSE,"판넬전기공사"}</definedName>
    <definedName name="ㅏㅅ" hidden="1">{#N/A,#N/A,FALSE,"견적갑지";#N/A,#N/A,FALSE,"총괄표";#N/A,#N/A,FALSE,"철골공사";#N/A,#N/A,FALSE,"토목공사";#N/A,#N/A,FALSE,"판넬전기공사"}</definedName>
    <definedName name="ㅏ이이ㅏ리" localSheetId="0" hidden="1">{#N/A,#N/A,FALSE,"주간공정";#N/A,#N/A,FALSE,"주간보고";#N/A,#N/A,FALSE,"주간공정표"}</definedName>
    <definedName name="ㅏ이이ㅏ리" hidden="1">{#N/A,#N/A,FALSE,"주간공정";#N/A,#N/A,FALSE,"주간보고";#N/A,#N/A,FALSE,"주간공정표"}</definedName>
    <definedName name="ㅏㅏㅏ" localSheetId="0" hidden="1">{#N/A,#N/A,FALSE,"주간공정";#N/A,#N/A,FALSE,"주간보고";#N/A,#N/A,FALSE,"주간공정표"}</definedName>
    <definedName name="ㅏㅏㅏ"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ㅏㅏㅏ"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 hidden="1">{#N/A,#N/A,FALSE,"집계표"}</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ㅏㅓㅏㅓ" localSheetId="0" hidden="1">{#N/A,#N/A,FALSE,"집계표"}</definedName>
    <definedName name="ㅏㅓㅏㅓㅏㅓ" hidden="1">{#N/A,#N/A,FALSE,"집계표"}</definedName>
    <definedName name="ㅏㅗ" localSheetId="0" hidden="1">{#N/A,#N/A,FALSE,"집계표"}</definedName>
    <definedName name="ㅏㅗ" hidden="1">{#N/A,#N/A,FALSE,"집계표"}</definedName>
    <definedName name="ㅐ" localSheetId="0" hidden="1">{#N/A,#N/A,FALSE,"이태원철근"}</definedName>
    <definedName name="ㅐ"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ㅑㅑㅑㅑㅑㅑ" hidden="1">{#N/A,#N/A,FALSE,"Sheet6"}</definedName>
    <definedName name="ㅑㅕㅛㅐ" localSheetId="0" hidden="1">{#N/A,#N/A,FALSE,"집계표"}</definedName>
    <definedName name="ㅑㅕㅛㅐ" hidden="1">{#N/A,#N/A,FALSE,"집계표"}</definedName>
    <definedName name="ㅓ" localSheetId="0" hidden="1">{#N/A,#N/A,FALSE,"이태원철근"}</definedName>
    <definedName name="ㅓ" hidden="1">{#N/A,#N/A,FALSE,"이태원철근"}</definedName>
    <definedName name="ㅓㄴㄱ" hidden="1">#REF!</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ㅅㄱㄴㄹㅇㄴ" hidden="1">{#N/A,#N/A,FALSE,"집계표"}</definedName>
    <definedName name="ㅓㅇ" localSheetId="0" hidden="1">{#N/A,#N/A,FALSE,"집계표"}</definedName>
    <definedName name="ㅓㅇ" hidden="1">{#N/A,#N/A,FALSE,"집계표"}</definedName>
    <definedName name="ㅓㅇㄹ" localSheetId="0" hidden="1">{#N/A,#N/A,FALSE,"집계표"}</definedName>
    <definedName name="ㅓㅇㄹ" hidden="1">{#N/A,#N/A,FALSE,"집계표"}</definedName>
    <definedName name="ㅓ치ㅏ헐ㅇ" localSheetId="0" hidden="1">{#N/A,#N/A,FALSE,"집계표"}</definedName>
    <definedName name="ㅓ치ㅏ헐ㅇ" hidden="1">{#N/A,#N/A,FALSE,"집계표"}</definedName>
    <definedName name="ㅓㅎㄹㅇ" localSheetId="0" hidden="1">{#N/A,#N/A,FALSE,"집계표"}</definedName>
    <definedName name="ㅓㅎㄹㅇ" hidden="1">{#N/A,#N/A,FALSE,"집계표"}</definedName>
    <definedName name="ㅓ호" localSheetId="0" hidden="1">{#N/A,#N/A,FALSE,"집계표"}</definedName>
    <definedName name="ㅓ호"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ㅕㅏ" hidden="1">{#N/A,#N/A,FALSE,"Sheet6"}</definedName>
    <definedName name="ㅓㅗ" localSheetId="0" hidden="1">{#N/A,#N/A,FALSE,"집계표"}</definedName>
    <definedName name="ㅓㅗ" hidden="1">{#N/A,#N/A,FALSE,"집계표"}</definedName>
    <definedName name="ㅓㅗㄹ허" localSheetId="0" hidden="1">{#N/A,#N/A,FALSE,"집계표"}</definedName>
    <definedName name="ㅓㅗㄹ허" hidden="1">{#N/A,#N/A,FALSE,"집계표"}</definedName>
    <definedName name="ㅓㅗㅎㄹㅇㅇ" localSheetId="0" hidden="1">{#N/A,#N/A,FALSE,"집계표"}</definedName>
    <definedName name="ㅓㅗㅎㄹㅇㅇ" hidden="1">{#N/A,#N/A,FALSE,"집계표"}</definedName>
    <definedName name="ㅓㅗㅎㅍ" localSheetId="0" hidden="1">{#N/A,#N/A,FALSE,"집계표"}</definedName>
    <definedName name="ㅓㅗㅎㅍ" hidden="1">{#N/A,#N/A,FALSE,"집계표"}</definedName>
    <definedName name="ㅓㅗ하ㅗㅎ" localSheetId="0" hidden="1">{#N/A,#N/A,FALSE,"집계표"}</definedName>
    <definedName name="ㅓㅗ하ㅗㅎ" hidden="1">{#N/A,#N/A,FALSE,"집계표"}</definedName>
    <definedName name="ㅓㅘㅎ" localSheetId="0" hidden="1">{#N/A,#N/A,FALSE,"집계표"}</definedName>
    <definedName name="ㅓㅘㅎ" hidden="1">{#N/A,#N/A,FALSE,"집계표"}</definedName>
    <definedName name="ㅓㅣㅏㅗ" localSheetId="0" hidden="1">{#N/A,#N/A,FALSE,"집계표"}</definedName>
    <definedName name="ㅓㅣㅏㅗ" hidden="1">{#N/A,#N/A,FALSE,"집계표"}</definedName>
    <definedName name="ㅔ" localSheetId="0" hidden="1">{#N/A,#N/A,FALSE,"이태원철근"}</definedName>
    <definedName name="ㅔ" hidden="1">{#N/A,#N/A,FALSE,"이태원철근"}</definedName>
    <definedName name="ㅔㅐㄴ애ㅔㅐ" localSheetId="0" hidden="1">{#N/A,#N/A,FALSE,"집계표"}</definedName>
    <definedName name="ㅔㅐㄴ애ㅔㅐ" hidden="1">{#N/A,#N/A,FALSE,"집계표"}</definedName>
    <definedName name="ㅔㅔ" hidden="1">#REF!</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쇼" hidden="1">{#N/A,#N/A,FALSE,"Sheet6"}</definedName>
    <definedName name="ㅕㅏㅛㅕㅏ" localSheetId="0" hidden="1">{#N/A,#N/A,FALSE,"Sheet6"}</definedName>
    <definedName name="ㅕㅏㅛㅕㅏ" hidden="1">{#N/A,#N/A,FALSE,"Sheet6"}</definedName>
    <definedName name="ㅕㅑㅐ" localSheetId="0" hidden="1">{#N/A,#N/A,FALSE,"Sheet6"}</definedName>
    <definedName name="ㅕㅑㅐ"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 hidden="1">{#N/A,#N/A,FALSE,"이태원철근"}</definedName>
    <definedName name="ㅗㄴㅇ" localSheetId="0" hidden="1">{#N/A,#N/A,FALSE,"집계표"}</definedName>
    <definedName name="ㅗㄴㅇ" hidden="1">{#N/A,#N/A,FALSE,"집계표"}</definedName>
    <definedName name="ㅗㄹㅇ오" localSheetId="0" hidden="1">{#N/A,#N/A,FALSE,"집계표"}</definedName>
    <definedName name="ㅗㄹㅇ오" hidden="1">{#N/A,#N/A,FALSE,"집계표"}</definedName>
    <definedName name="ㅗㄹㅇㅎ" localSheetId="0" hidden="1">{#N/A,#N/A,FALSE,"집계표"}</definedName>
    <definedName name="ㅗㄹㅇㅎ" hidden="1">{#N/A,#N/A,FALSE,"집계표"}</definedName>
    <definedName name="ㅗㄹㅎ라ㅗ" localSheetId="0" hidden="1">{#N/A,#N/A,FALSE,"집계표"}</definedName>
    <definedName name="ㅗㄹㅎ라ㅗ"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ㅇㄴㄴ" hidden="1">{#N/A,#N/A,FALSE,"집계표"}</definedName>
    <definedName name="ㅗㅎㄹ" localSheetId="0" hidden="1">{#N/A,#N/A,FALSE,"집계표"}</definedName>
    <definedName name="ㅗㅎㄹ" hidden="1">{#N/A,#N/A,FALSE,"집계표"}</definedName>
    <definedName name="ㅗㅎ렇ㄹㅊㅇㅇ" localSheetId="0" hidden="1">{#N/A,#N/A,FALSE,"집계표"}</definedName>
    <definedName name="ㅗㅎ렇ㄹㅊㅇㅇ" hidden="1">{#N/A,#N/A,FALSE,"집계표"}</definedName>
    <definedName name="ㅗㅎㅇㄹ" localSheetId="0" hidden="1">{#N/A,#N/A,FALSE,"집계표"}</definedName>
    <definedName name="ㅗㅎㅇㄹ" hidden="1">{#N/A,#N/A,FALSE,"집계표"}</definedName>
    <definedName name="ㅗㅎㅈ" localSheetId="0" hidden="1">{#N/A,#N/A,FALSE,"집계표"}</definedName>
    <definedName name="ㅗㅎㅈ" hidden="1">{#N/A,#N/A,FALSE,"집계표"}</definedName>
    <definedName name="ㅗㅎㅊㅌㅎ" localSheetId="0" hidden="1">{#N/A,#N/A,FALSE,"집계표"}</definedName>
    <definedName name="ㅗㅎㅊㅌㅎ" hidden="1">{#N/A,#N/A,FALSE,"집계표"}</definedName>
    <definedName name="ㅗ하ㅓ" localSheetId="0" hidden="1">{#N/A,#N/A,FALSE,"집계표"}</definedName>
    <definedName name="ㅗ하ㅓ" hidden="1">{#N/A,#N/A,FALSE,"집계표"}</definedName>
    <definedName name="ㅗ허" localSheetId="0" hidden="1">{#N/A,#N/A,FALSE,"집계표"}</definedName>
    <definedName name="ㅗ허" hidden="1">{#N/A,#N/A,FALSE,"집계표"}</definedName>
    <definedName name="ㅗ혀ㅏㄹ" localSheetId="0" hidden="1">{#N/A,#N/A,FALSE,"집계표"}</definedName>
    <definedName name="ㅗ혀ㅏㄹ" hidden="1">{#N/A,#N/A,FALSE,"집계표"}</definedName>
    <definedName name="ㅗ홓ㅎ로" localSheetId="0" hidden="1">{"'장비'!$A$3:$M$12"}</definedName>
    <definedName name="ㅗ홓ㅎ로" hidden="1">{"'장비'!$A$3:$M$12"}</definedName>
    <definedName name="ㅗㅓㅀㅅ" localSheetId="0" hidden="1">{#N/A,#N/A,FALSE,"집계표"}</definedName>
    <definedName name="ㅗㅓㅀㅅ" hidden="1">{#N/A,#N/A,FALSE,"집계표"}</definedName>
    <definedName name="ㅗㅓㅕㅑㅕ" localSheetId="0" hidden="1">{#N/A,#N/A,FALSE,"Sheet6"}</definedName>
    <definedName name="ㅗㅓㅕㅑㅕ" hidden="1">{#N/A,#N/A,FALSE,"Sheet6"}</definedName>
    <definedName name="ㅗㅓㅛㅎ" localSheetId="0" hidden="1">{#N/A,#N/A,FALSE,"Sheet6"}</definedName>
    <definedName name="ㅗㅓㅛㅎ" hidden="1">{#N/A,#N/A,FALSE,"Sheet6"}</definedName>
    <definedName name="ㅗㅗ" localSheetId="0" hidden="1">{#N/A,#N/A,FALSE,"명세표"}</definedName>
    <definedName name="ㅗㅗ"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ㅗㅗㅗㅗ" hidden="1">{"'장비'!$A$3:$M$12"}</definedName>
    <definedName name="ㅗㅠ" localSheetId="0" hidden="1">{#N/A,#N/A,FALSE,"집계표"}</definedName>
    <definedName name="ㅗㅠ" hidden="1">{#N/A,#N/A,FALSE,"집계표"}</definedName>
    <definedName name="ㅛ" localSheetId="0" hidden="1">{#N/A,#N/A,FALSE,"이태원철근"}</definedName>
    <definedName name="ㅛ" hidden="1">{#N/A,#N/A,FALSE,"이태원철근"}</definedName>
    <definedName name="ㅛㅅ겨ㅑㅛㅅ" localSheetId="0" hidden="1">{#N/A,#N/A,FALSE,"집계표"}</definedName>
    <definedName name="ㅛㅅ겨ㅑㅛㅅ" hidden="1">{#N/A,#N/A,FALSE,"집계표"}</definedName>
    <definedName name="ㅛ셔쇼ㅕ" localSheetId="0" hidden="1">{#N/A,#N/A,FALSE,"Sheet6"}</definedName>
    <definedName name="ㅛ셔쇼ㅕ" hidden="1">{#N/A,#N/A,FALSE,"Sheet6"}</definedName>
    <definedName name="ㅛㅓ쇼" localSheetId="0" hidden="1">{#N/A,#N/A,FALSE,"Sheet6"}</definedName>
    <definedName name="ㅛㅓ쇼" hidden="1">{#N/A,#N/A,FALSE,"Sheet6"}</definedName>
    <definedName name="ㅛㅕㅑ" hidden="1">#REF!</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ㅜㅜㅜㅜㅜ"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 hidden="1">{#N/A,#N/A,FALSE,"이태원철근"}</definedName>
    <definedName name="ㅠ뮤ㅐ" hidden="1">#REF!</definedName>
    <definedName name="ㅠㅍㅎ" localSheetId="0" hidden="1">{#N/A,#N/A,FALSE,"집계표"}</definedName>
    <definedName name="ㅠㅍㅎ" hidden="1">{#N/A,#N/A,FALSE,"집계표"}</definedName>
    <definedName name="ㅠ포ㅓㅓㅓㅓㅓㅓ" localSheetId="0" hidden="1">{#N/A,#N/A,FALSE,"집계표"}</definedName>
    <definedName name="ㅠ포ㅓㅓㅓㅓㅓㅓ" hidden="1">{#N/A,#N/A,FALSE,"집계표"}</definedName>
    <definedName name="ㅠㅎㅇㄴ" localSheetId="0" hidden="1">{#N/A,#N/A,FALSE,"지침";#N/A,#N/A,FALSE,"환경분석";#N/A,#N/A,FALSE,"Sheet16"}</definedName>
    <definedName name="ㅠㅎㅇㄴ" hidden="1">{#N/A,#N/A,FALSE,"지침";#N/A,#N/A,FALSE,"환경분석";#N/A,#N/A,FALSE,"Sheet16"}</definedName>
    <definedName name="ㅠㅜㅛ" localSheetId="0" hidden="1">{#N/A,#N/A,FALSE,"Sheet6"}</definedName>
    <definedName name="ㅠㅜㅛ" hidden="1">{#N/A,#N/A,FALSE,"Sheet6"}</definedName>
    <definedName name="ㅡ" localSheetId="0" hidden="1">{#N/A,#N/A,FALSE,"이태원철근"}</definedName>
    <definedName name="ㅡ" hidden="1">{#N/A,#N/A,FALSE,"이태원철근"}</definedName>
    <definedName name="ㅡ므" localSheetId="0" hidden="1">{#N/A,#N/A,FALSE,"집계표"}</definedName>
    <definedName name="ㅡ므" hidden="1">{#N/A,#N/A,FALSE,"집계표"}</definedName>
    <definedName name="ㅡㅡ" localSheetId="0" hidden="1">{#N/A,#N/A,FALSE,"명세표"}</definedName>
    <definedName name="ㅡㅡ" hidden="1">{#N/A,#N/A,FALSE,"명세표"}</definedName>
    <definedName name="ㅣㄴ아ㅓㄹ" localSheetId="0" hidden="1">{#N/A,#N/A,FALSE,"집계표"}</definedName>
    <definedName name="ㅣㄴ아ㅓㄹ" hidden="1">{#N/A,#N/A,FALSE,"집계표"}</definedName>
    <definedName name="ㅣㅁㄴ" localSheetId="0" hidden="1">{#N/A,#N/A,FALSE,"집계표"}</definedName>
    <definedName name="ㅣㅁㄴ" hidden="1">{#N/A,#N/A,FALSE,"집계표"}</definedName>
    <definedName name="ㅣㅁㄴ러ㅑㄱ" localSheetId="0" hidden="1">{#N/A,#N/A,FALSE,"집계표"}</definedName>
    <definedName name="ㅣㅁㄴ러ㅑㄱ" hidden="1">{#N/A,#N/A,FALSE,"집계표"}</definedName>
    <definedName name="ㅣㅏㄴ아ㅓ리ㅏ허" localSheetId="0" hidden="1">{#N/A,#N/A,FALSE,"집계표"}</definedName>
    <definedName name="ㅣㅏㄴ아ㅓ리ㅏ허" hidden="1">{#N/A,#N/A,FALSE,"집계표"}</definedName>
    <definedName name="ㅣㅏ넝리ㅏㅓㅎ" localSheetId="0" hidden="1">{#N/A,#N/A,FALSE,"집계표"}</definedName>
    <definedName name="ㅣㅏ넝리ㅏㅓㅎ" hidden="1">{#N/A,#N/A,FALSE,"집계표"}</definedName>
    <definedName name="ㅣㅏㅇ널" localSheetId="0" hidden="1">{#N/A,#N/A,FALSE,"집계표"}</definedName>
    <definedName name="ㅣㅏㅇ널"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ㅏㅑㅓㄴ이ㅏㅎㄹ"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ㅑㅑ" hidden="1">{#N/A,#N/A,FALSE,"단가표지"}</definedName>
    <definedName name="ㅣㅣ" localSheetId="0" hidden="1">{#N/A,#N/A,FALSE,"물가변동 (2)";#N/A,#N/A,FALSE,"공사비";#N/A,#N/A,FALSE,"사급";#N/A,#N/A,FALSE,"도급집계";#N/A,#N/A,FALSE,"재료비";#N/A,#N/A,FALSE,"노무비";#N/A,#N/A,FALSE,"경비"}</definedName>
    <definedName name="ㅣㅣ"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ㅣㅣㅣㅣㅣ" hidden="1">{#N/A,#N/A,FALSE,"주간공정";#N/A,#N/A,FALSE,"주간보고";#N/A,#N/A,FALSE,"주간공정표"}</definedName>
    <definedName name="丙模">#REF!</definedName>
    <definedName name="乙模">#REF!</definedName>
    <definedName name="交指手">#REF!</definedName>
    <definedName name="估價單" localSheetId="0" hidden="1">{#N/A,#N/A,FALSE,"估價單  (3)"}</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localSheetId="0" hidden="1">{"'现金流量表（全部投资）'!$B$4:$P$23"}</definedName>
    <definedName name="取费" hidden="1">{"'现金流量表（全部投资）'!$B$4:$P$23"}</definedName>
    <definedName name="司機">#REF!</definedName>
    <definedName name="地坪粉光">#REF!</definedName>
    <definedName name="地基处理" localSheetId="0" hidden="1">{"'现金流量表（全部投资）'!$B$4:$P$23"}</definedName>
    <definedName name="地基处理" hidden="1">{"'现金流量表（全部投资）'!$B$4:$P$23"}</definedName>
    <definedName name="基_細砂">#REF!</definedName>
    <definedName name="基礎排卵石">#REF!</definedName>
    <definedName name="士大夫" localSheetId="0" hidden="1">{#N/A,#N/A,TRUE,"Cover Memo";"Complete Sys. Estimate",#N/A,TRUE,"Change Summary";"Complete Sys. Estimate",#N/A,TRUE,"Estimate Summary";"Complete Sys. Estimate",#N/A,TRUE,"Dept. Summary";"Complete Sys. Estimate",#N/A,TRUE,"DOW Detail"}</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localSheetId="0" hidden="1">{"'Sheet1'!$L$16"}</definedName>
    <definedName name="実行" hidden="1">{"'Sheet1'!$L$16"}</definedName>
    <definedName name="小工">#REF!</definedName>
    <definedName name="岡田" localSheetId="0" hidden="1">{#N/A,#N/A,TRUE,"SUM";#N/A,#N/A,TRUE,"EE";#N/A,#N/A,TRUE,"AC";#N/A,#N/A,TRUE,"SN"}</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localSheetId="0" hidden="1">{"'现金流量表（全部投资）'!$B$4:$P$23"}</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localSheetId="0" hidden="1">{"'现金流量表（全部投资）'!$B$4:$P$23"}</definedName>
    <definedName name="新封"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localSheetId="0" hidden="1">{#N/A,#N/A,FALSE,"估價單  (3)"}</definedName>
    <definedName name="汇总" hidden="1">{#N/A,#N/A,FALSE,"估價單  (3)"}</definedName>
    <definedName name="汇总表" localSheetId="0"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localSheetId="0" hidden="1">{"'现金流量表（全部投资）'!$B$4:$P$23"}</definedName>
    <definedName name="脱硫表二" hidden="1">{"'现金流量表（全部投资）'!$B$4:$P$23"}</definedName>
    <definedName name="軟貼20_20">#REF!</definedName>
    <definedName name="酒店精装修" localSheetId="0" hidden="1">{#N/A,#N/A,TRUE,"Cover Memo";"Complete Sys. Estimate",#N/A,TRUE,"Change Summary";"Complete Sys. Estimate",#N/A,TRUE,"Estimate Summary";"Complete Sys. Estimate",#N/A,TRUE,"Dept. Summary";"Complete Sys. Estimate",#N/A,TRUE,"DOW Detail"}</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localSheetId="0" hidden="1">{#N/A,#N/A,TRUE,"Cover Memo";"Complete Sys. Estimate",#N/A,TRUE,"Change Summary";"Complete Sys. Estimate",#N/A,TRUE,"Estimate Summary";"Complete Sys. Estimate",#N/A,TRUE,"Dept. Summary";"Complete Sys. Estimate",#N/A,TRUE,"DOW Detail"}</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221" i="3" l="1"/>
  <c r="O220" i="3"/>
  <c r="O219" i="3"/>
  <c r="O218" i="3"/>
  <c r="H218" i="3"/>
  <c r="G218" i="3"/>
  <c r="O217" i="3"/>
  <c r="H217" i="3"/>
  <c r="G217" i="3"/>
  <c r="O216" i="3"/>
  <c r="H216" i="3"/>
  <c r="G216" i="3"/>
  <c r="O215" i="3"/>
  <c r="H215" i="3"/>
  <c r="G215" i="3"/>
  <c r="O214" i="3"/>
  <c r="H214" i="3"/>
  <c r="G214" i="3"/>
  <c r="O213" i="3"/>
  <c r="H213" i="3"/>
  <c r="G213" i="3"/>
  <c r="O212" i="3"/>
  <c r="H212" i="3"/>
  <c r="G212" i="3"/>
  <c r="O211" i="3"/>
  <c r="H211" i="3"/>
  <c r="G211" i="3"/>
  <c r="O210" i="3"/>
  <c r="H210" i="3"/>
  <c r="G210" i="3"/>
  <c r="O209" i="3"/>
  <c r="O208" i="3"/>
  <c r="O207" i="3"/>
  <c r="O206" i="3"/>
  <c r="O205" i="3"/>
  <c r="O204" i="3"/>
  <c r="O203" i="3"/>
  <c r="O202" i="3"/>
  <c r="O201" i="3"/>
  <c r="O200" i="3"/>
  <c r="O199" i="3"/>
  <c r="O198" i="3"/>
  <c r="H198" i="3"/>
  <c r="G198" i="3"/>
  <c r="O197" i="3"/>
  <c r="H197" i="3"/>
  <c r="G197" i="3"/>
  <c r="O196" i="3"/>
  <c r="H196" i="3"/>
  <c r="G196" i="3"/>
  <c r="O195" i="3"/>
  <c r="H195" i="3"/>
  <c r="G195" i="3"/>
  <c r="O194" i="3"/>
  <c r="H194" i="3"/>
  <c r="G194" i="3"/>
  <c r="O193" i="3"/>
  <c r="H193" i="3"/>
  <c r="G193" i="3"/>
  <c r="O192" i="3"/>
  <c r="H192" i="3"/>
  <c r="G192" i="3"/>
  <c r="O191" i="3"/>
  <c r="H191" i="3"/>
  <c r="G191" i="3"/>
  <c r="O190" i="3"/>
  <c r="H190" i="3"/>
  <c r="G190" i="3"/>
  <c r="O189" i="3"/>
  <c r="H189" i="3"/>
  <c r="G189" i="3"/>
  <c r="O188" i="3"/>
  <c r="H188" i="3"/>
  <c r="G188" i="3"/>
  <c r="O187" i="3"/>
  <c r="H187" i="3"/>
  <c r="G187" i="3"/>
  <c r="O186" i="3"/>
  <c r="H186" i="3"/>
  <c r="G186" i="3"/>
  <c r="O185" i="3"/>
  <c r="H185" i="3"/>
  <c r="G185" i="3"/>
  <c r="O184" i="3"/>
  <c r="H184" i="3"/>
  <c r="G184" i="3"/>
  <c r="O183" i="3"/>
  <c r="H183" i="3"/>
  <c r="G183" i="3"/>
  <c r="O182" i="3"/>
  <c r="O181" i="3"/>
  <c r="O180" i="3"/>
  <c r="O179" i="3"/>
  <c r="O178" i="3"/>
  <c r="O177" i="3"/>
  <c r="O176" i="3"/>
  <c r="O175" i="3"/>
  <c r="O174" i="3"/>
  <c r="O173" i="3"/>
  <c r="O172" i="3"/>
  <c r="O171" i="3"/>
  <c r="O170" i="3"/>
  <c r="O169" i="3"/>
  <c r="O168" i="3"/>
  <c r="O167" i="3"/>
  <c r="O166" i="3"/>
  <c r="O165" i="3"/>
  <c r="O164" i="3"/>
  <c r="O163" i="3"/>
  <c r="O162" i="3"/>
  <c r="O161" i="3"/>
  <c r="O160" i="3"/>
  <c r="O159" i="3"/>
  <c r="O158" i="3"/>
  <c r="O157" i="3"/>
  <c r="O156" i="3"/>
  <c r="O155" i="3"/>
  <c r="O154" i="3"/>
  <c r="O153" i="3"/>
  <c r="O152" i="3"/>
  <c r="O151" i="3"/>
  <c r="H151" i="3"/>
  <c r="G151" i="3"/>
  <c r="O150" i="3"/>
  <c r="H150" i="3"/>
  <c r="G150" i="3"/>
  <c r="O149" i="3"/>
  <c r="H149" i="3"/>
  <c r="G149" i="3"/>
  <c r="O148" i="3"/>
  <c r="H148" i="3"/>
  <c r="G148" i="3"/>
  <c r="O147" i="3"/>
  <c r="H147" i="3"/>
  <c r="G147" i="3"/>
  <c r="O146" i="3"/>
  <c r="H146" i="3"/>
  <c r="G146" i="3"/>
  <c r="O145" i="3"/>
  <c r="H145" i="3"/>
  <c r="G145" i="3"/>
  <c r="O144" i="3"/>
  <c r="H144" i="3"/>
  <c r="G144" i="3"/>
  <c r="O143" i="3"/>
  <c r="H143" i="3"/>
  <c r="G143" i="3"/>
  <c r="O142" i="3"/>
  <c r="H142" i="3"/>
  <c r="G142" i="3"/>
  <c r="O141" i="3"/>
  <c r="O140" i="3"/>
  <c r="O139" i="3"/>
  <c r="O138" i="3"/>
  <c r="O137" i="3"/>
  <c r="O136" i="3"/>
  <c r="O135" i="3"/>
  <c r="O134" i="3"/>
  <c r="O133" i="3"/>
  <c r="O132" i="3"/>
  <c r="O131" i="3"/>
  <c r="O130" i="3"/>
  <c r="O129" i="3"/>
  <c r="O128" i="3"/>
  <c r="O127" i="3"/>
  <c r="O126" i="3"/>
  <c r="O125" i="3"/>
  <c r="O124" i="3"/>
  <c r="O123" i="3"/>
  <c r="O122" i="3"/>
  <c r="O121" i="3"/>
  <c r="O120" i="3"/>
  <c r="O119" i="3"/>
  <c r="O118" i="3"/>
  <c r="O117" i="3"/>
  <c r="O116" i="3"/>
  <c r="O115" i="3"/>
  <c r="O114" i="3"/>
  <c r="O113" i="3"/>
  <c r="O112" i="3"/>
  <c r="O111" i="3"/>
  <c r="O110" i="3"/>
  <c r="O109" i="3"/>
  <c r="O108" i="3"/>
  <c r="O107" i="3"/>
  <c r="O106" i="3"/>
  <c r="O105" i="3"/>
  <c r="H105" i="3"/>
  <c r="O104" i="3"/>
  <c r="O103" i="3"/>
  <c r="O102" i="3"/>
  <c r="O101" i="3"/>
  <c r="O100" i="3"/>
  <c r="O99" i="3"/>
  <c r="O98" i="3"/>
  <c r="O97" i="3"/>
  <c r="O96" i="3"/>
  <c r="O95" i="3"/>
  <c r="O94" i="3"/>
  <c r="O93" i="3"/>
  <c r="O92" i="3"/>
  <c r="O91" i="3"/>
  <c r="O90" i="3"/>
  <c r="O89" i="3"/>
  <c r="O88" i="3"/>
  <c r="O87" i="3"/>
  <c r="O86" i="3"/>
  <c r="O85" i="3"/>
  <c r="O84" i="3"/>
  <c r="O83" i="3"/>
  <c r="O82" i="3"/>
  <c r="O81" i="3"/>
  <c r="O80" i="3"/>
  <c r="O79"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H40" i="3"/>
  <c r="G40" i="3"/>
  <c r="O39" i="3"/>
  <c r="H39" i="3"/>
  <c r="G39" i="3"/>
  <c r="O38" i="3"/>
  <c r="H38" i="3"/>
  <c r="G38" i="3"/>
  <c r="O37" i="3"/>
  <c r="H37" i="3"/>
  <c r="G37" i="3"/>
  <c r="O36" i="3"/>
  <c r="H36" i="3"/>
  <c r="G36" i="3"/>
  <c r="O35" i="3"/>
  <c r="H35" i="3"/>
  <c r="G35" i="3"/>
  <c r="O34" i="3"/>
  <c r="H34" i="3"/>
  <c r="G34" i="3"/>
  <c r="O33" i="3"/>
  <c r="O32" i="3"/>
  <c r="O31" i="3"/>
  <c r="O30" i="3"/>
  <c r="O29" i="3"/>
  <c r="O28" i="3"/>
  <c r="O27" i="3"/>
  <c r="O26" i="3"/>
  <c r="O25" i="3"/>
  <c r="O24" i="3"/>
  <c r="O23" i="3"/>
  <c r="O22" i="3"/>
  <c r="O21" i="3"/>
  <c r="G21" i="3"/>
  <c r="O20" i="3"/>
  <c r="H20" i="3"/>
  <c r="O19" i="3"/>
  <c r="O18" i="3"/>
  <c r="O17" i="3"/>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17" i="2"/>
  <c r="G211" i="2"/>
  <c r="H211" i="2"/>
  <c r="G212" i="2"/>
  <c r="H212" i="2"/>
  <c r="G213" i="2"/>
  <c r="H213" i="2"/>
  <c r="G214" i="2"/>
  <c r="H214" i="2"/>
  <c r="G215" i="2"/>
  <c r="H215" i="2"/>
  <c r="G216" i="2"/>
  <c r="H216" i="2"/>
  <c r="G217" i="2"/>
  <c r="H217" i="2"/>
  <c r="G218" i="2"/>
  <c r="H218" i="2"/>
  <c r="H210" i="2"/>
  <c r="G210" i="2"/>
  <c r="H198" i="2"/>
  <c r="G198" i="2"/>
  <c r="H197" i="2"/>
  <c r="G197" i="2"/>
  <c r="H196" i="2"/>
  <c r="G196" i="2"/>
  <c r="H195" i="2"/>
  <c r="G195" i="2"/>
  <c r="H194" i="2"/>
  <c r="G194" i="2"/>
  <c r="H193" i="2"/>
  <c r="G193" i="2"/>
  <c r="H192" i="2"/>
  <c r="G192" i="2"/>
  <c r="H191" i="2"/>
  <c r="G191" i="2"/>
  <c r="H190" i="2"/>
  <c r="G190" i="2"/>
  <c r="G184" i="2"/>
  <c r="H184" i="2"/>
  <c r="G185" i="2"/>
  <c r="H185" i="2"/>
  <c r="G186" i="2"/>
  <c r="H186" i="2"/>
  <c r="G187" i="2"/>
  <c r="H187" i="2"/>
  <c r="G188" i="2"/>
  <c r="H188" i="2"/>
  <c r="G189" i="2"/>
  <c r="H189" i="2"/>
  <c r="H183" i="2"/>
  <c r="G183" i="2"/>
  <c r="G143" i="2"/>
  <c r="H143" i="2"/>
  <c r="G144" i="2"/>
  <c r="H144" i="2"/>
  <c r="G145" i="2"/>
  <c r="H145" i="2"/>
  <c r="G146" i="2"/>
  <c r="H146" i="2"/>
  <c r="G147" i="2"/>
  <c r="H147" i="2"/>
  <c r="G148" i="2"/>
  <c r="H148" i="2"/>
  <c r="G149" i="2"/>
  <c r="H149" i="2"/>
  <c r="G150" i="2"/>
  <c r="H150" i="2"/>
  <c r="G151" i="2"/>
  <c r="H151" i="2"/>
  <c r="H142" i="2"/>
  <c r="G142" i="2"/>
  <c r="N140" i="2"/>
  <c r="O140" i="2" s="1"/>
  <c r="N141" i="2"/>
  <c r="O141" i="2" s="1"/>
  <c r="N139" i="2"/>
  <c r="O139" i="2" s="1"/>
  <c r="O226" i="3" l="1"/>
  <c r="O227" i="3" l="1"/>
  <c r="O228" i="3" s="1"/>
  <c r="H105" i="2" l="1"/>
  <c r="G37" i="2"/>
  <c r="H37" i="2"/>
  <c r="G38" i="2"/>
  <c r="H38" i="2"/>
  <c r="G39" i="2"/>
  <c r="H39" i="2"/>
  <c r="G40" i="2"/>
  <c r="H40" i="2"/>
  <c r="H36" i="2"/>
  <c r="G36" i="2"/>
  <c r="G35" i="2"/>
  <c r="H35" i="2"/>
  <c r="H34" i="2"/>
  <c r="G34" i="2"/>
  <c r="G21" i="2"/>
  <c r="H20" i="2"/>
  <c r="O226" i="2" l="1"/>
  <c r="O227" i="2" l="1"/>
  <c r="O228" i="2" s="1"/>
  <c r="A213" i="1" l="1"/>
  <c r="A209" i="1"/>
  <c r="A208" i="1"/>
  <c r="A207" i="1"/>
  <c r="A206" i="1"/>
  <c r="A205" i="1"/>
  <c r="A204" i="1"/>
  <c r="A203" i="1"/>
  <c r="A202" i="1"/>
  <c r="A201" i="1"/>
  <c r="A200" i="1"/>
  <c r="A195" i="1"/>
  <c r="A194"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4" i="1"/>
  <c r="A30" i="1"/>
  <c r="A29" i="1"/>
  <c r="A28" i="1"/>
  <c r="A27" i="1"/>
  <c r="A26" i="1"/>
  <c r="A25" i="1"/>
  <c r="A24" i="1"/>
  <c r="A23" i="1"/>
  <c r="A22" i="1"/>
  <c r="A21" i="1"/>
  <c r="A20" i="1"/>
  <c r="A19" i="1"/>
  <c r="A18" i="1"/>
  <c r="A17" i="1"/>
  <c r="A16" i="1"/>
  <c r="A15" i="1"/>
  <c r="A14" i="1"/>
  <c r="A13" i="1"/>
  <c r="A12" i="1"/>
  <c r="A11" i="1"/>
  <c r="A10" i="1"/>
  <c r="A9" i="1"/>
  <c r="A8" i="1"/>
  <c r="A7" i="1"/>
</calcChain>
</file>

<file path=xl/sharedStrings.xml><?xml version="1.0" encoding="utf-8"?>
<sst xmlns="http://schemas.openxmlformats.org/spreadsheetml/2006/main" count="2768" uniqueCount="320">
  <si>
    <t>BILL: HỆ THỐNG ĐHKK &amp; THÔNG GIÓ</t>
  </si>
  <si>
    <t>STT</t>
  </si>
  <si>
    <t>MÔ TẢ CÔNG TÁC</t>
  </si>
  <si>
    <t>MÃ HIỆU</t>
  </si>
  <si>
    <t>NHÃN HIỆU</t>
  </si>
  <si>
    <t>XUẤT XỨ</t>
  </si>
  <si>
    <t>Đơn vị</t>
  </si>
  <si>
    <t>Khối lượng</t>
  </si>
  <si>
    <t>ĐƠN GIÁ</t>
  </si>
  <si>
    <t>THÀNH TIỀN</t>
  </si>
  <si>
    <t>GHI CHÚ</t>
  </si>
  <si>
    <t>VẬT TƯ</t>
  </si>
  <si>
    <t>NHÂN CÔNG</t>
  </si>
  <si>
    <t>TỔNG</t>
  </si>
  <si>
    <t>A</t>
  </si>
  <si>
    <t>HỆ THỐNG THÔNG GIÓ</t>
  </si>
  <si>
    <t>A1</t>
  </si>
  <si>
    <t>HỆ THỐNG HÚT KHÓI HẦM XE, HÚT KHÓI SỰ CỐ</t>
  </si>
  <si>
    <t>Van 1 chiều NRD 1250x1250 (EI60)</t>
  </si>
  <si>
    <t>NRD</t>
  </si>
  <si>
    <t>NSCA, Evegreen, Swind</t>
  </si>
  <si>
    <t>Việt Nam / Singapore</t>
  </si>
  <si>
    <t>Cái</t>
  </si>
  <si>
    <t>Van 1 chiều NRD 1700x600 (EI60)</t>
  </si>
  <si>
    <t>Van 1 chiều NRD 1200x350 (EI60)</t>
  </si>
  <si>
    <t>Van ngăn cháy MFD 1250x1250 (EI60)</t>
  </si>
  <si>
    <t>MFD</t>
  </si>
  <si>
    <t>Van: NSCA, Evegreen, Swind, tđ
ĐC: Belimo, Johnson Controls, tđ</t>
  </si>
  <si>
    <t>Van ngăn cháy MFD 1700x600 (EI60)</t>
  </si>
  <si>
    <t>Van ngăn cháy MFD 1200x350 (EI60)</t>
  </si>
  <si>
    <t>Van ngăn cháy MFD 950x400 (EI30)</t>
  </si>
  <si>
    <t>Van ngăn cháy MFD 950x500 (EI30)</t>
  </si>
  <si>
    <t>Van ngăn cháy MFD 950x200 (EI30)</t>
  </si>
  <si>
    <t>Van ngăn cháy MFD 950x300 (EI30)</t>
  </si>
  <si>
    <t>Van chỉnh lưu lượng VCD 2000x500 (EI60)</t>
  </si>
  <si>
    <t>VCD</t>
  </si>
  <si>
    <t>Van chỉnh lưu lượng VCD 1300x400 (EI60)</t>
  </si>
  <si>
    <t>Van chỉnh lưu lượng VCD 1600x400 (EI60)</t>
  </si>
  <si>
    <t>Van chỉnh lưu lượng VCD 1600x450 (EI60)</t>
  </si>
  <si>
    <t>Van chỉnh lưu lượng VCD 900x350 (EI60)</t>
  </si>
  <si>
    <t>Van chỉnh lưu lượng VCD 600x300 (EI60)</t>
  </si>
  <si>
    <t>Miệng gió hút khói EAG 600x300+OBD</t>
  </si>
  <si>
    <t>EAG</t>
  </si>
  <si>
    <t>Việt Nam (SX theo bản vẽ thiết kế)</t>
  </si>
  <si>
    <t>Miệng gió hút khói SEG 1200x600+OBD</t>
  </si>
  <si>
    <t>SEG</t>
  </si>
  <si>
    <t>Miệng gió hút khói SEAG 1000x600+OBD</t>
  </si>
  <si>
    <t>SEAG</t>
  </si>
  <si>
    <t>Louver EAL 7500x500+IS</t>
  </si>
  <si>
    <t>EAL</t>
  </si>
  <si>
    <t>Louver EAL 4500x500+IS</t>
  </si>
  <si>
    <t>Louver EAL 4000x500+IS</t>
  </si>
  <si>
    <t>Louver EAL 3000x500+IS</t>
  </si>
  <si>
    <t>Louver EAL 2750x750+IS</t>
  </si>
  <si>
    <t>Box miệng gió 600x300</t>
  </si>
  <si>
    <t>Box miệng gió 1200x600</t>
  </si>
  <si>
    <t>Box miệng gió 10006300</t>
  </si>
  <si>
    <t>Vật tư phụ, phụ kiện</t>
  </si>
  <si>
    <t>Lô</t>
  </si>
  <si>
    <t>A2</t>
  </si>
  <si>
    <t>HỆ THỐNG TẠO ÁP</t>
  </si>
  <si>
    <t>Van 1 chiều NRD 300x200 (EI60)</t>
  </si>
  <si>
    <t>NSCA, Evegreen, Swind, tđ</t>
  </si>
  <si>
    <t>Van 1 chiều NRD 700x500 (EI60)</t>
  </si>
  <si>
    <t>Van 1 chiều NRD 700x800 (EI60)</t>
  </si>
  <si>
    <t>Van 1 chiều NRD 250X200(EI60)</t>
  </si>
  <si>
    <t>Van 1 chiều NRD 900x400 (EI60)</t>
  </si>
  <si>
    <t>Van 1 chiều NRD 300x300 (EI60)</t>
  </si>
  <si>
    <t>Van 1 chiều NRD 350x250 (EI60)</t>
  </si>
  <si>
    <t>Van 1 chiều NRD 350x150 (EI60)</t>
  </si>
  <si>
    <t>Van ngăn cháy MFD 350x200 (EI60)</t>
  </si>
  <si>
    <t>Van ngăn cháy MFD 700x500 (EI60)</t>
  </si>
  <si>
    <t>Van ngăn cháy MFD 700x800 (EI60)</t>
  </si>
  <si>
    <t>Van ngăn cháy MFD 1200x600 (EI60)</t>
  </si>
  <si>
    <t>Van ngăn cháy MFD 250X200 (EI60)</t>
  </si>
  <si>
    <t>Van ngăn cháy MFD 900x400 (EI60)</t>
  </si>
  <si>
    <t>Van ngăn cháy MFD 900x400 (EI120)</t>
  </si>
  <si>
    <t>Van ngăn cháy MFD 300x300 (EI60)</t>
  </si>
  <si>
    <t>Van ngăn cháy MFD 250x200 (EI60)</t>
  </si>
  <si>
    <t>Van ngăn cháy MFD 350x150 (EI60)</t>
  </si>
  <si>
    <t>Van ngăn cháy MFD 1000x300 (EI60)</t>
  </si>
  <si>
    <t>Van ngăn cháy MFD 850x300 (EI60)</t>
  </si>
  <si>
    <t>Van ngăn cháy MFD 800x350 (EI60)</t>
  </si>
  <si>
    <t>Van ngăn cháy MFD 2000x650 (EI120)</t>
  </si>
  <si>
    <t>Van ngăn cháy MFD 1000x350 (EI120)</t>
  </si>
  <si>
    <t>Van ngăn cháy MFD 1200x350 (EI120)</t>
  </si>
  <si>
    <t>Van ngăn cháy MFD 1100x350 (EI120)</t>
  </si>
  <si>
    <t>Van ngăn cháy MFD 1200x300 (EI60)</t>
  </si>
  <si>
    <t>Van ngăn cháy MFD 1200x300 (EI120)</t>
  </si>
  <si>
    <t>Van ngăn cháy MFD 900x350 (EI120)</t>
  </si>
  <si>
    <t>Van ngăn cháy MFD 1150x350 (EI120)</t>
  </si>
  <si>
    <t>Van ngăn cháy MFD 1200x450 (EI120)</t>
  </si>
  <si>
    <t>Van ngăn cháy MFD 350x600 (EI120)</t>
  </si>
  <si>
    <t>Van ngăn cháy MFD 800x300 (EI120)</t>
  </si>
  <si>
    <t>Van ngăn cháy MFD 650x400</t>
  </si>
  <si>
    <t>Van xả áp</t>
  </si>
  <si>
    <t>Van chỉnh lưu lượng VCD250x200 (EI60)</t>
  </si>
  <si>
    <t>Miệng gió tạo áp PAG 900x400+OBD</t>
  </si>
  <si>
    <t>Miệng gió tạo áp PAG 300x300+OBD</t>
  </si>
  <si>
    <t>Miệng gió tạo áp PAG 1200x600+OBD</t>
  </si>
  <si>
    <t>Miệng gió tạo áp PAG 1400x800+OBD</t>
  </si>
  <si>
    <t>Miệng gió tạo áp PAG 500x200+OBD</t>
  </si>
  <si>
    <t>Miệng gió tạo áp PAG1400x800+OBD</t>
  </si>
  <si>
    <t>Miệng gió tạo áp PAG 900x350+OBD</t>
  </si>
  <si>
    <t>Miệng gió tạo áp PAG 350x600+OBD</t>
  </si>
  <si>
    <t>Miệng gió tạo áp PAG 800x400 OBD</t>
  </si>
  <si>
    <t>Miệng gió tạo áp PAG 700x400 OBD</t>
  </si>
  <si>
    <t>Louver 1750x500+IS</t>
  </si>
  <si>
    <t>Louver 1500x1000+IS</t>
  </si>
  <si>
    <t>Louver 3500x1000+IS</t>
  </si>
  <si>
    <t>A3</t>
  </si>
  <si>
    <t>HỆ THỐNG CẤP GIÓ TƯƠI, GIÓ BÙ</t>
  </si>
  <si>
    <t>Van 1 chiều NRD 1350x1250 (EI60)</t>
  </si>
  <si>
    <t>Van 1 chiều NRD1250x600 (EI60)</t>
  </si>
  <si>
    <t>Van 1 chiều NRD 800x250</t>
  </si>
  <si>
    <t>Van 1 chiều NRD 800x450</t>
  </si>
  <si>
    <t>Van ngăn cháy MFD 1350x1250 (EI60)</t>
  </si>
  <si>
    <t xml:space="preserve">Van ngăn cháy MFD 1250x600 (EI60) </t>
  </si>
  <si>
    <t>Van ngăn cháy MFD 1050x350 (EI120)</t>
  </si>
  <si>
    <t>Van ngăn cháy MFD 800x350 (EI30)</t>
  </si>
  <si>
    <t>Van ngăn cháy MFD 900x350 (EI30)</t>
  </si>
  <si>
    <t>Van ngăn cháy MFD 110x350 (EI30)</t>
  </si>
  <si>
    <t>Van ngăn cháy MFD 900x350 (E120)</t>
  </si>
  <si>
    <t>Van ngăn cháy MFD1400x350 (EI45)</t>
  </si>
  <si>
    <t>Van ngăn cháy MFD 100x100</t>
  </si>
  <si>
    <t>Van ngăn cháy MFD 150x150</t>
  </si>
  <si>
    <t>Van ngăn cháy MFD 450x300</t>
  </si>
  <si>
    <t>Van ngăn cháy FD800x250</t>
  </si>
  <si>
    <t>Van ngăn cháy FD300x200</t>
  </si>
  <si>
    <t>Van ngăn cháy FD200x200</t>
  </si>
  <si>
    <t>Van ngăn cháy FD350x200</t>
  </si>
  <si>
    <t>Van ngăn cháy FD450x200</t>
  </si>
  <si>
    <t>Van động cơ MD 300x150</t>
  </si>
  <si>
    <t>Van chỉnh gió lưu lượng không đổi</t>
  </si>
  <si>
    <t>Van chỉnh lưu lượng VCD 1300x300 (EI60)</t>
  </si>
  <si>
    <t>Van chỉnh lưu lượng VCD 150x150</t>
  </si>
  <si>
    <t>Van chỉnh lưu lượng VCD D150</t>
  </si>
  <si>
    <t>Van chỉnh lưu lượng VCD D200</t>
  </si>
  <si>
    <t>Miệng gió OAG 1000x600+OBD</t>
  </si>
  <si>
    <t>Miệng gió OAG 1200x600+OBD</t>
  </si>
  <si>
    <t>Miệng gió OAG 600x600+OBD</t>
  </si>
  <si>
    <t>Miệng gió OAG 900x600+OBD</t>
  </si>
  <si>
    <t>Miệng gió MAG 850x850+OBD</t>
  </si>
  <si>
    <t>Miệng gió MAG 1050x800+OBD</t>
  </si>
  <si>
    <t>Miệng gió MAG 250x250+OBD</t>
  </si>
  <si>
    <t>Cửa sổ cấp bù gió khi có cháy 1.5m2</t>
  </si>
  <si>
    <t>Cửa sổ cấp bù gió khi có cháy 0.8m2</t>
  </si>
  <si>
    <t>Cửa sổ cấp bù gió khi có cháy 0.75m2</t>
  </si>
  <si>
    <t>Louver FAL 300x300 + IS + Filter</t>
  </si>
  <si>
    <t>cái</t>
  </si>
  <si>
    <t>Louver FAL 400x300 + IS + Filter</t>
  </si>
  <si>
    <t>Louver FAL 500x300 + IS + Filter</t>
  </si>
  <si>
    <t>Louver FAL 600x400 + IS + Filter</t>
  </si>
  <si>
    <t>Louver FAL 600x600 + IS + Filter</t>
  </si>
  <si>
    <t>Louver FAL 900x600 + IS + Filter</t>
  </si>
  <si>
    <t>Louver 2500x500+IS</t>
  </si>
  <si>
    <t>Louver 3000x500+IS</t>
  </si>
  <si>
    <t>A4</t>
  </si>
  <si>
    <t>Hệ thống hút gió thải, hút gió bếp</t>
  </si>
  <si>
    <t>Van FD 150x150 (EI60)</t>
  </si>
  <si>
    <t>Van FD 400x150</t>
  </si>
  <si>
    <t>Van FD 400x200</t>
  </si>
  <si>
    <t>Van FD 300x150</t>
  </si>
  <si>
    <t>Van FD 300x200</t>
  </si>
  <si>
    <t>Van FD 800x250</t>
  </si>
  <si>
    <t>Van FD 1200x350</t>
  </si>
  <si>
    <t>Van FD 1000x300</t>
  </si>
  <si>
    <t>Van FD 600x300</t>
  </si>
  <si>
    <t>Van FD 350x200</t>
  </si>
  <si>
    <t>Van FD 500x200</t>
  </si>
  <si>
    <t>Van MFD 1250x350</t>
  </si>
  <si>
    <t>Van MFD 1000x550</t>
  </si>
  <si>
    <t>Van MFD 500x200</t>
  </si>
  <si>
    <t>Van MFD 800x300</t>
  </si>
  <si>
    <t>Van MFD 1200x650</t>
  </si>
  <si>
    <t>Van chỉnh lưu lượng VCD 150x150 (EI60)</t>
  </si>
  <si>
    <t>Van chỉnh lưu lượng VCD 300x150</t>
  </si>
  <si>
    <t>Van 1 chiều NRD 350x200</t>
  </si>
  <si>
    <t>Van 1 chiều NRD 400x400</t>
  </si>
  <si>
    <t>Van 1 chiều NRD 250x250</t>
  </si>
  <si>
    <t>Van 1 chiều NRD 1250x350</t>
  </si>
  <si>
    <t>Van 1 chiều NRD 1000x550</t>
  </si>
  <si>
    <t>Van 1 chiều NRD 400x200</t>
  </si>
  <si>
    <t>Miệng gió thải EAG 150x150+OBD+box miệng gió</t>
  </si>
  <si>
    <t>Miệng gió thải EAG 300X300+OBD+box miệng gió</t>
  </si>
  <si>
    <t>Miệng gió thải EAG 400x300+OBD+box miệng gió</t>
  </si>
  <si>
    <t>Miệng gió thải EAG 1200x800+OBD+box miệng gió</t>
  </si>
  <si>
    <t>Miệng gió thải EAG 1000x400+OBD+box miệng gió</t>
  </si>
  <si>
    <t>Miệng gió thải EAG 600x400+OBD+box miệng gió</t>
  </si>
  <si>
    <t>Miệng gió thải EAG 300x300+OBD+box miệng gió</t>
  </si>
  <si>
    <t>Louver 300x150 + IS</t>
  </si>
  <si>
    <t>cáI</t>
  </si>
  <si>
    <t>Louver 400x150 + IS</t>
  </si>
  <si>
    <t>Louver 800x250 + IS</t>
  </si>
  <si>
    <t>Louver 1200x350 + IS</t>
  </si>
  <si>
    <t>Louver 1000x300 + IS</t>
  </si>
  <si>
    <t>Louver 800x300 + IS</t>
  </si>
  <si>
    <t>Louver 400x200 + IS</t>
  </si>
  <si>
    <t>Louver 300x200 + IS</t>
  </si>
  <si>
    <t>Louver 1200x650 + IS</t>
  </si>
  <si>
    <t>B</t>
  </si>
  <si>
    <t>HỆ THỐNG MÁY LẠNH</t>
  </si>
  <si>
    <t>B1</t>
  </si>
  <si>
    <t>HỆ THỐNG ĐIỀU HÒA KHÔNG KHÍ</t>
  </si>
  <si>
    <t>B.1.1</t>
  </si>
  <si>
    <t>KHU VỰC CÔNG CỘNG</t>
  </si>
  <si>
    <t>MIỆNG GIÓ, ỐNG GIÓ, ỐNG ĐỒNG, NƯỚC NGƯNG, MÁNG ỐNG ĐỒNG</t>
  </si>
  <si>
    <t>MIỆNG GIÓ</t>
  </si>
  <si>
    <t>Miệng gió cấp SAG600x600 kèm OBD box miệng gió</t>
  </si>
  <si>
    <t>Miệng gió hồi RAG600x600 kèm OBD box miệng gió</t>
  </si>
  <si>
    <t>B.1.2</t>
  </si>
  <si>
    <t>KHU VỰC CĂN HỘ</t>
  </si>
  <si>
    <t>MIỆNG GIÓ (CHỜ CẬP NHẬT ID)</t>
  </si>
  <si>
    <t>Chờ cập nhật ID</t>
  </si>
  <si>
    <t>Miệng gió cấp,hồi cho máy lạnh</t>
  </si>
  <si>
    <t>Chờ cập nhật ID A1.1-PH02,PH03,  A1-2-10PH01,10PH02, A1-3-07(8A)PH03,SV01,SV02 và cập nhật lại theo ID nếu có</t>
  </si>
  <si>
    <t>Miệng gió loại Linear Bar Grille
Kích thước: 900x100 mm</t>
  </si>
  <si>
    <t>ASLI, Trox, Ruskin Titus</t>
  </si>
  <si>
    <t>Bộ</t>
  </si>
  <si>
    <t>Miệng gió loại Linear Bar Grille 
Kích thước: 1200x100 mm</t>
  </si>
  <si>
    <t>Miệng gió loại Linear Bar Grille
Kích thước: 2000x100 mm</t>
  </si>
  <si>
    <t>Miệng gió loại Linear Bar Grille with 2nd layer deflection (black paint) - no frame
Kích thước: 900x100 mm</t>
  </si>
  <si>
    <t>Miệng gió loại Linear Bar Grille with 2nd layer deflection (black paint) - no frame
Kích thước: 1200x100 mm</t>
  </si>
  <si>
    <t>Miệng gió loại Linear Bar Grille with 2nd layer deflection (black paint) - no frame
Kích thước: 1400x100 mm</t>
  </si>
  <si>
    <t>Miệng gió loại Linear Bar Grille with 2nd layer deflection (black paint) - no frame
Kích thước: 2000x100 mm</t>
  </si>
  <si>
    <t>Miệng gió loại Linear Bar Grille with 2nd layer deflection (black paint) - no frame
Kích thước: 4200x100 mm</t>
  </si>
  <si>
    <t>Miệng gió loại Linear Bar Grille with 2nd layer deflection (black paint) - no frame
Kích thước: 7600x100 mm</t>
  </si>
  <si>
    <t>D</t>
  </si>
  <si>
    <t>CÔNG TÁC KHÁC BỔ SUNG BỞI NHÀ THẦU</t>
  </si>
  <si>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</si>
  <si>
    <t>Ghi chú</t>
  </si>
  <si>
    <t>TỔNG CỘNG</t>
  </si>
  <si>
    <t>CÔNG TY CỔ PHẦN TẬP ĐOÀN QUỐC TẾ SLAND</t>
  </si>
  <si>
    <t>VPGD: SỐ 49, Ngõ 1295 Giải Phóng, Phường Hoàng Mai, TP Hà Nội</t>
  </si>
  <si>
    <t>Nhà máy: Thôn Nhân Hiền- xã Thường Tín - TP Hà Nội</t>
  </si>
  <si>
    <t>Hotline: 082 5577 999</t>
  </si>
  <si>
    <t>BẢNG BÁO GIÁ</t>
  </si>
  <si>
    <t xml:space="preserve">Khách hàng : </t>
  </si>
  <si>
    <t>Seri number
 Số hiệu</t>
  </si>
  <si>
    <t>Địa chỉ :</t>
  </si>
  <si>
    <t>Sales executive
 PT Kinh doanh</t>
  </si>
  <si>
    <t>Ms Nhài</t>
  </si>
  <si>
    <t xml:space="preserve">Người nhận : </t>
  </si>
  <si>
    <t>Mobile
 Điện thoại</t>
  </si>
  <si>
    <t>0945588248</t>
  </si>
  <si>
    <t xml:space="preserve">Email: </t>
  </si>
  <si>
    <t>Số điện thoại :</t>
  </si>
  <si>
    <t xml:space="preserve">
Dự án</t>
  </si>
  <si>
    <t xml:space="preserve">
STT</t>
  </si>
  <si>
    <t xml:space="preserve">
Danh mục sản phẩm</t>
  </si>
  <si>
    <t>Model</t>
  </si>
  <si>
    <t>Thương hiệu</t>
  </si>
  <si>
    <t>Kích thước (mm)</t>
  </si>
  <si>
    <t>Modul</t>
  </si>
  <si>
    <t>L</t>
  </si>
  <si>
    <t>Độ dày
(m)</t>
  </si>
  <si>
    <t>Unit
Đơn vị</t>
  </si>
  <si>
    <t>Q'ty
Số lượng</t>
  </si>
  <si>
    <t>Remarks
Ghi chú</t>
  </si>
  <si>
    <t>B2</t>
  </si>
  <si>
    <t>Face size</t>
  </si>
  <si>
    <t>Neck size</t>
  </si>
  <si>
    <t>SWIND-1.02-MFD-EI90</t>
  </si>
  <si>
    <t>SWIND-2.01- E-FD-EI120</t>
  </si>
  <si>
    <t>- Van chặn lửa cầu chì - Tiêu chuẩn EI 120
- 2 đầu bích TDC - gắn cầu chì 70- 74 độ C
- Sản xuất theo BCTN số: 4761/VLXD-TBMT</t>
  </si>
  <si>
    <t>Total/ Tổng Trước thuế</t>
  </si>
  <si>
    <t>VAT 8%</t>
  </si>
  <si>
    <t>Total Amount (including VAT 10%)/ Tổng sau thuế</t>
  </si>
  <si>
    <t xml:space="preserve">- Ghi chú : </t>
  </si>
  <si>
    <r>
      <rPr>
        <b/>
        <sz val="9"/>
        <color theme="1"/>
        <rFont val="Times New Roman"/>
        <charset val="134"/>
      </rPr>
      <t xml:space="preserve">* </t>
    </r>
    <r>
      <rPr>
        <sz val="9"/>
        <color theme="1"/>
        <rFont val="Times New Roman"/>
        <charset val="134"/>
      </rPr>
      <t>Thời hạn báo giá: Báo giá có giá trị trong vòng 30 ngày kể từ ngày báo.</t>
    </r>
  </si>
  <si>
    <t>XÁC NHẬN ĐẶT HÀNG</t>
  </si>
  <si>
    <r>
      <rPr>
        <b/>
        <sz val="9"/>
        <color theme="1"/>
        <rFont val="Times New Roman"/>
        <charset val="134"/>
      </rPr>
      <t xml:space="preserve">* </t>
    </r>
    <r>
      <rPr>
        <sz val="9"/>
        <color theme="1"/>
        <rFont val="Times New Roman"/>
        <charset val="134"/>
      </rPr>
      <t>Thời gian giao hàng: theo thực tế từng đơn hàng</t>
    </r>
  </si>
  <si>
    <r>
      <rPr>
        <sz val="9"/>
        <color theme="1"/>
        <rFont val="Times New Roman"/>
        <charset val="134"/>
      </rPr>
      <t xml:space="preserve"> - Van gió &amp; Phụ kiện : </t>
    </r>
    <r>
      <rPr>
        <b/>
        <i/>
        <sz val="10"/>
        <rFont val="Arial"/>
        <charset val="134"/>
      </rPr>
      <t>Tôn Hoa Sen Z08/Z18</t>
    </r>
  </si>
  <si>
    <r>
      <rPr>
        <sz val="9"/>
        <color theme="1"/>
        <rFont val="Times New Roman"/>
        <charset val="134"/>
      </rPr>
      <t xml:space="preserve"> - Cửa gió và Phụ kiện : </t>
    </r>
    <r>
      <rPr>
        <b/>
        <i/>
        <sz val="10"/>
        <rFont val="Arial"/>
        <charset val="134"/>
      </rPr>
      <t>Nhôm A6063 T5 - Sơn Tĩnh điện mầu trắng .</t>
    </r>
  </si>
  <si>
    <t>ĐIỀU KHOẢN THANH TOÁN VÀ GIAO HÀNG</t>
  </si>
  <si>
    <t xml:space="preserve">* Điều kiện thanh toán: Tạm ứng 30%, Thanh toán bằng bảo lãnh thanh toán thời hạn 35 ngày </t>
  </si>
  <si>
    <t>Xin vui lòng liên hệ với chúng tôi nếu quý khách có cần thêm các yêu cầu nào khác.</t>
  </si>
  <si>
    <t xml:space="preserve"> Đơn vị thụ hưởng : </t>
  </si>
  <si>
    <t>Công ty Cổ phần tập đoàn quốc tế Sland</t>
  </si>
  <si>
    <t>Trụ sở: Thôn 1B, xã Nam Phù, TP Hà Nội</t>
  </si>
  <si>
    <t xml:space="preserve">- Số tài khoản : 1359 666 888 </t>
  </si>
  <si>
    <t>- Mở tại :  Ngân hàng TMCP Á Châu ( ACB ) chi nhánh Hà Nội</t>
  </si>
  <si>
    <t>Đơn Giá</t>
  </si>
  <si>
    <t xml:space="preserve">Total price
Thành tiền </t>
  </si>
  <si>
    <t>SWIND</t>
  </si>
  <si>
    <t>Van 1 chiều bọc tấm cách nhiệt bọc tấm CN dày 10mm KHS</t>
  </si>
  <si>
    <t xml:space="preserve"> - Van chống cháy động cơ  - Tiêu chuẩn EI 90
 - 2 đầu bích TDC - Gắn kèm động cơ ON-OFF 3.5Nm, 24V (Type: đóng mở nhanh) BELIMO- Model: FSLF24V US
- Sản xuất theo BCTN số 4752/VLXD-TBMT
Chia 2 modul khi sản xuất</t>
  </si>
  <si>
    <t xml:space="preserve"> - Van chống cháy động cơ  - Tiêu chuẩn EI 90
 - 2 đầu bích TDC - Gắn kèm động cơ ON-OFF 3.5Nm, 24V (Type: đóng mở nhanh) BELIMO- Model: FSLF24V US
- Sản xuất theo BCTN số 4752/VLXD-TBMT
</t>
  </si>
  <si>
    <t>Van tay gạt bọc tấm cách nhiệt KHS 10mm</t>
  </si>
  <si>
    <t>SDG+O</t>
  </si>
  <si>
    <t>Cửa nan bầu dục 1 lớp kèm van OBD</t>
  </si>
  <si>
    <t>WL+N</t>
  </si>
  <si>
    <t>Louver nan Z +LCCT chia model khi sản xuất</t>
  </si>
  <si>
    <t>Louver nan Z +LCCT</t>
  </si>
  <si>
    <t xml:space="preserve">Van 1 chiều </t>
  </si>
  <si>
    <t xml:space="preserve"> - Van chống cháy động cơ  - Tiêu chuẩn EI 90
 - 2 đầu bích TDC - Gắn kèm động cơ ON-OFF 3.5Nm, 24V (Type: đóng mở nhanh) BELIMO- Model: FSLF24V US
- Sản xuất theo BCTN số 4752/VLXD-TBMT
kích thước tối thiểu 150x150 làm thêm bích bù thu về 100x100
</t>
  </si>
  <si>
    <t>MD</t>
  </si>
  <si>
    <t>Van động cơ ON-OFF 5Nm 220V BELIMO (đóng mở 150s), xuất xứ Thụy Sỹ, Model: LM230A</t>
  </si>
  <si>
    <t>Van tay gat</t>
  </si>
  <si>
    <t xml:space="preserve"> - Van chống cháy động cơ  - Tiêu chuẩn EI 90
 - 2 đầu bích TDC - Gắn kèm động cơ ON-OFF 3.5Nm, 24V (Type: đóng mở nhanh) BELIMO- Model: FSLF24V US
- Sản xuất theo BCTN số 4752/VLXD-TBMT
Van chia 2 modul khi sản xuất , kèm cửa louver nan Z
</t>
  </si>
  <si>
    <t xml:space="preserve"> - Van chống cháy động cơ  - Tiêu chuẩn EI 90
 - 2 đầu bích TDC - Gắn kèm động cơ ON-OFF 3.5Nm, 24V (Type: đóng mở nhanh) BELIMO- Model: FSLF24V US
- Sản xuất theo BCTN số 4752/VLXD-TBMT
kèm cửa louver 
</t>
  </si>
  <si>
    <t xml:space="preserve"> Van chặn lửa SWIND-E-FD - Tiêu chuẩn EI 120
  2 đầu bích TDC - gắn cầu chì 72- 74 độ C
 Sản xuất theo BCTN số: 4761/VLXD-TBMT</t>
  </si>
  <si>
    <t>ECG+O</t>
  </si>
  <si>
    <t>Cửa nan sọt trứng kèm van OBD</t>
  </si>
  <si>
    <t>Cửa nan sọt trứng kèm van OBD không kèm hộp gió</t>
  </si>
  <si>
    <t>SD+O</t>
  </si>
  <si>
    <t>Cửa khuếch tán vuông kèm van OBD</t>
  </si>
  <si>
    <t>Cửa không viền 1 lớp ( sơn đen ) chia modul khi sản xuất</t>
  </si>
  <si>
    <t>Cửa không viền 1 lớp ( sơn đen )</t>
  </si>
  <si>
    <t>chi phí kiểm định</t>
  </si>
  <si>
    <t>đã bao gôm cấp 1 lần cuối dự án</t>
  </si>
  <si>
    <t>chi phí vận chuyển</t>
  </si>
  <si>
    <t xml:space="preserve">đơn giá chưa bao gồm vận chuyển </t>
  </si>
  <si>
    <t>SWIND-1.05- MFD-EI120</t>
  </si>
  <si>
    <t xml:space="preserve"> - Van động cơ SWIND-MFD - Tiêu chuẩn EI 120
 - 2 đầu bích TDC - Gắn kèm động cơ ON-OFF 9Nm, 24V  BELIMO- Model: BFN 24
- Sản xuất theo BCTN số 2390/VLXD-TBMT
- Van chia đa cánh
- Van chia 2 modul khi sản xuất</t>
  </si>
  <si>
    <t xml:space="preserve"> - Van động cơ SWIND-MFD - Tiêu chuẩn EI 120
 - 2 đầu bích TDC - Gắn kèm động cơ ON-OFF 9Nm, 24V  BELIMO- Model: BFN 24
- Sản xuất theo BCTN số 2390/VLXD-TBMT
- Van chia đa cánh</t>
  </si>
  <si>
    <t xml:space="preserve"> - Van động cơ SWIND-MFD - Tiêu chuẩn EI 120
 - 2 đầu bích TDC - Gắn kèm động cơ ON-OFF 9Nm, 24V  BELIMO- Model: BFN 24
- Sản xuất theo BCTN số 2390/VLXD-TBMT
- Van chia đa cánh
Van làm thêm bích bù 150x150</t>
  </si>
  <si>
    <t>Khách hàng : Công ty TBCons</t>
  </si>
  <si>
    <t>HAUSDALAT</t>
  </si>
  <si>
    <t>BG01_SLAND_TBCONS_HAUSDALAT_MIENG GIO VAN GIO_07102026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</si>
</sst>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00_-;\-* #,##0.00_-;_-* &quot;-&quot;??_-;_-@_-"/>
    <numFmt numFmtId="165" formatCode="_(* #,##0_);_(* \(#,##0\);_(* &quot;-&quot;??_);_(@_)"/>
    <numFmt numFmtId="166" formatCode="0.0"/>
  </numFmts>
  <fonts count="38">
    <font>
      <sz val="11"/>
      <color theme="1"/>
      <name val="Calibri"/>
      <charset val="134"/>
      <scheme val="minor"/>
    </font>
    <font>
      <sz val="11"/>
      <color theme="1"/>
      <name val="Calibri"/>
      <family val="2"/>
      <scheme val="minor"/>
    </font>
    <font>
      <b/>
      <sz val="14"/>
      <name val="Times New Roman"/>
      <family val="1"/>
    </font>
    <font>
      <sz val="16"/>
      <name val="Times New Roman"/>
      <family val="1"/>
    </font>
    <font>
      <b/>
      <u/>
      <sz val="10"/>
      <name val="Times New Roman"/>
      <family val="1"/>
    </font>
    <font>
      <sz val="10"/>
      <name val="Times New Roman"/>
      <family val="1"/>
    </font>
    <font>
      <b/>
      <sz val="10"/>
      <name val="Times New Roman"/>
      <family val="1"/>
    </font>
    <font>
      <sz val="10"/>
      <color rgb="FFFF0000"/>
      <name val="Arial"/>
      <family val="2"/>
    </font>
    <font>
      <sz val="11"/>
      <color theme="1"/>
      <name val="Calibri"/>
      <charset val="134"/>
      <scheme val="minor"/>
    </font>
    <font>
      <sz val="9"/>
      <color theme="1"/>
      <name val="Arial"/>
      <charset val="134"/>
    </font>
    <font>
      <sz val="11"/>
      <color indexed="8"/>
      <name val="Calibri"/>
      <charset val="134"/>
    </font>
    <font>
      <sz val="12"/>
      <name val=".VnTime"/>
      <charset val="134"/>
    </font>
    <font>
      <sz val="9"/>
      <color indexed="8"/>
      <name val="Arial"/>
      <charset val="134"/>
    </font>
    <font>
      <b/>
      <sz val="10"/>
      <color theme="1"/>
      <name val="Arial"/>
      <charset val="134"/>
    </font>
    <font>
      <b/>
      <i/>
      <sz val="9"/>
      <color theme="1"/>
      <name val="Arial"/>
      <charset val="134"/>
    </font>
    <font>
      <b/>
      <sz val="20"/>
      <color indexed="8"/>
      <name val="Arial"/>
      <charset val="134"/>
    </font>
    <font>
      <sz val="10"/>
      <color indexed="8"/>
      <name val="Calibri"/>
      <charset val="134"/>
    </font>
    <font>
      <b/>
      <sz val="8"/>
      <color theme="1"/>
      <name val="Arial"/>
      <charset val="134"/>
    </font>
    <font>
      <sz val="8"/>
      <color theme="1"/>
      <name val="Arial"/>
      <charset val="134"/>
    </font>
    <font>
      <sz val="10"/>
      <name val="Arial"/>
      <charset val="134"/>
    </font>
    <font>
      <sz val="10"/>
      <color theme="1"/>
      <name val="Times New Roman"/>
      <charset val="134"/>
    </font>
    <font>
      <sz val="11"/>
      <color theme="1"/>
      <name val="Calibri"/>
      <charset val="163"/>
      <scheme val="minor"/>
    </font>
    <font>
      <sz val="10"/>
      <name val="Times New Roman"/>
      <charset val="134"/>
    </font>
    <font>
      <sz val="10"/>
      <color indexed="8"/>
      <name val="Times New Roman"/>
      <charset val="134"/>
    </font>
    <font>
      <b/>
      <sz val="10"/>
      <color indexed="8"/>
      <name val="Times New Roman"/>
      <charset val="134"/>
    </font>
    <font>
      <sz val="10"/>
      <color indexed="8"/>
      <name val="Arial"/>
      <charset val="134"/>
    </font>
    <font>
      <b/>
      <i/>
      <u/>
      <sz val="10"/>
      <color indexed="8"/>
      <name val="Arial"/>
      <charset val="134"/>
    </font>
    <font>
      <b/>
      <sz val="11"/>
      <name val="Times New Roman"/>
      <charset val="134"/>
    </font>
    <font>
      <sz val="9"/>
      <color theme="1"/>
      <name val="Times New Roman"/>
      <charset val="134"/>
    </font>
    <font>
      <b/>
      <sz val="9"/>
      <color theme="1"/>
      <name val="Times New Roman"/>
      <charset val="134"/>
    </font>
    <font>
      <sz val="9"/>
      <color indexed="8"/>
      <name val="Times New Roman"/>
      <charset val="134"/>
    </font>
    <font>
      <b/>
      <i/>
      <sz val="10"/>
      <name val="Arial"/>
      <charset val="134"/>
    </font>
    <font>
      <b/>
      <u/>
      <sz val="9"/>
      <color rgb="FFFF0000"/>
      <name val="Times New Roman"/>
      <charset val="134"/>
    </font>
    <font>
      <i/>
      <sz val="9"/>
      <name val="Times New Roman"/>
      <charset val="134"/>
    </font>
    <font>
      <sz val="11"/>
      <color indexed="8"/>
      <name val="Times New Roman"/>
      <charset val="163"/>
    </font>
    <font>
      <i/>
      <sz val="9.5"/>
      <name val="Arial"/>
      <charset val="134"/>
    </font>
    <font>
      <b/>
      <sz val="10"/>
      <name val="Arial"/>
      <charset val="134"/>
    </font>
    <font>
      <b/>
      <sz val="10"/>
      <color indexed="8"/>
      <name val="Arial"/>
      <charset val="134"/>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s>
  <cellStyleXfs count="12">
    <xf numFmtId="0" fontId="0" fillId="0" borderId="0"/>
    <xf numFmtId="0" fontId="1" fillId="0" borderId="0"/>
    <xf numFmtId="164" fontId="1" fillId="0" borderId="0"/>
    <xf numFmtId="0" fontId="1" fillId="0" borderId="0"/>
    <xf numFmtId="43" fontId="10"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1" fillId="0" borderId="0"/>
    <xf numFmtId="0" fontId="19" fillId="0" borderId="0"/>
    <xf numFmtId="0" fontId="19" fillId="0" borderId="0"/>
    <xf numFmtId="0" fontId="21" fillId="0" borderId="0"/>
    <xf numFmtId="0" fontId="19" fillId="0" borderId="0"/>
  </cellStyleXfs>
  <cellXfs count="189">
    <xf numFmtId="0" fontId="0" fillId="0" borderId="0" xfId="0"/>
    <xf numFmtId="0" fontId="3" fillId="0" borderId="0" xfId="1" applyFont="1" applyAlignment="1">
      <alignment vertical="center"/>
    </xf>
    <xf numFmtId="164" fontId="4" fillId="0" borderId="0" xfId="1" applyNumberFormat="1" applyFont="1" applyAlignment="1">
      <alignment vertical="center"/>
    </xf>
    <xf numFmtId="164" fontId="5" fillId="0" borderId="0" xfId="1" applyNumberFormat="1" applyFont="1" applyAlignment="1">
      <alignment vertical="center"/>
    </xf>
    <xf numFmtId="164" fontId="5" fillId="0" borderId="0" xfId="1" applyNumberFormat="1" applyFont="1" applyAlignment="1">
      <alignment horizontal="center" vertical="center"/>
    </xf>
    <xf numFmtId="164" fontId="5" fillId="0" borderId="0" xfId="1" applyNumberFormat="1" applyFont="1" applyAlignment="1">
      <alignment horizontal="center" vertical="center" wrapText="1"/>
    </xf>
    <xf numFmtId="165" fontId="5" fillId="0" borderId="0" xfId="2" applyNumberFormat="1" applyFont="1" applyAlignment="1">
      <alignment vertical="center"/>
    </xf>
    <xf numFmtId="0" fontId="6" fillId="0" borderId="1" xfId="1" applyFont="1" applyBorder="1" applyAlignment="1">
      <alignment horizontal="center" vertical="center" wrapText="1"/>
    </xf>
    <xf numFmtId="0" fontId="5" fillId="0" borderId="0" xfId="1" applyFont="1" applyAlignment="1">
      <alignment vertical="center"/>
    </xf>
    <xf numFmtId="165" fontId="6" fillId="0" borderId="1" xfId="2" applyNumberFormat="1" applyFont="1" applyBorder="1" applyAlignment="1">
      <alignment horizontal="center" vertical="center" wrapText="1"/>
    </xf>
    <xf numFmtId="0" fontId="5" fillId="0" borderId="1" xfId="3" applyFont="1" applyBorder="1" applyAlignment="1">
      <alignment vertical="center"/>
    </xf>
    <xf numFmtId="0" fontId="6" fillId="0" borderId="1" xfId="1" applyFont="1" applyBorder="1" applyAlignment="1">
      <alignment horizontal="center" vertical="center"/>
    </xf>
    <xf numFmtId="0" fontId="6" fillId="0" borderId="1" xfId="1" applyFont="1" applyBorder="1" applyAlignment="1">
      <alignment vertical="center" wrapText="1"/>
    </xf>
    <xf numFmtId="0" fontId="5" fillId="0" borderId="1" xfId="3" applyFont="1" applyBorder="1" applyAlignment="1">
      <alignment horizontal="center" vertical="center" wrapText="1"/>
    </xf>
    <xf numFmtId="164" fontId="5" fillId="0" borderId="1" xfId="1" applyNumberFormat="1" applyFont="1" applyBorder="1" applyAlignment="1">
      <alignment horizontal="center" vertical="center" wrapText="1"/>
    </xf>
    <xf numFmtId="165" fontId="5" fillId="0" borderId="1" xfId="2" applyNumberFormat="1" applyFont="1" applyBorder="1" applyAlignment="1">
      <alignment horizontal="center" vertical="center"/>
    </xf>
    <xf numFmtId="165" fontId="5" fillId="0" borderId="1" xfId="2" applyNumberFormat="1" applyFont="1" applyBorder="1" applyAlignment="1">
      <alignment vertical="center" wrapText="1"/>
    </xf>
    <xf numFmtId="165" fontId="6" fillId="0" borderId="1" xfId="2" applyNumberFormat="1" applyFont="1" applyBorder="1" applyAlignment="1">
      <alignment vertical="center" wrapText="1"/>
    </xf>
    <xf numFmtId="0" fontId="5" fillId="0" borderId="1" xfId="1" applyFont="1" applyBorder="1" applyAlignment="1">
      <alignment horizontal="left" vertical="center" wrapText="1"/>
    </xf>
    <xf numFmtId="0" fontId="6" fillId="0" borderId="1" xfId="1" applyFont="1" applyBorder="1" applyAlignment="1">
      <alignment horizontal="left" vertical="center" wrapText="1"/>
    </xf>
    <xf numFmtId="0" fontId="5" fillId="0" borderId="1" xfId="1" applyFont="1" applyBorder="1" applyAlignment="1">
      <alignment horizontal="center" vertical="center"/>
    </xf>
    <xf numFmtId="0" fontId="7" fillId="0" borderId="1" xfId="3" applyFont="1" applyBorder="1" applyAlignment="1">
      <alignment horizontal="center" vertical="center" wrapText="1"/>
    </xf>
    <xf numFmtId="164" fontId="6" fillId="0" borderId="1" xfId="1" applyNumberFormat="1" applyFont="1" applyBorder="1" applyAlignment="1">
      <alignment horizontal="center" vertical="center" wrapText="1"/>
    </xf>
    <xf numFmtId="0" fontId="5" fillId="0" borderId="1" xfId="1" applyFont="1" applyBorder="1" applyAlignment="1">
      <alignment horizontal="center" vertical="center" wrapText="1"/>
    </xf>
    <xf numFmtId="0" fontId="5" fillId="0" borderId="0" xfId="1" applyFont="1" applyAlignment="1">
      <alignment horizontal="center" vertical="center"/>
    </xf>
    <xf numFmtId="165" fontId="5" fillId="0" borderId="1" xfId="2" applyNumberFormat="1" applyFont="1" applyBorder="1" applyAlignment="1">
      <alignment horizontal="center" vertical="center" wrapText="1"/>
    </xf>
    <xf numFmtId="165" fontId="5" fillId="0" borderId="1" xfId="2" applyNumberFormat="1" applyFont="1" applyBorder="1" applyAlignment="1">
      <alignment vertical="center"/>
    </xf>
    <xf numFmtId="165" fontId="6" fillId="0" borderId="1" xfId="2" applyNumberFormat="1" applyFont="1" applyBorder="1" applyAlignment="1">
      <alignment vertical="center"/>
    </xf>
    <xf numFmtId="0" fontId="5" fillId="0" borderId="1" xfId="1" applyFont="1" applyBorder="1" applyAlignment="1">
      <alignment vertical="center"/>
    </xf>
    <xf numFmtId="0" fontId="5" fillId="0" borderId="0" xfId="3" applyFont="1" applyAlignment="1">
      <alignment vertical="center"/>
    </xf>
    <xf numFmtId="0" fontId="5" fillId="0" borderId="0" xfId="1" applyFont="1" applyAlignment="1">
      <alignment horizontal="center" vertical="center" wrapText="1"/>
    </xf>
    <xf numFmtId="0" fontId="9" fillId="0" borderId="0" xfId="0" applyFont="1"/>
    <xf numFmtId="0" fontId="9" fillId="0" borderId="0" xfId="0" applyFont="1" applyAlignment="1">
      <alignment horizontal="center" wrapText="1"/>
    </xf>
    <xf numFmtId="0" fontId="9" fillId="0" borderId="0" xfId="0" applyFont="1" applyAlignment="1">
      <alignment horizontal="center"/>
    </xf>
    <xf numFmtId="0" fontId="9" fillId="0" borderId="0" xfId="0" applyFont="1" applyAlignment="1">
      <alignment horizontal="center" vertical="center"/>
    </xf>
    <xf numFmtId="0" fontId="9" fillId="0" borderId="0" xfId="0" applyFont="1" applyAlignment="1">
      <alignment vertical="center"/>
    </xf>
    <xf numFmtId="165" fontId="9" fillId="0" borderId="0" xfId="4" applyNumberFormat="1" applyFont="1" applyAlignment="1">
      <alignment horizontal="center" vertical="center"/>
    </xf>
    <xf numFmtId="165" fontId="12" fillId="0" borderId="0" xfId="5" applyNumberFormat="1" applyFont="1"/>
    <xf numFmtId="165" fontId="9" fillId="0" borderId="0" xfId="5" applyNumberFormat="1" applyFont="1"/>
    <xf numFmtId="165" fontId="9" fillId="0" borderId="0" xfId="4" applyNumberFormat="1" applyFont="1" applyAlignment="1">
      <alignment horizontal="center"/>
    </xf>
    <xf numFmtId="0" fontId="9" fillId="0" borderId="0" xfId="0" applyFont="1" applyAlignment="1">
      <alignment wrapText="1"/>
    </xf>
    <xf numFmtId="0" fontId="9" fillId="0" borderId="8" xfId="0" applyFont="1" applyBorder="1"/>
    <xf numFmtId="0" fontId="14" fillId="0" borderId="8" xfId="0" applyFont="1" applyBorder="1" applyAlignment="1">
      <alignment horizontal="center" vertical="center" wrapText="1"/>
    </xf>
    <xf numFmtId="0" fontId="16" fillId="0" borderId="0" xfId="0" applyFont="1"/>
    <xf numFmtId="165" fontId="17" fillId="0" borderId="1" xfId="4" applyNumberFormat="1" applyFont="1" applyFill="1" applyBorder="1" applyAlignment="1">
      <alignment horizontal="left" vertical="center"/>
    </xf>
    <xf numFmtId="165" fontId="18" fillId="0" borderId="2" xfId="5" applyNumberFormat="1" applyFont="1" applyBorder="1" applyAlignment="1">
      <alignment horizontal="left" vertical="center"/>
    </xf>
    <xf numFmtId="165" fontId="18" fillId="0" borderId="3" xfId="5" applyNumberFormat="1" applyFont="1" applyBorder="1" applyAlignment="1">
      <alignment vertical="center"/>
    </xf>
    <xf numFmtId="43" fontId="17" fillId="0" borderId="1" xfId="6" applyFont="1" applyFill="1" applyBorder="1" applyAlignment="1">
      <alignment horizontal="left" vertical="center" wrapText="1"/>
    </xf>
    <xf numFmtId="165" fontId="18" fillId="0" borderId="1" xfId="5" applyNumberFormat="1" applyFont="1" applyBorder="1" applyAlignment="1">
      <alignment horizontal="left" vertical="center"/>
    </xf>
    <xf numFmtId="165" fontId="17" fillId="0" borderId="1" xfId="6" applyNumberFormat="1" applyFont="1" applyFill="1" applyBorder="1" applyAlignment="1">
      <alignment horizontal="left" vertical="center"/>
    </xf>
    <xf numFmtId="0" fontId="17" fillId="0" borderId="1" xfId="6" quotePrefix="1" applyNumberFormat="1" applyFont="1" applyFill="1" applyBorder="1" applyAlignment="1">
      <alignment horizontal="left" vertical="center"/>
    </xf>
    <xf numFmtId="165" fontId="17" fillId="0" borderId="1" xfId="4" applyNumberFormat="1" applyFont="1" applyFill="1" applyBorder="1" applyAlignment="1">
      <alignment horizontal="center" vertical="center"/>
    </xf>
    <xf numFmtId="165" fontId="17" fillId="0" borderId="4" xfId="5" applyNumberFormat="1" applyFont="1" applyFill="1" applyBorder="1" applyAlignment="1">
      <alignment horizontal="center" vertical="center" wrapText="1"/>
    </xf>
    <xf numFmtId="0" fontId="17" fillId="0" borderId="1" xfId="9" applyFont="1" applyBorder="1" applyAlignment="1">
      <alignment horizontal="center" vertical="center"/>
    </xf>
    <xf numFmtId="165" fontId="17" fillId="2" borderId="10" xfId="5" applyNumberFormat="1" applyFont="1" applyFill="1" applyBorder="1" applyAlignment="1">
      <alignment horizontal="center" vertical="center" wrapText="1"/>
    </xf>
    <xf numFmtId="165" fontId="17" fillId="0" borderId="10" xfId="5" applyNumberFormat="1"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0" xfId="7" applyFont="1" applyFill="1" applyBorder="1" applyAlignment="1">
      <alignment horizontal="center" vertical="center" wrapText="1"/>
    </xf>
    <xf numFmtId="0" fontId="17" fillId="3" borderId="10" xfId="9" applyFont="1" applyFill="1" applyBorder="1" applyAlignment="1">
      <alignment horizontal="center" vertical="center"/>
    </xf>
    <xf numFmtId="166" fontId="17" fillId="3" borderId="10" xfId="0" applyNumberFormat="1" applyFont="1" applyFill="1" applyBorder="1" applyAlignment="1">
      <alignment horizontal="center" vertical="center" wrapText="1"/>
    </xf>
    <xf numFmtId="165" fontId="17" fillId="3" borderId="10" xfId="4" applyNumberFormat="1" applyFont="1" applyFill="1" applyBorder="1" applyAlignment="1">
      <alignment horizontal="center" vertical="center" wrapText="1"/>
    </xf>
    <xf numFmtId="165" fontId="17" fillId="3" borderId="10" xfId="5" applyNumberFormat="1" applyFont="1" applyFill="1" applyBorder="1" applyAlignment="1">
      <alignment horizontal="center" vertical="center" wrapText="1"/>
    </xf>
    <xf numFmtId="43" fontId="17" fillId="3" borderId="10" xfId="6" applyFont="1" applyFill="1" applyBorder="1" applyAlignment="1">
      <alignment horizontal="center" vertical="center" wrapText="1"/>
    </xf>
    <xf numFmtId="0" fontId="20" fillId="0" borderId="11" xfId="0" applyFont="1" applyBorder="1" applyAlignment="1">
      <alignment horizontal="center" vertical="center" wrapText="1"/>
    </xf>
    <xf numFmtId="0" fontId="20" fillId="0" borderId="11" xfId="0" applyFont="1" applyBorder="1" applyAlignment="1">
      <alignment horizontal="left" vertical="center" wrapText="1"/>
    </xf>
    <xf numFmtId="165" fontId="20" fillId="0" borderId="11" xfId="5" applyNumberFormat="1" applyFont="1" applyBorder="1" applyAlignment="1">
      <alignment horizontal="center" vertical="center" wrapText="1"/>
    </xf>
    <xf numFmtId="0" fontId="20" fillId="0" borderId="0" xfId="10" applyFont="1" applyAlignment="1">
      <alignment wrapText="1"/>
    </xf>
    <xf numFmtId="0" fontId="20" fillId="0" borderId="0" xfId="10" applyFont="1"/>
    <xf numFmtId="0" fontId="22" fillId="0" borderId="11" xfId="0" applyFont="1" applyBorder="1" applyAlignment="1">
      <alignment horizontal="center" vertical="center" wrapText="1"/>
    </xf>
    <xf numFmtId="0" fontId="22" fillId="0" borderId="11" xfId="0" applyFont="1" applyBorder="1" applyAlignment="1">
      <alignment horizontal="left" vertical="center" wrapText="1"/>
    </xf>
    <xf numFmtId="165" fontId="22" fillId="0" borderId="11" xfId="5" applyNumberFormat="1" applyFont="1" applyBorder="1" applyAlignment="1">
      <alignment horizontal="center" vertical="center" wrapText="1"/>
    </xf>
    <xf numFmtId="0" fontId="23" fillId="0" borderId="0" xfId="10" applyFont="1"/>
    <xf numFmtId="165" fontId="24" fillId="3" borderId="14" xfId="6" applyNumberFormat="1" applyFont="1" applyFill="1" applyBorder="1" applyAlignment="1">
      <alignment horizontal="right" vertical="center" wrapText="1"/>
    </xf>
    <xf numFmtId="165" fontId="24" fillId="3" borderId="15" xfId="5" applyNumberFormat="1" applyFont="1" applyFill="1" applyBorder="1" applyAlignment="1">
      <alignment horizontal="right" vertical="center"/>
    </xf>
    <xf numFmtId="0" fontId="23" fillId="3" borderId="15" xfId="10" applyFont="1" applyFill="1" applyBorder="1" applyAlignment="1">
      <alignment horizontal="center" vertical="center" wrapText="1"/>
    </xf>
    <xf numFmtId="165" fontId="24" fillId="3" borderId="18" xfId="6" applyNumberFormat="1" applyFont="1" applyFill="1" applyBorder="1" applyAlignment="1">
      <alignment horizontal="right" vertical="center" wrapText="1"/>
    </xf>
    <xf numFmtId="165" fontId="24" fillId="3" borderId="19" xfId="5" applyNumberFormat="1" applyFont="1" applyFill="1" applyBorder="1" applyAlignment="1">
      <alignment horizontal="right" vertical="center"/>
    </xf>
    <xf numFmtId="0" fontId="23" fillId="3" borderId="19" xfId="10" applyFont="1" applyFill="1" applyBorder="1" applyAlignment="1">
      <alignment horizontal="center" vertical="center" wrapText="1"/>
    </xf>
    <xf numFmtId="165" fontId="24" fillId="3" borderId="22" xfId="6" applyNumberFormat="1" applyFont="1" applyFill="1" applyBorder="1" applyAlignment="1">
      <alignment horizontal="right" vertical="center" wrapText="1"/>
    </xf>
    <xf numFmtId="165" fontId="24" fillId="3" borderId="23" xfId="5" applyNumberFormat="1" applyFont="1" applyFill="1" applyBorder="1" applyAlignment="1">
      <alignment horizontal="right" vertical="center"/>
    </xf>
    <xf numFmtId="0" fontId="23" fillId="3" borderId="23" xfId="10" applyFont="1" applyFill="1" applyBorder="1" applyAlignment="1">
      <alignment horizontal="center" vertical="center" wrapText="1"/>
    </xf>
    <xf numFmtId="0" fontId="25" fillId="0" borderId="0" xfId="0" applyFont="1"/>
    <xf numFmtId="0" fontId="25" fillId="0" borderId="0" xfId="0" applyFont="1" applyAlignment="1">
      <alignment horizontal="center" wrapText="1"/>
    </xf>
    <xf numFmtId="0" fontId="25" fillId="0" borderId="0" xfId="0" applyFont="1" applyAlignment="1">
      <alignment horizontal="center"/>
    </xf>
    <xf numFmtId="0" fontId="25" fillId="0" borderId="0" xfId="0" applyFont="1" applyAlignment="1">
      <alignment horizontal="center" vertical="center"/>
    </xf>
    <xf numFmtId="0" fontId="25" fillId="0" borderId="0" xfId="0" applyFont="1" applyAlignment="1">
      <alignment vertical="center"/>
    </xf>
    <xf numFmtId="165" fontId="25" fillId="0" borderId="0" xfId="4" applyNumberFormat="1" applyFont="1" applyAlignment="1">
      <alignment horizontal="center" vertical="center"/>
    </xf>
    <xf numFmtId="165" fontId="25" fillId="0" borderId="0" xfId="5" applyNumberFormat="1" applyFont="1"/>
    <xf numFmtId="0" fontId="26" fillId="0" borderId="0" xfId="0" applyFont="1" applyAlignment="1">
      <alignment vertical="center" wrapText="1"/>
    </xf>
    <xf numFmtId="0" fontId="23" fillId="0" borderId="0" xfId="0" applyFont="1"/>
    <xf numFmtId="0" fontId="26" fillId="0" borderId="0" xfId="0" applyFont="1" applyAlignment="1">
      <alignment horizontal="left" vertical="center" wrapText="1"/>
    </xf>
    <xf numFmtId="0" fontId="27" fillId="0" borderId="0" xfId="8" quotePrefix="1" applyFont="1" applyAlignment="1">
      <alignment horizontal="left"/>
    </xf>
    <xf numFmtId="0" fontId="19" fillId="0" borderId="0" xfId="0" applyFont="1"/>
    <xf numFmtId="0" fontId="19" fillId="0" borderId="0" xfId="0" applyFont="1" applyAlignment="1">
      <alignment horizontal="center"/>
    </xf>
    <xf numFmtId="165" fontId="26" fillId="0" borderId="0" xfId="5" applyNumberFormat="1" applyFont="1" applyAlignment="1">
      <alignment vertical="center" wrapText="1"/>
    </xf>
    <xf numFmtId="165" fontId="23" fillId="0" borderId="0" xfId="5" applyNumberFormat="1" applyFont="1"/>
    <xf numFmtId="0" fontId="28" fillId="4" borderId="0" xfId="0" applyFont="1" applyFill="1" applyAlignment="1">
      <alignment horizontal="left" vertical="center"/>
    </xf>
    <xf numFmtId="0" fontId="30" fillId="4" borderId="0" xfId="0" applyFont="1" applyFill="1" applyAlignment="1">
      <alignment horizontal="center" vertical="center"/>
    </xf>
    <xf numFmtId="43" fontId="30" fillId="4" borderId="0" xfId="4" applyFont="1" applyFill="1" applyAlignment="1" applyProtection="1">
      <alignment horizontal="left" vertical="center"/>
    </xf>
    <xf numFmtId="165" fontId="26" fillId="0" borderId="0" xfId="4" applyNumberFormat="1" applyFont="1" applyFill="1" applyBorder="1" applyAlignment="1">
      <alignment horizontal="center" vertical="center" wrapText="1"/>
    </xf>
    <xf numFmtId="3" fontId="26" fillId="0" borderId="0" xfId="0" applyNumberFormat="1" applyFont="1" applyAlignment="1">
      <alignment vertical="center" wrapText="1"/>
    </xf>
    <xf numFmtId="49" fontId="32" fillId="4" borderId="0" xfId="0" applyNumberFormat="1" applyFont="1" applyFill="1" applyAlignment="1">
      <alignment horizontal="left" vertical="center"/>
    </xf>
    <xf numFmtId="49" fontId="32" fillId="4" borderId="0" xfId="0" applyNumberFormat="1" applyFont="1" applyFill="1" applyAlignment="1">
      <alignment horizontal="center" vertical="center"/>
    </xf>
    <xf numFmtId="43" fontId="30" fillId="4" borderId="0" xfId="4" applyFont="1" applyFill="1" applyAlignment="1" applyProtection="1">
      <alignment horizontal="right" vertical="center"/>
    </xf>
    <xf numFmtId="3" fontId="26" fillId="0" borderId="0" xfId="0" applyNumberFormat="1" applyFont="1" applyAlignment="1">
      <alignment horizontal="left" vertical="center" wrapText="1"/>
    </xf>
    <xf numFmtId="3" fontId="25" fillId="0" borderId="0" xfId="0" applyNumberFormat="1" applyFont="1" applyAlignment="1">
      <alignment vertical="center"/>
    </xf>
    <xf numFmtId="165" fontId="25" fillId="0" borderId="0" xfId="5" applyNumberFormat="1" applyFont="1" applyAlignment="1">
      <alignment vertical="center"/>
    </xf>
    <xf numFmtId="0" fontId="28" fillId="4" borderId="0" xfId="0" applyFont="1" applyFill="1" applyAlignment="1">
      <alignment vertical="center"/>
    </xf>
    <xf numFmtId="49" fontId="33" fillId="4" borderId="0" xfId="0" applyNumberFormat="1" applyFont="1" applyFill="1" applyAlignment="1">
      <alignment horizontal="left" vertical="center"/>
    </xf>
    <xf numFmtId="0" fontId="27" fillId="0" borderId="0" xfId="8" applyFont="1"/>
    <xf numFmtId="0" fontId="34" fillId="0" borderId="0" xfId="9" applyFont="1"/>
    <xf numFmtId="0" fontId="34" fillId="0" borderId="0" xfId="9" applyFont="1" applyAlignment="1">
      <alignment horizontal="center" vertical="center"/>
    </xf>
    <xf numFmtId="165" fontId="25" fillId="0" borderId="0" xfId="5" applyNumberFormat="1" applyFont="1" applyAlignment="1">
      <alignment horizontal="center" vertical="center"/>
    </xf>
    <xf numFmtId="0" fontId="25" fillId="0" borderId="0" xfId="0" applyFont="1" applyAlignment="1">
      <alignment horizontal="left" vertical="center"/>
    </xf>
    <xf numFmtId="0" fontId="36" fillId="0" borderId="0" xfId="0" applyFont="1" applyAlignment="1">
      <alignment vertical="center"/>
    </xf>
    <xf numFmtId="0" fontId="28" fillId="4" borderId="0" xfId="0" quotePrefix="1" applyFont="1" applyFill="1" applyAlignment="1">
      <alignment vertical="center"/>
    </xf>
    <xf numFmtId="1" fontId="25" fillId="0" borderId="0" xfId="9" applyNumberFormat="1" applyFont="1" applyAlignment="1">
      <alignment horizontal="center" vertical="center"/>
    </xf>
    <xf numFmtId="0" fontId="37" fillId="0" borderId="0" xfId="7" applyFont="1" applyAlignment="1">
      <alignment horizontal="center" vertical="center"/>
    </xf>
    <xf numFmtId="165" fontId="37" fillId="0" borderId="0" xfId="6" applyNumberFormat="1" applyFont="1" applyFill="1" applyBorder="1" applyAlignment="1">
      <alignment horizontal="center" vertical="center" wrapText="1"/>
    </xf>
    <xf numFmtId="0" fontId="19" fillId="0" borderId="0" xfId="11" applyAlignment="1">
      <alignment horizontal="center" vertical="center" wrapText="1"/>
    </xf>
    <xf numFmtId="165" fontId="16" fillId="0" borderId="0" xfId="5" applyNumberFormat="1" applyFont="1"/>
    <xf numFmtId="0" fontId="34" fillId="0" borderId="0" xfId="9" applyFont="1" applyAlignment="1">
      <alignment vertical="center"/>
    </xf>
    <xf numFmtId="3" fontId="25" fillId="0" borderId="0" xfId="4" applyNumberFormat="1" applyFont="1"/>
    <xf numFmtId="165" fontId="25" fillId="0" borderId="0" xfId="5" applyNumberFormat="1" applyFont="1" applyAlignment="1">
      <alignment horizontal="center"/>
    </xf>
    <xf numFmtId="165" fontId="25" fillId="0" borderId="0" xfId="4" applyNumberFormat="1" applyFont="1" applyAlignment="1">
      <alignment horizontal="center"/>
    </xf>
    <xf numFmtId="0" fontId="23" fillId="0" borderId="0" xfId="0" applyFont="1" applyAlignment="1">
      <alignment horizontal="center" wrapText="1"/>
    </xf>
    <xf numFmtId="0" fontId="23" fillId="0" borderId="0" xfId="0" applyFont="1" applyAlignment="1">
      <alignment horizontal="center"/>
    </xf>
    <xf numFmtId="0" fontId="23" fillId="0" borderId="0" xfId="0" applyFont="1" applyAlignment="1">
      <alignment horizontal="center" vertical="center"/>
    </xf>
    <xf numFmtId="0" fontId="23" fillId="0" borderId="0" xfId="0" applyFont="1" applyAlignment="1">
      <alignment vertical="center"/>
    </xf>
    <xf numFmtId="165" fontId="23" fillId="0" borderId="0" xfId="4" applyNumberFormat="1" applyFont="1" applyAlignment="1">
      <alignment horizontal="center" vertical="center"/>
    </xf>
    <xf numFmtId="165" fontId="23" fillId="0" borderId="0" xfId="4" applyNumberFormat="1" applyFont="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165" fontId="0" fillId="0" borderId="0" xfId="4" applyNumberFormat="1" applyFont="1" applyAlignment="1">
      <alignment horizontal="center" vertical="center"/>
    </xf>
    <xf numFmtId="165" fontId="10" fillId="0" borderId="0" xfId="5" applyNumberFormat="1" applyFont="1"/>
    <xf numFmtId="165" fontId="8" fillId="0" borderId="0" xfId="5" applyNumberFormat="1" applyFont="1"/>
    <xf numFmtId="165" fontId="8" fillId="0" borderId="0" xfId="4" applyNumberFormat="1" applyFont="1" applyAlignment="1">
      <alignment horizontal="center"/>
    </xf>
    <xf numFmtId="0" fontId="2" fillId="0" borderId="0" xfId="1" applyFont="1" applyAlignment="1">
      <alignment horizontal="center" vertical="center"/>
    </xf>
    <xf numFmtId="0" fontId="3" fillId="0" borderId="0" xfId="1" applyFont="1" applyAlignment="1">
      <alignment vertical="center"/>
    </xf>
    <xf numFmtId="0" fontId="6" fillId="0" borderId="1" xfId="1" applyFont="1" applyBorder="1" applyAlignment="1">
      <alignment horizontal="center" vertical="center" wrapText="1"/>
    </xf>
    <xf numFmtId="0" fontId="0" fillId="0" borderId="7" xfId="0" applyBorder="1"/>
    <xf numFmtId="0" fontId="6" fillId="0" borderId="1" xfId="3" applyFont="1" applyBorder="1" applyAlignment="1">
      <alignment horizontal="center" vertical="center" wrapText="1"/>
    </xf>
    <xf numFmtId="165" fontId="6" fillId="0" borderId="1" xfId="2" applyNumberFormat="1" applyFont="1" applyBorder="1" applyAlignment="1">
      <alignment horizontal="center" vertical="center" wrapText="1"/>
    </xf>
    <xf numFmtId="0" fontId="0" fillId="0" borderId="2" xfId="0" applyBorder="1"/>
    <xf numFmtId="0" fontId="0" fillId="0" borderId="3" xfId="0" applyBorder="1"/>
    <xf numFmtId="165" fontId="6" fillId="0" borderId="4" xfId="2" applyNumberFormat="1" applyFont="1" applyBorder="1" applyAlignment="1">
      <alignment horizontal="center" vertical="center" wrapText="1"/>
    </xf>
    <xf numFmtId="0" fontId="0" fillId="0" borderId="5" xfId="0" applyBorder="1"/>
    <xf numFmtId="0" fontId="0" fillId="0" borderId="6" xfId="0" applyBorder="1"/>
    <xf numFmtId="165" fontId="19" fillId="0" borderId="0" xfId="4" applyNumberFormat="1" applyFont="1" applyFill="1" applyBorder="1" applyAlignment="1">
      <alignment horizontal="center" vertical="center" wrapText="1"/>
    </xf>
    <xf numFmtId="165" fontId="19" fillId="0" borderId="0" xfId="5" applyNumberFormat="1" applyFont="1" applyFill="1" applyBorder="1" applyAlignment="1">
      <alignment horizontal="center" vertical="center" wrapText="1"/>
    </xf>
    <xf numFmtId="165" fontId="24" fillId="3" borderId="12" xfId="6" applyNumberFormat="1" applyFont="1" applyFill="1" applyBorder="1" applyAlignment="1">
      <alignment horizontal="right" vertical="center" wrapText="1"/>
    </xf>
    <xf numFmtId="165" fontId="24" fillId="3" borderId="13" xfId="6" applyNumberFormat="1" applyFont="1" applyFill="1" applyBorder="1" applyAlignment="1">
      <alignment horizontal="right" vertical="center" wrapText="1"/>
    </xf>
    <xf numFmtId="165" fontId="24" fillId="3" borderId="16" xfId="6" applyNumberFormat="1" applyFont="1" applyFill="1" applyBorder="1" applyAlignment="1">
      <alignment horizontal="right" vertical="center" wrapText="1"/>
    </xf>
    <xf numFmtId="165" fontId="24" fillId="3" borderId="17" xfId="6" applyNumberFormat="1" applyFont="1" applyFill="1" applyBorder="1" applyAlignment="1">
      <alignment horizontal="right" vertical="center" wrapText="1"/>
    </xf>
    <xf numFmtId="165" fontId="24" fillId="3" borderId="20" xfId="6" applyNumberFormat="1" applyFont="1" applyFill="1" applyBorder="1" applyAlignment="1">
      <alignment horizontal="right" vertical="center" wrapText="1"/>
    </xf>
    <xf numFmtId="165" fontId="24" fillId="3" borderId="21" xfId="6" applyNumberFormat="1" applyFont="1" applyFill="1" applyBorder="1" applyAlignment="1">
      <alignment horizontal="right" vertical="center" wrapText="1"/>
    </xf>
    <xf numFmtId="0" fontId="26" fillId="0" borderId="0" xfId="0" applyFont="1" applyAlignment="1">
      <alignment horizontal="center" vertical="center" wrapText="1"/>
    </xf>
    <xf numFmtId="0" fontId="26" fillId="0" borderId="0" xfId="0" applyFont="1" applyAlignment="1">
      <alignment vertical="center" wrapText="1"/>
    </xf>
    <xf numFmtId="0" fontId="35" fillId="0" borderId="0" xfId="0" applyFont="1" applyAlignment="1">
      <alignment horizontal="center" vertical="center"/>
    </xf>
    <xf numFmtId="165" fontId="35" fillId="0" borderId="0" xfId="5" applyNumberFormat="1" applyFont="1" applyAlignment="1">
      <alignment horizontal="center" vertical="center"/>
    </xf>
    <xf numFmtId="0" fontId="36" fillId="0" borderId="0" xfId="0" applyFont="1" applyAlignment="1">
      <alignment horizontal="left" vertical="center" indent="12"/>
    </xf>
    <xf numFmtId="165" fontId="36" fillId="0" borderId="0" xfId="5" applyNumberFormat="1" applyFont="1" applyAlignment="1">
      <alignment horizontal="left" vertical="center" indent="12"/>
    </xf>
    <xf numFmtId="0" fontId="17" fillId="0" borderId="1"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4" xfId="7" applyFont="1" applyBorder="1" applyAlignment="1">
      <alignment horizontal="center" vertical="center" wrapText="1"/>
    </xf>
    <xf numFmtId="0" fontId="17" fillId="0" borderId="10" xfId="7" applyFont="1" applyBorder="1" applyAlignment="1">
      <alignment horizontal="center" vertical="center" wrapText="1"/>
    </xf>
    <xf numFmtId="166" fontId="17" fillId="0" borderId="4" xfId="0" applyNumberFormat="1" applyFont="1" applyBorder="1" applyAlignment="1">
      <alignment horizontal="center" vertical="center" wrapText="1"/>
    </xf>
    <xf numFmtId="166" fontId="17" fillId="0" borderId="10" xfId="0" applyNumberFormat="1" applyFont="1" applyBorder="1" applyAlignment="1">
      <alignment horizontal="center" vertical="center" wrapText="1"/>
    </xf>
    <xf numFmtId="165" fontId="17" fillId="0" borderId="4" xfId="4" applyNumberFormat="1" applyFont="1" applyFill="1" applyBorder="1" applyAlignment="1">
      <alignment horizontal="center" vertical="center" wrapText="1"/>
    </xf>
    <xf numFmtId="165" fontId="17" fillId="0" borderId="10" xfId="4" applyNumberFormat="1" applyFont="1" applyFill="1" applyBorder="1" applyAlignment="1">
      <alignment horizontal="center" vertical="center" wrapText="1"/>
    </xf>
    <xf numFmtId="165" fontId="17" fillId="0" borderId="4" xfId="5" applyNumberFormat="1" applyFont="1" applyFill="1" applyBorder="1" applyAlignment="1">
      <alignment horizontal="center" vertical="center" wrapText="1"/>
    </xf>
    <xf numFmtId="165" fontId="17" fillId="0" borderId="10" xfId="5" applyNumberFormat="1" applyFont="1" applyFill="1" applyBorder="1" applyAlignment="1">
      <alignment horizontal="center" vertical="center" wrapText="1"/>
    </xf>
    <xf numFmtId="43" fontId="17" fillId="0" borderId="4" xfId="6" applyFont="1" applyFill="1" applyBorder="1" applyAlignment="1">
      <alignment horizontal="center" vertical="center" wrapText="1"/>
    </xf>
    <xf numFmtId="43" fontId="17" fillId="0" borderId="10" xfId="6" applyFont="1" applyFill="1" applyBorder="1" applyAlignment="1">
      <alignment horizontal="center" vertical="center" wrapText="1"/>
    </xf>
    <xf numFmtId="0" fontId="17" fillId="0" borderId="10" xfId="0" applyFont="1" applyBorder="1" applyAlignment="1">
      <alignment horizontal="center" vertical="center" wrapText="1"/>
    </xf>
    <xf numFmtId="0" fontId="17" fillId="0" borderId="1" xfId="8" applyFont="1" applyBorder="1" applyAlignment="1">
      <alignment horizontal="center" vertical="center"/>
    </xf>
    <xf numFmtId="0" fontId="17" fillId="0" borderId="4" xfId="9" applyFont="1" applyBorder="1" applyAlignment="1">
      <alignment horizontal="center" vertical="center"/>
    </xf>
    <xf numFmtId="0" fontId="17" fillId="0" borderId="9"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166" fontId="17" fillId="0" borderId="2" xfId="0" applyNumberFormat="1" applyFont="1" applyBorder="1" applyAlignment="1">
      <alignment horizontal="left" vertical="center" wrapText="1"/>
    </xf>
    <xf numFmtId="166" fontId="17" fillId="0" borderId="3" xfId="0" applyNumberFormat="1" applyFont="1" applyBorder="1" applyAlignment="1">
      <alignment horizontal="left" vertical="center" wrapText="1"/>
    </xf>
    <xf numFmtId="166" fontId="13" fillId="0" borderId="0" xfId="0" applyNumberFormat="1" applyFont="1" applyAlignment="1">
      <alignment horizontal="right" vertical="center"/>
    </xf>
    <xf numFmtId="0" fontId="9" fillId="0" borderId="0" xfId="0" applyFont="1" applyAlignment="1">
      <alignment horizontal="center" wrapText="1"/>
    </xf>
    <xf numFmtId="166" fontId="9" fillId="0" borderId="0" xfId="0" applyNumberFormat="1" applyFont="1" applyAlignment="1">
      <alignment horizontal="right" vertical="center"/>
    </xf>
    <xf numFmtId="166" fontId="9" fillId="0" borderId="8" xfId="0" applyNumberFormat="1" applyFont="1" applyBorder="1" applyAlignment="1">
      <alignment horizontal="right" vertical="center"/>
    </xf>
    <xf numFmtId="0" fontId="15" fillId="0" borderId="0" xfId="0" applyFont="1" applyAlignment="1">
      <alignment horizontal="center" vertical="center"/>
    </xf>
  </cellXfs>
  <cellStyles count="12">
    <cellStyle name="Comma 11" xfId="4"/>
    <cellStyle name="Comma 3 2 4" xfId="5"/>
    <cellStyle name="Comma 4" xfId="6"/>
    <cellStyle name="Comma 4 2" xfId="2"/>
    <cellStyle name="Normal" xfId="0" builtinId="0"/>
    <cellStyle name="Normal 143" xfId="11"/>
    <cellStyle name="Normal 19 2" xfId="3"/>
    <cellStyle name="Normal 2 2 5 2 2 2" xfId="10"/>
    <cellStyle name="Normal 3 2" xfId="7"/>
    <cellStyle name="Normal 3 2 2 3" xfId="9"/>
    <cellStyle name="Normal 6 4" xfId="1"/>
    <cellStyle name="Normal_Sheet1"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286385</xdr:colOff>
      <xdr:row>4</xdr:row>
      <xdr:rowOff>46990</xdr:rowOff>
    </xdr:to>
    <xdr:pic>
      <xdr:nvPicPr>
        <xdr:cNvPr id="2" name="Picture 1">
          <a:extLst>
            <a:ext uri="{FF2B5EF4-FFF2-40B4-BE49-F238E27FC236}">
              <a16:creationId xmlns:a16="http://schemas.microsoft.com/office/drawing/2014/main" id="{EB73CD98-EC8C-4BB8-AAEF-6AA2A4ADB622}"/>
            </a:ext>
          </a:extLst>
        </xdr:cNvPr>
        <xdr:cNvPicPr>
          <a:picLocks noChangeAspect="1"/>
        </xdr:cNvPicPr>
      </xdr:nvPicPr>
      <xdr:blipFill>
        <a:blip xmlns:r="http://schemas.openxmlformats.org/officeDocument/2006/relationships" r:embed="rId1"/>
        <a:stretch>
          <a:fillRect/>
        </a:stretch>
      </xdr:blipFill>
      <xdr:spPr>
        <a:xfrm>
          <a:off x="9525" y="9525"/>
          <a:ext cx="2934335" cy="7645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92710</xdr:colOff>
      <xdr:row>3</xdr:row>
      <xdr:rowOff>135890</xdr:rowOff>
    </xdr:to>
    <xdr:pic>
      <xdr:nvPicPr>
        <xdr:cNvPr id="2" name="Picture 1">
          <a:extLst>
            <a:ext uri="{FF2B5EF4-FFF2-40B4-BE49-F238E27FC236}">
              <a16:creationId xmlns:a16="http://schemas.microsoft.com/office/drawing/2014/main" id="{DD85714F-B1CD-418C-8B68-65B77DA1AEA0}"/>
            </a:ext>
          </a:extLst>
        </xdr:cNvPr>
        <xdr:cNvPicPr>
          <a:picLocks noChangeAspect="1"/>
        </xdr:cNvPicPr>
      </xdr:nvPicPr>
      <xdr:blipFill>
        <a:blip xmlns:r="http://schemas.openxmlformats.org/officeDocument/2006/relationships" r:embed="rId1"/>
        <a:stretch>
          <a:fillRect/>
        </a:stretch>
      </xdr:blipFill>
      <xdr:spPr>
        <a:xfrm>
          <a:off x="9525" y="9525"/>
          <a:ext cx="2743835" cy="6692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hih\Desktop\B&#7842;NG%20T&#205;NH%20GI&#193;%20SWIND%20%20chu&#7849;n%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G VAN "/>
      <sheetName val="Sheet3"/>
      <sheetName val="BG Cửa "/>
      <sheetName val="BG Cửa  (rút gọn)"/>
      <sheetName val="BG PKV"/>
      <sheetName val="Sheet2"/>
      <sheetName val="TINH VT PK TRON"/>
      <sheetName val="BG PKT "/>
      <sheetName val="Đơn giá theo m2"/>
      <sheetName val="BG TIEU AM"/>
      <sheetName val="BG canvas, ventcap"/>
      <sheetName val="Vat tu tôn"/>
      <sheetName val="VT van"/>
      <sheetName val="VT tiêu âm"/>
      <sheetName val="BG VAN CU"/>
      <sheetName val="Sheet1"/>
      <sheetName val="bảo ôn"/>
    </sheetNames>
    <sheetDataSet>
      <sheetData sheetId="0"/>
      <sheetData sheetId="1"/>
      <sheetData sheetId="2"/>
      <sheetData sheetId="3"/>
      <sheetData sheetId="4"/>
      <sheetData sheetId="5"/>
      <sheetData sheetId="6"/>
      <sheetData sheetId="7"/>
      <sheetData sheetId="8">
        <row r="62">
          <cell r="I62">
            <v>236628</v>
          </cell>
        </row>
      </sheetData>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outlinePr summaryBelow="0"/>
    <pageSetUpPr fitToPage="1"/>
  </sheetPr>
  <dimension ref="A1:N213"/>
  <sheetViews>
    <sheetView topLeftCell="A76" zoomScale="85" zoomScaleNormal="85" zoomScaleSheetLayoutView="100" workbookViewId="0">
      <selection activeCell="B98" sqref="B98"/>
    </sheetView>
  </sheetViews>
  <sheetFormatPr defaultColWidth="45" defaultRowHeight="12.75" outlineLevelRow="1"/>
  <cols>
    <col min="1" max="1" width="6" style="8" customWidth="1"/>
    <col min="2" max="2" width="44.140625" style="8" customWidth="1"/>
    <col min="3" max="3" width="23.7109375" style="24" customWidth="1"/>
    <col min="4" max="4" width="28.7109375" style="24" customWidth="1"/>
    <col min="5" max="5" width="32.7109375" style="29" customWidth="1"/>
    <col min="6" max="6" width="10" style="30" customWidth="1"/>
    <col min="7" max="7" width="11.28515625" style="6" customWidth="1"/>
    <col min="8" max="10" width="17.140625" style="6" customWidth="1"/>
    <col min="11" max="13" width="19.85546875" style="6" customWidth="1"/>
    <col min="14" max="14" width="24" style="8" customWidth="1"/>
    <col min="15" max="15" width="45" style="8" customWidth="1"/>
    <col min="16" max="16384" width="45" style="8"/>
  </cols>
  <sheetData>
    <row r="1" spans="1:14" s="1" customFormat="1" ht="22.15" customHeight="1">
      <c r="A1" s="139" t="s">
        <v>0</v>
      </c>
      <c r="B1" s="140"/>
      <c r="C1" s="140"/>
      <c r="D1" s="140"/>
      <c r="E1" s="140"/>
      <c r="F1" s="140"/>
      <c r="G1" s="140"/>
      <c r="H1" s="140"/>
      <c r="I1" s="140"/>
      <c r="J1" s="140"/>
      <c r="K1" s="140"/>
      <c r="L1" s="140"/>
      <c r="M1" s="140"/>
      <c r="N1" s="140"/>
    </row>
    <row r="2" spans="1:14" s="3" customFormat="1" ht="13.9" customHeight="1">
      <c r="A2" s="2"/>
      <c r="C2" s="4"/>
      <c r="D2" s="4"/>
      <c r="F2" s="5"/>
      <c r="G2" s="6"/>
      <c r="H2" s="6"/>
      <c r="I2" s="6"/>
      <c r="J2" s="6"/>
      <c r="K2" s="6"/>
      <c r="L2" s="6"/>
      <c r="M2" s="6"/>
    </row>
    <row r="3" spans="1:14" ht="18" customHeight="1">
      <c r="A3" s="141" t="s">
        <v>1</v>
      </c>
      <c r="B3" s="141" t="s">
        <v>2</v>
      </c>
      <c r="C3" s="143" t="s">
        <v>3</v>
      </c>
      <c r="D3" s="143" t="s">
        <v>4</v>
      </c>
      <c r="E3" s="143" t="s">
        <v>5</v>
      </c>
      <c r="F3" s="141" t="s">
        <v>6</v>
      </c>
      <c r="G3" s="144" t="s">
        <v>7</v>
      </c>
      <c r="H3" s="144" t="s">
        <v>8</v>
      </c>
      <c r="I3" s="145"/>
      <c r="J3" s="146"/>
      <c r="K3" s="147" t="s">
        <v>9</v>
      </c>
      <c r="L3" s="148"/>
      <c r="M3" s="149"/>
      <c r="N3" s="7" t="s">
        <v>10</v>
      </c>
    </row>
    <row r="4" spans="1:14" ht="18" customHeight="1">
      <c r="A4" s="142"/>
      <c r="B4" s="142"/>
      <c r="C4" s="142"/>
      <c r="D4" s="142"/>
      <c r="E4" s="142"/>
      <c r="F4" s="142"/>
      <c r="G4" s="142"/>
      <c r="H4" s="9" t="s">
        <v>11</v>
      </c>
      <c r="I4" s="9" t="s">
        <v>12</v>
      </c>
      <c r="J4" s="9" t="s">
        <v>13</v>
      </c>
      <c r="K4" s="9" t="s">
        <v>11</v>
      </c>
      <c r="L4" s="9" t="s">
        <v>12</v>
      </c>
      <c r="M4" s="9" t="s">
        <v>13</v>
      </c>
      <c r="N4" s="10"/>
    </row>
    <row r="5" spans="1:14" ht="20.45" customHeight="1">
      <c r="A5" s="11" t="s">
        <v>14</v>
      </c>
      <c r="B5" s="12" t="s">
        <v>15</v>
      </c>
      <c r="C5" s="13"/>
      <c r="D5" s="13"/>
      <c r="E5" s="13"/>
      <c r="F5" s="14"/>
      <c r="G5" s="15"/>
      <c r="H5" s="15"/>
      <c r="I5" s="15"/>
      <c r="J5" s="16"/>
      <c r="K5" s="17"/>
      <c r="L5" s="17"/>
      <c r="M5" s="17"/>
      <c r="N5" s="18"/>
    </row>
    <row r="6" spans="1:14" ht="26.45" customHeight="1" outlineLevel="1">
      <c r="A6" s="11" t="s">
        <v>16</v>
      </c>
      <c r="B6" s="19" t="s">
        <v>17</v>
      </c>
      <c r="C6" s="13"/>
      <c r="D6" s="13"/>
      <c r="E6" s="13"/>
      <c r="F6" s="14"/>
      <c r="G6" s="15"/>
      <c r="H6" s="15"/>
      <c r="I6" s="15"/>
      <c r="J6" s="16"/>
      <c r="K6" s="16"/>
      <c r="L6" s="16"/>
      <c r="M6" s="16"/>
      <c r="N6" s="18"/>
    </row>
    <row r="7" spans="1:14" outlineLevel="1">
      <c r="A7" s="20">
        <f>SUBTOTAL(3,$F$7:F7)</f>
        <v>1</v>
      </c>
      <c r="B7" s="18" t="s">
        <v>18</v>
      </c>
      <c r="C7" s="21" t="s">
        <v>19</v>
      </c>
      <c r="D7" s="13" t="s">
        <v>20</v>
      </c>
      <c r="E7" s="21" t="s">
        <v>21</v>
      </c>
      <c r="F7" s="14" t="s">
        <v>22</v>
      </c>
      <c r="G7" s="15">
        <v>6</v>
      </c>
      <c r="H7" s="15"/>
      <c r="I7" s="15"/>
      <c r="J7" s="16"/>
      <c r="K7" s="16"/>
      <c r="L7" s="16"/>
      <c r="M7" s="16"/>
      <c r="N7" s="18"/>
    </row>
    <row r="8" spans="1:14" outlineLevel="1">
      <c r="A8" s="20">
        <f>SUBTOTAL(3,$F$7:F8)</f>
        <v>2</v>
      </c>
      <c r="B8" s="18" t="s">
        <v>23</v>
      </c>
      <c r="C8" s="21" t="s">
        <v>19</v>
      </c>
      <c r="D8" s="13" t="s">
        <v>20</v>
      </c>
      <c r="E8" s="21" t="s">
        <v>21</v>
      </c>
      <c r="F8" s="14" t="s">
        <v>22</v>
      </c>
      <c r="G8" s="15">
        <v>2</v>
      </c>
      <c r="H8" s="15"/>
      <c r="I8" s="15"/>
      <c r="J8" s="16"/>
      <c r="K8" s="16"/>
      <c r="L8" s="16"/>
      <c r="M8" s="16"/>
      <c r="N8" s="18"/>
    </row>
    <row r="9" spans="1:14" outlineLevel="1">
      <c r="A9" s="20">
        <f>SUBTOTAL(3,$F$7:F9)</f>
        <v>3</v>
      </c>
      <c r="B9" s="18" t="s">
        <v>24</v>
      </c>
      <c r="C9" s="21" t="s">
        <v>19</v>
      </c>
      <c r="D9" s="13" t="s">
        <v>20</v>
      </c>
      <c r="E9" s="21" t="s">
        <v>21</v>
      </c>
      <c r="F9" s="14" t="s">
        <v>22</v>
      </c>
      <c r="G9" s="15">
        <v>1</v>
      </c>
      <c r="H9" s="15"/>
      <c r="I9" s="15"/>
      <c r="J9" s="16"/>
      <c r="K9" s="16"/>
      <c r="L9" s="16"/>
      <c r="M9" s="16"/>
      <c r="N9" s="18"/>
    </row>
    <row r="10" spans="1:14" ht="26.45" customHeight="1" outlineLevel="1">
      <c r="A10" s="20">
        <f>SUBTOTAL(3,$F$7:F10)</f>
        <v>4</v>
      </c>
      <c r="B10" s="18" t="s">
        <v>25</v>
      </c>
      <c r="C10" s="21" t="s">
        <v>26</v>
      </c>
      <c r="D10" s="13" t="s">
        <v>27</v>
      </c>
      <c r="E10" s="21" t="s">
        <v>21</v>
      </c>
      <c r="F10" s="14" t="s">
        <v>22</v>
      </c>
      <c r="G10" s="15">
        <v>6</v>
      </c>
      <c r="H10" s="15"/>
      <c r="I10" s="15"/>
      <c r="J10" s="16"/>
      <c r="K10" s="16"/>
      <c r="L10" s="16"/>
      <c r="M10" s="16"/>
      <c r="N10" s="18"/>
    </row>
    <row r="11" spans="1:14" ht="26.45" customHeight="1" outlineLevel="1">
      <c r="A11" s="20">
        <f>SUBTOTAL(3,$F$7:F11)</f>
        <v>5</v>
      </c>
      <c r="B11" s="18" t="s">
        <v>28</v>
      </c>
      <c r="C11" s="21" t="s">
        <v>26</v>
      </c>
      <c r="D11" s="13" t="s">
        <v>27</v>
      </c>
      <c r="E11" s="21" t="s">
        <v>21</v>
      </c>
      <c r="F11" s="14" t="s">
        <v>22</v>
      </c>
      <c r="G11" s="15">
        <v>2</v>
      </c>
      <c r="H11" s="15"/>
      <c r="I11" s="15"/>
      <c r="J11" s="16"/>
      <c r="K11" s="16"/>
      <c r="L11" s="16"/>
      <c r="M11" s="16"/>
      <c r="N11" s="18"/>
    </row>
    <row r="12" spans="1:14" ht="26.45" customHeight="1" outlineLevel="1">
      <c r="A12" s="20">
        <f>SUBTOTAL(3,$F$7:F12)</f>
        <v>6</v>
      </c>
      <c r="B12" s="18" t="s">
        <v>29</v>
      </c>
      <c r="C12" s="21" t="s">
        <v>26</v>
      </c>
      <c r="D12" s="13" t="s">
        <v>27</v>
      </c>
      <c r="E12" s="21" t="s">
        <v>21</v>
      </c>
      <c r="F12" s="14" t="s">
        <v>22</v>
      </c>
      <c r="G12" s="15">
        <v>1</v>
      </c>
      <c r="H12" s="15"/>
      <c r="I12" s="15"/>
      <c r="J12" s="16"/>
      <c r="K12" s="16"/>
      <c r="L12" s="16"/>
      <c r="M12" s="16"/>
      <c r="N12" s="18"/>
    </row>
    <row r="13" spans="1:14" ht="26.45" customHeight="1" outlineLevel="1">
      <c r="A13" s="20">
        <f>SUBTOTAL(3,$F$7:F13)</f>
        <v>7</v>
      </c>
      <c r="B13" s="18" t="s">
        <v>30</v>
      </c>
      <c r="C13" s="21" t="s">
        <v>26</v>
      </c>
      <c r="D13" s="13" t="s">
        <v>27</v>
      </c>
      <c r="E13" s="21" t="s">
        <v>21</v>
      </c>
      <c r="F13" s="14" t="s">
        <v>22</v>
      </c>
      <c r="G13" s="15">
        <v>3</v>
      </c>
      <c r="H13" s="15"/>
      <c r="I13" s="15"/>
      <c r="J13" s="16"/>
      <c r="K13" s="16"/>
      <c r="L13" s="16"/>
      <c r="M13" s="16"/>
      <c r="N13" s="18"/>
    </row>
    <row r="14" spans="1:14" ht="26.45" customHeight="1" outlineLevel="1">
      <c r="A14" s="20">
        <f>SUBTOTAL(3,$F$7:F14)</f>
        <v>8</v>
      </c>
      <c r="B14" s="18" t="s">
        <v>31</v>
      </c>
      <c r="C14" s="21" t="s">
        <v>26</v>
      </c>
      <c r="D14" s="13" t="s">
        <v>27</v>
      </c>
      <c r="E14" s="21" t="s">
        <v>21</v>
      </c>
      <c r="F14" s="14" t="s">
        <v>22</v>
      </c>
      <c r="G14" s="15">
        <v>6</v>
      </c>
      <c r="H14" s="15"/>
      <c r="I14" s="15"/>
      <c r="J14" s="16"/>
      <c r="K14" s="16"/>
      <c r="L14" s="16"/>
      <c r="M14" s="16"/>
      <c r="N14" s="18"/>
    </row>
    <row r="15" spans="1:14" ht="26.45" customHeight="1" outlineLevel="1">
      <c r="A15" s="20">
        <f>SUBTOTAL(3,$F$7:F15)</f>
        <v>9</v>
      </c>
      <c r="B15" s="18" t="s">
        <v>32</v>
      </c>
      <c r="C15" s="21" t="s">
        <v>26</v>
      </c>
      <c r="D15" s="13" t="s">
        <v>27</v>
      </c>
      <c r="E15" s="21" t="s">
        <v>21</v>
      </c>
      <c r="F15" s="14" t="s">
        <v>22</v>
      </c>
      <c r="G15" s="15">
        <v>9</v>
      </c>
      <c r="H15" s="15"/>
      <c r="I15" s="15"/>
      <c r="J15" s="16"/>
      <c r="K15" s="16"/>
      <c r="L15" s="16"/>
      <c r="M15" s="16"/>
      <c r="N15" s="18"/>
    </row>
    <row r="16" spans="1:14" ht="26.45" customHeight="1" outlineLevel="1">
      <c r="A16" s="20">
        <f>SUBTOTAL(3,$F$7:F16)</f>
        <v>10</v>
      </c>
      <c r="B16" s="18" t="s">
        <v>33</v>
      </c>
      <c r="C16" s="21" t="s">
        <v>26</v>
      </c>
      <c r="D16" s="13" t="s">
        <v>27</v>
      </c>
      <c r="E16" s="21" t="s">
        <v>21</v>
      </c>
      <c r="F16" s="14" t="s">
        <v>22</v>
      </c>
      <c r="G16" s="15">
        <v>12</v>
      </c>
      <c r="H16" s="15"/>
      <c r="I16" s="15"/>
      <c r="J16" s="16"/>
      <c r="K16" s="16"/>
      <c r="L16" s="16"/>
      <c r="M16" s="16"/>
      <c r="N16" s="18"/>
    </row>
    <row r="17" spans="1:14" outlineLevel="1">
      <c r="A17" s="20">
        <f>SUBTOTAL(3,$F$7:F17)</f>
        <v>11</v>
      </c>
      <c r="B17" s="18" t="s">
        <v>34</v>
      </c>
      <c r="C17" s="21" t="s">
        <v>35</v>
      </c>
      <c r="D17" s="13" t="s">
        <v>20</v>
      </c>
      <c r="E17" s="21" t="s">
        <v>21</v>
      </c>
      <c r="F17" s="14" t="s">
        <v>22</v>
      </c>
      <c r="G17" s="15">
        <v>1</v>
      </c>
      <c r="H17" s="15"/>
      <c r="I17" s="15"/>
      <c r="J17" s="16"/>
      <c r="K17" s="16"/>
      <c r="L17" s="16"/>
      <c r="M17" s="16"/>
      <c r="N17" s="18"/>
    </row>
    <row r="18" spans="1:14" outlineLevel="1">
      <c r="A18" s="20">
        <f>SUBTOTAL(3,$F$7:F18)</f>
        <v>12</v>
      </c>
      <c r="B18" s="18" t="s">
        <v>36</v>
      </c>
      <c r="C18" s="21" t="s">
        <v>35</v>
      </c>
      <c r="D18" s="13" t="s">
        <v>20</v>
      </c>
      <c r="E18" s="21" t="s">
        <v>21</v>
      </c>
      <c r="F18" s="14" t="s">
        <v>22</v>
      </c>
      <c r="G18" s="15">
        <v>2</v>
      </c>
      <c r="H18" s="15"/>
      <c r="I18" s="15"/>
      <c r="J18" s="16"/>
      <c r="K18" s="16"/>
      <c r="L18" s="16"/>
      <c r="M18" s="16"/>
      <c r="N18" s="18"/>
    </row>
    <row r="19" spans="1:14" outlineLevel="1">
      <c r="A19" s="20">
        <f>SUBTOTAL(3,$F$7:F19)</f>
        <v>13</v>
      </c>
      <c r="B19" s="18" t="s">
        <v>37</v>
      </c>
      <c r="C19" s="21" t="s">
        <v>35</v>
      </c>
      <c r="D19" s="13" t="s">
        <v>20</v>
      </c>
      <c r="E19" s="21" t="s">
        <v>21</v>
      </c>
      <c r="F19" s="14" t="s">
        <v>22</v>
      </c>
      <c r="G19" s="15">
        <v>1</v>
      </c>
      <c r="H19" s="15"/>
      <c r="I19" s="15"/>
      <c r="J19" s="16"/>
      <c r="K19" s="16"/>
      <c r="L19" s="16"/>
      <c r="M19" s="16"/>
      <c r="N19" s="18"/>
    </row>
    <row r="20" spans="1:14" outlineLevel="1">
      <c r="A20" s="20">
        <f>SUBTOTAL(3,$F$7:F20)</f>
        <v>14</v>
      </c>
      <c r="B20" s="18" t="s">
        <v>38</v>
      </c>
      <c r="C20" s="21" t="s">
        <v>35</v>
      </c>
      <c r="D20" s="13" t="s">
        <v>20</v>
      </c>
      <c r="E20" s="21" t="s">
        <v>21</v>
      </c>
      <c r="F20" s="14" t="s">
        <v>22</v>
      </c>
      <c r="G20" s="15">
        <v>1</v>
      </c>
      <c r="H20" s="15"/>
      <c r="I20" s="15"/>
      <c r="J20" s="16"/>
      <c r="K20" s="16"/>
      <c r="L20" s="16"/>
      <c r="M20" s="16"/>
      <c r="N20" s="18"/>
    </row>
    <row r="21" spans="1:14" outlineLevel="1">
      <c r="A21" s="20">
        <f>SUBTOTAL(3,$F$7:F21)</f>
        <v>15</v>
      </c>
      <c r="B21" s="18" t="s">
        <v>39</v>
      </c>
      <c r="C21" s="21" t="s">
        <v>35</v>
      </c>
      <c r="D21" s="13" t="s">
        <v>20</v>
      </c>
      <c r="E21" s="21" t="s">
        <v>21</v>
      </c>
      <c r="F21" s="14" t="s">
        <v>22</v>
      </c>
      <c r="G21" s="15">
        <v>5</v>
      </c>
      <c r="H21" s="15"/>
      <c r="I21" s="15"/>
      <c r="J21" s="16"/>
      <c r="K21" s="16"/>
      <c r="L21" s="16"/>
      <c r="M21" s="16"/>
      <c r="N21" s="18"/>
    </row>
    <row r="22" spans="1:14" outlineLevel="1">
      <c r="A22" s="20">
        <f>SUBTOTAL(3,$F$7:F22)</f>
        <v>16</v>
      </c>
      <c r="B22" s="18" t="s">
        <v>40</v>
      </c>
      <c r="C22" s="21" t="s">
        <v>35</v>
      </c>
      <c r="D22" s="13" t="s">
        <v>20</v>
      </c>
      <c r="E22" s="21" t="s">
        <v>21</v>
      </c>
      <c r="F22" s="14" t="s">
        <v>22</v>
      </c>
      <c r="G22" s="15">
        <v>1</v>
      </c>
      <c r="H22" s="15"/>
      <c r="I22" s="15"/>
      <c r="J22" s="16"/>
      <c r="K22" s="16"/>
      <c r="L22" s="16"/>
      <c r="M22" s="16"/>
      <c r="N22" s="18"/>
    </row>
    <row r="23" spans="1:14" outlineLevel="1">
      <c r="A23" s="20">
        <f>SUBTOTAL(3,$F$7:F23)</f>
        <v>17</v>
      </c>
      <c r="B23" s="18" t="s">
        <v>41</v>
      </c>
      <c r="C23" s="21" t="s">
        <v>42</v>
      </c>
      <c r="D23" s="13" t="s">
        <v>20</v>
      </c>
      <c r="E23" s="21" t="s">
        <v>43</v>
      </c>
      <c r="F23" s="14" t="s">
        <v>22</v>
      </c>
      <c r="G23" s="15">
        <v>112</v>
      </c>
      <c r="H23" s="15"/>
      <c r="I23" s="15"/>
      <c r="J23" s="16"/>
      <c r="K23" s="16"/>
      <c r="L23" s="16"/>
      <c r="M23" s="16"/>
      <c r="N23" s="18"/>
    </row>
    <row r="24" spans="1:14" outlineLevel="1">
      <c r="A24" s="20">
        <f>SUBTOTAL(3,$F$7:F24)</f>
        <v>18</v>
      </c>
      <c r="B24" s="18" t="s">
        <v>44</v>
      </c>
      <c r="C24" s="21" t="s">
        <v>45</v>
      </c>
      <c r="D24" s="13" t="s">
        <v>20</v>
      </c>
      <c r="E24" s="21" t="s">
        <v>43</v>
      </c>
      <c r="F24" s="14" t="s">
        <v>22</v>
      </c>
      <c r="G24" s="15">
        <v>2</v>
      </c>
      <c r="H24" s="15"/>
      <c r="I24" s="15"/>
      <c r="J24" s="16"/>
      <c r="K24" s="16"/>
      <c r="L24" s="16"/>
      <c r="M24" s="16"/>
      <c r="N24" s="18"/>
    </row>
    <row r="25" spans="1:14" outlineLevel="1">
      <c r="A25" s="20">
        <f>SUBTOTAL(3,$F$7:F25)</f>
        <v>19</v>
      </c>
      <c r="B25" s="18" t="s">
        <v>46</v>
      </c>
      <c r="C25" s="21" t="s">
        <v>47</v>
      </c>
      <c r="D25" s="13" t="s">
        <v>20</v>
      </c>
      <c r="E25" s="21" t="s">
        <v>43</v>
      </c>
      <c r="F25" s="14" t="s">
        <v>22</v>
      </c>
      <c r="G25" s="15">
        <v>52</v>
      </c>
      <c r="H25" s="15"/>
      <c r="I25" s="15"/>
      <c r="J25" s="16"/>
      <c r="K25" s="16"/>
      <c r="L25" s="16"/>
      <c r="M25" s="16"/>
      <c r="N25" s="18"/>
    </row>
    <row r="26" spans="1:14" outlineLevel="1">
      <c r="A26" s="20">
        <f>SUBTOTAL(3,$F$7:F26)</f>
        <v>20</v>
      </c>
      <c r="B26" s="18" t="s">
        <v>48</v>
      </c>
      <c r="C26" s="21" t="s">
        <v>49</v>
      </c>
      <c r="D26" s="13" t="s">
        <v>20</v>
      </c>
      <c r="E26" s="21" t="s">
        <v>43</v>
      </c>
      <c r="F26" s="14" t="s">
        <v>22</v>
      </c>
      <c r="G26" s="15">
        <v>1</v>
      </c>
      <c r="H26" s="15"/>
      <c r="I26" s="15"/>
      <c r="J26" s="16"/>
      <c r="K26" s="16"/>
      <c r="L26" s="16"/>
      <c r="M26" s="16"/>
      <c r="N26" s="18"/>
    </row>
    <row r="27" spans="1:14" outlineLevel="1">
      <c r="A27" s="20">
        <f>SUBTOTAL(3,$F$7:F27)</f>
        <v>21</v>
      </c>
      <c r="B27" s="18" t="s">
        <v>50</v>
      </c>
      <c r="C27" s="21" t="s">
        <v>49</v>
      </c>
      <c r="D27" s="13" t="s">
        <v>20</v>
      </c>
      <c r="E27" s="21" t="s">
        <v>43</v>
      </c>
      <c r="F27" s="14" t="s">
        <v>22</v>
      </c>
      <c r="G27" s="15">
        <v>4</v>
      </c>
      <c r="H27" s="15"/>
      <c r="I27" s="15"/>
      <c r="J27" s="16"/>
      <c r="K27" s="16"/>
      <c r="L27" s="16"/>
      <c r="M27" s="16"/>
      <c r="N27" s="18"/>
    </row>
    <row r="28" spans="1:14" outlineLevel="1">
      <c r="A28" s="20">
        <f>SUBTOTAL(3,$F$7:F28)</f>
        <v>22</v>
      </c>
      <c r="B28" s="18" t="s">
        <v>51</v>
      </c>
      <c r="C28" s="21" t="s">
        <v>49</v>
      </c>
      <c r="D28" s="13" t="s">
        <v>20</v>
      </c>
      <c r="E28" s="21" t="s">
        <v>43</v>
      </c>
      <c r="F28" s="14" t="s">
        <v>22</v>
      </c>
      <c r="G28" s="15">
        <v>4</v>
      </c>
      <c r="H28" s="15"/>
      <c r="I28" s="15"/>
      <c r="J28" s="16"/>
      <c r="K28" s="16"/>
      <c r="L28" s="16"/>
      <c r="M28" s="16"/>
      <c r="N28" s="18"/>
    </row>
    <row r="29" spans="1:14" outlineLevel="1">
      <c r="A29" s="20">
        <f>SUBTOTAL(3,$F$7:F29)</f>
        <v>23</v>
      </c>
      <c r="B29" s="18" t="s">
        <v>52</v>
      </c>
      <c r="C29" s="21" t="s">
        <v>49</v>
      </c>
      <c r="D29" s="13" t="s">
        <v>20</v>
      </c>
      <c r="E29" s="21" t="s">
        <v>43</v>
      </c>
      <c r="F29" s="14" t="s">
        <v>22</v>
      </c>
      <c r="G29" s="15">
        <v>1</v>
      </c>
      <c r="H29" s="15"/>
      <c r="I29" s="15"/>
      <c r="J29" s="16"/>
      <c r="K29" s="16"/>
      <c r="L29" s="16"/>
      <c r="M29" s="16"/>
      <c r="N29" s="18"/>
    </row>
    <row r="30" spans="1:14" outlineLevel="1">
      <c r="A30" s="20">
        <f>SUBTOTAL(3,$F$7:F30)</f>
        <v>24</v>
      </c>
      <c r="B30" s="18" t="s">
        <v>53</v>
      </c>
      <c r="C30" s="21" t="s">
        <v>49</v>
      </c>
      <c r="D30" s="13" t="s">
        <v>20</v>
      </c>
      <c r="E30" s="21" t="s">
        <v>43</v>
      </c>
      <c r="F30" s="14" t="s">
        <v>22</v>
      </c>
      <c r="G30" s="15">
        <v>2</v>
      </c>
      <c r="H30" s="15"/>
      <c r="I30" s="15"/>
      <c r="J30" s="16"/>
      <c r="K30" s="16"/>
      <c r="L30" s="16"/>
      <c r="M30" s="16"/>
      <c r="N30" s="18"/>
    </row>
    <row r="31" spans="1:14" outlineLevel="1">
      <c r="A31" s="20"/>
      <c r="B31" s="18" t="s">
        <v>54</v>
      </c>
      <c r="C31" s="13"/>
      <c r="D31" s="13" t="s">
        <v>20</v>
      </c>
      <c r="E31" s="21" t="s">
        <v>43</v>
      </c>
      <c r="F31" s="14" t="s">
        <v>22</v>
      </c>
      <c r="G31" s="15">
        <v>112</v>
      </c>
      <c r="H31" s="15"/>
      <c r="I31" s="15"/>
      <c r="J31" s="16"/>
      <c r="K31" s="16"/>
      <c r="L31" s="16"/>
      <c r="M31" s="16"/>
      <c r="N31" s="18"/>
    </row>
    <row r="32" spans="1:14" outlineLevel="1">
      <c r="A32" s="20"/>
      <c r="B32" s="18" t="s">
        <v>55</v>
      </c>
      <c r="C32" s="13"/>
      <c r="D32" s="13" t="s">
        <v>20</v>
      </c>
      <c r="E32" s="21" t="s">
        <v>43</v>
      </c>
      <c r="F32" s="14" t="s">
        <v>22</v>
      </c>
      <c r="G32" s="15">
        <v>2</v>
      </c>
      <c r="H32" s="15"/>
      <c r="I32" s="15"/>
      <c r="J32" s="16"/>
      <c r="K32" s="16"/>
      <c r="L32" s="16"/>
      <c r="M32" s="16"/>
      <c r="N32" s="18"/>
    </row>
    <row r="33" spans="1:14" outlineLevel="1">
      <c r="A33" s="20"/>
      <c r="B33" s="18" t="s">
        <v>56</v>
      </c>
      <c r="C33" s="13"/>
      <c r="D33" s="13" t="s">
        <v>20</v>
      </c>
      <c r="E33" s="21" t="s">
        <v>43</v>
      </c>
      <c r="F33" s="14" t="s">
        <v>22</v>
      </c>
      <c r="G33" s="15">
        <v>52</v>
      </c>
      <c r="H33" s="15"/>
      <c r="I33" s="15"/>
      <c r="J33" s="16"/>
      <c r="K33" s="16"/>
      <c r="L33" s="16"/>
      <c r="M33" s="16"/>
      <c r="N33" s="18"/>
    </row>
    <row r="34" spans="1:14" outlineLevel="1">
      <c r="A34" s="20">
        <f>SUBTOTAL(3,$F$7:F34)</f>
        <v>28</v>
      </c>
      <c r="B34" s="18" t="s">
        <v>57</v>
      </c>
      <c r="C34" s="13"/>
      <c r="D34" s="13"/>
      <c r="E34" s="13"/>
      <c r="F34" s="14" t="s">
        <v>58</v>
      </c>
      <c r="G34" s="15">
        <v>1</v>
      </c>
      <c r="H34" s="15"/>
      <c r="I34" s="15"/>
      <c r="J34" s="16"/>
      <c r="K34" s="16"/>
      <c r="L34" s="16"/>
      <c r="M34" s="16"/>
      <c r="N34" s="18"/>
    </row>
    <row r="35" spans="1:14" outlineLevel="1">
      <c r="A35" s="11" t="s">
        <v>59</v>
      </c>
      <c r="B35" s="19" t="s">
        <v>60</v>
      </c>
      <c r="C35" s="13"/>
      <c r="D35" s="13"/>
      <c r="E35" s="13"/>
      <c r="F35" s="14"/>
      <c r="G35" s="15"/>
      <c r="H35" s="15"/>
      <c r="I35" s="15"/>
      <c r="J35" s="16"/>
      <c r="K35" s="16"/>
      <c r="L35" s="16"/>
      <c r="M35" s="16"/>
      <c r="N35" s="18"/>
    </row>
    <row r="36" spans="1:14" outlineLevel="1">
      <c r="A36" s="20">
        <f>SUBTOTAL(3,$F$7:F36)</f>
        <v>29</v>
      </c>
      <c r="B36" s="18" t="s">
        <v>61</v>
      </c>
      <c r="C36" s="21" t="s">
        <v>19</v>
      </c>
      <c r="D36" s="13" t="s">
        <v>62</v>
      </c>
      <c r="E36" s="21" t="s">
        <v>21</v>
      </c>
      <c r="F36" s="14" t="s">
        <v>22</v>
      </c>
      <c r="G36" s="15">
        <v>1</v>
      </c>
      <c r="H36" s="15"/>
      <c r="I36" s="15"/>
      <c r="J36" s="16"/>
      <c r="K36" s="16"/>
      <c r="L36" s="16"/>
      <c r="M36" s="16"/>
      <c r="N36" s="18"/>
    </row>
    <row r="37" spans="1:14" outlineLevel="1">
      <c r="A37" s="20">
        <f>SUBTOTAL(3,$F$7:F37)</f>
        <v>30</v>
      </c>
      <c r="B37" s="18" t="s">
        <v>63</v>
      </c>
      <c r="C37" s="21" t="s">
        <v>19</v>
      </c>
      <c r="D37" s="13" t="s">
        <v>62</v>
      </c>
      <c r="E37" s="21" t="s">
        <v>21</v>
      </c>
      <c r="F37" s="14" t="s">
        <v>22</v>
      </c>
      <c r="G37" s="15">
        <v>2</v>
      </c>
      <c r="H37" s="15"/>
      <c r="I37" s="15"/>
      <c r="J37" s="16"/>
      <c r="K37" s="16"/>
      <c r="L37" s="16"/>
      <c r="M37" s="16"/>
      <c r="N37" s="18"/>
    </row>
    <row r="38" spans="1:14" outlineLevel="1">
      <c r="A38" s="20">
        <f>SUBTOTAL(3,$F$7:F38)</f>
        <v>31</v>
      </c>
      <c r="B38" s="18" t="s">
        <v>64</v>
      </c>
      <c r="C38" s="21" t="s">
        <v>19</v>
      </c>
      <c r="D38" s="13" t="s">
        <v>62</v>
      </c>
      <c r="E38" s="21" t="s">
        <v>21</v>
      </c>
      <c r="F38" s="14" t="s">
        <v>22</v>
      </c>
      <c r="G38" s="15">
        <v>2</v>
      </c>
      <c r="H38" s="15"/>
      <c r="I38" s="15"/>
      <c r="J38" s="16"/>
      <c r="K38" s="16"/>
      <c r="L38" s="16"/>
      <c r="M38" s="16"/>
      <c r="N38" s="18"/>
    </row>
    <row r="39" spans="1:14" outlineLevel="1">
      <c r="A39" s="20">
        <f>SUBTOTAL(3,$F$7:F39)</f>
        <v>32</v>
      </c>
      <c r="B39" s="18" t="s">
        <v>65</v>
      </c>
      <c r="C39" s="21" t="s">
        <v>19</v>
      </c>
      <c r="D39" s="13" t="s">
        <v>62</v>
      </c>
      <c r="E39" s="21" t="s">
        <v>21</v>
      </c>
      <c r="F39" s="14" t="s">
        <v>22</v>
      </c>
      <c r="G39" s="15">
        <v>1</v>
      </c>
      <c r="H39" s="15"/>
      <c r="I39" s="15"/>
      <c r="J39" s="16"/>
      <c r="K39" s="16"/>
      <c r="L39" s="16"/>
      <c r="M39" s="16"/>
      <c r="N39" s="18"/>
    </row>
    <row r="40" spans="1:14" outlineLevel="1">
      <c r="A40" s="20">
        <f>SUBTOTAL(3,$F$7:F40)</f>
        <v>33</v>
      </c>
      <c r="B40" s="18" t="s">
        <v>66</v>
      </c>
      <c r="C40" s="21" t="s">
        <v>19</v>
      </c>
      <c r="D40" s="13" t="s">
        <v>62</v>
      </c>
      <c r="E40" s="21" t="s">
        <v>21</v>
      </c>
      <c r="F40" s="14" t="s">
        <v>22</v>
      </c>
      <c r="G40" s="15">
        <v>2</v>
      </c>
      <c r="H40" s="15"/>
      <c r="I40" s="15"/>
      <c r="J40" s="16"/>
      <c r="K40" s="16"/>
      <c r="L40" s="16"/>
      <c r="M40" s="16"/>
      <c r="N40" s="18"/>
    </row>
    <row r="41" spans="1:14" outlineLevel="1">
      <c r="A41" s="20">
        <f>SUBTOTAL(3,$F$7:F41)</f>
        <v>34</v>
      </c>
      <c r="B41" s="18" t="s">
        <v>67</v>
      </c>
      <c r="C41" s="21" t="s">
        <v>19</v>
      </c>
      <c r="D41" s="13" t="s">
        <v>62</v>
      </c>
      <c r="E41" s="21" t="s">
        <v>21</v>
      </c>
      <c r="F41" s="14" t="s">
        <v>22</v>
      </c>
      <c r="G41" s="15">
        <v>1</v>
      </c>
      <c r="H41" s="15"/>
      <c r="I41" s="15"/>
      <c r="J41" s="16"/>
      <c r="K41" s="16"/>
      <c r="L41" s="16"/>
      <c r="M41" s="16"/>
      <c r="N41" s="18"/>
    </row>
    <row r="42" spans="1:14" outlineLevel="1">
      <c r="A42" s="20">
        <f>SUBTOTAL(3,$F$7:F42)</f>
        <v>35</v>
      </c>
      <c r="B42" s="18" t="s">
        <v>68</v>
      </c>
      <c r="C42" s="21" t="s">
        <v>19</v>
      </c>
      <c r="D42" s="13" t="s">
        <v>62</v>
      </c>
      <c r="E42" s="21" t="s">
        <v>21</v>
      </c>
      <c r="F42" s="14" t="s">
        <v>22</v>
      </c>
      <c r="G42" s="15">
        <v>1</v>
      </c>
      <c r="H42" s="15"/>
      <c r="I42" s="15"/>
      <c r="J42" s="16"/>
      <c r="K42" s="16"/>
      <c r="L42" s="16"/>
      <c r="M42" s="16"/>
      <c r="N42" s="18"/>
    </row>
    <row r="43" spans="1:14" outlineLevel="1">
      <c r="A43" s="20">
        <f>SUBTOTAL(3,$F$7:F43)</f>
        <v>36</v>
      </c>
      <c r="B43" s="18" t="s">
        <v>69</v>
      </c>
      <c r="C43" s="21" t="s">
        <v>19</v>
      </c>
      <c r="D43" s="13" t="s">
        <v>62</v>
      </c>
      <c r="E43" s="21" t="s">
        <v>21</v>
      </c>
      <c r="F43" s="14" t="s">
        <v>22</v>
      </c>
      <c r="G43" s="15">
        <v>1</v>
      </c>
      <c r="H43" s="15"/>
      <c r="I43" s="15"/>
      <c r="J43" s="16"/>
      <c r="K43" s="16"/>
      <c r="L43" s="16"/>
      <c r="M43" s="16"/>
      <c r="N43" s="18"/>
    </row>
    <row r="44" spans="1:14" ht="26.45" customHeight="1" outlineLevel="1">
      <c r="A44" s="20">
        <f>SUBTOTAL(3,$F$7:F44)</f>
        <v>37</v>
      </c>
      <c r="B44" s="18" t="s">
        <v>70</v>
      </c>
      <c r="C44" s="21" t="s">
        <v>26</v>
      </c>
      <c r="D44" s="13" t="s">
        <v>27</v>
      </c>
      <c r="E44" s="21" t="s">
        <v>21</v>
      </c>
      <c r="F44" s="14" t="s">
        <v>22</v>
      </c>
      <c r="G44" s="15">
        <v>1</v>
      </c>
      <c r="H44" s="15"/>
      <c r="I44" s="15"/>
      <c r="J44" s="16"/>
      <c r="K44" s="16"/>
      <c r="L44" s="16"/>
      <c r="M44" s="16"/>
      <c r="N44" s="18"/>
    </row>
    <row r="45" spans="1:14" ht="26.45" customHeight="1" outlineLevel="1">
      <c r="A45" s="20">
        <f>SUBTOTAL(3,$F$7:F45)</f>
        <v>38</v>
      </c>
      <c r="B45" s="18" t="s">
        <v>71</v>
      </c>
      <c r="C45" s="21" t="s">
        <v>26</v>
      </c>
      <c r="D45" s="13" t="s">
        <v>27</v>
      </c>
      <c r="E45" s="21" t="s">
        <v>21</v>
      </c>
      <c r="F45" s="14" t="s">
        <v>22</v>
      </c>
      <c r="G45" s="15">
        <v>2</v>
      </c>
      <c r="H45" s="15"/>
      <c r="I45" s="15"/>
      <c r="J45" s="16"/>
      <c r="K45" s="16"/>
      <c r="L45" s="16"/>
      <c r="M45" s="16"/>
      <c r="N45" s="18"/>
    </row>
    <row r="46" spans="1:14" ht="26.45" customHeight="1" outlineLevel="1">
      <c r="A46" s="20">
        <f>SUBTOTAL(3,$F$7:F46)</f>
        <v>39</v>
      </c>
      <c r="B46" s="18" t="s">
        <v>72</v>
      </c>
      <c r="C46" s="21" t="s">
        <v>26</v>
      </c>
      <c r="D46" s="13" t="s">
        <v>27</v>
      </c>
      <c r="E46" s="21" t="s">
        <v>21</v>
      </c>
      <c r="F46" s="14" t="s">
        <v>22</v>
      </c>
      <c r="G46" s="15">
        <v>2</v>
      </c>
      <c r="H46" s="15"/>
      <c r="I46" s="15"/>
      <c r="J46" s="16"/>
      <c r="K46" s="16"/>
      <c r="L46" s="16"/>
      <c r="M46" s="16"/>
      <c r="N46" s="18"/>
    </row>
    <row r="47" spans="1:14" ht="26.45" customHeight="1" outlineLevel="1">
      <c r="A47" s="20">
        <f>SUBTOTAL(3,$F$7:F47)</f>
        <v>40</v>
      </c>
      <c r="B47" s="18" t="s">
        <v>73</v>
      </c>
      <c r="C47" s="21" t="s">
        <v>26</v>
      </c>
      <c r="D47" s="13" t="s">
        <v>27</v>
      </c>
      <c r="E47" s="21" t="s">
        <v>21</v>
      </c>
      <c r="F47" s="14" t="s">
        <v>22</v>
      </c>
      <c r="G47" s="15">
        <v>2</v>
      </c>
      <c r="H47" s="15"/>
      <c r="I47" s="15"/>
      <c r="J47" s="16"/>
      <c r="K47" s="16"/>
      <c r="L47" s="16"/>
      <c r="M47" s="16"/>
      <c r="N47" s="18"/>
    </row>
    <row r="48" spans="1:14" ht="26.45" customHeight="1" outlineLevel="1">
      <c r="A48" s="20">
        <f>SUBTOTAL(3,$F$7:F48)</f>
        <v>41</v>
      </c>
      <c r="B48" s="18" t="s">
        <v>74</v>
      </c>
      <c r="C48" s="21" t="s">
        <v>26</v>
      </c>
      <c r="D48" s="13" t="s">
        <v>27</v>
      </c>
      <c r="E48" s="21" t="s">
        <v>21</v>
      </c>
      <c r="F48" s="14" t="s">
        <v>22</v>
      </c>
      <c r="G48" s="15">
        <v>2</v>
      </c>
      <c r="H48" s="15"/>
      <c r="I48" s="15"/>
      <c r="J48" s="16"/>
      <c r="K48" s="16"/>
      <c r="L48" s="16"/>
      <c r="M48" s="16"/>
      <c r="N48" s="18"/>
    </row>
    <row r="49" spans="1:14" ht="26.45" customHeight="1" outlineLevel="1">
      <c r="A49" s="20">
        <f>SUBTOTAL(3,$F$7:F49)</f>
        <v>42</v>
      </c>
      <c r="B49" s="18" t="s">
        <v>75</v>
      </c>
      <c r="C49" s="21" t="s">
        <v>26</v>
      </c>
      <c r="D49" s="13" t="s">
        <v>27</v>
      </c>
      <c r="E49" s="21" t="s">
        <v>21</v>
      </c>
      <c r="F49" s="14" t="s">
        <v>22</v>
      </c>
      <c r="G49" s="15">
        <v>5</v>
      </c>
      <c r="H49" s="15"/>
      <c r="I49" s="15"/>
      <c r="J49" s="16"/>
      <c r="K49" s="16"/>
      <c r="L49" s="16"/>
      <c r="M49" s="16"/>
      <c r="N49" s="18"/>
    </row>
    <row r="50" spans="1:14" ht="26.45" customHeight="1" outlineLevel="1">
      <c r="A50" s="20">
        <f>SUBTOTAL(3,$F$7:F50)</f>
        <v>43</v>
      </c>
      <c r="B50" s="18" t="s">
        <v>76</v>
      </c>
      <c r="C50" s="21" t="s">
        <v>26</v>
      </c>
      <c r="D50" s="13" t="s">
        <v>27</v>
      </c>
      <c r="E50" s="21" t="s">
        <v>21</v>
      </c>
      <c r="F50" s="14" t="s">
        <v>22</v>
      </c>
      <c r="G50" s="15">
        <v>5</v>
      </c>
      <c r="H50" s="15"/>
      <c r="I50" s="15"/>
      <c r="J50" s="16"/>
      <c r="K50" s="16"/>
      <c r="L50" s="16"/>
      <c r="M50" s="16"/>
      <c r="N50" s="18"/>
    </row>
    <row r="51" spans="1:14" ht="26.45" customHeight="1" outlineLevel="1">
      <c r="A51" s="20">
        <f>SUBTOTAL(3,$F$7:F51)</f>
        <v>44</v>
      </c>
      <c r="B51" s="18" t="s">
        <v>77</v>
      </c>
      <c r="C51" s="21" t="s">
        <v>26</v>
      </c>
      <c r="D51" s="13" t="s">
        <v>27</v>
      </c>
      <c r="E51" s="21" t="s">
        <v>21</v>
      </c>
      <c r="F51" s="14" t="s">
        <v>22</v>
      </c>
      <c r="G51" s="15">
        <v>6</v>
      </c>
      <c r="H51" s="15"/>
      <c r="I51" s="15"/>
      <c r="J51" s="16"/>
      <c r="K51" s="16"/>
      <c r="L51" s="16"/>
      <c r="M51" s="16"/>
      <c r="N51" s="18"/>
    </row>
    <row r="52" spans="1:14" ht="26.45" customHeight="1" outlineLevel="1">
      <c r="A52" s="20">
        <f>SUBTOTAL(3,$F$7:F52)</f>
        <v>45</v>
      </c>
      <c r="B52" s="18" t="s">
        <v>78</v>
      </c>
      <c r="C52" s="21" t="s">
        <v>26</v>
      </c>
      <c r="D52" s="13" t="s">
        <v>27</v>
      </c>
      <c r="E52" s="21" t="s">
        <v>21</v>
      </c>
      <c r="F52" s="14" t="s">
        <v>22</v>
      </c>
      <c r="G52" s="15">
        <v>1</v>
      </c>
      <c r="H52" s="15"/>
      <c r="I52" s="15"/>
      <c r="J52" s="16"/>
      <c r="K52" s="16"/>
      <c r="L52" s="16"/>
      <c r="M52" s="16"/>
      <c r="N52" s="18"/>
    </row>
    <row r="53" spans="1:14" ht="26.45" customHeight="1" outlineLevel="1">
      <c r="A53" s="20">
        <f>SUBTOTAL(3,$F$7:F53)</f>
        <v>46</v>
      </c>
      <c r="B53" s="18" t="s">
        <v>70</v>
      </c>
      <c r="C53" s="21" t="s">
        <v>26</v>
      </c>
      <c r="D53" s="13" t="s">
        <v>27</v>
      </c>
      <c r="E53" s="21" t="s">
        <v>21</v>
      </c>
      <c r="F53" s="14" t="s">
        <v>22</v>
      </c>
      <c r="G53" s="15">
        <v>1</v>
      </c>
      <c r="H53" s="15"/>
      <c r="I53" s="15"/>
      <c r="J53" s="16"/>
      <c r="K53" s="16"/>
      <c r="L53" s="16"/>
      <c r="M53" s="16"/>
      <c r="N53" s="18"/>
    </row>
    <row r="54" spans="1:14" ht="26.45" customHeight="1" outlineLevel="1">
      <c r="A54" s="20">
        <f>SUBTOTAL(3,$F$7:F54)</f>
        <v>47</v>
      </c>
      <c r="B54" s="18" t="s">
        <v>79</v>
      </c>
      <c r="C54" s="21" t="s">
        <v>26</v>
      </c>
      <c r="D54" s="13" t="s">
        <v>27</v>
      </c>
      <c r="E54" s="21" t="s">
        <v>21</v>
      </c>
      <c r="F54" s="14" t="s">
        <v>22</v>
      </c>
      <c r="G54" s="15">
        <v>3</v>
      </c>
      <c r="H54" s="15"/>
      <c r="I54" s="15"/>
      <c r="J54" s="16"/>
      <c r="K54" s="16"/>
      <c r="L54" s="16"/>
      <c r="M54" s="16"/>
      <c r="N54" s="18"/>
    </row>
    <row r="55" spans="1:14" ht="26.45" customHeight="1" outlineLevel="1">
      <c r="A55" s="20">
        <f>SUBTOTAL(3,$F$7:F55)</f>
        <v>48</v>
      </c>
      <c r="B55" s="18" t="s">
        <v>80</v>
      </c>
      <c r="C55" s="21" t="s">
        <v>26</v>
      </c>
      <c r="D55" s="13" t="s">
        <v>27</v>
      </c>
      <c r="E55" s="21" t="s">
        <v>21</v>
      </c>
      <c r="F55" s="14" t="s">
        <v>22</v>
      </c>
      <c r="G55" s="15">
        <v>2</v>
      </c>
      <c r="H55" s="15"/>
      <c r="I55" s="15"/>
      <c r="J55" s="16"/>
      <c r="K55" s="16"/>
      <c r="L55" s="16"/>
      <c r="M55" s="16"/>
      <c r="N55" s="18"/>
    </row>
    <row r="56" spans="1:14" ht="26.45" customHeight="1" outlineLevel="1">
      <c r="A56" s="20">
        <f>SUBTOTAL(3,$F$7:F56)</f>
        <v>49</v>
      </c>
      <c r="B56" s="18" t="s">
        <v>81</v>
      </c>
      <c r="C56" s="21" t="s">
        <v>26</v>
      </c>
      <c r="D56" s="13" t="s">
        <v>27</v>
      </c>
      <c r="E56" s="21" t="s">
        <v>21</v>
      </c>
      <c r="F56" s="14" t="s">
        <v>22</v>
      </c>
      <c r="G56" s="15">
        <v>2</v>
      </c>
      <c r="H56" s="15"/>
      <c r="I56" s="15"/>
      <c r="J56" s="16"/>
      <c r="K56" s="16"/>
      <c r="L56" s="16"/>
      <c r="M56" s="16"/>
      <c r="N56" s="18"/>
    </row>
    <row r="57" spans="1:14" ht="26.45" customHeight="1" outlineLevel="1">
      <c r="A57" s="20">
        <f>SUBTOTAL(3,$F$7:F57)</f>
        <v>50</v>
      </c>
      <c r="B57" s="18" t="s">
        <v>82</v>
      </c>
      <c r="C57" s="21" t="s">
        <v>26</v>
      </c>
      <c r="D57" s="13" t="s">
        <v>27</v>
      </c>
      <c r="E57" s="21" t="s">
        <v>21</v>
      </c>
      <c r="F57" s="14" t="s">
        <v>22</v>
      </c>
      <c r="G57" s="15">
        <v>3</v>
      </c>
      <c r="H57" s="15"/>
      <c r="I57" s="15"/>
      <c r="J57" s="16"/>
      <c r="K57" s="16"/>
      <c r="L57" s="16"/>
      <c r="M57" s="16"/>
      <c r="N57" s="18"/>
    </row>
    <row r="58" spans="1:14" ht="26.45" customHeight="1" outlineLevel="1">
      <c r="A58" s="20">
        <f>SUBTOTAL(3,$F$7:F58)</f>
        <v>51</v>
      </c>
      <c r="B58" s="18" t="s">
        <v>83</v>
      </c>
      <c r="C58" s="21" t="s">
        <v>26</v>
      </c>
      <c r="D58" s="13" t="s">
        <v>27</v>
      </c>
      <c r="E58" s="21" t="s">
        <v>21</v>
      </c>
      <c r="F58" s="14" t="s">
        <v>22</v>
      </c>
      <c r="G58" s="15">
        <v>1</v>
      </c>
      <c r="H58" s="15"/>
      <c r="I58" s="15"/>
      <c r="J58" s="16"/>
      <c r="K58" s="16"/>
      <c r="L58" s="16"/>
      <c r="M58" s="16"/>
      <c r="N58" s="18"/>
    </row>
    <row r="59" spans="1:14" ht="26.45" customHeight="1" outlineLevel="1">
      <c r="A59" s="20">
        <f>SUBTOTAL(3,$F$7:F59)</f>
        <v>52</v>
      </c>
      <c r="B59" s="18" t="s">
        <v>84</v>
      </c>
      <c r="C59" s="21" t="s">
        <v>26</v>
      </c>
      <c r="D59" s="13" t="s">
        <v>27</v>
      </c>
      <c r="E59" s="21" t="s">
        <v>21</v>
      </c>
      <c r="F59" s="14" t="s">
        <v>22</v>
      </c>
      <c r="G59" s="15">
        <v>2</v>
      </c>
      <c r="H59" s="15"/>
      <c r="I59" s="15"/>
      <c r="J59" s="16"/>
      <c r="K59" s="16"/>
      <c r="L59" s="16"/>
      <c r="M59" s="16"/>
      <c r="N59" s="18"/>
    </row>
    <row r="60" spans="1:14" ht="26.45" customHeight="1" outlineLevel="1">
      <c r="A60" s="20">
        <f>SUBTOTAL(3,$F$7:F60)</f>
        <v>53</v>
      </c>
      <c r="B60" s="18" t="s">
        <v>85</v>
      </c>
      <c r="C60" s="21" t="s">
        <v>26</v>
      </c>
      <c r="D60" s="13" t="s">
        <v>27</v>
      </c>
      <c r="E60" s="21" t="s">
        <v>21</v>
      </c>
      <c r="F60" s="14" t="s">
        <v>22</v>
      </c>
      <c r="G60" s="15">
        <v>2</v>
      </c>
      <c r="H60" s="15"/>
      <c r="I60" s="15"/>
      <c r="J60" s="16"/>
      <c r="K60" s="16"/>
      <c r="L60" s="16"/>
      <c r="M60" s="16"/>
      <c r="N60" s="18"/>
    </row>
    <row r="61" spans="1:14" ht="26.45" customHeight="1" outlineLevel="1">
      <c r="A61" s="20">
        <f>SUBTOTAL(3,$F$7:F61)</f>
        <v>54</v>
      </c>
      <c r="B61" s="18" t="s">
        <v>86</v>
      </c>
      <c r="C61" s="21" t="s">
        <v>26</v>
      </c>
      <c r="D61" s="13" t="s">
        <v>27</v>
      </c>
      <c r="E61" s="21" t="s">
        <v>21</v>
      </c>
      <c r="F61" s="14" t="s">
        <v>22</v>
      </c>
      <c r="G61" s="15">
        <v>1</v>
      </c>
      <c r="H61" s="15"/>
      <c r="I61" s="15"/>
      <c r="J61" s="16"/>
      <c r="K61" s="16"/>
      <c r="L61" s="16"/>
      <c r="M61" s="16"/>
      <c r="N61" s="18"/>
    </row>
    <row r="62" spans="1:14" ht="26.45" customHeight="1" outlineLevel="1">
      <c r="A62" s="20">
        <f>SUBTOTAL(3,$F$7:F62)</f>
        <v>55</v>
      </c>
      <c r="B62" s="18" t="s">
        <v>87</v>
      </c>
      <c r="C62" s="21" t="s">
        <v>26</v>
      </c>
      <c r="D62" s="13" t="s">
        <v>27</v>
      </c>
      <c r="E62" s="21" t="s">
        <v>21</v>
      </c>
      <c r="F62" s="14" t="s">
        <v>22</v>
      </c>
      <c r="G62" s="15">
        <v>9</v>
      </c>
      <c r="H62" s="15"/>
      <c r="I62" s="15"/>
      <c r="J62" s="16"/>
      <c r="K62" s="16"/>
      <c r="L62" s="16"/>
      <c r="M62" s="16"/>
      <c r="N62" s="18"/>
    </row>
    <row r="63" spans="1:14" ht="26.45" customHeight="1" outlineLevel="1">
      <c r="A63" s="20">
        <f>SUBTOTAL(3,$F$7:F63)</f>
        <v>56</v>
      </c>
      <c r="B63" s="18" t="s">
        <v>88</v>
      </c>
      <c r="C63" s="21" t="s">
        <v>26</v>
      </c>
      <c r="D63" s="13" t="s">
        <v>27</v>
      </c>
      <c r="E63" s="21" t="s">
        <v>21</v>
      </c>
      <c r="F63" s="14" t="s">
        <v>22</v>
      </c>
      <c r="G63" s="15">
        <v>1</v>
      </c>
      <c r="H63" s="15"/>
      <c r="I63" s="15"/>
      <c r="J63" s="16"/>
      <c r="K63" s="16"/>
      <c r="L63" s="16"/>
      <c r="M63" s="16"/>
      <c r="N63" s="18"/>
    </row>
    <row r="64" spans="1:14" ht="26.45" customHeight="1" outlineLevel="1">
      <c r="A64" s="20">
        <f>SUBTOTAL(3,$F$7:F64)</f>
        <v>57</v>
      </c>
      <c r="B64" s="18" t="s">
        <v>89</v>
      </c>
      <c r="C64" s="21" t="s">
        <v>26</v>
      </c>
      <c r="D64" s="13" t="s">
        <v>27</v>
      </c>
      <c r="E64" s="21" t="s">
        <v>21</v>
      </c>
      <c r="F64" s="14" t="s">
        <v>22</v>
      </c>
      <c r="G64" s="15">
        <v>13</v>
      </c>
      <c r="H64" s="15"/>
      <c r="I64" s="15"/>
      <c r="J64" s="16"/>
      <c r="K64" s="16"/>
      <c r="L64" s="16"/>
      <c r="M64" s="16"/>
      <c r="N64" s="18"/>
    </row>
    <row r="65" spans="1:14" ht="26.45" customHeight="1" outlineLevel="1">
      <c r="A65" s="20">
        <f>SUBTOTAL(3,$F$7:F65)</f>
        <v>58</v>
      </c>
      <c r="B65" s="18" t="s">
        <v>90</v>
      </c>
      <c r="C65" s="21" t="s">
        <v>26</v>
      </c>
      <c r="D65" s="13" t="s">
        <v>27</v>
      </c>
      <c r="E65" s="21" t="s">
        <v>21</v>
      </c>
      <c r="F65" s="14" t="s">
        <v>22</v>
      </c>
      <c r="G65" s="15">
        <v>12</v>
      </c>
      <c r="H65" s="15"/>
      <c r="I65" s="15"/>
      <c r="J65" s="16"/>
      <c r="K65" s="16"/>
      <c r="L65" s="16"/>
      <c r="M65" s="16"/>
      <c r="N65" s="18"/>
    </row>
    <row r="66" spans="1:14" ht="26.45" customHeight="1" outlineLevel="1">
      <c r="A66" s="20">
        <f>SUBTOTAL(3,$F$7:F66)</f>
        <v>59</v>
      </c>
      <c r="B66" s="18" t="s">
        <v>91</v>
      </c>
      <c r="C66" s="21" t="s">
        <v>26</v>
      </c>
      <c r="D66" s="13" t="s">
        <v>27</v>
      </c>
      <c r="E66" s="21" t="s">
        <v>21</v>
      </c>
      <c r="F66" s="14" t="s">
        <v>22</v>
      </c>
      <c r="G66" s="15">
        <v>1</v>
      </c>
      <c r="H66" s="15"/>
      <c r="I66" s="15"/>
      <c r="J66" s="16"/>
      <c r="K66" s="16"/>
      <c r="L66" s="16"/>
      <c r="M66" s="16"/>
      <c r="N66" s="18"/>
    </row>
    <row r="67" spans="1:14" ht="26.45" customHeight="1" outlineLevel="1">
      <c r="A67" s="20">
        <f>SUBTOTAL(3,$F$7:F67)</f>
        <v>60</v>
      </c>
      <c r="B67" s="18" t="s">
        <v>92</v>
      </c>
      <c r="C67" s="21" t="s">
        <v>26</v>
      </c>
      <c r="D67" s="13" t="s">
        <v>27</v>
      </c>
      <c r="E67" s="21" t="s">
        <v>21</v>
      </c>
      <c r="F67" s="14" t="s">
        <v>22</v>
      </c>
      <c r="G67" s="15">
        <v>10</v>
      </c>
      <c r="H67" s="15"/>
      <c r="I67" s="15"/>
      <c r="J67" s="16"/>
      <c r="K67" s="16"/>
      <c r="L67" s="16"/>
      <c r="M67" s="16"/>
      <c r="N67" s="18"/>
    </row>
    <row r="68" spans="1:14" ht="26.45" customHeight="1" outlineLevel="1">
      <c r="A68" s="20">
        <f>SUBTOTAL(3,$F$7:F68)</f>
        <v>61</v>
      </c>
      <c r="B68" s="18" t="s">
        <v>86</v>
      </c>
      <c r="C68" s="21" t="s">
        <v>26</v>
      </c>
      <c r="D68" s="13" t="s">
        <v>27</v>
      </c>
      <c r="E68" s="21" t="s">
        <v>21</v>
      </c>
      <c r="F68" s="14" t="s">
        <v>22</v>
      </c>
      <c r="G68" s="15">
        <v>6</v>
      </c>
      <c r="H68" s="15"/>
      <c r="I68" s="15"/>
      <c r="J68" s="16"/>
      <c r="K68" s="16"/>
      <c r="L68" s="16"/>
      <c r="M68" s="16"/>
      <c r="N68" s="18"/>
    </row>
    <row r="69" spans="1:14" ht="26.45" customHeight="1" outlineLevel="1">
      <c r="A69" s="20">
        <f>SUBTOTAL(3,$F$7:F69)</f>
        <v>62</v>
      </c>
      <c r="B69" s="18" t="s">
        <v>84</v>
      </c>
      <c r="C69" s="21" t="s">
        <v>26</v>
      </c>
      <c r="D69" s="13" t="s">
        <v>27</v>
      </c>
      <c r="E69" s="21" t="s">
        <v>21</v>
      </c>
      <c r="F69" s="14" t="s">
        <v>22</v>
      </c>
      <c r="G69" s="15">
        <v>6</v>
      </c>
      <c r="H69" s="15"/>
      <c r="I69" s="15"/>
      <c r="J69" s="16"/>
      <c r="K69" s="16"/>
      <c r="L69" s="16"/>
      <c r="M69" s="16"/>
      <c r="N69" s="18"/>
    </row>
    <row r="70" spans="1:14" ht="26.45" customHeight="1" outlineLevel="1">
      <c r="A70" s="20">
        <f>SUBTOTAL(3,$F$7:F70)</f>
        <v>63</v>
      </c>
      <c r="B70" s="18" t="s">
        <v>93</v>
      </c>
      <c r="C70" s="21" t="s">
        <v>26</v>
      </c>
      <c r="D70" s="13" t="s">
        <v>27</v>
      </c>
      <c r="E70" s="21" t="s">
        <v>21</v>
      </c>
      <c r="F70" s="14" t="s">
        <v>22</v>
      </c>
      <c r="G70" s="15">
        <v>8</v>
      </c>
      <c r="H70" s="15"/>
      <c r="I70" s="15"/>
      <c r="J70" s="16"/>
      <c r="K70" s="16"/>
      <c r="L70" s="16"/>
      <c r="M70" s="16"/>
      <c r="N70" s="18"/>
    </row>
    <row r="71" spans="1:14" ht="26.45" customHeight="1" outlineLevel="1">
      <c r="A71" s="20">
        <f>SUBTOTAL(3,$F$7:F71)</f>
        <v>64</v>
      </c>
      <c r="B71" s="18" t="s">
        <v>94</v>
      </c>
      <c r="C71" s="21" t="s">
        <v>26</v>
      </c>
      <c r="D71" s="13" t="s">
        <v>27</v>
      </c>
      <c r="E71" s="21" t="s">
        <v>21</v>
      </c>
      <c r="F71" s="14" t="s">
        <v>22</v>
      </c>
      <c r="G71" s="15">
        <v>6</v>
      </c>
      <c r="H71" s="15"/>
      <c r="I71" s="15"/>
      <c r="J71" s="16"/>
      <c r="K71" s="16"/>
      <c r="L71" s="16"/>
      <c r="M71" s="16"/>
      <c r="N71" s="18"/>
    </row>
    <row r="72" spans="1:14" outlineLevel="1">
      <c r="A72" s="20">
        <f>SUBTOTAL(3,$F$7:F72)</f>
        <v>65</v>
      </c>
      <c r="B72" s="18" t="s">
        <v>95</v>
      </c>
      <c r="C72" s="13"/>
      <c r="D72" s="13" t="s">
        <v>62</v>
      </c>
      <c r="E72" s="13"/>
      <c r="F72" s="14" t="s">
        <v>22</v>
      </c>
      <c r="G72" s="15">
        <v>6</v>
      </c>
      <c r="H72" s="15"/>
      <c r="I72" s="15"/>
      <c r="J72" s="16"/>
      <c r="K72" s="16"/>
      <c r="L72" s="16"/>
      <c r="M72" s="16"/>
      <c r="N72" s="18"/>
    </row>
    <row r="73" spans="1:14" outlineLevel="1">
      <c r="A73" s="20">
        <f>SUBTOTAL(3,$F$7:F73)</f>
        <v>66</v>
      </c>
      <c r="B73" s="18" t="s">
        <v>96</v>
      </c>
      <c r="C73" s="21" t="s">
        <v>35</v>
      </c>
      <c r="D73" s="13" t="s">
        <v>62</v>
      </c>
      <c r="E73" s="21" t="s">
        <v>21</v>
      </c>
      <c r="F73" s="14" t="s">
        <v>22</v>
      </c>
      <c r="G73" s="15">
        <v>1</v>
      </c>
      <c r="H73" s="15"/>
      <c r="I73" s="15"/>
      <c r="J73" s="16"/>
      <c r="K73" s="16"/>
      <c r="L73" s="16"/>
      <c r="M73" s="16"/>
      <c r="N73" s="18"/>
    </row>
    <row r="74" spans="1:14" outlineLevel="1">
      <c r="A74" s="20">
        <f>SUBTOTAL(3,$F$7:F74)</f>
        <v>67</v>
      </c>
      <c r="B74" s="18" t="s">
        <v>97</v>
      </c>
      <c r="C74" s="13"/>
      <c r="D74" s="13" t="s">
        <v>62</v>
      </c>
      <c r="E74" s="13"/>
      <c r="F74" s="14" t="s">
        <v>22</v>
      </c>
      <c r="G74" s="15">
        <v>2</v>
      </c>
      <c r="H74" s="15"/>
      <c r="I74" s="15"/>
      <c r="J74" s="16"/>
      <c r="K74" s="16"/>
      <c r="L74" s="16"/>
      <c r="M74" s="16"/>
      <c r="N74" s="18"/>
    </row>
    <row r="75" spans="1:14" outlineLevel="1">
      <c r="A75" s="20">
        <f>SUBTOTAL(3,$F$7:F75)</f>
        <v>68</v>
      </c>
      <c r="B75" s="18" t="s">
        <v>98</v>
      </c>
      <c r="C75" s="13"/>
      <c r="D75" s="13" t="s">
        <v>62</v>
      </c>
      <c r="E75" s="13"/>
      <c r="F75" s="14" t="s">
        <v>22</v>
      </c>
      <c r="G75" s="15">
        <v>1</v>
      </c>
      <c r="H75" s="15"/>
      <c r="I75" s="15"/>
      <c r="J75" s="16"/>
      <c r="K75" s="16"/>
      <c r="L75" s="16"/>
      <c r="M75" s="16"/>
      <c r="N75" s="18"/>
    </row>
    <row r="76" spans="1:14" outlineLevel="1">
      <c r="A76" s="20">
        <f>SUBTOTAL(3,$F$7:F76)</f>
        <v>69</v>
      </c>
      <c r="B76" s="18" t="s">
        <v>99</v>
      </c>
      <c r="C76" s="13"/>
      <c r="D76" s="13" t="s">
        <v>62</v>
      </c>
      <c r="E76" s="13"/>
      <c r="F76" s="14" t="s">
        <v>22</v>
      </c>
      <c r="G76" s="15">
        <v>2</v>
      </c>
      <c r="H76" s="15"/>
      <c r="I76" s="15"/>
      <c r="J76" s="16"/>
      <c r="K76" s="16"/>
      <c r="L76" s="16"/>
      <c r="M76" s="16"/>
      <c r="N76" s="18"/>
    </row>
    <row r="77" spans="1:14" outlineLevel="1">
      <c r="A77" s="20">
        <f>SUBTOTAL(3,$F$7:F77)</f>
        <v>70</v>
      </c>
      <c r="B77" s="18" t="s">
        <v>100</v>
      </c>
      <c r="C77" s="13"/>
      <c r="D77" s="13" t="s">
        <v>62</v>
      </c>
      <c r="E77" s="13"/>
      <c r="F77" s="14" t="s">
        <v>22</v>
      </c>
      <c r="G77" s="15">
        <v>10</v>
      </c>
      <c r="H77" s="15"/>
      <c r="I77" s="15"/>
      <c r="J77" s="16"/>
      <c r="K77" s="16"/>
      <c r="L77" s="16"/>
      <c r="M77" s="16"/>
      <c r="N77" s="18"/>
    </row>
    <row r="78" spans="1:14" outlineLevel="1">
      <c r="A78" s="20">
        <f>SUBTOTAL(3,$F$7:F78)</f>
        <v>71</v>
      </c>
      <c r="B78" s="18" t="s">
        <v>99</v>
      </c>
      <c r="C78" s="13"/>
      <c r="D78" s="13" t="s">
        <v>62</v>
      </c>
      <c r="E78" s="13"/>
      <c r="F78" s="14" t="s">
        <v>22</v>
      </c>
      <c r="G78" s="15">
        <v>2</v>
      </c>
      <c r="H78" s="15"/>
      <c r="I78" s="15"/>
      <c r="J78" s="16"/>
      <c r="K78" s="16"/>
      <c r="L78" s="16"/>
      <c r="M78" s="16"/>
      <c r="N78" s="18"/>
    </row>
    <row r="79" spans="1:14" outlineLevel="1">
      <c r="A79" s="20">
        <f>SUBTOTAL(3,$F$7:F79)</f>
        <v>72</v>
      </c>
      <c r="B79" s="18" t="s">
        <v>98</v>
      </c>
      <c r="C79" s="13"/>
      <c r="D79" s="13" t="s">
        <v>62</v>
      </c>
      <c r="E79" s="13"/>
      <c r="F79" s="14" t="s">
        <v>22</v>
      </c>
      <c r="G79" s="15">
        <v>8</v>
      </c>
      <c r="H79" s="15"/>
      <c r="I79" s="15"/>
      <c r="J79" s="16"/>
      <c r="K79" s="16"/>
      <c r="L79" s="16"/>
      <c r="M79" s="16"/>
      <c r="N79" s="18"/>
    </row>
    <row r="80" spans="1:14" outlineLevel="1">
      <c r="A80" s="20">
        <f>SUBTOTAL(3,$F$7:F80)</f>
        <v>73</v>
      </c>
      <c r="B80" s="18" t="s">
        <v>101</v>
      </c>
      <c r="C80" s="13"/>
      <c r="D80" s="13" t="s">
        <v>62</v>
      </c>
      <c r="E80" s="13"/>
      <c r="F80" s="14" t="s">
        <v>22</v>
      </c>
      <c r="G80" s="15">
        <v>3</v>
      </c>
      <c r="H80" s="15"/>
      <c r="I80" s="15"/>
      <c r="J80" s="16"/>
      <c r="K80" s="16"/>
      <c r="L80" s="16"/>
      <c r="M80" s="16"/>
      <c r="N80" s="18"/>
    </row>
    <row r="81" spans="1:14" outlineLevel="1">
      <c r="A81" s="20">
        <f>SUBTOTAL(3,$F$7:F81)</f>
        <v>74</v>
      </c>
      <c r="B81" s="18" t="s">
        <v>102</v>
      </c>
      <c r="C81" s="13"/>
      <c r="D81" s="13" t="s">
        <v>62</v>
      </c>
      <c r="E81" s="13"/>
      <c r="F81" s="14" t="s">
        <v>22</v>
      </c>
      <c r="G81" s="15">
        <v>49</v>
      </c>
      <c r="H81" s="15"/>
      <c r="I81" s="15"/>
      <c r="J81" s="16"/>
      <c r="K81" s="16"/>
      <c r="L81" s="16"/>
      <c r="M81" s="16"/>
      <c r="N81" s="18"/>
    </row>
    <row r="82" spans="1:14" outlineLevel="1">
      <c r="A82" s="20">
        <f>SUBTOTAL(3,$F$7:F82)</f>
        <v>75</v>
      </c>
      <c r="B82" s="18" t="s">
        <v>103</v>
      </c>
      <c r="C82" s="13"/>
      <c r="D82" s="13" t="s">
        <v>62</v>
      </c>
      <c r="E82" s="13"/>
      <c r="F82" s="14" t="s">
        <v>22</v>
      </c>
      <c r="G82" s="15">
        <v>18</v>
      </c>
      <c r="H82" s="15"/>
      <c r="I82" s="15"/>
      <c r="J82" s="16"/>
      <c r="K82" s="16"/>
      <c r="L82" s="16"/>
      <c r="M82" s="16"/>
      <c r="N82" s="18"/>
    </row>
    <row r="83" spans="1:14" outlineLevel="1">
      <c r="A83" s="20">
        <f>SUBTOTAL(3,$F$7:F83)</f>
        <v>76</v>
      </c>
      <c r="B83" s="18" t="s">
        <v>104</v>
      </c>
      <c r="C83" s="13"/>
      <c r="D83" s="13" t="s">
        <v>62</v>
      </c>
      <c r="E83" s="13"/>
      <c r="F83" s="14" t="s">
        <v>22</v>
      </c>
      <c r="G83" s="15">
        <v>13</v>
      </c>
      <c r="H83" s="15"/>
      <c r="I83" s="15"/>
      <c r="J83" s="16"/>
      <c r="K83" s="16"/>
      <c r="L83" s="16"/>
      <c r="M83" s="16"/>
      <c r="N83" s="18"/>
    </row>
    <row r="84" spans="1:14" outlineLevel="1">
      <c r="A84" s="20">
        <f>SUBTOTAL(3,$F$7:F84)</f>
        <v>77</v>
      </c>
      <c r="B84" s="18" t="s">
        <v>105</v>
      </c>
      <c r="C84" s="13"/>
      <c r="D84" s="13" t="s">
        <v>62</v>
      </c>
      <c r="E84" s="13"/>
      <c r="F84" s="14" t="s">
        <v>22</v>
      </c>
      <c r="G84" s="15">
        <v>7</v>
      </c>
      <c r="H84" s="15"/>
      <c r="I84" s="15"/>
      <c r="J84" s="16"/>
      <c r="K84" s="16"/>
      <c r="L84" s="16"/>
      <c r="M84" s="16"/>
      <c r="N84" s="18"/>
    </row>
    <row r="85" spans="1:14" outlineLevel="1">
      <c r="A85" s="20">
        <f>SUBTOTAL(3,$F$7:F85)</f>
        <v>78</v>
      </c>
      <c r="B85" s="18" t="s">
        <v>106</v>
      </c>
      <c r="C85" s="13"/>
      <c r="D85" s="13" t="s">
        <v>62</v>
      </c>
      <c r="E85" s="13"/>
      <c r="F85" s="14" t="s">
        <v>22</v>
      </c>
      <c r="G85" s="15">
        <v>17</v>
      </c>
      <c r="H85" s="15"/>
      <c r="I85" s="15"/>
      <c r="J85" s="16"/>
      <c r="K85" s="16"/>
      <c r="L85" s="16"/>
      <c r="M85" s="16"/>
      <c r="N85" s="18"/>
    </row>
    <row r="86" spans="1:14" outlineLevel="1">
      <c r="A86" s="20">
        <f>SUBTOTAL(3,$F$7:F86)</f>
        <v>79</v>
      </c>
      <c r="B86" s="18" t="s">
        <v>107</v>
      </c>
      <c r="C86" s="13"/>
      <c r="D86" s="13" t="s">
        <v>62</v>
      </c>
      <c r="E86" s="13"/>
      <c r="F86" s="14" t="s">
        <v>22</v>
      </c>
      <c r="G86" s="15">
        <v>3</v>
      </c>
      <c r="H86" s="15"/>
      <c r="I86" s="15"/>
      <c r="J86" s="16"/>
      <c r="K86" s="16"/>
      <c r="L86" s="16"/>
      <c r="M86" s="16"/>
      <c r="N86" s="18"/>
    </row>
    <row r="87" spans="1:14" outlineLevel="1">
      <c r="A87" s="20">
        <f>SUBTOTAL(3,$F$7:F87)</f>
        <v>80</v>
      </c>
      <c r="B87" s="18" t="s">
        <v>108</v>
      </c>
      <c r="C87" s="13"/>
      <c r="D87" s="13" t="s">
        <v>62</v>
      </c>
      <c r="E87" s="13"/>
      <c r="F87" s="14" t="s">
        <v>22</v>
      </c>
      <c r="G87" s="15">
        <v>2</v>
      </c>
      <c r="H87" s="15"/>
      <c r="I87" s="15"/>
      <c r="J87" s="16"/>
      <c r="K87" s="16"/>
      <c r="L87" s="16"/>
      <c r="M87" s="16"/>
      <c r="N87" s="18"/>
    </row>
    <row r="88" spans="1:14" outlineLevel="1">
      <c r="A88" s="20">
        <f>SUBTOTAL(3,$F$7:F88)</f>
        <v>81</v>
      </c>
      <c r="B88" s="18" t="s">
        <v>109</v>
      </c>
      <c r="C88" s="13"/>
      <c r="D88" s="13" t="s">
        <v>62</v>
      </c>
      <c r="E88" s="13"/>
      <c r="F88" s="14" t="s">
        <v>22</v>
      </c>
      <c r="G88" s="15">
        <v>1</v>
      </c>
      <c r="H88" s="15"/>
      <c r="I88" s="15"/>
      <c r="J88" s="16"/>
      <c r="K88" s="16"/>
      <c r="L88" s="16"/>
      <c r="M88" s="16"/>
      <c r="N88" s="18"/>
    </row>
    <row r="89" spans="1:14" outlineLevel="1">
      <c r="A89" s="20">
        <f>SUBTOTAL(3,$F$7:F89)</f>
        <v>82</v>
      </c>
      <c r="B89" s="18" t="s">
        <v>57</v>
      </c>
      <c r="C89" s="13"/>
      <c r="D89" s="13"/>
      <c r="E89" s="13"/>
      <c r="F89" s="14" t="s">
        <v>58</v>
      </c>
      <c r="G89" s="15">
        <v>1</v>
      </c>
      <c r="H89" s="15"/>
      <c r="I89" s="15"/>
      <c r="J89" s="16"/>
      <c r="K89" s="16"/>
      <c r="L89" s="16"/>
      <c r="M89" s="16"/>
      <c r="N89" s="18"/>
    </row>
    <row r="90" spans="1:14" ht="19.899999999999999" customHeight="1" outlineLevel="1">
      <c r="A90" s="11" t="s">
        <v>110</v>
      </c>
      <c r="B90" s="19" t="s">
        <v>111</v>
      </c>
      <c r="C90" s="13"/>
      <c r="D90" s="13"/>
      <c r="E90" s="13"/>
      <c r="F90" s="14"/>
      <c r="G90" s="15"/>
      <c r="H90" s="15"/>
      <c r="I90" s="15"/>
      <c r="J90" s="16"/>
      <c r="K90" s="16"/>
      <c r="L90" s="16"/>
      <c r="M90" s="16"/>
      <c r="N90" s="18"/>
    </row>
    <row r="91" spans="1:14" outlineLevel="1">
      <c r="A91" s="20">
        <f>SUBTOTAL(3,$F$7:F91)</f>
        <v>83</v>
      </c>
      <c r="B91" s="18" t="s">
        <v>112</v>
      </c>
      <c r="C91" s="21" t="s">
        <v>19</v>
      </c>
      <c r="D91" s="13" t="s">
        <v>62</v>
      </c>
      <c r="E91" s="21" t="s">
        <v>21</v>
      </c>
      <c r="F91" s="14" t="s">
        <v>22</v>
      </c>
      <c r="G91" s="15">
        <v>4</v>
      </c>
      <c r="H91" s="15"/>
      <c r="I91" s="15"/>
      <c r="J91" s="16"/>
      <c r="K91" s="16"/>
      <c r="L91" s="16"/>
      <c r="M91" s="16"/>
      <c r="N91" s="18"/>
    </row>
    <row r="92" spans="1:14" outlineLevel="1">
      <c r="A92" s="20">
        <f>SUBTOTAL(3,$F$7:F92)</f>
        <v>84</v>
      </c>
      <c r="B92" s="18" t="s">
        <v>113</v>
      </c>
      <c r="C92" s="21" t="s">
        <v>19</v>
      </c>
      <c r="D92" s="13" t="s">
        <v>62</v>
      </c>
      <c r="E92" s="21" t="s">
        <v>21</v>
      </c>
      <c r="F92" s="14" t="s">
        <v>22</v>
      </c>
      <c r="G92" s="15">
        <v>4</v>
      </c>
      <c r="H92" s="15"/>
      <c r="I92" s="15"/>
      <c r="J92" s="16"/>
      <c r="K92" s="16"/>
      <c r="L92" s="16"/>
      <c r="M92" s="16"/>
      <c r="N92" s="18"/>
    </row>
    <row r="93" spans="1:14" outlineLevel="1">
      <c r="A93" s="20">
        <f>SUBTOTAL(3,$F$7:F93)</f>
        <v>85</v>
      </c>
      <c r="B93" s="18" t="s">
        <v>114</v>
      </c>
      <c r="C93" s="21" t="s">
        <v>19</v>
      </c>
      <c r="D93" s="13" t="s">
        <v>62</v>
      </c>
      <c r="E93" s="21" t="s">
        <v>21</v>
      </c>
      <c r="F93" s="14" t="s">
        <v>22</v>
      </c>
      <c r="G93" s="15">
        <v>1</v>
      </c>
      <c r="H93" s="15"/>
      <c r="I93" s="15"/>
      <c r="J93" s="16"/>
      <c r="K93" s="16"/>
      <c r="L93" s="16"/>
      <c r="M93" s="16"/>
      <c r="N93" s="18"/>
    </row>
    <row r="94" spans="1:14" outlineLevel="1">
      <c r="A94" s="20">
        <f>SUBTOTAL(3,$F$7:F94)</f>
        <v>86</v>
      </c>
      <c r="B94" s="18" t="s">
        <v>115</v>
      </c>
      <c r="C94" s="21" t="s">
        <v>19</v>
      </c>
      <c r="D94" s="13" t="s">
        <v>62</v>
      </c>
      <c r="E94" s="21" t="s">
        <v>21</v>
      </c>
      <c r="F94" s="14" t="s">
        <v>22</v>
      </c>
      <c r="G94" s="15">
        <v>6</v>
      </c>
      <c r="H94" s="15"/>
      <c r="I94" s="15"/>
      <c r="J94" s="16"/>
      <c r="K94" s="16"/>
      <c r="L94" s="16"/>
      <c r="M94" s="16"/>
      <c r="N94" s="18"/>
    </row>
    <row r="95" spans="1:14" ht="26.45" customHeight="1" outlineLevel="1">
      <c r="A95" s="20">
        <f>SUBTOTAL(3,$F$7:F95)</f>
        <v>87</v>
      </c>
      <c r="B95" s="18" t="s">
        <v>116</v>
      </c>
      <c r="C95" s="21" t="s">
        <v>26</v>
      </c>
      <c r="D95" s="13" t="s">
        <v>27</v>
      </c>
      <c r="E95" s="21" t="s">
        <v>21</v>
      </c>
      <c r="F95" s="14" t="s">
        <v>22</v>
      </c>
      <c r="G95" s="15">
        <v>4</v>
      </c>
      <c r="H95" s="15"/>
      <c r="I95" s="15"/>
      <c r="J95" s="16"/>
      <c r="K95" s="16"/>
      <c r="L95" s="16"/>
      <c r="M95" s="16"/>
      <c r="N95" s="18"/>
    </row>
    <row r="96" spans="1:14" ht="26.45" customHeight="1" outlineLevel="1">
      <c r="A96" s="20">
        <f>SUBTOTAL(3,$F$7:F96)</f>
        <v>88</v>
      </c>
      <c r="B96" s="18" t="s">
        <v>117</v>
      </c>
      <c r="C96" s="21" t="s">
        <v>26</v>
      </c>
      <c r="D96" s="13" t="s">
        <v>27</v>
      </c>
      <c r="E96" s="21" t="s">
        <v>21</v>
      </c>
      <c r="F96" s="14" t="s">
        <v>22</v>
      </c>
      <c r="G96" s="15">
        <v>4</v>
      </c>
      <c r="H96" s="15"/>
      <c r="I96" s="15"/>
      <c r="J96" s="16"/>
      <c r="K96" s="16"/>
      <c r="L96" s="16"/>
      <c r="M96" s="16"/>
      <c r="N96" s="18"/>
    </row>
    <row r="97" spans="1:14" ht="26.45" customHeight="1" outlineLevel="1">
      <c r="A97" s="20">
        <f>SUBTOTAL(3,$F$7:F97)</f>
        <v>89</v>
      </c>
      <c r="B97" s="18" t="s">
        <v>118</v>
      </c>
      <c r="C97" s="21" t="s">
        <v>26</v>
      </c>
      <c r="D97" s="13" t="s">
        <v>27</v>
      </c>
      <c r="E97" s="21" t="s">
        <v>21</v>
      </c>
      <c r="F97" s="14" t="s">
        <v>22</v>
      </c>
      <c r="G97" s="15">
        <v>3</v>
      </c>
      <c r="H97" s="15"/>
      <c r="I97" s="15"/>
      <c r="J97" s="16"/>
      <c r="K97" s="16"/>
      <c r="L97" s="16"/>
      <c r="M97" s="16"/>
      <c r="N97" s="18"/>
    </row>
    <row r="98" spans="1:14" ht="26.45" customHeight="1" outlineLevel="1">
      <c r="A98" s="20">
        <f>SUBTOTAL(3,$F$7:F98)</f>
        <v>90</v>
      </c>
      <c r="B98" s="18" t="s">
        <v>119</v>
      </c>
      <c r="C98" s="21" t="s">
        <v>26</v>
      </c>
      <c r="D98" s="13" t="s">
        <v>27</v>
      </c>
      <c r="E98" s="21" t="s">
        <v>21</v>
      </c>
      <c r="F98" s="14" t="s">
        <v>22</v>
      </c>
      <c r="G98" s="15">
        <v>7</v>
      </c>
      <c r="H98" s="15"/>
      <c r="I98" s="15"/>
      <c r="J98" s="16"/>
      <c r="K98" s="16"/>
      <c r="L98" s="16"/>
      <c r="M98" s="16"/>
      <c r="N98" s="18"/>
    </row>
    <row r="99" spans="1:14" ht="26.45" customHeight="1" outlineLevel="1">
      <c r="A99" s="20">
        <f>SUBTOTAL(3,$F$7:F99)</f>
        <v>91</v>
      </c>
      <c r="B99" s="18" t="s">
        <v>89</v>
      </c>
      <c r="C99" s="21" t="s">
        <v>26</v>
      </c>
      <c r="D99" s="13" t="s">
        <v>27</v>
      </c>
      <c r="E99" s="21" t="s">
        <v>21</v>
      </c>
      <c r="F99" s="14" t="s">
        <v>22</v>
      </c>
      <c r="G99" s="15">
        <v>2</v>
      </c>
      <c r="H99" s="15"/>
      <c r="I99" s="15"/>
      <c r="J99" s="16"/>
      <c r="K99" s="16"/>
      <c r="L99" s="16"/>
      <c r="M99" s="16"/>
      <c r="N99" s="18"/>
    </row>
    <row r="100" spans="1:14" ht="26.45" customHeight="1" outlineLevel="1">
      <c r="A100" s="20">
        <f>SUBTOTAL(3,$F$7:F100)</f>
        <v>92</v>
      </c>
      <c r="B100" s="18" t="s">
        <v>120</v>
      </c>
      <c r="C100" s="21" t="s">
        <v>26</v>
      </c>
      <c r="D100" s="13" t="s">
        <v>27</v>
      </c>
      <c r="E100" s="21" t="s">
        <v>21</v>
      </c>
      <c r="F100" s="14" t="s">
        <v>22</v>
      </c>
      <c r="G100" s="15">
        <v>2</v>
      </c>
      <c r="H100" s="15"/>
      <c r="I100" s="15"/>
      <c r="J100" s="16"/>
      <c r="K100" s="16"/>
      <c r="L100" s="16"/>
      <c r="M100" s="16"/>
      <c r="N100" s="18"/>
    </row>
    <row r="101" spans="1:14" ht="26.45" customHeight="1" outlineLevel="1">
      <c r="A101" s="20">
        <f>SUBTOTAL(3,$F$7:F101)</f>
        <v>93</v>
      </c>
      <c r="B101" s="18" t="s">
        <v>121</v>
      </c>
      <c r="C101" s="21" t="s">
        <v>26</v>
      </c>
      <c r="D101" s="13" t="s">
        <v>27</v>
      </c>
      <c r="E101" s="21" t="s">
        <v>21</v>
      </c>
      <c r="F101" s="14" t="s">
        <v>22</v>
      </c>
      <c r="G101" s="15">
        <v>1</v>
      </c>
      <c r="H101" s="15"/>
      <c r="I101" s="15"/>
      <c r="J101" s="16"/>
      <c r="K101" s="16"/>
      <c r="L101" s="16"/>
      <c r="M101" s="16"/>
      <c r="N101" s="18"/>
    </row>
    <row r="102" spans="1:14" ht="26.45" customHeight="1" outlineLevel="1">
      <c r="A102" s="20">
        <f>SUBTOTAL(3,$F$7:F102)</f>
        <v>94</v>
      </c>
      <c r="B102" s="18" t="s">
        <v>86</v>
      </c>
      <c r="C102" s="21" t="s">
        <v>26</v>
      </c>
      <c r="D102" s="13" t="s">
        <v>27</v>
      </c>
      <c r="E102" s="21" t="s">
        <v>21</v>
      </c>
      <c r="F102" s="14" t="s">
        <v>22</v>
      </c>
      <c r="G102" s="15">
        <v>4</v>
      </c>
      <c r="H102" s="15"/>
      <c r="I102" s="15"/>
      <c r="J102" s="16"/>
      <c r="K102" s="16"/>
      <c r="L102" s="16"/>
      <c r="M102" s="16"/>
      <c r="N102" s="18"/>
    </row>
    <row r="103" spans="1:14" ht="26.45" customHeight="1" outlineLevel="1">
      <c r="A103" s="20">
        <f>SUBTOTAL(3,$F$7:F103)</f>
        <v>95</v>
      </c>
      <c r="B103" s="18" t="s">
        <v>93</v>
      </c>
      <c r="C103" s="21" t="s">
        <v>26</v>
      </c>
      <c r="D103" s="13" t="s">
        <v>27</v>
      </c>
      <c r="E103" s="21" t="s">
        <v>21</v>
      </c>
      <c r="F103" s="14" t="s">
        <v>22</v>
      </c>
      <c r="G103" s="15">
        <v>2</v>
      </c>
      <c r="H103" s="15"/>
      <c r="I103" s="15"/>
      <c r="J103" s="16"/>
      <c r="K103" s="16"/>
      <c r="L103" s="16"/>
      <c r="M103" s="16"/>
      <c r="N103" s="18"/>
    </row>
    <row r="104" spans="1:14" ht="26.45" customHeight="1" outlineLevel="1">
      <c r="A104" s="20">
        <f>SUBTOTAL(3,$F$7:F104)</f>
        <v>96</v>
      </c>
      <c r="B104" s="18" t="s">
        <v>122</v>
      </c>
      <c r="C104" s="21" t="s">
        <v>26</v>
      </c>
      <c r="D104" s="13" t="s">
        <v>27</v>
      </c>
      <c r="E104" s="21" t="s">
        <v>21</v>
      </c>
      <c r="F104" s="14" t="s">
        <v>22</v>
      </c>
      <c r="G104" s="15">
        <v>1</v>
      </c>
      <c r="H104" s="15"/>
      <c r="I104" s="15"/>
      <c r="J104" s="16"/>
      <c r="K104" s="16"/>
      <c r="L104" s="16"/>
      <c r="M104" s="16"/>
      <c r="N104" s="18"/>
    </row>
    <row r="105" spans="1:14" ht="26.45" customHeight="1" outlineLevel="1">
      <c r="A105" s="20">
        <f>SUBTOTAL(3,$F$7:F105)</f>
        <v>97</v>
      </c>
      <c r="B105" s="18" t="s">
        <v>123</v>
      </c>
      <c r="C105" s="21" t="s">
        <v>26</v>
      </c>
      <c r="D105" s="13" t="s">
        <v>27</v>
      </c>
      <c r="E105" s="21" t="s">
        <v>21</v>
      </c>
      <c r="F105" s="14" t="s">
        <v>22</v>
      </c>
      <c r="G105" s="15">
        <v>1</v>
      </c>
      <c r="H105" s="15"/>
      <c r="I105" s="15"/>
      <c r="J105" s="16"/>
      <c r="K105" s="16"/>
      <c r="L105" s="16"/>
      <c r="M105" s="16"/>
      <c r="N105" s="18"/>
    </row>
    <row r="106" spans="1:14" ht="26.45" customHeight="1" outlineLevel="1">
      <c r="A106" s="20">
        <f>SUBTOTAL(3,$F$7:F106)</f>
        <v>98</v>
      </c>
      <c r="B106" s="18" t="s">
        <v>124</v>
      </c>
      <c r="C106" s="21" t="s">
        <v>26</v>
      </c>
      <c r="D106" s="13" t="s">
        <v>27</v>
      </c>
      <c r="E106" s="21" t="s">
        <v>21</v>
      </c>
      <c r="F106" s="14" t="s">
        <v>22</v>
      </c>
      <c r="G106" s="15">
        <v>11</v>
      </c>
      <c r="H106" s="15"/>
      <c r="I106" s="15"/>
      <c r="J106" s="16"/>
      <c r="K106" s="16"/>
      <c r="L106" s="16"/>
      <c r="M106" s="16"/>
      <c r="N106" s="18"/>
    </row>
    <row r="107" spans="1:14" ht="26.45" customHeight="1" outlineLevel="1">
      <c r="A107" s="20">
        <f>SUBTOTAL(3,$F$7:F107)</f>
        <v>99</v>
      </c>
      <c r="B107" s="18" t="s">
        <v>125</v>
      </c>
      <c r="C107" s="21" t="s">
        <v>26</v>
      </c>
      <c r="D107" s="13" t="s">
        <v>27</v>
      </c>
      <c r="E107" s="21" t="s">
        <v>21</v>
      </c>
      <c r="F107" s="14" t="s">
        <v>22</v>
      </c>
      <c r="G107" s="15">
        <v>9</v>
      </c>
      <c r="H107" s="15"/>
      <c r="I107" s="15"/>
      <c r="J107" s="16"/>
      <c r="K107" s="16"/>
      <c r="L107" s="16"/>
      <c r="M107" s="16"/>
      <c r="N107" s="18"/>
    </row>
    <row r="108" spans="1:14" ht="26.45" customHeight="1" outlineLevel="1">
      <c r="A108" s="20">
        <f>SUBTOTAL(3,$F$7:F108)</f>
        <v>100</v>
      </c>
      <c r="B108" s="18" t="s">
        <v>126</v>
      </c>
      <c r="C108" s="21" t="s">
        <v>26</v>
      </c>
      <c r="D108" s="13" t="s">
        <v>27</v>
      </c>
      <c r="E108" s="21" t="s">
        <v>21</v>
      </c>
      <c r="F108" s="14" t="s">
        <v>22</v>
      </c>
      <c r="G108" s="15">
        <v>3</v>
      </c>
      <c r="H108" s="15"/>
      <c r="I108" s="15"/>
      <c r="J108" s="16"/>
      <c r="K108" s="16"/>
      <c r="L108" s="16"/>
      <c r="M108" s="16"/>
      <c r="N108" s="18"/>
    </row>
    <row r="109" spans="1:14" outlineLevel="1">
      <c r="A109" s="20">
        <f>SUBTOTAL(3,$F$7:F109)</f>
        <v>101</v>
      </c>
      <c r="B109" s="18" t="s">
        <v>127</v>
      </c>
      <c r="C109" s="13"/>
      <c r="D109" s="13" t="s">
        <v>62</v>
      </c>
      <c r="E109" s="13"/>
      <c r="F109" s="14" t="s">
        <v>22</v>
      </c>
      <c r="G109" s="15">
        <v>1</v>
      </c>
      <c r="H109" s="15"/>
      <c r="I109" s="15"/>
      <c r="J109" s="16"/>
      <c r="K109" s="16"/>
      <c r="L109" s="16"/>
      <c r="M109" s="16"/>
      <c r="N109" s="18"/>
    </row>
    <row r="110" spans="1:14" outlineLevel="1">
      <c r="A110" s="20">
        <f>SUBTOTAL(3,$F$7:F110)</f>
        <v>102</v>
      </c>
      <c r="B110" s="18" t="s">
        <v>128</v>
      </c>
      <c r="C110" s="13"/>
      <c r="D110" s="13" t="s">
        <v>62</v>
      </c>
      <c r="E110" s="13"/>
      <c r="F110" s="14" t="s">
        <v>22</v>
      </c>
      <c r="G110" s="15">
        <v>6</v>
      </c>
      <c r="H110" s="15"/>
      <c r="I110" s="15"/>
      <c r="J110" s="16"/>
      <c r="K110" s="16"/>
      <c r="L110" s="16"/>
      <c r="M110" s="16"/>
      <c r="N110" s="18"/>
    </row>
    <row r="111" spans="1:14" outlineLevel="1">
      <c r="A111" s="20">
        <f>SUBTOTAL(3,$F$7:F111)</f>
        <v>103</v>
      </c>
      <c r="B111" s="18" t="s">
        <v>129</v>
      </c>
      <c r="C111" s="13"/>
      <c r="D111" s="13" t="s">
        <v>62</v>
      </c>
      <c r="E111" s="13"/>
      <c r="F111" s="14" t="s">
        <v>22</v>
      </c>
      <c r="G111" s="15">
        <v>6</v>
      </c>
      <c r="H111" s="15"/>
      <c r="I111" s="15"/>
      <c r="J111" s="16"/>
      <c r="K111" s="16"/>
      <c r="L111" s="16"/>
      <c r="M111" s="16"/>
      <c r="N111" s="18"/>
    </row>
    <row r="112" spans="1:14" outlineLevel="1">
      <c r="A112" s="20">
        <f>SUBTOTAL(3,$F$7:F112)</f>
        <v>104</v>
      </c>
      <c r="B112" s="18" t="s">
        <v>130</v>
      </c>
      <c r="C112" s="13"/>
      <c r="D112" s="13" t="s">
        <v>62</v>
      </c>
      <c r="E112" s="13"/>
      <c r="F112" s="14" t="s">
        <v>22</v>
      </c>
      <c r="G112" s="15">
        <v>6</v>
      </c>
      <c r="H112" s="15"/>
      <c r="I112" s="15"/>
      <c r="J112" s="16"/>
      <c r="K112" s="16"/>
      <c r="L112" s="16"/>
      <c r="M112" s="16"/>
      <c r="N112" s="18"/>
    </row>
    <row r="113" spans="1:14" outlineLevel="1">
      <c r="A113" s="20">
        <f>SUBTOTAL(3,$F$7:F113)</f>
        <v>105</v>
      </c>
      <c r="B113" s="18" t="s">
        <v>131</v>
      </c>
      <c r="C113" s="13"/>
      <c r="D113" s="13" t="s">
        <v>62</v>
      </c>
      <c r="E113" s="13"/>
      <c r="F113" s="14" t="s">
        <v>22</v>
      </c>
      <c r="G113" s="15">
        <v>14</v>
      </c>
      <c r="H113" s="15"/>
      <c r="I113" s="15"/>
      <c r="J113" s="16"/>
      <c r="K113" s="16"/>
      <c r="L113" s="16"/>
      <c r="M113" s="16"/>
      <c r="N113" s="18"/>
    </row>
    <row r="114" spans="1:14" ht="26.45" customHeight="1" outlineLevel="1">
      <c r="A114" s="20">
        <f>SUBTOTAL(3,$F$7:F114)</f>
        <v>106</v>
      </c>
      <c r="B114" s="18" t="s">
        <v>132</v>
      </c>
      <c r="C114" s="13"/>
      <c r="D114" s="13" t="s">
        <v>27</v>
      </c>
      <c r="E114" s="13"/>
      <c r="F114" s="14" t="s">
        <v>22</v>
      </c>
      <c r="G114" s="15">
        <v>78</v>
      </c>
      <c r="H114" s="15"/>
      <c r="I114" s="15"/>
      <c r="J114" s="16"/>
      <c r="K114" s="16"/>
      <c r="L114" s="16"/>
      <c r="M114" s="16"/>
      <c r="N114" s="18"/>
    </row>
    <row r="115" spans="1:14" outlineLevel="1">
      <c r="A115" s="20">
        <f>SUBTOTAL(3,$F$7:F115)</f>
        <v>107</v>
      </c>
      <c r="B115" s="18" t="s">
        <v>133</v>
      </c>
      <c r="C115" s="13"/>
      <c r="D115" s="13" t="s">
        <v>62</v>
      </c>
      <c r="E115" s="13"/>
      <c r="F115" s="14" t="s">
        <v>22</v>
      </c>
      <c r="G115" s="15">
        <v>78</v>
      </c>
      <c r="H115" s="15"/>
      <c r="I115" s="15"/>
      <c r="J115" s="16"/>
      <c r="K115" s="16"/>
      <c r="L115" s="16"/>
      <c r="M115" s="16"/>
      <c r="N115" s="18"/>
    </row>
    <row r="116" spans="1:14" outlineLevel="1">
      <c r="A116" s="20">
        <f>SUBTOTAL(3,$F$7:F116)</f>
        <v>108</v>
      </c>
      <c r="B116" s="18" t="s">
        <v>134</v>
      </c>
      <c r="C116" s="21" t="s">
        <v>35</v>
      </c>
      <c r="D116" s="13" t="s">
        <v>62</v>
      </c>
      <c r="E116" s="21" t="s">
        <v>21</v>
      </c>
      <c r="F116" s="14" t="s">
        <v>22</v>
      </c>
      <c r="G116" s="15">
        <v>26</v>
      </c>
      <c r="H116" s="15"/>
      <c r="I116" s="15"/>
      <c r="J116" s="16"/>
      <c r="K116" s="16"/>
      <c r="L116" s="16"/>
      <c r="M116" s="16"/>
      <c r="N116" s="18"/>
    </row>
    <row r="117" spans="1:14" outlineLevel="1">
      <c r="A117" s="20">
        <f>SUBTOTAL(3,$F$7:F117)</f>
        <v>109</v>
      </c>
      <c r="B117" s="18" t="s">
        <v>135</v>
      </c>
      <c r="C117" s="21" t="s">
        <v>35</v>
      </c>
      <c r="D117" s="13" t="s">
        <v>62</v>
      </c>
      <c r="E117" s="21" t="s">
        <v>21</v>
      </c>
      <c r="F117" s="14" t="s">
        <v>22</v>
      </c>
      <c r="G117" s="15">
        <v>413</v>
      </c>
      <c r="H117" s="15"/>
      <c r="I117" s="15"/>
      <c r="J117" s="16"/>
      <c r="K117" s="16"/>
      <c r="L117" s="16"/>
      <c r="M117" s="16"/>
      <c r="N117" s="18"/>
    </row>
    <row r="118" spans="1:14" outlineLevel="1">
      <c r="A118" s="20">
        <f>SUBTOTAL(3,$F$7:F118)</f>
        <v>110</v>
      </c>
      <c r="B118" s="18" t="s">
        <v>136</v>
      </c>
      <c r="C118" s="21" t="s">
        <v>35</v>
      </c>
      <c r="D118" s="13" t="s">
        <v>62</v>
      </c>
      <c r="E118" s="21" t="s">
        <v>21</v>
      </c>
      <c r="F118" s="14" t="s">
        <v>22</v>
      </c>
      <c r="G118" s="15">
        <v>35</v>
      </c>
      <c r="H118" s="15"/>
      <c r="I118" s="15"/>
      <c r="J118" s="16"/>
      <c r="K118" s="16"/>
      <c r="L118" s="16"/>
      <c r="M118" s="16"/>
      <c r="N118" s="18"/>
    </row>
    <row r="119" spans="1:14" outlineLevel="1">
      <c r="A119" s="20">
        <f>SUBTOTAL(3,$F$7:F119)</f>
        <v>111</v>
      </c>
      <c r="B119" s="18" t="s">
        <v>137</v>
      </c>
      <c r="C119" s="21" t="s">
        <v>35</v>
      </c>
      <c r="D119" s="13" t="s">
        <v>62</v>
      </c>
      <c r="E119" s="21" t="s">
        <v>21</v>
      </c>
      <c r="F119" s="14" t="s">
        <v>22</v>
      </c>
      <c r="G119" s="15">
        <v>70</v>
      </c>
      <c r="H119" s="15"/>
      <c r="I119" s="15"/>
      <c r="J119" s="16"/>
      <c r="K119" s="16"/>
      <c r="L119" s="16"/>
      <c r="M119" s="16"/>
      <c r="N119" s="18"/>
    </row>
    <row r="120" spans="1:14" outlineLevel="1">
      <c r="A120" s="20">
        <f>SUBTOTAL(3,$F$7:F120)</f>
        <v>112</v>
      </c>
      <c r="B120" s="18" t="s">
        <v>138</v>
      </c>
      <c r="C120" s="13"/>
      <c r="D120" s="13" t="s">
        <v>62</v>
      </c>
      <c r="E120" s="13"/>
      <c r="F120" s="14" t="s">
        <v>22</v>
      </c>
      <c r="G120" s="15">
        <v>1</v>
      </c>
      <c r="H120" s="15"/>
      <c r="I120" s="15"/>
      <c r="J120" s="16"/>
      <c r="K120" s="16"/>
      <c r="L120" s="16"/>
      <c r="M120" s="16"/>
      <c r="N120" s="18"/>
    </row>
    <row r="121" spans="1:14" outlineLevel="1">
      <c r="A121" s="20">
        <f>SUBTOTAL(3,$F$7:F121)</f>
        <v>113</v>
      </c>
      <c r="B121" s="18" t="s">
        <v>139</v>
      </c>
      <c r="C121" s="13"/>
      <c r="D121" s="13" t="s">
        <v>62</v>
      </c>
      <c r="E121" s="13"/>
      <c r="F121" s="14" t="s">
        <v>22</v>
      </c>
      <c r="G121" s="15">
        <v>2</v>
      </c>
      <c r="H121" s="15"/>
      <c r="I121" s="15"/>
      <c r="J121" s="16"/>
      <c r="K121" s="16"/>
      <c r="L121" s="16"/>
      <c r="M121" s="16"/>
      <c r="N121" s="18"/>
    </row>
    <row r="122" spans="1:14" outlineLevel="1">
      <c r="A122" s="20">
        <f>SUBTOTAL(3,$F$7:F122)</f>
        <v>114</v>
      </c>
      <c r="B122" s="18" t="s">
        <v>140</v>
      </c>
      <c r="C122" s="13"/>
      <c r="D122" s="13" t="s">
        <v>62</v>
      </c>
      <c r="E122" s="13"/>
      <c r="F122" s="14" t="s">
        <v>22</v>
      </c>
      <c r="G122" s="15">
        <v>48</v>
      </c>
      <c r="H122" s="15"/>
      <c r="I122" s="15"/>
      <c r="J122" s="16"/>
      <c r="K122" s="16"/>
      <c r="L122" s="16"/>
      <c r="M122" s="16"/>
      <c r="N122" s="18"/>
    </row>
    <row r="123" spans="1:14" outlineLevel="1">
      <c r="A123" s="20">
        <f>SUBTOTAL(3,$F$7:F123)</f>
        <v>115</v>
      </c>
      <c r="B123" s="18" t="s">
        <v>141</v>
      </c>
      <c r="C123" s="13"/>
      <c r="D123" s="13" t="s">
        <v>62</v>
      </c>
      <c r="E123" s="13"/>
      <c r="F123" s="14" t="s">
        <v>22</v>
      </c>
      <c r="G123" s="15">
        <v>2</v>
      </c>
      <c r="H123" s="15"/>
      <c r="I123" s="15"/>
      <c r="J123" s="16"/>
      <c r="K123" s="16"/>
      <c r="L123" s="16"/>
      <c r="M123" s="16"/>
      <c r="N123" s="18"/>
    </row>
    <row r="124" spans="1:14" outlineLevel="1">
      <c r="A124" s="20">
        <f>SUBTOTAL(3,$F$7:F124)</f>
        <v>116</v>
      </c>
      <c r="B124" s="18" t="s">
        <v>142</v>
      </c>
      <c r="C124" s="13"/>
      <c r="D124" s="13" t="s">
        <v>62</v>
      </c>
      <c r="E124" s="13"/>
      <c r="F124" s="14" t="s">
        <v>22</v>
      </c>
      <c r="G124" s="15">
        <v>1</v>
      </c>
      <c r="H124" s="15"/>
      <c r="I124" s="15"/>
      <c r="J124" s="16"/>
      <c r="K124" s="16"/>
      <c r="L124" s="16"/>
      <c r="M124" s="16"/>
      <c r="N124" s="18"/>
    </row>
    <row r="125" spans="1:14" outlineLevel="1">
      <c r="A125" s="20">
        <f>SUBTOTAL(3,$F$7:F125)</f>
        <v>117</v>
      </c>
      <c r="B125" s="18" t="s">
        <v>143</v>
      </c>
      <c r="C125" s="13"/>
      <c r="D125" s="13" t="s">
        <v>62</v>
      </c>
      <c r="E125" s="13"/>
      <c r="F125" s="14" t="s">
        <v>22</v>
      </c>
      <c r="G125" s="15">
        <v>2</v>
      </c>
      <c r="H125" s="15"/>
      <c r="I125" s="15"/>
      <c r="J125" s="16"/>
      <c r="K125" s="16"/>
      <c r="L125" s="16"/>
      <c r="M125" s="16"/>
      <c r="N125" s="18"/>
    </row>
    <row r="126" spans="1:14" outlineLevel="1">
      <c r="A126" s="20">
        <f>SUBTOTAL(3,$F$7:F126)</f>
        <v>118</v>
      </c>
      <c r="B126" s="18" t="s">
        <v>142</v>
      </c>
      <c r="C126" s="13"/>
      <c r="D126" s="13" t="s">
        <v>62</v>
      </c>
      <c r="E126" s="13"/>
      <c r="F126" s="14" t="s">
        <v>22</v>
      </c>
      <c r="G126" s="15">
        <v>1</v>
      </c>
      <c r="H126" s="15"/>
      <c r="I126" s="15"/>
      <c r="J126" s="16"/>
      <c r="K126" s="16"/>
      <c r="L126" s="16"/>
      <c r="M126" s="16"/>
      <c r="N126" s="18"/>
    </row>
    <row r="127" spans="1:14" outlineLevel="1">
      <c r="A127" s="20">
        <f>SUBTOTAL(3,$F$7:F127)</f>
        <v>119</v>
      </c>
      <c r="B127" s="18" t="s">
        <v>142</v>
      </c>
      <c r="C127" s="13"/>
      <c r="D127" s="13" t="s">
        <v>62</v>
      </c>
      <c r="E127" s="13"/>
      <c r="F127" s="14" t="s">
        <v>22</v>
      </c>
      <c r="G127" s="15">
        <v>2</v>
      </c>
      <c r="H127" s="15"/>
      <c r="I127" s="15"/>
      <c r="J127" s="16"/>
      <c r="K127" s="16"/>
      <c r="L127" s="16"/>
      <c r="M127" s="16"/>
      <c r="N127" s="18"/>
    </row>
    <row r="128" spans="1:14" outlineLevel="1">
      <c r="A128" s="20">
        <f>SUBTOTAL(3,$F$7:F128)</f>
        <v>120</v>
      </c>
      <c r="B128" s="18" t="s">
        <v>144</v>
      </c>
      <c r="C128" s="13"/>
      <c r="D128" s="13" t="s">
        <v>62</v>
      </c>
      <c r="E128" s="13"/>
      <c r="F128" s="14" t="s">
        <v>22</v>
      </c>
      <c r="G128" s="15">
        <v>35</v>
      </c>
      <c r="H128" s="15"/>
      <c r="I128" s="15"/>
      <c r="J128" s="16"/>
      <c r="K128" s="16"/>
      <c r="L128" s="16"/>
      <c r="M128" s="16"/>
      <c r="N128" s="18"/>
    </row>
    <row r="129" spans="1:14" outlineLevel="1">
      <c r="A129" s="20">
        <f>SUBTOTAL(3,$F$7:F129)</f>
        <v>121</v>
      </c>
      <c r="B129" s="18" t="s">
        <v>145</v>
      </c>
      <c r="C129" s="13"/>
      <c r="D129" s="13" t="s">
        <v>62</v>
      </c>
      <c r="E129" s="13"/>
      <c r="F129" s="14" t="s">
        <v>22</v>
      </c>
      <c r="G129" s="15">
        <v>3</v>
      </c>
      <c r="H129" s="15"/>
      <c r="I129" s="15"/>
      <c r="J129" s="16"/>
      <c r="K129" s="16"/>
      <c r="L129" s="16"/>
      <c r="M129" s="16"/>
      <c r="N129" s="18"/>
    </row>
    <row r="130" spans="1:14" outlineLevel="1">
      <c r="A130" s="20">
        <f>SUBTOTAL(3,$F$7:F130)</f>
        <v>122</v>
      </c>
      <c r="B130" s="18" t="s">
        <v>146</v>
      </c>
      <c r="C130" s="13"/>
      <c r="D130" s="13" t="s">
        <v>62</v>
      </c>
      <c r="E130" s="13"/>
      <c r="F130" s="14" t="s">
        <v>22</v>
      </c>
      <c r="G130" s="15">
        <v>4</v>
      </c>
      <c r="H130" s="15"/>
      <c r="I130" s="15"/>
      <c r="J130" s="16"/>
      <c r="K130" s="16"/>
      <c r="L130" s="16"/>
      <c r="M130" s="16"/>
      <c r="N130" s="18"/>
    </row>
    <row r="131" spans="1:14" outlineLevel="1">
      <c r="A131" s="20">
        <f>SUBTOTAL(3,$F$7:F131)</f>
        <v>123</v>
      </c>
      <c r="B131" s="18" t="s">
        <v>147</v>
      </c>
      <c r="C131" s="13"/>
      <c r="D131" s="13" t="s">
        <v>62</v>
      </c>
      <c r="E131" s="13"/>
      <c r="F131" s="14" t="s">
        <v>22</v>
      </c>
      <c r="G131" s="15">
        <v>1</v>
      </c>
      <c r="H131" s="15"/>
      <c r="I131" s="15"/>
      <c r="J131" s="16"/>
      <c r="K131" s="16"/>
      <c r="L131" s="16"/>
      <c r="M131" s="16"/>
      <c r="N131" s="18"/>
    </row>
    <row r="132" spans="1:14" outlineLevel="1">
      <c r="A132" s="20">
        <f>SUBTOTAL(3,$F$7:F132)</f>
        <v>124</v>
      </c>
      <c r="B132" s="18" t="s">
        <v>148</v>
      </c>
      <c r="C132" s="13"/>
      <c r="D132" s="13" t="s">
        <v>62</v>
      </c>
      <c r="E132" s="13"/>
      <c r="F132" s="14" t="s">
        <v>149</v>
      </c>
      <c r="G132" s="15">
        <v>6</v>
      </c>
      <c r="H132" s="15"/>
      <c r="I132" s="15"/>
      <c r="J132" s="16"/>
      <c r="K132" s="16"/>
      <c r="L132" s="16"/>
      <c r="M132" s="16"/>
      <c r="N132" s="18"/>
    </row>
    <row r="133" spans="1:14" outlineLevel="1">
      <c r="A133" s="20">
        <f>SUBTOTAL(3,$F$7:F133)</f>
        <v>125</v>
      </c>
      <c r="B133" s="18" t="s">
        <v>150</v>
      </c>
      <c r="C133" s="13"/>
      <c r="D133" s="13" t="s">
        <v>62</v>
      </c>
      <c r="E133" s="13"/>
      <c r="F133" s="14" t="s">
        <v>149</v>
      </c>
      <c r="G133" s="15">
        <v>15</v>
      </c>
      <c r="H133" s="15"/>
      <c r="I133" s="15"/>
      <c r="J133" s="16"/>
      <c r="K133" s="16"/>
      <c r="L133" s="16"/>
      <c r="M133" s="16"/>
      <c r="N133" s="18"/>
    </row>
    <row r="134" spans="1:14" outlineLevel="1">
      <c r="A134" s="20">
        <f>SUBTOTAL(3,$F$7:F134)</f>
        <v>126</v>
      </c>
      <c r="B134" s="18" t="s">
        <v>151</v>
      </c>
      <c r="C134" s="13"/>
      <c r="D134" s="13" t="s">
        <v>62</v>
      </c>
      <c r="E134" s="13"/>
      <c r="F134" s="14" t="s">
        <v>149</v>
      </c>
      <c r="G134" s="15">
        <v>6</v>
      </c>
      <c r="H134" s="15"/>
      <c r="I134" s="15"/>
      <c r="J134" s="16"/>
      <c r="K134" s="16"/>
      <c r="L134" s="16"/>
      <c r="M134" s="16"/>
      <c r="N134" s="18"/>
    </row>
    <row r="135" spans="1:14" outlineLevel="1">
      <c r="A135" s="20">
        <f>SUBTOTAL(3,$F$7:F135)</f>
        <v>127</v>
      </c>
      <c r="B135" s="18" t="s">
        <v>152</v>
      </c>
      <c r="C135" s="13"/>
      <c r="D135" s="13" t="s">
        <v>62</v>
      </c>
      <c r="E135" s="13"/>
      <c r="F135" s="14" t="s">
        <v>149</v>
      </c>
      <c r="G135" s="15">
        <v>8</v>
      </c>
      <c r="H135" s="15"/>
      <c r="I135" s="15"/>
      <c r="J135" s="16"/>
      <c r="K135" s="16"/>
      <c r="L135" s="16"/>
      <c r="M135" s="16"/>
      <c r="N135" s="18"/>
    </row>
    <row r="136" spans="1:14" outlineLevel="1">
      <c r="A136" s="20">
        <f>SUBTOTAL(3,$F$7:F136)</f>
        <v>128</v>
      </c>
      <c r="B136" s="18" t="s">
        <v>153</v>
      </c>
      <c r="C136" s="13"/>
      <c r="D136" s="13" t="s">
        <v>62</v>
      </c>
      <c r="E136" s="13"/>
      <c r="F136" s="14" t="s">
        <v>149</v>
      </c>
      <c r="G136" s="15">
        <v>2</v>
      </c>
      <c r="H136" s="15"/>
      <c r="I136" s="15"/>
      <c r="J136" s="16"/>
      <c r="K136" s="16"/>
      <c r="L136" s="16"/>
      <c r="M136" s="16"/>
      <c r="N136" s="18"/>
    </row>
    <row r="137" spans="1:14" outlineLevel="1">
      <c r="A137" s="20">
        <f>SUBTOTAL(3,$F$7:F137)</f>
        <v>129</v>
      </c>
      <c r="B137" s="18" t="s">
        <v>154</v>
      </c>
      <c r="C137" s="13"/>
      <c r="D137" s="13" t="s">
        <v>62</v>
      </c>
      <c r="E137" s="13"/>
      <c r="F137" s="14" t="s">
        <v>149</v>
      </c>
      <c r="G137" s="15">
        <v>1</v>
      </c>
      <c r="H137" s="15"/>
      <c r="I137" s="15"/>
      <c r="J137" s="16"/>
      <c r="K137" s="16"/>
      <c r="L137" s="16"/>
      <c r="M137" s="16"/>
      <c r="N137" s="18"/>
    </row>
    <row r="138" spans="1:14" outlineLevel="1">
      <c r="A138" s="20">
        <f>SUBTOTAL(3,$F$7:F138)</f>
        <v>130</v>
      </c>
      <c r="B138" s="18" t="s">
        <v>155</v>
      </c>
      <c r="C138" s="13"/>
      <c r="D138" s="13" t="s">
        <v>62</v>
      </c>
      <c r="E138" s="13"/>
      <c r="F138" s="14" t="s">
        <v>149</v>
      </c>
      <c r="G138" s="15">
        <v>2</v>
      </c>
      <c r="H138" s="15"/>
      <c r="I138" s="15"/>
      <c r="J138" s="16"/>
      <c r="K138" s="16"/>
      <c r="L138" s="16"/>
      <c r="M138" s="16"/>
      <c r="N138" s="18"/>
    </row>
    <row r="139" spans="1:14" outlineLevel="1">
      <c r="A139" s="20">
        <f>SUBTOTAL(3,$F$7:F139)</f>
        <v>131</v>
      </c>
      <c r="B139" s="18" t="s">
        <v>107</v>
      </c>
      <c r="C139" s="13"/>
      <c r="D139" s="13" t="s">
        <v>62</v>
      </c>
      <c r="E139" s="13"/>
      <c r="F139" s="14" t="s">
        <v>149</v>
      </c>
      <c r="G139" s="15">
        <v>2</v>
      </c>
      <c r="H139" s="15"/>
      <c r="I139" s="15"/>
      <c r="J139" s="16"/>
      <c r="K139" s="16"/>
      <c r="L139" s="16"/>
      <c r="M139" s="16"/>
      <c r="N139" s="18"/>
    </row>
    <row r="140" spans="1:14" outlineLevel="1">
      <c r="A140" s="20">
        <f>SUBTOTAL(3,$F$7:F140)</f>
        <v>132</v>
      </c>
      <c r="B140" s="18" t="s">
        <v>155</v>
      </c>
      <c r="C140" s="13"/>
      <c r="D140" s="13" t="s">
        <v>62</v>
      </c>
      <c r="E140" s="13"/>
      <c r="F140" s="14" t="s">
        <v>149</v>
      </c>
      <c r="G140" s="15">
        <v>5</v>
      </c>
      <c r="H140" s="15"/>
      <c r="I140" s="15"/>
      <c r="J140" s="16"/>
      <c r="K140" s="16"/>
      <c r="L140" s="16"/>
      <c r="M140" s="16"/>
      <c r="N140" s="18"/>
    </row>
    <row r="141" spans="1:14" outlineLevel="1">
      <c r="A141" s="20">
        <f>SUBTOTAL(3,$F$7:F141)</f>
        <v>133</v>
      </c>
      <c r="B141" s="18" t="s">
        <v>156</v>
      </c>
      <c r="C141" s="13"/>
      <c r="D141" s="13" t="s">
        <v>62</v>
      </c>
      <c r="E141" s="13"/>
      <c r="F141" s="14" t="s">
        <v>149</v>
      </c>
      <c r="G141" s="15">
        <v>1</v>
      </c>
      <c r="H141" s="15"/>
      <c r="I141" s="15"/>
      <c r="J141" s="16"/>
      <c r="K141" s="16"/>
      <c r="L141" s="16"/>
      <c r="M141" s="16"/>
      <c r="N141" s="18"/>
    </row>
    <row r="142" spans="1:14" outlineLevel="1">
      <c r="A142" s="11" t="s">
        <v>157</v>
      </c>
      <c r="B142" s="19" t="s">
        <v>158</v>
      </c>
      <c r="C142" s="13"/>
      <c r="D142" s="13"/>
      <c r="E142" s="13"/>
      <c r="F142" s="22"/>
      <c r="G142" s="15"/>
      <c r="H142" s="15"/>
      <c r="I142" s="15"/>
      <c r="J142" s="16"/>
      <c r="K142" s="16"/>
      <c r="L142" s="16"/>
      <c r="M142" s="16"/>
      <c r="N142" s="18"/>
    </row>
    <row r="143" spans="1:14" outlineLevel="1">
      <c r="A143" s="20">
        <f>SUBTOTAL(3,$F$7:F143)</f>
        <v>134</v>
      </c>
      <c r="B143" s="18" t="s">
        <v>159</v>
      </c>
      <c r="C143" s="13"/>
      <c r="D143" s="13" t="s">
        <v>62</v>
      </c>
      <c r="E143" s="13"/>
      <c r="F143" s="14" t="s">
        <v>22</v>
      </c>
      <c r="G143" s="15">
        <v>62</v>
      </c>
      <c r="H143" s="15"/>
      <c r="I143" s="15"/>
      <c r="J143" s="16"/>
      <c r="K143" s="16"/>
      <c r="L143" s="16"/>
      <c r="M143" s="16"/>
      <c r="N143" s="18"/>
    </row>
    <row r="144" spans="1:14" outlineLevel="1">
      <c r="A144" s="20">
        <f>SUBTOTAL(3,$F$7:F144)</f>
        <v>135</v>
      </c>
      <c r="B144" s="18" t="s">
        <v>160</v>
      </c>
      <c r="C144" s="13"/>
      <c r="D144" s="13" t="s">
        <v>62</v>
      </c>
      <c r="E144" s="13"/>
      <c r="F144" s="14" t="s">
        <v>22</v>
      </c>
      <c r="G144" s="15">
        <v>2</v>
      </c>
      <c r="H144" s="15"/>
      <c r="I144" s="15"/>
      <c r="J144" s="16"/>
      <c r="K144" s="16"/>
      <c r="L144" s="16"/>
      <c r="M144" s="16"/>
      <c r="N144" s="18"/>
    </row>
    <row r="145" spans="1:14" outlineLevel="1">
      <c r="A145" s="20">
        <f>SUBTOTAL(3,$F$7:F145)</f>
        <v>136</v>
      </c>
      <c r="B145" s="18" t="s">
        <v>161</v>
      </c>
      <c r="C145" s="13"/>
      <c r="D145" s="13" t="s">
        <v>62</v>
      </c>
      <c r="E145" s="13"/>
      <c r="F145" s="14" t="s">
        <v>22</v>
      </c>
      <c r="G145" s="15">
        <v>2</v>
      </c>
      <c r="H145" s="15"/>
      <c r="I145" s="15"/>
      <c r="J145" s="16"/>
      <c r="K145" s="16"/>
      <c r="L145" s="16"/>
      <c r="M145" s="16"/>
      <c r="N145" s="18"/>
    </row>
    <row r="146" spans="1:14" outlineLevel="1">
      <c r="A146" s="20">
        <f>SUBTOTAL(3,$F$7:F146)</f>
        <v>137</v>
      </c>
      <c r="B146" s="18" t="s">
        <v>162</v>
      </c>
      <c r="C146" s="13"/>
      <c r="D146" s="13" t="s">
        <v>62</v>
      </c>
      <c r="E146" s="13"/>
      <c r="F146" s="14" t="s">
        <v>22</v>
      </c>
      <c r="G146" s="15">
        <v>4</v>
      </c>
      <c r="H146" s="15"/>
      <c r="I146" s="15"/>
      <c r="J146" s="16"/>
      <c r="K146" s="16"/>
      <c r="L146" s="16"/>
      <c r="M146" s="16"/>
      <c r="N146" s="18"/>
    </row>
    <row r="147" spans="1:14" outlineLevel="1">
      <c r="A147" s="20">
        <f>SUBTOTAL(3,$F$7:F147)</f>
        <v>138</v>
      </c>
      <c r="B147" s="18" t="s">
        <v>163</v>
      </c>
      <c r="C147" s="13"/>
      <c r="D147" s="13" t="s">
        <v>62</v>
      </c>
      <c r="E147" s="13"/>
      <c r="F147" s="14" t="s">
        <v>22</v>
      </c>
      <c r="G147" s="15">
        <v>2</v>
      </c>
      <c r="H147" s="15"/>
      <c r="I147" s="15"/>
      <c r="J147" s="16"/>
      <c r="K147" s="16"/>
      <c r="L147" s="16"/>
      <c r="M147" s="16"/>
      <c r="N147" s="18"/>
    </row>
    <row r="148" spans="1:14" outlineLevel="1">
      <c r="A148" s="20">
        <f>SUBTOTAL(3,$F$7:F148)</f>
        <v>139</v>
      </c>
      <c r="B148" s="18" t="s">
        <v>160</v>
      </c>
      <c r="C148" s="13"/>
      <c r="D148" s="13" t="s">
        <v>62</v>
      </c>
      <c r="E148" s="13"/>
      <c r="F148" s="14" t="s">
        <v>22</v>
      </c>
      <c r="G148" s="15">
        <v>1</v>
      </c>
      <c r="H148" s="15"/>
      <c r="I148" s="15"/>
      <c r="J148" s="16"/>
      <c r="K148" s="16"/>
      <c r="L148" s="16"/>
      <c r="M148" s="16"/>
      <c r="N148" s="18"/>
    </row>
    <row r="149" spans="1:14" outlineLevel="1">
      <c r="A149" s="20">
        <f>SUBTOTAL(3,$F$7:F149)</f>
        <v>140</v>
      </c>
      <c r="B149" s="18" t="s">
        <v>164</v>
      </c>
      <c r="C149" s="13"/>
      <c r="D149" s="13" t="s">
        <v>62</v>
      </c>
      <c r="E149" s="13"/>
      <c r="F149" s="14" t="s">
        <v>22</v>
      </c>
      <c r="G149" s="15">
        <v>1</v>
      </c>
      <c r="H149" s="15"/>
      <c r="I149" s="15"/>
      <c r="J149" s="16"/>
      <c r="K149" s="16"/>
      <c r="L149" s="16"/>
      <c r="M149" s="16"/>
      <c r="N149" s="18"/>
    </row>
    <row r="150" spans="1:14" outlineLevel="1">
      <c r="A150" s="20">
        <f>SUBTOTAL(3,$F$7:F150)</f>
        <v>141</v>
      </c>
      <c r="B150" s="18" t="s">
        <v>165</v>
      </c>
      <c r="C150" s="13"/>
      <c r="D150" s="13" t="s">
        <v>62</v>
      </c>
      <c r="E150" s="13"/>
      <c r="F150" s="14" t="s">
        <v>22</v>
      </c>
      <c r="G150" s="15">
        <v>1</v>
      </c>
      <c r="H150" s="15"/>
      <c r="I150" s="15"/>
      <c r="J150" s="16"/>
      <c r="K150" s="16"/>
      <c r="L150" s="16"/>
      <c r="M150" s="16"/>
      <c r="N150" s="18"/>
    </row>
    <row r="151" spans="1:14" outlineLevel="1">
      <c r="A151" s="20">
        <f>SUBTOTAL(3,$F$7:F151)</f>
        <v>142</v>
      </c>
      <c r="B151" s="18" t="s">
        <v>166</v>
      </c>
      <c r="C151" s="13"/>
      <c r="D151" s="13" t="s">
        <v>62</v>
      </c>
      <c r="E151" s="13"/>
      <c r="F151" s="14" t="s">
        <v>22</v>
      </c>
      <c r="G151" s="15">
        <v>1</v>
      </c>
      <c r="H151" s="15"/>
      <c r="I151" s="15"/>
      <c r="J151" s="16"/>
      <c r="K151" s="16"/>
      <c r="L151" s="16"/>
      <c r="M151" s="16"/>
      <c r="N151" s="18"/>
    </row>
    <row r="152" spans="1:14" outlineLevel="1">
      <c r="A152" s="20">
        <f>SUBTOTAL(3,$F$7:F152)</f>
        <v>143</v>
      </c>
      <c r="B152" s="18" t="s">
        <v>167</v>
      </c>
      <c r="C152" s="13"/>
      <c r="D152" s="13" t="s">
        <v>62</v>
      </c>
      <c r="E152" s="13"/>
      <c r="F152" s="14" t="s">
        <v>22</v>
      </c>
      <c r="G152" s="15">
        <v>1</v>
      </c>
      <c r="H152" s="15"/>
      <c r="I152" s="15"/>
      <c r="J152" s="16"/>
      <c r="K152" s="16"/>
      <c r="L152" s="16"/>
      <c r="M152" s="16"/>
      <c r="N152" s="18"/>
    </row>
    <row r="153" spans="1:14" outlineLevel="1">
      <c r="A153" s="20">
        <f>SUBTOTAL(3,$F$7:F153)</f>
        <v>144</v>
      </c>
      <c r="B153" s="18" t="s">
        <v>161</v>
      </c>
      <c r="C153" s="13"/>
      <c r="D153" s="13" t="s">
        <v>62</v>
      </c>
      <c r="E153" s="13"/>
      <c r="F153" s="14" t="s">
        <v>149</v>
      </c>
      <c r="G153" s="15">
        <v>9</v>
      </c>
      <c r="H153" s="15"/>
      <c r="I153" s="15"/>
      <c r="J153" s="16"/>
      <c r="K153" s="16"/>
      <c r="L153" s="16"/>
      <c r="M153" s="16"/>
      <c r="N153" s="18"/>
    </row>
    <row r="154" spans="1:14" outlineLevel="1">
      <c r="A154" s="20">
        <f>SUBTOTAL(3,$F$7:F154)</f>
        <v>145</v>
      </c>
      <c r="B154" s="18" t="s">
        <v>163</v>
      </c>
      <c r="C154" s="13"/>
      <c r="D154" s="13" t="s">
        <v>62</v>
      </c>
      <c r="E154" s="13"/>
      <c r="F154" s="14" t="s">
        <v>149</v>
      </c>
      <c r="G154" s="15">
        <v>7</v>
      </c>
      <c r="H154" s="15"/>
      <c r="I154" s="15"/>
      <c r="J154" s="16"/>
      <c r="K154" s="16"/>
      <c r="L154" s="16"/>
      <c r="M154" s="16"/>
      <c r="N154" s="18"/>
    </row>
    <row r="155" spans="1:14" outlineLevel="1">
      <c r="A155" s="20">
        <f>SUBTOTAL(3,$F$7:F155)</f>
        <v>146</v>
      </c>
      <c r="B155" s="18" t="s">
        <v>168</v>
      </c>
      <c r="C155" s="13"/>
      <c r="D155" s="13" t="s">
        <v>62</v>
      </c>
      <c r="E155" s="13"/>
      <c r="F155" s="14" t="s">
        <v>149</v>
      </c>
      <c r="G155" s="15">
        <v>7</v>
      </c>
      <c r="H155" s="15"/>
      <c r="I155" s="15"/>
      <c r="J155" s="16"/>
      <c r="K155" s="16"/>
      <c r="L155" s="16"/>
      <c r="M155" s="16"/>
      <c r="N155" s="18"/>
    </row>
    <row r="156" spans="1:14" outlineLevel="1">
      <c r="A156" s="20">
        <f>SUBTOTAL(3,$F$7:F156)</f>
        <v>147</v>
      </c>
      <c r="B156" s="18" t="s">
        <v>169</v>
      </c>
      <c r="C156" s="13"/>
      <c r="D156" s="13" t="s">
        <v>62</v>
      </c>
      <c r="E156" s="13"/>
      <c r="F156" s="14" t="s">
        <v>149</v>
      </c>
      <c r="G156" s="15">
        <v>5</v>
      </c>
      <c r="H156" s="15"/>
      <c r="I156" s="15"/>
      <c r="J156" s="16"/>
      <c r="K156" s="16"/>
      <c r="L156" s="16"/>
      <c r="M156" s="16"/>
      <c r="N156" s="18"/>
    </row>
    <row r="157" spans="1:14" ht="26.45" customHeight="1" outlineLevel="1">
      <c r="A157" s="20">
        <f>SUBTOTAL(3,$F$7:F157)</f>
        <v>148</v>
      </c>
      <c r="B157" s="18" t="s">
        <v>170</v>
      </c>
      <c r="C157" s="13"/>
      <c r="D157" s="13" t="s">
        <v>27</v>
      </c>
      <c r="E157" s="13"/>
      <c r="F157" s="14" t="s">
        <v>22</v>
      </c>
      <c r="G157" s="15">
        <v>2</v>
      </c>
      <c r="H157" s="15"/>
      <c r="I157" s="15"/>
      <c r="J157" s="16"/>
      <c r="K157" s="16"/>
      <c r="L157" s="16"/>
      <c r="M157" s="16"/>
      <c r="N157" s="18"/>
    </row>
    <row r="158" spans="1:14" ht="26.45" customHeight="1" outlineLevel="1">
      <c r="A158" s="20">
        <f>SUBTOTAL(3,$F$7:F158)</f>
        <v>149</v>
      </c>
      <c r="B158" s="18" t="s">
        <v>171</v>
      </c>
      <c r="C158" s="13"/>
      <c r="D158" s="13" t="s">
        <v>27</v>
      </c>
      <c r="E158" s="13"/>
      <c r="F158" s="14" t="s">
        <v>22</v>
      </c>
      <c r="G158" s="15">
        <v>2</v>
      </c>
      <c r="H158" s="15"/>
      <c r="I158" s="15"/>
      <c r="J158" s="16"/>
      <c r="K158" s="16"/>
      <c r="L158" s="16"/>
      <c r="M158" s="16"/>
      <c r="N158" s="18"/>
    </row>
    <row r="159" spans="1:14" ht="26.45" customHeight="1" outlineLevel="1">
      <c r="A159" s="20">
        <f>SUBTOTAL(3,$F$7:F159)</f>
        <v>150</v>
      </c>
      <c r="B159" s="18" t="s">
        <v>172</v>
      </c>
      <c r="C159" s="13"/>
      <c r="D159" s="13" t="s">
        <v>27</v>
      </c>
      <c r="E159" s="13"/>
      <c r="F159" s="14" t="s">
        <v>22</v>
      </c>
      <c r="G159" s="15">
        <v>1</v>
      </c>
      <c r="H159" s="15"/>
      <c r="I159" s="15"/>
      <c r="J159" s="16"/>
      <c r="K159" s="16"/>
      <c r="L159" s="16"/>
      <c r="M159" s="16"/>
      <c r="N159" s="18"/>
    </row>
    <row r="160" spans="1:14" ht="26.45" customHeight="1" outlineLevel="1">
      <c r="A160" s="20">
        <f>SUBTOTAL(3,$F$7:F160)</f>
        <v>151</v>
      </c>
      <c r="B160" s="18" t="s">
        <v>173</v>
      </c>
      <c r="C160" s="13"/>
      <c r="D160" s="13" t="s">
        <v>27</v>
      </c>
      <c r="E160" s="13"/>
      <c r="F160" s="14" t="s">
        <v>22</v>
      </c>
      <c r="G160" s="15">
        <v>1</v>
      </c>
      <c r="H160" s="15"/>
      <c r="I160" s="15"/>
      <c r="J160" s="16"/>
      <c r="K160" s="16"/>
      <c r="L160" s="16"/>
      <c r="M160" s="16"/>
      <c r="N160" s="18"/>
    </row>
    <row r="161" spans="1:14" ht="26.45" customHeight="1" outlineLevel="1">
      <c r="A161" s="20">
        <f>SUBTOTAL(3,$F$7:F161)</f>
        <v>152</v>
      </c>
      <c r="B161" s="18" t="s">
        <v>174</v>
      </c>
      <c r="C161" s="13"/>
      <c r="D161" s="13" t="s">
        <v>27</v>
      </c>
      <c r="E161" s="13"/>
      <c r="F161" s="14" t="s">
        <v>22</v>
      </c>
      <c r="G161" s="15">
        <v>1</v>
      </c>
      <c r="H161" s="15"/>
      <c r="I161" s="15"/>
      <c r="J161" s="16"/>
      <c r="K161" s="16"/>
      <c r="L161" s="16"/>
      <c r="M161" s="16"/>
      <c r="N161" s="18"/>
    </row>
    <row r="162" spans="1:14" outlineLevel="1">
      <c r="A162" s="20">
        <f>SUBTOTAL(3,$F$7:F162)</f>
        <v>153</v>
      </c>
      <c r="B162" s="18" t="s">
        <v>175</v>
      </c>
      <c r="C162" s="21" t="s">
        <v>35</v>
      </c>
      <c r="D162" s="13" t="s">
        <v>62</v>
      </c>
      <c r="E162" s="21" t="s">
        <v>21</v>
      </c>
      <c r="F162" s="14" t="s">
        <v>22</v>
      </c>
      <c r="G162" s="15">
        <v>61</v>
      </c>
      <c r="H162" s="15"/>
      <c r="I162" s="15"/>
      <c r="J162" s="16"/>
      <c r="K162" s="16"/>
      <c r="L162" s="16"/>
      <c r="M162" s="16"/>
      <c r="N162" s="18"/>
    </row>
    <row r="163" spans="1:14" outlineLevel="1">
      <c r="A163" s="20">
        <f>SUBTOTAL(3,$F$7:F163)</f>
        <v>154</v>
      </c>
      <c r="B163" s="18" t="s">
        <v>176</v>
      </c>
      <c r="C163" s="21" t="s">
        <v>35</v>
      </c>
      <c r="D163" s="13" t="s">
        <v>62</v>
      </c>
      <c r="E163" s="21" t="s">
        <v>21</v>
      </c>
      <c r="F163" s="14" t="s">
        <v>22</v>
      </c>
      <c r="G163" s="15">
        <v>78</v>
      </c>
      <c r="H163" s="15"/>
      <c r="I163" s="15"/>
      <c r="J163" s="16"/>
      <c r="K163" s="16"/>
      <c r="L163" s="16"/>
      <c r="M163" s="16"/>
      <c r="N163" s="18"/>
    </row>
    <row r="164" spans="1:14" outlineLevel="1">
      <c r="A164" s="20">
        <f>SUBTOTAL(3,$F$7:F164)</f>
        <v>155</v>
      </c>
      <c r="B164" s="18" t="s">
        <v>132</v>
      </c>
      <c r="C164" s="13"/>
      <c r="D164" s="13" t="s">
        <v>62</v>
      </c>
      <c r="E164" s="13"/>
      <c r="F164" s="14" t="s">
        <v>22</v>
      </c>
      <c r="G164" s="15">
        <v>78</v>
      </c>
      <c r="H164" s="15"/>
      <c r="I164" s="15"/>
      <c r="J164" s="16"/>
      <c r="K164" s="16"/>
      <c r="L164" s="16"/>
      <c r="M164" s="16"/>
      <c r="N164" s="18"/>
    </row>
    <row r="165" spans="1:14" outlineLevel="1">
      <c r="A165" s="20">
        <f>SUBTOTAL(3,$F$7:F165)</f>
        <v>156</v>
      </c>
      <c r="B165" s="18" t="s">
        <v>133</v>
      </c>
      <c r="C165" s="13"/>
      <c r="D165" s="13" t="s">
        <v>62</v>
      </c>
      <c r="E165" s="13"/>
      <c r="F165" s="14" t="s">
        <v>22</v>
      </c>
      <c r="G165" s="15">
        <v>78</v>
      </c>
      <c r="H165" s="15"/>
      <c r="I165" s="15"/>
      <c r="J165" s="16"/>
      <c r="K165" s="16"/>
      <c r="L165" s="16"/>
      <c r="M165" s="16"/>
      <c r="N165" s="18"/>
    </row>
    <row r="166" spans="1:14" outlineLevel="1">
      <c r="A166" s="20">
        <f>SUBTOTAL(3,$F$7:F166)</f>
        <v>157</v>
      </c>
      <c r="B166" s="18" t="s">
        <v>177</v>
      </c>
      <c r="C166" s="21" t="s">
        <v>19</v>
      </c>
      <c r="D166" s="13" t="s">
        <v>62</v>
      </c>
      <c r="E166" s="21" t="s">
        <v>21</v>
      </c>
      <c r="F166" s="14" t="s">
        <v>22</v>
      </c>
      <c r="G166" s="15">
        <v>38</v>
      </c>
      <c r="H166" s="15"/>
      <c r="I166" s="15"/>
      <c r="J166" s="16"/>
      <c r="K166" s="16"/>
      <c r="L166" s="16"/>
      <c r="M166" s="16"/>
      <c r="N166" s="18"/>
    </row>
    <row r="167" spans="1:14" outlineLevel="1">
      <c r="A167" s="20">
        <f>SUBTOTAL(3,$F$7:F167)</f>
        <v>158</v>
      </c>
      <c r="B167" s="18" t="s">
        <v>178</v>
      </c>
      <c r="C167" s="21" t="s">
        <v>19</v>
      </c>
      <c r="D167" s="13" t="s">
        <v>62</v>
      </c>
      <c r="E167" s="21" t="s">
        <v>21</v>
      </c>
      <c r="F167" s="14" t="s">
        <v>22</v>
      </c>
      <c r="G167" s="15">
        <v>20</v>
      </c>
      <c r="H167" s="15"/>
      <c r="I167" s="15"/>
      <c r="J167" s="16"/>
      <c r="K167" s="16"/>
      <c r="L167" s="16"/>
      <c r="M167" s="16"/>
      <c r="N167" s="18"/>
    </row>
    <row r="168" spans="1:14" outlineLevel="1">
      <c r="A168" s="20">
        <f>SUBTOTAL(3,$F$7:F168)</f>
        <v>159</v>
      </c>
      <c r="B168" s="18" t="s">
        <v>179</v>
      </c>
      <c r="C168" s="21" t="s">
        <v>19</v>
      </c>
      <c r="D168" s="13" t="s">
        <v>62</v>
      </c>
      <c r="E168" s="21" t="s">
        <v>21</v>
      </c>
      <c r="F168" s="14" t="s">
        <v>22</v>
      </c>
      <c r="G168" s="15">
        <v>6</v>
      </c>
      <c r="H168" s="15"/>
      <c r="I168" s="15"/>
      <c r="J168" s="16"/>
      <c r="K168" s="16"/>
      <c r="L168" s="16"/>
      <c r="M168" s="16"/>
      <c r="N168" s="18"/>
    </row>
    <row r="169" spans="1:14" outlineLevel="1">
      <c r="A169" s="20">
        <f>SUBTOTAL(3,$F$7:F169)</f>
        <v>160</v>
      </c>
      <c r="B169" s="18" t="s">
        <v>180</v>
      </c>
      <c r="C169" s="21" t="s">
        <v>19</v>
      </c>
      <c r="D169" s="13" t="s">
        <v>62</v>
      </c>
      <c r="E169" s="21" t="s">
        <v>21</v>
      </c>
      <c r="F169" s="14" t="s">
        <v>22</v>
      </c>
      <c r="G169" s="15">
        <v>1</v>
      </c>
      <c r="H169" s="15"/>
      <c r="I169" s="15"/>
      <c r="J169" s="16"/>
      <c r="K169" s="16"/>
      <c r="L169" s="16"/>
      <c r="M169" s="16"/>
      <c r="N169" s="18"/>
    </row>
    <row r="170" spans="1:14" outlineLevel="1">
      <c r="A170" s="20">
        <f>SUBTOTAL(3,$F$7:F170)</f>
        <v>161</v>
      </c>
      <c r="B170" s="18" t="s">
        <v>181</v>
      </c>
      <c r="C170" s="21" t="s">
        <v>19</v>
      </c>
      <c r="D170" s="13" t="s">
        <v>62</v>
      </c>
      <c r="E170" s="21" t="s">
        <v>21</v>
      </c>
      <c r="F170" s="14" t="s">
        <v>22</v>
      </c>
      <c r="G170" s="15">
        <v>1</v>
      </c>
      <c r="H170" s="15"/>
      <c r="I170" s="15"/>
      <c r="J170" s="16"/>
      <c r="K170" s="16"/>
      <c r="L170" s="16"/>
      <c r="M170" s="16"/>
      <c r="N170" s="18"/>
    </row>
    <row r="171" spans="1:14" outlineLevel="1">
      <c r="A171" s="20">
        <f>SUBTOTAL(3,$F$7:F171)</f>
        <v>162</v>
      </c>
      <c r="B171" s="18" t="s">
        <v>182</v>
      </c>
      <c r="C171" s="21" t="s">
        <v>19</v>
      </c>
      <c r="D171" s="13" t="s">
        <v>62</v>
      </c>
      <c r="E171" s="21" t="s">
        <v>21</v>
      </c>
      <c r="F171" s="14" t="s">
        <v>22</v>
      </c>
      <c r="G171" s="15">
        <v>10</v>
      </c>
      <c r="H171" s="15"/>
      <c r="I171" s="15"/>
      <c r="J171" s="16"/>
      <c r="K171" s="16"/>
      <c r="L171" s="16"/>
      <c r="M171" s="16"/>
      <c r="N171" s="18"/>
    </row>
    <row r="172" spans="1:14" outlineLevel="1">
      <c r="A172" s="20">
        <f>SUBTOTAL(3,$F$7:F172)</f>
        <v>163</v>
      </c>
      <c r="B172" s="18" t="s">
        <v>115</v>
      </c>
      <c r="C172" s="21" t="s">
        <v>19</v>
      </c>
      <c r="D172" s="13" t="s">
        <v>62</v>
      </c>
      <c r="E172" s="21" t="s">
        <v>21</v>
      </c>
      <c r="F172" s="14" t="s">
        <v>22</v>
      </c>
      <c r="G172" s="15">
        <v>12</v>
      </c>
      <c r="H172" s="15"/>
      <c r="I172" s="15"/>
      <c r="J172" s="16"/>
      <c r="K172" s="16"/>
      <c r="L172" s="16"/>
      <c r="M172" s="16"/>
      <c r="N172" s="18"/>
    </row>
    <row r="173" spans="1:14" outlineLevel="1">
      <c r="A173" s="20">
        <f>SUBTOTAL(3,$F$7:F173)</f>
        <v>164</v>
      </c>
      <c r="B173" s="18" t="s">
        <v>183</v>
      </c>
      <c r="C173" s="21" t="s">
        <v>42</v>
      </c>
      <c r="D173" s="13" t="s">
        <v>62</v>
      </c>
      <c r="E173" s="21" t="s">
        <v>43</v>
      </c>
      <c r="F173" s="14" t="s">
        <v>22</v>
      </c>
      <c r="G173" s="15">
        <v>62</v>
      </c>
      <c r="H173" s="15"/>
      <c r="I173" s="15"/>
      <c r="J173" s="16"/>
      <c r="K173" s="16"/>
      <c r="L173" s="16"/>
      <c r="M173" s="16"/>
      <c r="N173" s="18"/>
    </row>
    <row r="174" spans="1:14" outlineLevel="1">
      <c r="A174" s="20">
        <f>SUBTOTAL(3,$F$7:F174)</f>
        <v>165</v>
      </c>
      <c r="B174" s="18" t="s">
        <v>184</v>
      </c>
      <c r="C174" s="21" t="s">
        <v>42</v>
      </c>
      <c r="D174" s="13" t="s">
        <v>62</v>
      </c>
      <c r="E174" s="21" t="s">
        <v>43</v>
      </c>
      <c r="F174" s="14" t="s">
        <v>22</v>
      </c>
      <c r="G174" s="15">
        <v>2</v>
      </c>
      <c r="H174" s="15"/>
      <c r="I174" s="15"/>
      <c r="J174" s="16"/>
      <c r="K174" s="16"/>
      <c r="L174" s="16"/>
      <c r="M174" s="16"/>
      <c r="N174" s="18"/>
    </row>
    <row r="175" spans="1:14" outlineLevel="1">
      <c r="A175" s="20">
        <f>SUBTOTAL(3,$F$7:F175)</f>
        <v>166</v>
      </c>
      <c r="B175" s="18" t="s">
        <v>185</v>
      </c>
      <c r="C175" s="21" t="s">
        <v>42</v>
      </c>
      <c r="D175" s="13" t="s">
        <v>62</v>
      </c>
      <c r="E175" s="21" t="s">
        <v>43</v>
      </c>
      <c r="F175" s="14" t="s">
        <v>22</v>
      </c>
      <c r="G175" s="15">
        <v>5</v>
      </c>
      <c r="H175" s="15"/>
      <c r="I175" s="15"/>
      <c r="J175" s="16"/>
      <c r="K175" s="16"/>
      <c r="L175" s="16"/>
      <c r="M175" s="16"/>
      <c r="N175" s="18"/>
    </row>
    <row r="176" spans="1:14" outlineLevel="1">
      <c r="A176" s="20">
        <f>SUBTOTAL(3,$F$7:F176)</f>
        <v>167</v>
      </c>
      <c r="B176" s="18" t="s">
        <v>186</v>
      </c>
      <c r="C176" s="21" t="s">
        <v>42</v>
      </c>
      <c r="D176" s="13" t="s">
        <v>62</v>
      </c>
      <c r="E176" s="21" t="s">
        <v>43</v>
      </c>
      <c r="F176" s="14" t="s">
        <v>22</v>
      </c>
      <c r="G176" s="15">
        <v>3</v>
      </c>
      <c r="H176" s="15"/>
      <c r="I176" s="15"/>
      <c r="J176" s="16"/>
      <c r="K176" s="16"/>
      <c r="L176" s="16"/>
      <c r="M176" s="16"/>
      <c r="N176" s="18"/>
    </row>
    <row r="177" spans="1:14" outlineLevel="1">
      <c r="A177" s="20">
        <f>SUBTOTAL(3,$F$7:F177)</f>
        <v>168</v>
      </c>
      <c r="B177" s="18" t="s">
        <v>187</v>
      </c>
      <c r="C177" s="21" t="s">
        <v>42</v>
      </c>
      <c r="D177" s="13" t="s">
        <v>62</v>
      </c>
      <c r="E177" s="21" t="s">
        <v>43</v>
      </c>
      <c r="F177" s="14" t="s">
        <v>22</v>
      </c>
      <c r="G177" s="15">
        <v>1</v>
      </c>
      <c r="H177" s="15"/>
      <c r="I177" s="15"/>
      <c r="J177" s="16"/>
      <c r="K177" s="16"/>
      <c r="L177" s="16"/>
      <c r="M177" s="16"/>
      <c r="N177" s="18"/>
    </row>
    <row r="178" spans="1:14" outlineLevel="1">
      <c r="A178" s="20">
        <f>SUBTOTAL(3,$F$7:F178)</f>
        <v>169</v>
      </c>
      <c r="B178" s="18" t="s">
        <v>188</v>
      </c>
      <c r="C178" s="21" t="s">
        <v>42</v>
      </c>
      <c r="D178" s="13" t="s">
        <v>62</v>
      </c>
      <c r="E178" s="21" t="s">
        <v>43</v>
      </c>
      <c r="F178" s="14" t="s">
        <v>22</v>
      </c>
      <c r="G178" s="15">
        <v>3</v>
      </c>
      <c r="H178" s="15"/>
      <c r="I178" s="15"/>
      <c r="J178" s="16"/>
      <c r="K178" s="16"/>
      <c r="L178" s="16"/>
      <c r="M178" s="16"/>
      <c r="N178" s="18"/>
    </row>
    <row r="179" spans="1:14" outlineLevel="1">
      <c r="A179" s="20">
        <f>SUBTOTAL(3,$F$7:F179)</f>
        <v>170</v>
      </c>
      <c r="B179" s="18" t="s">
        <v>189</v>
      </c>
      <c r="C179" s="21" t="s">
        <v>42</v>
      </c>
      <c r="D179" s="13" t="s">
        <v>62</v>
      </c>
      <c r="E179" s="21" t="s">
        <v>43</v>
      </c>
      <c r="F179" s="14" t="s">
        <v>22</v>
      </c>
      <c r="G179" s="15">
        <v>44</v>
      </c>
      <c r="H179" s="15"/>
      <c r="I179" s="15"/>
      <c r="J179" s="16"/>
      <c r="K179" s="16"/>
      <c r="L179" s="16"/>
      <c r="M179" s="16"/>
      <c r="N179" s="18"/>
    </row>
    <row r="180" spans="1:14" outlineLevel="1">
      <c r="A180" s="20">
        <f>SUBTOTAL(3,$F$7:F180)</f>
        <v>171</v>
      </c>
      <c r="B180" s="18" t="s">
        <v>190</v>
      </c>
      <c r="C180" s="13"/>
      <c r="D180" s="13" t="s">
        <v>62</v>
      </c>
      <c r="E180" s="13"/>
      <c r="F180" s="14" t="s">
        <v>191</v>
      </c>
      <c r="G180" s="15">
        <v>4</v>
      </c>
      <c r="H180" s="15"/>
      <c r="I180" s="15"/>
      <c r="J180" s="16"/>
      <c r="K180" s="16"/>
      <c r="L180" s="16"/>
      <c r="M180" s="16"/>
      <c r="N180" s="18"/>
    </row>
    <row r="181" spans="1:14" outlineLevel="1">
      <c r="A181" s="20">
        <f>SUBTOTAL(3,$F$7:F181)</f>
        <v>172</v>
      </c>
      <c r="B181" s="18" t="s">
        <v>192</v>
      </c>
      <c r="C181" s="13"/>
      <c r="D181" s="13" t="s">
        <v>62</v>
      </c>
      <c r="E181" s="13"/>
      <c r="F181" s="14" t="s">
        <v>191</v>
      </c>
      <c r="G181" s="15">
        <v>2</v>
      </c>
      <c r="H181" s="15"/>
      <c r="I181" s="15"/>
      <c r="J181" s="16"/>
      <c r="K181" s="16"/>
      <c r="L181" s="16"/>
      <c r="M181" s="16"/>
      <c r="N181" s="18"/>
    </row>
    <row r="182" spans="1:14" outlineLevel="1">
      <c r="A182" s="20">
        <f>SUBTOTAL(3,$F$7:F182)</f>
        <v>173</v>
      </c>
      <c r="B182" s="18" t="s">
        <v>193</v>
      </c>
      <c r="C182" s="13"/>
      <c r="D182" s="13" t="s">
        <v>62</v>
      </c>
      <c r="E182" s="13"/>
      <c r="F182" s="14" t="s">
        <v>191</v>
      </c>
      <c r="G182" s="15">
        <v>1</v>
      </c>
      <c r="H182" s="15"/>
      <c r="I182" s="15"/>
      <c r="J182" s="16"/>
      <c r="K182" s="16"/>
      <c r="L182" s="16"/>
      <c r="M182" s="16"/>
      <c r="N182" s="18"/>
    </row>
    <row r="183" spans="1:14" outlineLevel="1">
      <c r="A183" s="20">
        <f>SUBTOTAL(3,$F$7:F183)</f>
        <v>174</v>
      </c>
      <c r="B183" s="18" t="s">
        <v>194</v>
      </c>
      <c r="C183" s="13"/>
      <c r="D183" s="13" t="s">
        <v>62</v>
      </c>
      <c r="E183" s="13"/>
      <c r="F183" s="14" t="s">
        <v>191</v>
      </c>
      <c r="G183" s="15">
        <v>1</v>
      </c>
      <c r="H183" s="15"/>
      <c r="I183" s="15"/>
      <c r="J183" s="16"/>
      <c r="K183" s="16"/>
      <c r="L183" s="16"/>
      <c r="M183" s="16"/>
      <c r="N183" s="18"/>
    </row>
    <row r="184" spans="1:14" outlineLevel="1">
      <c r="A184" s="20">
        <f>SUBTOTAL(3,$F$7:F184)</f>
        <v>175</v>
      </c>
      <c r="B184" s="18" t="s">
        <v>195</v>
      </c>
      <c r="C184" s="13"/>
      <c r="D184" s="13" t="s">
        <v>62</v>
      </c>
      <c r="E184" s="13"/>
      <c r="F184" s="14" t="s">
        <v>191</v>
      </c>
      <c r="G184" s="15">
        <v>1</v>
      </c>
      <c r="H184" s="15"/>
      <c r="I184" s="15"/>
      <c r="J184" s="16"/>
      <c r="K184" s="16"/>
      <c r="L184" s="16"/>
      <c r="M184" s="16"/>
      <c r="N184" s="18"/>
    </row>
    <row r="185" spans="1:14" outlineLevel="1">
      <c r="A185" s="20">
        <f>SUBTOTAL(3,$F$7:F185)</f>
        <v>176</v>
      </c>
      <c r="B185" s="18" t="s">
        <v>196</v>
      </c>
      <c r="C185" s="13"/>
      <c r="D185" s="13" t="s">
        <v>62</v>
      </c>
      <c r="E185" s="13"/>
      <c r="F185" s="14" t="s">
        <v>191</v>
      </c>
      <c r="G185" s="15">
        <v>1</v>
      </c>
      <c r="H185" s="15"/>
      <c r="I185" s="15"/>
      <c r="J185" s="16"/>
      <c r="K185" s="16"/>
      <c r="L185" s="16"/>
      <c r="M185" s="16"/>
      <c r="N185" s="18"/>
    </row>
    <row r="186" spans="1:14" outlineLevel="1">
      <c r="A186" s="20">
        <f>SUBTOTAL(3,$F$7:F186)</f>
        <v>177</v>
      </c>
      <c r="B186" s="18" t="s">
        <v>197</v>
      </c>
      <c r="C186" s="13"/>
      <c r="D186" s="13" t="s">
        <v>62</v>
      </c>
      <c r="E186" s="13"/>
      <c r="F186" s="14" t="s">
        <v>191</v>
      </c>
      <c r="G186" s="15">
        <v>1</v>
      </c>
      <c r="H186" s="15"/>
      <c r="I186" s="15"/>
      <c r="J186" s="16"/>
      <c r="K186" s="16"/>
      <c r="L186" s="16"/>
      <c r="M186" s="16"/>
      <c r="N186" s="18"/>
    </row>
    <row r="187" spans="1:14" outlineLevel="1">
      <c r="A187" s="20">
        <f>SUBTOTAL(3,$F$7:F187)</f>
        <v>178</v>
      </c>
      <c r="B187" s="18" t="s">
        <v>198</v>
      </c>
      <c r="C187" s="13"/>
      <c r="D187" s="13" t="s">
        <v>62</v>
      </c>
      <c r="E187" s="13"/>
      <c r="F187" s="14" t="s">
        <v>191</v>
      </c>
      <c r="G187" s="15">
        <v>2</v>
      </c>
      <c r="H187" s="15"/>
      <c r="I187" s="15"/>
      <c r="J187" s="16"/>
      <c r="K187" s="16"/>
      <c r="L187" s="16"/>
      <c r="M187" s="16"/>
      <c r="N187" s="18"/>
    </row>
    <row r="188" spans="1:14" outlineLevel="1">
      <c r="A188" s="20">
        <f>SUBTOTAL(3,$F$7:F188)</f>
        <v>179</v>
      </c>
      <c r="B188" s="18" t="s">
        <v>199</v>
      </c>
      <c r="C188" s="13"/>
      <c r="D188" s="13" t="s">
        <v>62</v>
      </c>
      <c r="E188" s="13"/>
      <c r="F188" s="14" t="s">
        <v>191</v>
      </c>
      <c r="G188" s="15">
        <v>2</v>
      </c>
      <c r="H188" s="15"/>
      <c r="I188" s="15"/>
      <c r="J188" s="16"/>
      <c r="K188" s="16"/>
      <c r="L188" s="16"/>
      <c r="M188" s="16"/>
      <c r="N188" s="18"/>
    </row>
    <row r="189" spans="1:14">
      <c r="A189" s="11" t="s">
        <v>200</v>
      </c>
      <c r="B189" s="19" t="s">
        <v>201</v>
      </c>
      <c r="C189" s="13"/>
      <c r="D189" s="13"/>
      <c r="E189" s="13"/>
      <c r="F189" s="14"/>
      <c r="G189" s="15"/>
      <c r="H189" s="15"/>
      <c r="I189" s="15"/>
      <c r="J189" s="16"/>
      <c r="K189" s="17"/>
      <c r="L189" s="17"/>
      <c r="M189" s="17"/>
      <c r="N189" s="18"/>
    </row>
    <row r="190" spans="1:14" outlineLevel="1">
      <c r="A190" s="11" t="s">
        <v>202</v>
      </c>
      <c r="B190" s="19" t="s">
        <v>203</v>
      </c>
      <c r="C190" s="13"/>
      <c r="D190" s="13"/>
      <c r="E190" s="13"/>
      <c r="F190" s="14"/>
      <c r="G190" s="15"/>
      <c r="H190" s="15"/>
      <c r="I190" s="15"/>
      <c r="J190" s="16"/>
      <c r="K190" s="16"/>
      <c r="L190" s="16"/>
      <c r="M190" s="16"/>
      <c r="N190" s="18"/>
    </row>
    <row r="191" spans="1:14" outlineLevel="1">
      <c r="A191" s="11" t="s">
        <v>204</v>
      </c>
      <c r="B191" s="19" t="s">
        <v>205</v>
      </c>
      <c r="C191" s="13"/>
      <c r="D191" s="13"/>
      <c r="E191" s="13"/>
      <c r="F191" s="14"/>
      <c r="G191" s="15"/>
      <c r="H191" s="15"/>
      <c r="I191" s="15"/>
      <c r="J191" s="16"/>
      <c r="K191" s="16"/>
      <c r="L191" s="16"/>
      <c r="M191" s="16"/>
      <c r="N191" s="18"/>
    </row>
    <row r="192" spans="1:14" s="24" customFormat="1" ht="26.45" customHeight="1" outlineLevel="1">
      <c r="A192" s="20"/>
      <c r="B192" s="19" t="s">
        <v>206</v>
      </c>
      <c r="C192" s="13"/>
      <c r="D192" s="13"/>
      <c r="E192" s="13"/>
      <c r="F192" s="14"/>
      <c r="G192" s="15">
        <v>0</v>
      </c>
      <c r="H192" s="15"/>
      <c r="I192" s="15"/>
      <c r="J192" s="16"/>
      <c r="K192" s="16"/>
      <c r="L192" s="16"/>
      <c r="M192" s="16"/>
      <c r="N192" s="23"/>
    </row>
    <row r="193" spans="1:14" s="24" customFormat="1" ht="24" customHeight="1" outlineLevel="1">
      <c r="A193" s="20"/>
      <c r="B193" s="19" t="s">
        <v>207</v>
      </c>
      <c r="C193" s="13"/>
      <c r="D193" s="13"/>
      <c r="E193" s="13"/>
      <c r="F193" s="14"/>
      <c r="G193" s="15">
        <v>0</v>
      </c>
      <c r="H193" s="15"/>
      <c r="I193" s="15"/>
      <c r="J193" s="16"/>
      <c r="K193" s="16"/>
      <c r="L193" s="16"/>
      <c r="M193" s="16"/>
      <c r="N193" s="23"/>
    </row>
    <row r="194" spans="1:14" outlineLevel="1">
      <c r="A194" s="20">
        <f>SUBTOTAL(3,$F$7:F194)</f>
        <v>180</v>
      </c>
      <c r="B194" s="18" t="s">
        <v>208</v>
      </c>
      <c r="C194" s="13"/>
      <c r="D194" s="13" t="s">
        <v>62</v>
      </c>
      <c r="E194" s="13"/>
      <c r="F194" s="14" t="s">
        <v>22</v>
      </c>
      <c r="G194" s="15">
        <v>309</v>
      </c>
      <c r="H194" s="15"/>
      <c r="I194" s="15"/>
      <c r="J194" s="16"/>
      <c r="K194" s="16"/>
      <c r="L194" s="16"/>
      <c r="M194" s="16"/>
      <c r="N194" s="18"/>
    </row>
    <row r="195" spans="1:14" outlineLevel="1">
      <c r="A195" s="20">
        <f>SUBTOTAL(3,$F$7:F195)</f>
        <v>181</v>
      </c>
      <c r="B195" s="18" t="s">
        <v>209</v>
      </c>
      <c r="C195" s="13"/>
      <c r="D195" s="13" t="s">
        <v>62</v>
      </c>
      <c r="E195" s="13"/>
      <c r="F195" s="14" t="s">
        <v>22</v>
      </c>
      <c r="G195" s="15">
        <v>195</v>
      </c>
      <c r="H195" s="15"/>
      <c r="I195" s="15"/>
      <c r="J195" s="16"/>
      <c r="K195" s="16"/>
      <c r="L195" s="16"/>
      <c r="M195" s="16"/>
      <c r="N195" s="18"/>
    </row>
    <row r="196" spans="1:14" outlineLevel="1">
      <c r="A196" s="11" t="s">
        <v>210</v>
      </c>
      <c r="B196" s="19" t="s">
        <v>211</v>
      </c>
      <c r="C196" s="13"/>
      <c r="D196" s="13"/>
      <c r="E196" s="13"/>
      <c r="F196" s="14"/>
      <c r="G196" s="15"/>
      <c r="H196" s="15"/>
      <c r="I196" s="15"/>
      <c r="J196" s="16"/>
      <c r="K196" s="16"/>
      <c r="L196" s="16"/>
      <c r="M196" s="16"/>
      <c r="N196" s="18"/>
    </row>
    <row r="197" spans="1:14" s="24" customFormat="1" ht="26.45" customHeight="1" outlineLevel="1">
      <c r="A197" s="20"/>
      <c r="B197" s="19" t="s">
        <v>206</v>
      </c>
      <c r="C197" s="13"/>
      <c r="D197" s="13"/>
      <c r="E197" s="13"/>
      <c r="F197" s="14"/>
      <c r="G197" s="15"/>
      <c r="H197" s="15"/>
      <c r="I197" s="15"/>
      <c r="J197" s="16"/>
      <c r="K197" s="16"/>
      <c r="L197" s="16"/>
      <c r="M197" s="16"/>
      <c r="N197" s="16"/>
    </row>
    <row r="198" spans="1:14" s="24" customFormat="1" outlineLevel="1">
      <c r="A198" s="20"/>
      <c r="B198" s="19" t="s">
        <v>212</v>
      </c>
      <c r="C198" s="13"/>
      <c r="D198" s="13"/>
      <c r="E198" s="13"/>
      <c r="F198" s="14"/>
      <c r="G198" s="15"/>
      <c r="H198" s="15"/>
      <c r="I198" s="15"/>
      <c r="J198" s="16"/>
      <c r="K198" s="16"/>
      <c r="L198" s="16"/>
      <c r="M198" s="16"/>
      <c r="N198" s="25" t="s">
        <v>213</v>
      </c>
    </row>
    <row r="199" spans="1:14" ht="66" customHeight="1" outlineLevel="1">
      <c r="A199" s="20"/>
      <c r="B199" s="18" t="s">
        <v>214</v>
      </c>
      <c r="C199" s="13"/>
      <c r="D199" s="13"/>
      <c r="E199" s="13"/>
      <c r="F199" s="14"/>
      <c r="G199" s="15"/>
      <c r="H199" s="15"/>
      <c r="I199" s="15"/>
      <c r="J199" s="16"/>
      <c r="K199" s="16"/>
      <c r="L199" s="16"/>
      <c r="M199" s="16"/>
      <c r="N199" s="18" t="s">
        <v>215</v>
      </c>
    </row>
    <row r="200" spans="1:14" ht="26.45" customHeight="1" outlineLevel="1">
      <c r="A200" s="20">
        <f>SUBTOTAL(3,$F$7:F200)</f>
        <v>182</v>
      </c>
      <c r="B200" s="18" t="s">
        <v>216</v>
      </c>
      <c r="C200" s="13"/>
      <c r="D200" s="13" t="s">
        <v>217</v>
      </c>
      <c r="E200" s="13"/>
      <c r="F200" s="14" t="s">
        <v>218</v>
      </c>
      <c r="G200" s="15">
        <v>291</v>
      </c>
      <c r="H200" s="15"/>
      <c r="I200" s="15"/>
      <c r="J200" s="16"/>
      <c r="K200" s="16"/>
      <c r="L200" s="16"/>
      <c r="M200" s="16"/>
      <c r="N200" s="18"/>
    </row>
    <row r="201" spans="1:14" ht="26.45" customHeight="1" outlineLevel="1">
      <c r="A201" s="20">
        <f>SUBTOTAL(3,$F$7:F201)</f>
        <v>183</v>
      </c>
      <c r="B201" s="18" t="s">
        <v>219</v>
      </c>
      <c r="C201" s="13"/>
      <c r="D201" s="13" t="s">
        <v>217</v>
      </c>
      <c r="E201" s="13"/>
      <c r="F201" s="14" t="s">
        <v>218</v>
      </c>
      <c r="G201" s="15">
        <v>38</v>
      </c>
      <c r="H201" s="15"/>
      <c r="I201" s="15"/>
      <c r="J201" s="16"/>
      <c r="K201" s="16"/>
      <c r="L201" s="16"/>
      <c r="M201" s="16"/>
      <c r="N201" s="18"/>
    </row>
    <row r="202" spans="1:14" ht="26.45" customHeight="1" outlineLevel="1">
      <c r="A202" s="20">
        <f>SUBTOTAL(3,$F$7:F202)</f>
        <v>184</v>
      </c>
      <c r="B202" s="18" t="s">
        <v>220</v>
      </c>
      <c r="C202" s="13"/>
      <c r="D202" s="13" t="s">
        <v>217</v>
      </c>
      <c r="E202" s="13"/>
      <c r="F202" s="14" t="s">
        <v>218</v>
      </c>
      <c r="G202" s="15">
        <v>46</v>
      </c>
      <c r="H202" s="15"/>
      <c r="I202" s="15"/>
      <c r="J202" s="16"/>
      <c r="K202" s="16"/>
      <c r="L202" s="16"/>
      <c r="M202" s="16"/>
      <c r="N202" s="18"/>
    </row>
    <row r="203" spans="1:14" ht="39.6" customHeight="1" outlineLevel="1">
      <c r="A203" s="20">
        <f>SUBTOTAL(3,$F$7:F203)</f>
        <v>185</v>
      </c>
      <c r="B203" s="18" t="s">
        <v>221</v>
      </c>
      <c r="C203" s="13"/>
      <c r="D203" s="13" t="s">
        <v>217</v>
      </c>
      <c r="E203" s="13"/>
      <c r="F203" s="14" t="s">
        <v>218</v>
      </c>
      <c r="G203" s="15">
        <v>148</v>
      </c>
      <c r="H203" s="15"/>
      <c r="I203" s="15"/>
      <c r="J203" s="16"/>
      <c r="K203" s="16"/>
      <c r="L203" s="16"/>
      <c r="M203" s="16"/>
      <c r="N203" s="18"/>
    </row>
    <row r="204" spans="1:14" ht="39.6" customHeight="1" outlineLevel="1">
      <c r="A204" s="20">
        <f>SUBTOTAL(3,$F$7:F204)</f>
        <v>186</v>
      </c>
      <c r="B204" s="18" t="s">
        <v>222</v>
      </c>
      <c r="C204" s="13"/>
      <c r="D204" s="13" t="s">
        <v>217</v>
      </c>
      <c r="E204" s="13"/>
      <c r="F204" s="14" t="s">
        <v>218</v>
      </c>
      <c r="G204" s="15">
        <v>12</v>
      </c>
      <c r="H204" s="15"/>
      <c r="I204" s="15"/>
      <c r="J204" s="16"/>
      <c r="K204" s="16"/>
      <c r="L204" s="16"/>
      <c r="M204" s="16"/>
      <c r="N204" s="18"/>
    </row>
    <row r="205" spans="1:14" ht="39.6" customHeight="1" outlineLevel="1">
      <c r="A205" s="20">
        <f>SUBTOTAL(3,$F$7:F205)</f>
        <v>187</v>
      </c>
      <c r="B205" s="18" t="s">
        <v>223</v>
      </c>
      <c r="C205" s="13"/>
      <c r="D205" s="13" t="s">
        <v>217</v>
      </c>
      <c r="E205" s="13"/>
      <c r="F205" s="14" t="s">
        <v>218</v>
      </c>
      <c r="G205" s="15">
        <v>12</v>
      </c>
      <c r="H205" s="15"/>
      <c r="I205" s="15"/>
      <c r="J205" s="16"/>
      <c r="K205" s="16"/>
      <c r="L205" s="16"/>
      <c r="M205" s="16"/>
      <c r="N205" s="18"/>
    </row>
    <row r="206" spans="1:14" ht="39.6" customHeight="1" outlineLevel="1">
      <c r="A206" s="20">
        <f>SUBTOTAL(3,$F$7:F206)</f>
        <v>188</v>
      </c>
      <c r="B206" s="18" t="s">
        <v>224</v>
      </c>
      <c r="C206" s="13"/>
      <c r="D206" s="13" t="s">
        <v>217</v>
      </c>
      <c r="E206" s="13"/>
      <c r="F206" s="14" t="s">
        <v>218</v>
      </c>
      <c r="G206" s="15">
        <v>20</v>
      </c>
      <c r="H206" s="15"/>
      <c r="I206" s="15"/>
      <c r="J206" s="16"/>
      <c r="K206" s="16"/>
      <c r="L206" s="16"/>
      <c r="M206" s="16"/>
      <c r="N206" s="18"/>
    </row>
    <row r="207" spans="1:14" ht="39.6" customHeight="1" outlineLevel="1">
      <c r="A207" s="20">
        <f>SUBTOTAL(3,$F$7:F207)</f>
        <v>189</v>
      </c>
      <c r="B207" s="18" t="s">
        <v>225</v>
      </c>
      <c r="C207" s="13"/>
      <c r="D207" s="13" t="s">
        <v>217</v>
      </c>
      <c r="E207" s="13"/>
      <c r="F207" s="14" t="s">
        <v>218</v>
      </c>
      <c r="G207" s="15">
        <v>9</v>
      </c>
      <c r="H207" s="15"/>
      <c r="I207" s="15"/>
      <c r="J207" s="16"/>
      <c r="K207" s="16"/>
      <c r="L207" s="16"/>
      <c r="M207" s="16"/>
      <c r="N207" s="18"/>
    </row>
    <row r="208" spans="1:14" ht="39.6" customHeight="1" outlineLevel="1">
      <c r="A208" s="20">
        <f>SUBTOTAL(3,$F$7:F208)</f>
        <v>190</v>
      </c>
      <c r="B208" s="18" t="s">
        <v>226</v>
      </c>
      <c r="C208" s="13"/>
      <c r="D208" s="13" t="s">
        <v>217</v>
      </c>
      <c r="E208" s="13"/>
      <c r="F208" s="14" t="s">
        <v>218</v>
      </c>
      <c r="G208" s="15">
        <v>6</v>
      </c>
      <c r="H208" s="15"/>
      <c r="I208" s="15"/>
      <c r="J208" s="16"/>
      <c r="K208" s="16"/>
      <c r="L208" s="16"/>
      <c r="M208" s="16"/>
      <c r="N208" s="18"/>
    </row>
    <row r="209" spans="1:14" s="24" customFormat="1" ht="24.6" customHeight="1" outlineLevel="1">
      <c r="A209" s="20">
        <f>SUBTOTAL(3,$F$7:F209)</f>
        <v>191</v>
      </c>
      <c r="B209" s="18" t="s">
        <v>57</v>
      </c>
      <c r="C209" s="13"/>
      <c r="D209" s="13"/>
      <c r="E209" s="13"/>
      <c r="F209" s="14" t="s">
        <v>58</v>
      </c>
      <c r="G209" s="15">
        <v>1</v>
      </c>
      <c r="H209" s="15"/>
      <c r="I209" s="15"/>
      <c r="J209" s="16"/>
      <c r="K209" s="16"/>
      <c r="L209" s="16"/>
      <c r="M209" s="16"/>
      <c r="N209" s="23"/>
    </row>
    <row r="210" spans="1:14">
      <c r="A210" s="11" t="s">
        <v>227</v>
      </c>
      <c r="B210" s="12" t="s">
        <v>228</v>
      </c>
      <c r="C210" s="13"/>
      <c r="D210" s="13"/>
      <c r="E210" s="13"/>
      <c r="F210" s="14"/>
      <c r="G210" s="15"/>
      <c r="H210" s="15"/>
      <c r="I210" s="15"/>
      <c r="J210" s="16"/>
      <c r="K210" s="17"/>
      <c r="L210" s="17"/>
      <c r="M210" s="17"/>
      <c r="N210" s="18"/>
    </row>
    <row r="211" spans="1:14" ht="66" customHeight="1">
      <c r="A211" s="20"/>
      <c r="B211" s="18" t="s">
        <v>229</v>
      </c>
      <c r="C211" s="13"/>
      <c r="D211" s="13"/>
      <c r="E211" s="13"/>
      <c r="F211" s="14" t="s">
        <v>230</v>
      </c>
      <c r="G211" s="15">
        <v>0</v>
      </c>
      <c r="H211" s="15"/>
      <c r="I211" s="15"/>
      <c r="J211" s="16"/>
      <c r="K211" s="16"/>
      <c r="L211" s="16"/>
      <c r="M211" s="16"/>
      <c r="N211" s="18"/>
    </row>
    <row r="212" spans="1:14">
      <c r="A212" s="20"/>
      <c r="B212" s="18"/>
      <c r="C212" s="13"/>
      <c r="D212" s="13"/>
      <c r="E212" s="13"/>
      <c r="F212" s="14"/>
      <c r="G212" s="15"/>
      <c r="H212" s="15"/>
      <c r="I212" s="15"/>
      <c r="J212" s="16"/>
      <c r="K212" s="16"/>
      <c r="L212" s="16"/>
      <c r="M212" s="16"/>
      <c r="N212" s="18"/>
    </row>
    <row r="213" spans="1:14" ht="21" customHeight="1">
      <c r="A213" s="23" t="str">
        <f>IF(AND(F213&lt;&gt;"",F213&lt;&gt;"note"),MAX($A$5:A5)+1,"")</f>
        <v/>
      </c>
      <c r="B213" s="12" t="s">
        <v>231</v>
      </c>
      <c r="C213" s="13"/>
      <c r="D213" s="13"/>
      <c r="E213" s="13"/>
      <c r="F213" s="23"/>
      <c r="G213" s="26"/>
      <c r="H213" s="26"/>
      <c r="I213" s="26"/>
      <c r="J213" s="26"/>
      <c r="K213" s="27"/>
      <c r="L213" s="27"/>
      <c r="M213" s="27"/>
      <c r="N213" s="28"/>
    </row>
  </sheetData>
  <autoFilter ref="A5:J212"/>
  <mergeCells count="10">
    <mergeCell ref="A1:N1"/>
    <mergeCell ref="A3:A4"/>
    <mergeCell ref="B3:B4"/>
    <mergeCell ref="C3:C4"/>
    <mergeCell ref="D3:D4"/>
    <mergeCell ref="E3:E4"/>
    <mergeCell ref="F3:F4"/>
    <mergeCell ref="G3:G4"/>
    <mergeCell ref="H3:J3"/>
    <mergeCell ref="K3:M3"/>
  </mergeCells>
  <pageMargins left="0.5" right="0.5" top="0.75" bottom="0.75" header="0.3" footer="0.3"/>
  <pageSetup paperSize="9" scale="42"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28"/>
  <sheetViews>
    <sheetView tabSelected="1" zoomScaleNormal="100" workbookViewId="0">
      <selection activeCell="Q18" sqref="Q18"/>
    </sheetView>
  </sheetViews>
  <sheetFormatPr defaultColWidth="8.140625" defaultRowHeight="15"/>
  <cols>
    <col min="1" max="1" width="4.42578125" customWidth="1"/>
    <col min="2" max="2" width="31" style="131" customWidth="1"/>
    <col min="3" max="3" width="15.140625" style="132" customWidth="1"/>
    <col min="4" max="4" width="10.140625" style="132" customWidth="1"/>
    <col min="5" max="5" width="6" style="132" customWidth="1"/>
    <col min="6" max="6" width="5.85546875" style="132" customWidth="1"/>
    <col min="7" max="7" width="6.140625" style="132" customWidth="1"/>
    <col min="8" max="9" width="6" style="132" customWidth="1"/>
    <col min="10" max="10" width="4.28515625" style="132" customWidth="1"/>
    <col min="11" max="11" width="5.28515625" style="133" customWidth="1"/>
    <col min="12" max="12" width="4.85546875" style="134" customWidth="1"/>
    <col min="13" max="13" width="8.42578125" style="135" customWidth="1"/>
    <col min="14" max="14" width="13.85546875" style="136" customWidth="1"/>
    <col min="15" max="15" width="14.85546875" style="137" customWidth="1"/>
    <col min="16" max="16" width="37.42578125" style="138" customWidth="1"/>
    <col min="17" max="17" width="15" customWidth="1"/>
    <col min="18" max="18" width="14.42578125" customWidth="1"/>
  </cols>
  <sheetData>
    <row r="1" spans="1:17" ht="6.75" customHeight="1">
      <c r="A1" s="31"/>
      <c r="B1" s="32"/>
      <c r="C1" s="33"/>
      <c r="D1" s="33"/>
      <c r="E1" s="33"/>
      <c r="F1" s="33"/>
      <c r="G1" s="33"/>
      <c r="H1" s="33"/>
      <c r="I1" s="33"/>
      <c r="J1" s="33"/>
      <c r="K1" s="34"/>
      <c r="L1" s="35"/>
      <c r="M1" s="36"/>
      <c r="N1" s="37"/>
      <c r="O1" s="38"/>
      <c r="P1" s="39"/>
    </row>
    <row r="2" spans="1:17">
      <c r="A2" s="31"/>
      <c r="B2" s="40"/>
      <c r="C2" s="184" t="s">
        <v>232</v>
      </c>
      <c r="D2" s="184"/>
      <c r="E2" s="184"/>
      <c r="F2" s="184"/>
      <c r="G2" s="184"/>
      <c r="H2" s="184"/>
      <c r="I2" s="184"/>
      <c r="J2" s="184"/>
      <c r="K2" s="184"/>
      <c r="L2" s="184"/>
      <c r="M2" s="184"/>
      <c r="N2" s="184"/>
      <c r="O2" s="184"/>
      <c r="P2" s="184"/>
    </row>
    <row r="3" spans="1:17">
      <c r="A3" s="31"/>
      <c r="B3" s="185"/>
      <c r="C3" s="186" t="s">
        <v>233</v>
      </c>
      <c r="D3" s="186"/>
      <c r="E3" s="186"/>
      <c r="F3" s="186"/>
      <c r="G3" s="186"/>
      <c r="H3" s="186"/>
      <c r="I3" s="186"/>
      <c r="J3" s="186"/>
      <c r="K3" s="186"/>
      <c r="L3" s="186"/>
      <c r="M3" s="186"/>
      <c r="N3" s="186"/>
      <c r="O3" s="186"/>
      <c r="P3" s="186"/>
    </row>
    <row r="4" spans="1:17">
      <c r="A4" s="31"/>
      <c r="B4" s="185"/>
      <c r="C4" s="186" t="s">
        <v>234</v>
      </c>
      <c r="D4" s="186"/>
      <c r="E4" s="186"/>
      <c r="F4" s="186"/>
      <c r="G4" s="186"/>
      <c r="H4" s="186"/>
      <c r="I4" s="186"/>
      <c r="J4" s="186"/>
      <c r="K4" s="186"/>
      <c r="L4" s="186"/>
      <c r="M4" s="186"/>
      <c r="N4" s="186"/>
      <c r="O4" s="186"/>
      <c r="P4" s="186"/>
    </row>
    <row r="5" spans="1:17">
      <c r="A5" s="41"/>
      <c r="B5" s="42"/>
      <c r="C5" s="187" t="s">
        <v>235</v>
      </c>
      <c r="D5" s="187"/>
      <c r="E5" s="187"/>
      <c r="F5" s="187"/>
      <c r="G5" s="187"/>
      <c r="H5" s="187"/>
      <c r="I5" s="187"/>
      <c r="J5" s="187"/>
      <c r="K5" s="187"/>
      <c r="L5" s="187"/>
      <c r="M5" s="187"/>
      <c r="N5" s="187"/>
      <c r="O5" s="187"/>
      <c r="P5" s="187"/>
    </row>
    <row r="6" spans="1:17" s="43" customFormat="1" ht="30" customHeight="1">
      <c r="A6" s="188" t="s">
        <v>236</v>
      </c>
      <c r="B6" s="188"/>
      <c r="C6" s="188"/>
      <c r="D6" s="188"/>
      <c r="E6" s="188"/>
      <c r="F6" s="188"/>
      <c r="G6" s="188"/>
      <c r="H6" s="188"/>
      <c r="I6" s="188"/>
      <c r="J6" s="188"/>
      <c r="K6" s="188"/>
      <c r="L6" s="188"/>
      <c r="M6" s="188"/>
      <c r="N6" s="188"/>
      <c r="O6" s="188"/>
      <c r="P6" s="188"/>
    </row>
    <row r="7" spans="1:17" s="43" customFormat="1" ht="39" customHeight="1">
      <c r="A7" s="179" t="s">
        <v>317</v>
      </c>
      <c r="B7" s="180"/>
      <c r="C7" s="180"/>
      <c r="D7" s="180"/>
      <c r="E7" s="180"/>
      <c r="F7" s="180"/>
      <c r="G7" s="180"/>
      <c r="H7" s="180"/>
      <c r="I7" s="180"/>
      <c r="J7" s="180"/>
      <c r="K7" s="180"/>
      <c r="L7" s="181"/>
      <c r="M7" s="44" t="s">
        <v>238</v>
      </c>
      <c r="N7" s="45"/>
      <c r="O7" s="46"/>
      <c r="P7" s="47" t="s">
        <v>319</v>
      </c>
    </row>
    <row r="8" spans="1:17" s="43" customFormat="1" ht="18.75" customHeight="1">
      <c r="A8" s="179" t="s">
        <v>239</v>
      </c>
      <c r="B8" s="180"/>
      <c r="C8" s="180"/>
      <c r="D8" s="180"/>
      <c r="E8" s="180"/>
      <c r="F8" s="180"/>
      <c r="G8" s="180"/>
      <c r="H8" s="180"/>
      <c r="I8" s="180"/>
      <c r="J8" s="180"/>
      <c r="K8" s="180"/>
      <c r="L8" s="181"/>
      <c r="M8" s="44" t="s">
        <v>240</v>
      </c>
      <c r="N8" s="48"/>
      <c r="O8" s="48"/>
      <c r="P8" s="49" t="s">
        <v>241</v>
      </c>
    </row>
    <row r="9" spans="1:17" s="43" customFormat="1" ht="18.75" customHeight="1">
      <c r="A9" s="179" t="s">
        <v>242</v>
      </c>
      <c r="B9" s="180"/>
      <c r="C9" s="180"/>
      <c r="D9" s="180"/>
      <c r="E9" s="180"/>
      <c r="F9" s="180"/>
      <c r="G9" s="180"/>
      <c r="H9" s="180"/>
      <c r="I9" s="180"/>
      <c r="J9" s="180"/>
      <c r="K9" s="180"/>
      <c r="L9" s="181"/>
      <c r="M9" s="44" t="s">
        <v>243</v>
      </c>
      <c r="N9" s="45"/>
      <c r="O9" s="46"/>
      <c r="P9" s="50" t="s">
        <v>244</v>
      </c>
    </row>
    <row r="10" spans="1:17" s="43" customFormat="1" ht="28.5" customHeight="1">
      <c r="A10" s="179" t="s">
        <v>245</v>
      </c>
      <c r="B10" s="180"/>
      <c r="C10" s="179" t="s">
        <v>246</v>
      </c>
      <c r="D10" s="180"/>
      <c r="E10" s="180"/>
      <c r="F10" s="180"/>
      <c r="G10" s="180"/>
      <c r="H10" s="180"/>
      <c r="I10" s="180"/>
      <c r="J10" s="180"/>
      <c r="K10" s="180"/>
      <c r="L10" s="181"/>
      <c r="M10" s="51" t="s">
        <v>247</v>
      </c>
      <c r="N10" s="182" t="s">
        <v>318</v>
      </c>
      <c r="O10" s="182"/>
      <c r="P10" s="183"/>
    </row>
    <row r="11" spans="1:17" s="43" customFormat="1" ht="12.75" customHeight="1">
      <c r="A11" s="165" t="s">
        <v>248</v>
      </c>
      <c r="B11" s="165" t="s">
        <v>249</v>
      </c>
      <c r="C11" s="166" t="s">
        <v>250</v>
      </c>
      <c r="D11" s="166" t="s">
        <v>251</v>
      </c>
      <c r="E11" s="177" t="s">
        <v>252</v>
      </c>
      <c r="F11" s="177"/>
      <c r="G11" s="177"/>
      <c r="H11" s="177"/>
      <c r="I11" s="164" t="s">
        <v>253</v>
      </c>
      <c r="J11" s="164" t="s">
        <v>254</v>
      </c>
      <c r="K11" s="166" t="s">
        <v>255</v>
      </c>
      <c r="L11" s="168" t="s">
        <v>256</v>
      </c>
      <c r="M11" s="170" t="s">
        <v>257</v>
      </c>
      <c r="N11" s="52"/>
      <c r="O11" s="172" t="s">
        <v>283</v>
      </c>
      <c r="P11" s="174" t="s">
        <v>258</v>
      </c>
    </row>
    <row r="12" spans="1:17" s="43" customFormat="1" ht="27" customHeight="1">
      <c r="A12" s="176"/>
      <c r="B12" s="176"/>
      <c r="C12" s="167"/>
      <c r="D12" s="167" t="s">
        <v>251</v>
      </c>
      <c r="E12" s="53" t="s">
        <v>16</v>
      </c>
      <c r="F12" s="53" t="s">
        <v>59</v>
      </c>
      <c r="G12" s="53" t="s">
        <v>202</v>
      </c>
      <c r="H12" s="53" t="s">
        <v>259</v>
      </c>
      <c r="I12" s="164"/>
      <c r="J12" s="164"/>
      <c r="K12" s="167"/>
      <c r="L12" s="169"/>
      <c r="M12" s="171"/>
      <c r="N12" s="54" t="s">
        <v>282</v>
      </c>
      <c r="O12" s="173"/>
      <c r="P12" s="175"/>
    </row>
    <row r="13" spans="1:17" s="43" customFormat="1" ht="12.75">
      <c r="A13" s="176"/>
      <c r="B13" s="176"/>
      <c r="C13" s="167"/>
      <c r="D13" s="167"/>
      <c r="E13" s="178" t="s">
        <v>260</v>
      </c>
      <c r="F13" s="178"/>
      <c r="G13" s="178" t="s">
        <v>261</v>
      </c>
      <c r="H13" s="178"/>
      <c r="I13" s="165"/>
      <c r="J13" s="165"/>
      <c r="K13" s="167"/>
      <c r="L13" s="169"/>
      <c r="M13" s="171"/>
      <c r="N13" s="55"/>
      <c r="O13" s="173"/>
      <c r="P13" s="175"/>
    </row>
    <row r="14" spans="1:17" s="43" customFormat="1" ht="12.75">
      <c r="A14" s="56"/>
      <c r="B14" s="56"/>
      <c r="C14" s="57"/>
      <c r="D14" s="57"/>
      <c r="E14" s="58"/>
      <c r="F14" s="58"/>
      <c r="G14" s="58"/>
      <c r="H14" s="58"/>
      <c r="I14" s="56"/>
      <c r="J14" s="56"/>
      <c r="K14" s="57"/>
      <c r="L14" s="59"/>
      <c r="M14" s="60"/>
      <c r="N14" s="61"/>
      <c r="O14" s="61"/>
      <c r="P14" s="62"/>
    </row>
    <row r="15" spans="1:17" s="67" customFormat="1" ht="12.75">
      <c r="A15" s="63"/>
      <c r="B15" s="64" t="s">
        <v>15</v>
      </c>
      <c r="C15" s="63"/>
      <c r="D15" s="63"/>
      <c r="E15" s="63"/>
      <c r="F15" s="63"/>
      <c r="G15" s="63"/>
      <c r="H15" s="63"/>
      <c r="I15" s="63"/>
      <c r="J15" s="63"/>
      <c r="K15" s="63"/>
      <c r="L15" s="63"/>
      <c r="M15" s="63"/>
      <c r="N15" s="65"/>
      <c r="O15" s="65"/>
      <c r="P15" s="63"/>
      <c r="Q15" s="66"/>
    </row>
    <row r="16" spans="1:17" s="67" customFormat="1" ht="25.5">
      <c r="A16" s="63"/>
      <c r="B16" s="64" t="s">
        <v>17</v>
      </c>
      <c r="C16" s="63"/>
      <c r="D16" s="63"/>
      <c r="E16" s="63"/>
      <c r="F16" s="63"/>
      <c r="G16" s="63"/>
      <c r="H16" s="63"/>
      <c r="I16" s="63"/>
      <c r="J16" s="63"/>
      <c r="K16" s="63"/>
      <c r="L16" s="63"/>
      <c r="M16" s="63"/>
      <c r="N16" s="65"/>
      <c r="O16" s="65"/>
      <c r="P16" s="63"/>
      <c r="Q16" s="66"/>
    </row>
    <row r="17" spans="1:17" s="67" customFormat="1" ht="25.5">
      <c r="A17" s="63"/>
      <c r="B17" s="64" t="s">
        <v>18</v>
      </c>
      <c r="C17" s="63" t="s">
        <v>19</v>
      </c>
      <c r="D17" s="63" t="s">
        <v>284</v>
      </c>
      <c r="E17" s="63">
        <v>1250</v>
      </c>
      <c r="F17" s="63">
        <v>1250</v>
      </c>
      <c r="G17" s="63"/>
      <c r="H17" s="63"/>
      <c r="I17" s="63"/>
      <c r="J17" s="63">
        <v>200</v>
      </c>
      <c r="K17" s="63">
        <v>1.1499999999999999</v>
      </c>
      <c r="L17" s="63" t="s">
        <v>22</v>
      </c>
      <c r="M17" s="63">
        <v>6</v>
      </c>
      <c r="N17" s="65">
        <v>2756250</v>
      </c>
      <c r="O17" s="65">
        <f>N17*M17</f>
        <v>16537500</v>
      </c>
      <c r="P17" s="63" t="s">
        <v>285</v>
      </c>
      <c r="Q17" s="66"/>
    </row>
    <row r="18" spans="1:17" s="67" customFormat="1" ht="25.5">
      <c r="A18" s="63"/>
      <c r="B18" s="64" t="s">
        <v>23</v>
      </c>
      <c r="C18" s="63" t="s">
        <v>19</v>
      </c>
      <c r="D18" s="63" t="s">
        <v>284</v>
      </c>
      <c r="E18" s="63">
        <v>1700</v>
      </c>
      <c r="F18" s="63">
        <v>600</v>
      </c>
      <c r="G18" s="63"/>
      <c r="H18" s="63"/>
      <c r="I18" s="63"/>
      <c r="J18" s="63">
        <v>200</v>
      </c>
      <c r="K18" s="63">
        <v>1.1499999999999999</v>
      </c>
      <c r="L18" s="63" t="s">
        <v>22</v>
      </c>
      <c r="M18" s="63">
        <v>2</v>
      </c>
      <c r="N18" s="65">
        <v>2239250</v>
      </c>
      <c r="O18" s="65">
        <f t="shared" ref="O18:O81" si="0">N18*M18</f>
        <v>4478500</v>
      </c>
      <c r="P18" s="63" t="s">
        <v>285</v>
      </c>
      <c r="Q18" s="66"/>
    </row>
    <row r="19" spans="1:17" s="67" customFormat="1" ht="25.5">
      <c r="A19" s="63"/>
      <c r="B19" s="64" t="s">
        <v>24</v>
      </c>
      <c r="C19" s="63" t="s">
        <v>19</v>
      </c>
      <c r="D19" s="63" t="s">
        <v>284</v>
      </c>
      <c r="E19" s="63">
        <v>1250</v>
      </c>
      <c r="F19" s="63">
        <v>350</v>
      </c>
      <c r="G19" s="63"/>
      <c r="H19" s="63"/>
      <c r="I19" s="63"/>
      <c r="J19" s="63">
        <v>200</v>
      </c>
      <c r="K19" s="63">
        <v>1.1499999999999999</v>
      </c>
      <c r="L19" s="63" t="s">
        <v>22</v>
      </c>
      <c r="M19" s="63">
        <v>1</v>
      </c>
      <c r="N19" s="65">
        <v>1454700</v>
      </c>
      <c r="O19" s="65">
        <f t="shared" si="0"/>
        <v>1454700</v>
      </c>
      <c r="P19" s="63" t="s">
        <v>285</v>
      </c>
      <c r="Q19" s="66"/>
    </row>
    <row r="20" spans="1:17" s="67" customFormat="1" ht="156" customHeight="1">
      <c r="A20" s="63"/>
      <c r="B20" s="64" t="s">
        <v>25</v>
      </c>
      <c r="C20" s="63" t="s">
        <v>262</v>
      </c>
      <c r="D20" s="63" t="s">
        <v>284</v>
      </c>
      <c r="E20" s="63">
        <v>1250</v>
      </c>
      <c r="F20" s="63">
        <v>1250</v>
      </c>
      <c r="G20" s="63">
        <v>1250</v>
      </c>
      <c r="H20" s="63">
        <f>F20/2</f>
        <v>625</v>
      </c>
      <c r="I20" s="63">
        <v>2</v>
      </c>
      <c r="J20" s="63">
        <v>200</v>
      </c>
      <c r="K20" s="63">
        <v>1.1499999999999999</v>
      </c>
      <c r="L20" s="63" t="s">
        <v>22</v>
      </c>
      <c r="M20" s="63">
        <v>6</v>
      </c>
      <c r="N20" s="65">
        <v>14237495.805369128</v>
      </c>
      <c r="O20" s="65">
        <f t="shared" si="0"/>
        <v>85424974.832214773</v>
      </c>
      <c r="P20" s="63" t="s">
        <v>286</v>
      </c>
      <c r="Q20" s="66"/>
    </row>
    <row r="21" spans="1:17" s="67" customFormat="1" ht="76.5">
      <c r="A21" s="63"/>
      <c r="B21" s="64" t="s">
        <v>28</v>
      </c>
      <c r="C21" s="63" t="s">
        <v>262</v>
      </c>
      <c r="D21" s="63" t="s">
        <v>284</v>
      </c>
      <c r="E21" s="63">
        <v>1700</v>
      </c>
      <c r="F21" s="63">
        <v>600</v>
      </c>
      <c r="G21" s="63">
        <f>E21/2</f>
        <v>850</v>
      </c>
      <c r="H21" s="63">
        <v>600</v>
      </c>
      <c r="I21" s="63">
        <v>2</v>
      </c>
      <c r="J21" s="63">
        <v>200</v>
      </c>
      <c r="K21" s="63">
        <v>1.1499999999999999</v>
      </c>
      <c r="L21" s="63" t="s">
        <v>22</v>
      </c>
      <c r="M21" s="63">
        <v>2</v>
      </c>
      <c r="N21" s="65">
        <v>12356884.359731544</v>
      </c>
      <c r="O21" s="65">
        <f t="shared" si="0"/>
        <v>24713768.719463088</v>
      </c>
      <c r="P21" s="63" t="s">
        <v>286</v>
      </c>
      <c r="Q21" s="66"/>
    </row>
    <row r="22" spans="1:17" s="67" customFormat="1" ht="76.5">
      <c r="A22" s="63"/>
      <c r="B22" s="64" t="s">
        <v>29</v>
      </c>
      <c r="C22" s="63" t="s">
        <v>262</v>
      </c>
      <c r="D22" s="63" t="s">
        <v>284</v>
      </c>
      <c r="E22" s="63">
        <v>1200</v>
      </c>
      <c r="F22" s="63">
        <v>350</v>
      </c>
      <c r="G22" s="63"/>
      <c r="H22" s="63"/>
      <c r="I22" s="63"/>
      <c r="J22" s="63">
        <v>200</v>
      </c>
      <c r="K22" s="63">
        <v>1.1499999999999999</v>
      </c>
      <c r="L22" s="63" t="s">
        <v>22</v>
      </c>
      <c r="M22" s="63">
        <v>1</v>
      </c>
      <c r="N22" s="65">
        <v>6006398.5342281889</v>
      </c>
      <c r="O22" s="65">
        <f t="shared" si="0"/>
        <v>6006398.5342281889</v>
      </c>
      <c r="P22" s="63" t="s">
        <v>287</v>
      </c>
      <c r="Q22" s="66"/>
    </row>
    <row r="23" spans="1:17" s="67" customFormat="1" ht="76.5">
      <c r="A23" s="63"/>
      <c r="B23" s="64" t="s">
        <v>30</v>
      </c>
      <c r="C23" s="63" t="s">
        <v>262</v>
      </c>
      <c r="D23" s="63" t="s">
        <v>284</v>
      </c>
      <c r="E23" s="63">
        <v>950</v>
      </c>
      <c r="F23" s="63">
        <v>400</v>
      </c>
      <c r="G23" s="63"/>
      <c r="H23" s="63"/>
      <c r="I23" s="63"/>
      <c r="J23" s="63">
        <v>200</v>
      </c>
      <c r="K23" s="63">
        <v>1.1499999999999999</v>
      </c>
      <c r="L23" s="63" t="s">
        <v>22</v>
      </c>
      <c r="M23" s="63">
        <v>3</v>
      </c>
      <c r="N23" s="65">
        <v>5788016.1234899331</v>
      </c>
      <c r="O23" s="65">
        <f t="shared" si="0"/>
        <v>17364048.370469801</v>
      </c>
      <c r="P23" s="63" t="s">
        <v>287</v>
      </c>
      <c r="Q23" s="66"/>
    </row>
    <row r="24" spans="1:17" s="67" customFormat="1" ht="76.5">
      <c r="A24" s="63"/>
      <c r="B24" s="64" t="s">
        <v>31</v>
      </c>
      <c r="C24" s="63" t="s">
        <v>262</v>
      </c>
      <c r="D24" s="63" t="s">
        <v>284</v>
      </c>
      <c r="E24" s="63">
        <v>950</v>
      </c>
      <c r="F24" s="63">
        <v>500</v>
      </c>
      <c r="G24" s="63"/>
      <c r="H24" s="63"/>
      <c r="I24" s="63"/>
      <c r="J24" s="63">
        <v>200</v>
      </c>
      <c r="K24" s="63">
        <v>1.1499999999999999</v>
      </c>
      <c r="L24" s="63" t="s">
        <v>22</v>
      </c>
      <c r="M24" s="63">
        <v>6</v>
      </c>
      <c r="N24" s="65">
        <v>6088822</v>
      </c>
      <c r="O24" s="65">
        <f t="shared" si="0"/>
        <v>36532932</v>
      </c>
      <c r="P24" s="63" t="s">
        <v>287</v>
      </c>
      <c r="Q24" s="66"/>
    </row>
    <row r="25" spans="1:17" s="67" customFormat="1" ht="76.5">
      <c r="A25" s="63"/>
      <c r="B25" s="64" t="s">
        <v>32</v>
      </c>
      <c r="C25" s="63" t="s">
        <v>262</v>
      </c>
      <c r="D25" s="63" t="s">
        <v>284</v>
      </c>
      <c r="E25" s="63">
        <v>950</v>
      </c>
      <c r="F25" s="63">
        <v>200</v>
      </c>
      <c r="G25" s="63"/>
      <c r="H25" s="63"/>
      <c r="I25" s="63"/>
      <c r="J25" s="63">
        <v>200</v>
      </c>
      <c r="K25" s="63">
        <v>1.1499999999999999</v>
      </c>
      <c r="L25" s="63" t="s">
        <v>22</v>
      </c>
      <c r="M25" s="63">
        <v>9</v>
      </c>
      <c r="N25" s="65">
        <v>5185204.3704697983</v>
      </c>
      <c r="O25" s="65">
        <f t="shared" si="0"/>
        <v>46666839.334228188</v>
      </c>
      <c r="P25" s="63" t="s">
        <v>287</v>
      </c>
      <c r="Q25" s="66"/>
    </row>
    <row r="26" spans="1:17" s="67" customFormat="1" ht="76.5">
      <c r="A26" s="63"/>
      <c r="B26" s="64" t="s">
        <v>33</v>
      </c>
      <c r="C26" s="63" t="s">
        <v>262</v>
      </c>
      <c r="D26" s="63" t="s">
        <v>284</v>
      </c>
      <c r="E26" s="63">
        <v>950</v>
      </c>
      <c r="F26" s="63">
        <v>300</v>
      </c>
      <c r="G26" s="63"/>
      <c r="H26" s="63"/>
      <c r="I26" s="63"/>
      <c r="J26" s="63">
        <v>200</v>
      </c>
      <c r="K26" s="63">
        <v>1.1499999999999999</v>
      </c>
      <c r="L26" s="63" t="s">
        <v>22</v>
      </c>
      <c r="M26" s="63">
        <v>12</v>
      </c>
      <c r="N26" s="65">
        <v>5486010.2469798662</v>
      </c>
      <c r="O26" s="65">
        <f t="shared" si="0"/>
        <v>65832122.963758394</v>
      </c>
      <c r="P26" s="63" t="s">
        <v>287</v>
      </c>
      <c r="Q26" s="66"/>
    </row>
    <row r="27" spans="1:17" s="67" customFormat="1" ht="25.5">
      <c r="A27" s="63"/>
      <c r="B27" s="64" t="s">
        <v>34</v>
      </c>
      <c r="C27" s="63" t="s">
        <v>35</v>
      </c>
      <c r="D27" s="63" t="s">
        <v>284</v>
      </c>
      <c r="E27" s="63">
        <v>2000</v>
      </c>
      <c r="F27" s="63">
        <v>500</v>
      </c>
      <c r="G27" s="63"/>
      <c r="H27" s="63"/>
      <c r="I27" s="63"/>
      <c r="J27" s="63">
        <v>200</v>
      </c>
      <c r="K27" s="63">
        <v>1.1499999999999999</v>
      </c>
      <c r="L27" s="63" t="s">
        <v>22</v>
      </c>
      <c r="M27" s="63">
        <v>1</v>
      </c>
      <c r="N27" s="65">
        <v>2450000</v>
      </c>
      <c r="O27" s="65">
        <f t="shared" si="0"/>
        <v>2450000</v>
      </c>
      <c r="P27" s="63" t="s">
        <v>288</v>
      </c>
      <c r="Q27" s="66"/>
    </row>
    <row r="28" spans="1:17" s="67" customFormat="1" ht="25.5">
      <c r="A28" s="63"/>
      <c r="B28" s="64" t="s">
        <v>36</v>
      </c>
      <c r="C28" s="63" t="s">
        <v>35</v>
      </c>
      <c r="D28" s="63" t="s">
        <v>284</v>
      </c>
      <c r="E28" s="63">
        <v>1300</v>
      </c>
      <c r="F28" s="63">
        <v>400</v>
      </c>
      <c r="G28" s="63"/>
      <c r="H28" s="63"/>
      <c r="I28" s="63"/>
      <c r="J28" s="63">
        <v>200</v>
      </c>
      <c r="K28" s="63">
        <v>1.1499999999999999</v>
      </c>
      <c r="L28" s="63" t="s">
        <v>22</v>
      </c>
      <c r="M28" s="63">
        <v>2</v>
      </c>
      <c r="N28" s="65">
        <v>1700300</v>
      </c>
      <c r="O28" s="65">
        <f t="shared" si="0"/>
        <v>3400600</v>
      </c>
      <c r="P28" s="63" t="s">
        <v>288</v>
      </c>
      <c r="Q28" s="66"/>
    </row>
    <row r="29" spans="1:17" s="67" customFormat="1" ht="25.5">
      <c r="A29" s="63"/>
      <c r="B29" s="64" t="s">
        <v>37</v>
      </c>
      <c r="C29" s="63" t="s">
        <v>35</v>
      </c>
      <c r="D29" s="63" t="s">
        <v>284</v>
      </c>
      <c r="E29" s="63">
        <v>1600</v>
      </c>
      <c r="F29" s="63">
        <v>400</v>
      </c>
      <c r="G29" s="63"/>
      <c r="H29" s="63"/>
      <c r="I29" s="63"/>
      <c r="J29" s="63">
        <v>200</v>
      </c>
      <c r="K29" s="63">
        <v>1.1499999999999999</v>
      </c>
      <c r="L29" s="63" t="s">
        <v>22</v>
      </c>
      <c r="M29" s="63">
        <v>1</v>
      </c>
      <c r="N29" s="65">
        <v>1935050</v>
      </c>
      <c r="O29" s="65">
        <f t="shared" si="0"/>
        <v>1935050</v>
      </c>
      <c r="P29" s="63" t="s">
        <v>288</v>
      </c>
      <c r="Q29" s="66"/>
    </row>
    <row r="30" spans="1:17" s="67" customFormat="1" ht="25.5">
      <c r="A30" s="63"/>
      <c r="B30" s="64" t="s">
        <v>38</v>
      </c>
      <c r="C30" s="63" t="s">
        <v>35</v>
      </c>
      <c r="D30" s="63" t="s">
        <v>284</v>
      </c>
      <c r="E30" s="63">
        <v>1600</v>
      </c>
      <c r="F30" s="63">
        <v>450</v>
      </c>
      <c r="G30" s="63"/>
      <c r="H30" s="63"/>
      <c r="I30" s="63"/>
      <c r="J30" s="63">
        <v>200</v>
      </c>
      <c r="K30" s="63">
        <v>1.1499999999999999</v>
      </c>
      <c r="L30" s="63" t="s">
        <v>22</v>
      </c>
      <c r="M30" s="63">
        <v>1</v>
      </c>
      <c r="N30" s="65">
        <v>2020250</v>
      </c>
      <c r="O30" s="65">
        <f t="shared" si="0"/>
        <v>2020250</v>
      </c>
      <c r="P30" s="63" t="s">
        <v>288</v>
      </c>
      <c r="Q30" s="66"/>
    </row>
    <row r="31" spans="1:17" s="67" customFormat="1" ht="25.5">
      <c r="A31" s="63"/>
      <c r="B31" s="64" t="s">
        <v>39</v>
      </c>
      <c r="C31" s="63" t="s">
        <v>35</v>
      </c>
      <c r="D31" s="63" t="s">
        <v>284</v>
      </c>
      <c r="E31" s="63">
        <v>900</v>
      </c>
      <c r="F31" s="63">
        <v>350</v>
      </c>
      <c r="G31" s="63"/>
      <c r="H31" s="63"/>
      <c r="I31" s="63"/>
      <c r="J31" s="63">
        <v>200</v>
      </c>
      <c r="K31" s="63">
        <v>0.75</v>
      </c>
      <c r="L31" s="63" t="s">
        <v>22</v>
      </c>
      <c r="M31" s="63">
        <v>5</v>
      </c>
      <c r="N31" s="65">
        <v>840800</v>
      </c>
      <c r="O31" s="65">
        <f t="shared" si="0"/>
        <v>4204000</v>
      </c>
      <c r="P31" s="63" t="s">
        <v>288</v>
      </c>
      <c r="Q31" s="66"/>
    </row>
    <row r="32" spans="1:17" s="67" customFormat="1" ht="25.5">
      <c r="A32" s="63"/>
      <c r="B32" s="64" t="s">
        <v>40</v>
      </c>
      <c r="C32" s="63" t="s">
        <v>35</v>
      </c>
      <c r="D32" s="63" t="s">
        <v>284</v>
      </c>
      <c r="E32" s="63">
        <v>600</v>
      </c>
      <c r="F32" s="63">
        <v>300</v>
      </c>
      <c r="G32" s="63"/>
      <c r="H32" s="63"/>
      <c r="I32" s="63"/>
      <c r="J32" s="63">
        <v>200</v>
      </c>
      <c r="K32" s="63">
        <v>0.75</v>
      </c>
      <c r="L32" s="63" t="s">
        <v>22</v>
      </c>
      <c r="M32" s="63">
        <v>1</v>
      </c>
      <c r="N32" s="65">
        <v>594400</v>
      </c>
      <c r="O32" s="65">
        <f t="shared" si="0"/>
        <v>594400</v>
      </c>
      <c r="P32" s="63" t="s">
        <v>288</v>
      </c>
      <c r="Q32" s="66"/>
    </row>
    <row r="33" spans="1:17" s="67" customFormat="1" ht="25.5">
      <c r="A33" s="63"/>
      <c r="B33" s="64" t="s">
        <v>41</v>
      </c>
      <c r="C33" s="63"/>
      <c r="D33" s="63" t="s">
        <v>284</v>
      </c>
      <c r="E33" s="63"/>
      <c r="F33" s="63"/>
      <c r="G33" s="63"/>
      <c r="H33" s="63"/>
      <c r="I33" s="63"/>
      <c r="J33" s="63"/>
      <c r="K33" s="63"/>
      <c r="L33" s="63" t="s">
        <v>22</v>
      </c>
      <c r="M33" s="63">
        <v>112</v>
      </c>
      <c r="N33" s="65"/>
      <c r="O33" s="65">
        <f t="shared" si="0"/>
        <v>0</v>
      </c>
      <c r="P33" s="63"/>
      <c r="Q33" s="66"/>
    </row>
    <row r="34" spans="1:17" s="67" customFormat="1" ht="25.5">
      <c r="A34" s="63"/>
      <c r="B34" s="64" t="s">
        <v>44</v>
      </c>
      <c r="C34" s="63" t="s">
        <v>289</v>
      </c>
      <c r="D34" s="63" t="s">
        <v>284</v>
      </c>
      <c r="E34" s="63">
        <v>1200</v>
      </c>
      <c r="F34" s="63">
        <v>600</v>
      </c>
      <c r="G34" s="63">
        <f t="shared" ref="G34:H36" si="1">E34-50</f>
        <v>1150</v>
      </c>
      <c r="H34" s="63">
        <f t="shared" si="1"/>
        <v>550</v>
      </c>
      <c r="I34" s="63"/>
      <c r="J34" s="63"/>
      <c r="K34" s="63"/>
      <c r="L34" s="63" t="s">
        <v>22</v>
      </c>
      <c r="M34" s="63">
        <v>2</v>
      </c>
      <c r="N34" s="65">
        <v>1062000</v>
      </c>
      <c r="O34" s="65">
        <f t="shared" si="0"/>
        <v>2124000</v>
      </c>
      <c r="P34" s="63" t="s">
        <v>290</v>
      </c>
      <c r="Q34" s="66"/>
    </row>
    <row r="35" spans="1:17" s="67" customFormat="1" ht="25.5">
      <c r="A35" s="63"/>
      <c r="B35" s="64" t="s">
        <v>46</v>
      </c>
      <c r="C35" s="63" t="s">
        <v>289</v>
      </c>
      <c r="D35" s="63" t="s">
        <v>284</v>
      </c>
      <c r="E35" s="63">
        <v>1000</v>
      </c>
      <c r="F35" s="63">
        <v>600</v>
      </c>
      <c r="G35" s="63">
        <f t="shared" si="1"/>
        <v>950</v>
      </c>
      <c r="H35" s="63">
        <f t="shared" si="1"/>
        <v>550</v>
      </c>
      <c r="I35" s="63"/>
      <c r="J35" s="63"/>
      <c r="K35" s="63"/>
      <c r="L35" s="63" t="s">
        <v>22</v>
      </c>
      <c r="M35" s="63">
        <v>52</v>
      </c>
      <c r="N35" s="65">
        <v>896000</v>
      </c>
      <c r="O35" s="65">
        <f t="shared" si="0"/>
        <v>46592000</v>
      </c>
      <c r="P35" s="63" t="s">
        <v>290</v>
      </c>
      <c r="Q35" s="66"/>
    </row>
    <row r="36" spans="1:17" s="67" customFormat="1" ht="12.75">
      <c r="A36" s="63"/>
      <c r="B36" s="64" t="s">
        <v>48</v>
      </c>
      <c r="C36" s="63" t="s">
        <v>291</v>
      </c>
      <c r="D36" s="63" t="s">
        <v>284</v>
      </c>
      <c r="E36" s="63">
        <v>7500</v>
      </c>
      <c r="F36" s="63">
        <v>500</v>
      </c>
      <c r="G36" s="63">
        <f t="shared" si="1"/>
        <v>7450</v>
      </c>
      <c r="H36" s="63">
        <f t="shared" si="1"/>
        <v>450</v>
      </c>
      <c r="I36" s="63"/>
      <c r="J36" s="63"/>
      <c r="K36" s="63"/>
      <c r="L36" s="63" t="s">
        <v>22</v>
      </c>
      <c r="M36" s="63">
        <v>1</v>
      </c>
      <c r="N36" s="65">
        <v>5097000</v>
      </c>
      <c r="O36" s="65">
        <f t="shared" si="0"/>
        <v>5097000</v>
      </c>
      <c r="P36" s="63" t="s">
        <v>292</v>
      </c>
      <c r="Q36" s="66"/>
    </row>
    <row r="37" spans="1:17" s="67" customFormat="1" ht="12.75">
      <c r="A37" s="63"/>
      <c r="B37" s="64" t="s">
        <v>50</v>
      </c>
      <c r="C37" s="63" t="s">
        <v>291</v>
      </c>
      <c r="D37" s="63" t="s">
        <v>284</v>
      </c>
      <c r="E37" s="63">
        <v>4500</v>
      </c>
      <c r="F37" s="63">
        <v>500</v>
      </c>
      <c r="G37" s="63">
        <f t="shared" ref="G37:G40" si="2">E37-50</f>
        <v>4450</v>
      </c>
      <c r="H37" s="63">
        <f t="shared" ref="H37:H40" si="3">F37-50</f>
        <v>450</v>
      </c>
      <c r="I37" s="63"/>
      <c r="J37" s="63"/>
      <c r="K37" s="63"/>
      <c r="L37" s="63" t="s">
        <v>22</v>
      </c>
      <c r="M37" s="63">
        <v>4</v>
      </c>
      <c r="N37" s="65">
        <v>3073000</v>
      </c>
      <c r="O37" s="65">
        <f t="shared" si="0"/>
        <v>12292000</v>
      </c>
      <c r="P37" s="63" t="s">
        <v>292</v>
      </c>
      <c r="Q37" s="66"/>
    </row>
    <row r="38" spans="1:17" s="67" customFormat="1" ht="12.75">
      <c r="A38" s="63"/>
      <c r="B38" s="64" t="s">
        <v>51</v>
      </c>
      <c r="C38" s="63" t="s">
        <v>291</v>
      </c>
      <c r="D38" s="63" t="s">
        <v>284</v>
      </c>
      <c r="E38" s="63">
        <v>4000</v>
      </c>
      <c r="F38" s="63">
        <v>500</v>
      </c>
      <c r="G38" s="63">
        <f t="shared" si="2"/>
        <v>3950</v>
      </c>
      <c r="H38" s="63">
        <f t="shared" si="3"/>
        <v>450</v>
      </c>
      <c r="I38" s="63"/>
      <c r="J38" s="63"/>
      <c r="K38" s="63"/>
      <c r="L38" s="63" t="s">
        <v>22</v>
      </c>
      <c r="M38" s="63">
        <v>4</v>
      </c>
      <c r="N38" s="65">
        <v>2737000</v>
      </c>
      <c r="O38" s="65">
        <f t="shared" si="0"/>
        <v>10948000</v>
      </c>
      <c r="P38" s="63" t="s">
        <v>292</v>
      </c>
      <c r="Q38" s="66"/>
    </row>
    <row r="39" spans="1:17" s="67" customFormat="1" ht="12.75">
      <c r="A39" s="63"/>
      <c r="B39" s="64" t="s">
        <v>52</v>
      </c>
      <c r="C39" s="63" t="s">
        <v>291</v>
      </c>
      <c r="D39" s="63" t="s">
        <v>284</v>
      </c>
      <c r="E39" s="63">
        <v>3000</v>
      </c>
      <c r="F39" s="63">
        <v>500</v>
      </c>
      <c r="G39" s="63">
        <f t="shared" si="2"/>
        <v>2950</v>
      </c>
      <c r="H39" s="63">
        <f t="shared" si="3"/>
        <v>450</v>
      </c>
      <c r="I39" s="63"/>
      <c r="J39" s="63"/>
      <c r="K39" s="63"/>
      <c r="L39" s="63" t="s">
        <v>22</v>
      </c>
      <c r="M39" s="63">
        <v>1</v>
      </c>
      <c r="N39" s="65">
        <v>2062000</v>
      </c>
      <c r="O39" s="65">
        <f t="shared" si="0"/>
        <v>2062000</v>
      </c>
      <c r="P39" s="63" t="s">
        <v>292</v>
      </c>
      <c r="Q39" s="66"/>
    </row>
    <row r="40" spans="1:17" s="67" customFormat="1" ht="12.75">
      <c r="A40" s="63"/>
      <c r="B40" s="64" t="s">
        <v>53</v>
      </c>
      <c r="C40" s="63" t="s">
        <v>291</v>
      </c>
      <c r="D40" s="63" t="s">
        <v>284</v>
      </c>
      <c r="E40" s="63">
        <v>2750</v>
      </c>
      <c r="F40" s="63">
        <v>750</v>
      </c>
      <c r="G40" s="63">
        <f t="shared" si="2"/>
        <v>2700</v>
      </c>
      <c r="H40" s="63">
        <f t="shared" si="3"/>
        <v>700</v>
      </c>
      <c r="I40" s="63"/>
      <c r="J40" s="63"/>
      <c r="K40" s="63"/>
      <c r="L40" s="63" t="s">
        <v>22</v>
      </c>
      <c r="M40" s="63">
        <v>2</v>
      </c>
      <c r="N40" s="65">
        <v>2842000</v>
      </c>
      <c r="O40" s="65">
        <f t="shared" si="0"/>
        <v>5684000</v>
      </c>
      <c r="P40" s="63" t="s">
        <v>293</v>
      </c>
      <c r="Q40" s="66"/>
    </row>
    <row r="41" spans="1:17" s="67" customFormat="1" ht="12.75">
      <c r="A41" s="63"/>
      <c r="B41" s="64" t="s">
        <v>54</v>
      </c>
      <c r="C41" s="63"/>
      <c r="D41" s="63"/>
      <c r="E41" s="63">
        <v>600</v>
      </c>
      <c r="F41" s="63">
        <v>300</v>
      </c>
      <c r="G41" s="63"/>
      <c r="H41" s="63"/>
      <c r="I41" s="63"/>
      <c r="J41" s="63">
        <v>200</v>
      </c>
      <c r="K41" s="63"/>
      <c r="L41" s="63" t="s">
        <v>22</v>
      </c>
      <c r="M41" s="63">
        <v>112</v>
      </c>
      <c r="N41" s="65"/>
      <c r="O41" s="65">
        <f t="shared" si="0"/>
        <v>0</v>
      </c>
      <c r="P41" s="63"/>
      <c r="Q41" s="66"/>
    </row>
    <row r="42" spans="1:17" s="67" customFormat="1" ht="12.75">
      <c r="A42" s="63"/>
      <c r="B42" s="64" t="s">
        <v>55</v>
      </c>
      <c r="C42" s="63"/>
      <c r="D42" s="63"/>
      <c r="E42" s="63">
        <v>1200</v>
      </c>
      <c r="F42" s="63">
        <v>600</v>
      </c>
      <c r="G42" s="63"/>
      <c r="H42" s="63"/>
      <c r="I42" s="63"/>
      <c r="J42" s="63">
        <v>200</v>
      </c>
      <c r="K42" s="63"/>
      <c r="L42" s="63" t="s">
        <v>22</v>
      </c>
      <c r="M42" s="63">
        <v>2</v>
      </c>
      <c r="N42" s="65"/>
      <c r="O42" s="65">
        <f t="shared" si="0"/>
        <v>0</v>
      </c>
      <c r="P42" s="63"/>
      <c r="Q42" s="66"/>
    </row>
    <row r="43" spans="1:17" s="67" customFormat="1" ht="12.75">
      <c r="A43" s="63"/>
      <c r="B43" s="64" t="s">
        <v>56</v>
      </c>
      <c r="C43" s="63"/>
      <c r="D43" s="63"/>
      <c r="E43" s="63">
        <v>1000</v>
      </c>
      <c r="F43" s="63">
        <v>300</v>
      </c>
      <c r="G43" s="63"/>
      <c r="H43" s="63"/>
      <c r="I43" s="63"/>
      <c r="J43" s="63">
        <v>200</v>
      </c>
      <c r="K43" s="63"/>
      <c r="L43" s="63" t="s">
        <v>22</v>
      </c>
      <c r="M43" s="63">
        <v>52</v>
      </c>
      <c r="N43" s="65"/>
      <c r="O43" s="65">
        <f t="shared" si="0"/>
        <v>0</v>
      </c>
      <c r="P43" s="63"/>
      <c r="Q43" s="66"/>
    </row>
    <row r="44" spans="1:17" s="67" customFormat="1" ht="12.75">
      <c r="A44" s="63"/>
      <c r="B44" s="64" t="s">
        <v>57</v>
      </c>
      <c r="C44" s="63"/>
      <c r="D44" s="63"/>
      <c r="E44" s="63"/>
      <c r="F44" s="63"/>
      <c r="G44" s="63"/>
      <c r="H44" s="63"/>
      <c r="I44" s="63"/>
      <c r="J44" s="63"/>
      <c r="K44" s="63"/>
      <c r="L44" s="63" t="s">
        <v>58</v>
      </c>
      <c r="M44" s="63">
        <v>1</v>
      </c>
      <c r="N44" s="65"/>
      <c r="O44" s="65">
        <f t="shared" si="0"/>
        <v>0</v>
      </c>
      <c r="P44" s="63"/>
      <c r="Q44" s="66"/>
    </row>
    <row r="45" spans="1:17" s="67" customFormat="1" ht="12.75">
      <c r="A45" s="63"/>
      <c r="B45" s="64" t="s">
        <v>60</v>
      </c>
      <c r="C45" s="63"/>
      <c r="D45" s="63"/>
      <c r="E45" s="63"/>
      <c r="F45" s="63"/>
      <c r="G45" s="63"/>
      <c r="H45" s="63"/>
      <c r="I45" s="63"/>
      <c r="J45" s="63"/>
      <c r="K45" s="63"/>
      <c r="L45" s="63"/>
      <c r="M45" s="63"/>
      <c r="N45" s="65"/>
      <c r="O45" s="65">
        <f t="shared" si="0"/>
        <v>0</v>
      </c>
      <c r="P45" s="63"/>
      <c r="Q45" s="66"/>
    </row>
    <row r="46" spans="1:17" s="67" customFormat="1" ht="25.5">
      <c r="A46" s="63"/>
      <c r="B46" s="64" t="s">
        <v>61</v>
      </c>
      <c r="C46" s="63" t="s">
        <v>19</v>
      </c>
      <c r="D46" s="63" t="s">
        <v>284</v>
      </c>
      <c r="E46" s="63">
        <v>300</v>
      </c>
      <c r="F46" s="63">
        <v>200</v>
      </c>
      <c r="G46" s="63"/>
      <c r="H46" s="63"/>
      <c r="I46" s="63"/>
      <c r="J46" s="63">
        <v>200</v>
      </c>
      <c r="K46" s="63">
        <v>0.75</v>
      </c>
      <c r="L46" s="63" t="s">
        <v>22</v>
      </c>
      <c r="M46" s="63">
        <v>1</v>
      </c>
      <c r="N46" s="65">
        <v>283200</v>
      </c>
      <c r="O46" s="65">
        <f t="shared" si="0"/>
        <v>283200</v>
      </c>
      <c r="P46" s="63" t="s">
        <v>285</v>
      </c>
      <c r="Q46" s="66"/>
    </row>
    <row r="47" spans="1:17" s="67" customFormat="1" ht="25.5">
      <c r="A47" s="63"/>
      <c r="B47" s="64" t="s">
        <v>63</v>
      </c>
      <c r="C47" s="63" t="s">
        <v>19</v>
      </c>
      <c r="D47" s="63" t="s">
        <v>284</v>
      </c>
      <c r="E47" s="63">
        <v>700</v>
      </c>
      <c r="F47" s="63">
        <v>500</v>
      </c>
      <c r="G47" s="63"/>
      <c r="H47" s="63"/>
      <c r="I47" s="63"/>
      <c r="J47" s="63">
        <v>200</v>
      </c>
      <c r="K47" s="63">
        <v>0.95</v>
      </c>
      <c r="L47" s="63" t="s">
        <v>22</v>
      </c>
      <c r="M47" s="63">
        <v>2</v>
      </c>
      <c r="N47" s="65">
        <v>846400</v>
      </c>
      <c r="O47" s="65">
        <f t="shared" si="0"/>
        <v>1692800</v>
      </c>
      <c r="P47" s="63" t="s">
        <v>285</v>
      </c>
      <c r="Q47" s="66"/>
    </row>
    <row r="48" spans="1:17" s="67" customFormat="1" ht="25.5">
      <c r="A48" s="63"/>
      <c r="B48" s="64" t="s">
        <v>64</v>
      </c>
      <c r="C48" s="63" t="s">
        <v>19</v>
      </c>
      <c r="D48" s="63" t="s">
        <v>284</v>
      </c>
      <c r="E48" s="63">
        <v>700</v>
      </c>
      <c r="F48" s="63">
        <v>800</v>
      </c>
      <c r="G48" s="63"/>
      <c r="H48" s="63"/>
      <c r="I48" s="63"/>
      <c r="J48" s="63">
        <v>200</v>
      </c>
      <c r="K48" s="63">
        <v>0.95</v>
      </c>
      <c r="L48" s="63" t="s">
        <v>22</v>
      </c>
      <c r="M48" s="63">
        <v>2</v>
      </c>
      <c r="N48" s="65">
        <v>1078200</v>
      </c>
      <c r="O48" s="65">
        <f t="shared" si="0"/>
        <v>2156400</v>
      </c>
      <c r="P48" s="63" t="s">
        <v>285</v>
      </c>
      <c r="Q48" s="66"/>
    </row>
    <row r="49" spans="1:17" s="67" customFormat="1" ht="25.5">
      <c r="A49" s="63"/>
      <c r="B49" s="64" t="s">
        <v>65</v>
      </c>
      <c r="C49" s="63" t="s">
        <v>19</v>
      </c>
      <c r="D49" s="63" t="s">
        <v>284</v>
      </c>
      <c r="E49" s="63">
        <v>250</v>
      </c>
      <c r="F49" s="63">
        <v>200</v>
      </c>
      <c r="G49" s="63"/>
      <c r="H49" s="63"/>
      <c r="I49" s="63"/>
      <c r="J49" s="63">
        <v>200</v>
      </c>
      <c r="K49" s="63">
        <v>0.75</v>
      </c>
      <c r="L49" s="63" t="s">
        <v>22</v>
      </c>
      <c r="M49" s="63">
        <v>1</v>
      </c>
      <c r="N49" s="65">
        <v>257400</v>
      </c>
      <c r="O49" s="65">
        <f t="shared" si="0"/>
        <v>257400</v>
      </c>
      <c r="P49" s="63" t="s">
        <v>285</v>
      </c>
      <c r="Q49" s="66"/>
    </row>
    <row r="50" spans="1:17" s="67" customFormat="1" ht="25.5">
      <c r="A50" s="63"/>
      <c r="B50" s="64" t="s">
        <v>66</v>
      </c>
      <c r="C50" s="63" t="s">
        <v>19</v>
      </c>
      <c r="D50" s="63" t="s">
        <v>284</v>
      </c>
      <c r="E50" s="63">
        <v>900</v>
      </c>
      <c r="F50" s="63">
        <v>400</v>
      </c>
      <c r="G50" s="63"/>
      <c r="H50" s="63"/>
      <c r="I50" s="63"/>
      <c r="J50" s="63">
        <v>200</v>
      </c>
      <c r="K50" s="63">
        <v>0.75</v>
      </c>
      <c r="L50" s="63" t="s">
        <v>22</v>
      </c>
      <c r="M50" s="63">
        <v>2</v>
      </c>
      <c r="N50" s="65">
        <v>831800</v>
      </c>
      <c r="O50" s="65">
        <f t="shared" si="0"/>
        <v>1663600</v>
      </c>
      <c r="P50" s="63" t="s">
        <v>285</v>
      </c>
      <c r="Q50" s="66"/>
    </row>
    <row r="51" spans="1:17" s="67" customFormat="1" ht="25.5">
      <c r="A51" s="63"/>
      <c r="B51" s="64" t="s">
        <v>67</v>
      </c>
      <c r="C51" s="63" t="s">
        <v>19</v>
      </c>
      <c r="D51" s="63" t="s">
        <v>284</v>
      </c>
      <c r="E51" s="63">
        <v>300</v>
      </c>
      <c r="F51" s="63">
        <v>300</v>
      </c>
      <c r="G51" s="63"/>
      <c r="H51" s="63"/>
      <c r="I51" s="63"/>
      <c r="J51" s="63">
        <v>200</v>
      </c>
      <c r="K51" s="63">
        <v>0.75</v>
      </c>
      <c r="L51" s="63" t="s">
        <v>22</v>
      </c>
      <c r="M51" s="63">
        <v>1</v>
      </c>
      <c r="N51" s="65">
        <v>378000</v>
      </c>
      <c r="O51" s="65">
        <f t="shared" si="0"/>
        <v>378000</v>
      </c>
      <c r="P51" s="63" t="s">
        <v>285</v>
      </c>
      <c r="Q51" s="66"/>
    </row>
    <row r="52" spans="1:17" s="67" customFormat="1" ht="25.5">
      <c r="A52" s="63"/>
      <c r="B52" s="64" t="s">
        <v>68</v>
      </c>
      <c r="C52" s="63" t="s">
        <v>19</v>
      </c>
      <c r="D52" s="63" t="s">
        <v>284</v>
      </c>
      <c r="E52" s="63">
        <v>350</v>
      </c>
      <c r="F52" s="63">
        <v>250</v>
      </c>
      <c r="G52" s="63"/>
      <c r="H52" s="63"/>
      <c r="I52" s="63"/>
      <c r="J52" s="63">
        <v>200</v>
      </c>
      <c r="K52" s="63">
        <v>0.75</v>
      </c>
      <c r="L52" s="63" t="s">
        <v>22</v>
      </c>
      <c r="M52" s="63">
        <v>1</v>
      </c>
      <c r="N52" s="65">
        <v>335200</v>
      </c>
      <c r="O52" s="65">
        <f t="shared" si="0"/>
        <v>335200</v>
      </c>
      <c r="P52" s="63" t="s">
        <v>285</v>
      </c>
      <c r="Q52" s="66"/>
    </row>
    <row r="53" spans="1:17" s="67" customFormat="1" ht="25.5">
      <c r="A53" s="63"/>
      <c r="B53" s="64" t="s">
        <v>69</v>
      </c>
      <c r="C53" s="63" t="s">
        <v>19</v>
      </c>
      <c r="D53" s="63" t="s">
        <v>284</v>
      </c>
      <c r="E53" s="63">
        <v>350</v>
      </c>
      <c r="F53" s="63">
        <v>150</v>
      </c>
      <c r="G53" s="63"/>
      <c r="H53" s="63"/>
      <c r="I53" s="63"/>
      <c r="J53" s="63">
        <v>200</v>
      </c>
      <c r="K53" s="63">
        <v>0.75</v>
      </c>
      <c r="L53" s="63" t="s">
        <v>22</v>
      </c>
      <c r="M53" s="63">
        <v>1</v>
      </c>
      <c r="N53" s="65">
        <v>278800</v>
      </c>
      <c r="O53" s="65">
        <f t="shared" si="0"/>
        <v>278800</v>
      </c>
      <c r="P53" s="63" t="s">
        <v>285</v>
      </c>
      <c r="Q53" s="66"/>
    </row>
    <row r="54" spans="1:17" s="67" customFormat="1" ht="76.5">
      <c r="A54" s="63"/>
      <c r="B54" s="64" t="s">
        <v>70</v>
      </c>
      <c r="C54" s="63" t="s">
        <v>262</v>
      </c>
      <c r="D54" s="63" t="s">
        <v>284</v>
      </c>
      <c r="E54" s="63">
        <v>350</v>
      </c>
      <c r="F54" s="63">
        <v>200</v>
      </c>
      <c r="G54" s="63"/>
      <c r="H54" s="63"/>
      <c r="I54" s="63"/>
      <c r="J54" s="63">
        <v>200</v>
      </c>
      <c r="K54" s="63">
        <v>1.1499999999999999</v>
      </c>
      <c r="L54" s="63" t="s">
        <v>22</v>
      </c>
      <c r="M54" s="63">
        <v>1</v>
      </c>
      <c r="N54" s="65">
        <v>4530057.1382550336</v>
      </c>
      <c r="O54" s="65">
        <f t="shared" si="0"/>
        <v>4530057.1382550336</v>
      </c>
      <c r="P54" s="63" t="s">
        <v>287</v>
      </c>
      <c r="Q54" s="66"/>
    </row>
    <row r="55" spans="1:17" s="67" customFormat="1" ht="76.5">
      <c r="A55" s="63"/>
      <c r="B55" s="64" t="s">
        <v>71</v>
      </c>
      <c r="C55" s="63" t="s">
        <v>262</v>
      </c>
      <c r="D55" s="63" t="s">
        <v>284</v>
      </c>
      <c r="E55" s="63">
        <v>700</v>
      </c>
      <c r="F55" s="63">
        <v>500</v>
      </c>
      <c r="G55" s="63"/>
      <c r="H55" s="63"/>
      <c r="I55" s="63"/>
      <c r="J55" s="63">
        <v>200</v>
      </c>
      <c r="K55" s="63">
        <v>1.1499999999999999</v>
      </c>
      <c r="L55" s="63" t="s">
        <v>22</v>
      </c>
      <c r="M55" s="63">
        <v>2</v>
      </c>
      <c r="N55" s="65">
        <v>5623329.3154362421</v>
      </c>
      <c r="O55" s="65">
        <f t="shared" si="0"/>
        <v>11246658.630872484</v>
      </c>
      <c r="P55" s="63" t="s">
        <v>287</v>
      </c>
      <c r="Q55" s="66"/>
    </row>
    <row r="56" spans="1:17" s="67" customFormat="1" ht="76.5">
      <c r="A56" s="63"/>
      <c r="B56" s="64" t="s">
        <v>72</v>
      </c>
      <c r="C56" s="63" t="s">
        <v>262</v>
      </c>
      <c r="D56" s="63" t="s">
        <v>284</v>
      </c>
      <c r="E56" s="63">
        <v>700</v>
      </c>
      <c r="F56" s="63">
        <v>800</v>
      </c>
      <c r="G56" s="63"/>
      <c r="H56" s="63"/>
      <c r="I56" s="63"/>
      <c r="J56" s="63">
        <v>200</v>
      </c>
      <c r="K56" s="63">
        <v>1.1499999999999999</v>
      </c>
      <c r="L56" s="63" t="s">
        <v>22</v>
      </c>
      <c r="M56" s="63">
        <v>2</v>
      </c>
      <c r="N56" s="65">
        <v>6334732.2738255039</v>
      </c>
      <c r="O56" s="65">
        <f t="shared" si="0"/>
        <v>12669464.547651008</v>
      </c>
      <c r="P56" s="63" t="s">
        <v>287</v>
      </c>
      <c r="Q56" s="66"/>
    </row>
    <row r="57" spans="1:17" s="67" customFormat="1" ht="76.5">
      <c r="A57" s="63"/>
      <c r="B57" s="64" t="s">
        <v>73</v>
      </c>
      <c r="C57" s="63" t="s">
        <v>262</v>
      </c>
      <c r="D57" s="63" t="s">
        <v>284</v>
      </c>
      <c r="E57" s="63">
        <v>1200</v>
      </c>
      <c r="F57" s="63">
        <v>600</v>
      </c>
      <c r="G57" s="63"/>
      <c r="H57" s="63"/>
      <c r="I57" s="63"/>
      <c r="J57" s="63">
        <v>200</v>
      </c>
      <c r="K57" s="63">
        <v>1.1499999999999999</v>
      </c>
      <c r="L57" s="63" t="s">
        <v>22</v>
      </c>
      <c r="M57" s="63">
        <v>2</v>
      </c>
      <c r="N57" s="65">
        <v>6918792.1181208063</v>
      </c>
      <c r="O57" s="65">
        <f t="shared" si="0"/>
        <v>13837584.236241613</v>
      </c>
      <c r="P57" s="63" t="s">
        <v>287</v>
      </c>
      <c r="Q57" s="66"/>
    </row>
    <row r="58" spans="1:17" s="67" customFormat="1" ht="76.5">
      <c r="A58" s="63"/>
      <c r="B58" s="64" t="s">
        <v>74</v>
      </c>
      <c r="C58" s="63" t="s">
        <v>262</v>
      </c>
      <c r="D58" s="63" t="s">
        <v>284</v>
      </c>
      <c r="E58" s="63">
        <v>250</v>
      </c>
      <c r="F58" s="63">
        <v>200</v>
      </c>
      <c r="G58" s="63"/>
      <c r="H58" s="63"/>
      <c r="I58" s="63"/>
      <c r="J58" s="63">
        <v>200</v>
      </c>
      <c r="K58" s="63">
        <v>1.1499999999999999</v>
      </c>
      <c r="L58" s="63" t="s">
        <v>22</v>
      </c>
      <c r="M58" s="63">
        <v>2</v>
      </c>
      <c r="N58" s="65">
        <v>4420265.9328859057</v>
      </c>
      <c r="O58" s="65">
        <f t="shared" si="0"/>
        <v>8840531.8657718115</v>
      </c>
      <c r="P58" s="63" t="s">
        <v>287</v>
      </c>
      <c r="Q58" s="66"/>
    </row>
    <row r="59" spans="1:17" s="67" customFormat="1" ht="76.5">
      <c r="A59" s="63"/>
      <c r="B59" s="64" t="s">
        <v>75</v>
      </c>
      <c r="C59" s="63" t="s">
        <v>262</v>
      </c>
      <c r="D59" s="63" t="s">
        <v>284</v>
      </c>
      <c r="E59" s="63">
        <v>900</v>
      </c>
      <c r="F59" s="63">
        <v>400</v>
      </c>
      <c r="G59" s="63"/>
      <c r="H59" s="63"/>
      <c r="I59" s="63"/>
      <c r="J59" s="63">
        <v>200</v>
      </c>
      <c r="K59" s="63">
        <v>1.1499999999999999</v>
      </c>
      <c r="L59" s="63" t="s">
        <v>22</v>
      </c>
      <c r="M59" s="63">
        <v>5</v>
      </c>
      <c r="N59" s="65">
        <v>5707171.8979865769</v>
      </c>
      <c r="O59" s="65">
        <f t="shared" si="0"/>
        <v>28535859.489932884</v>
      </c>
      <c r="P59" s="63" t="s">
        <v>287</v>
      </c>
      <c r="Q59" s="66"/>
    </row>
    <row r="60" spans="1:17" s="67" customFormat="1" ht="76.5">
      <c r="A60" s="63"/>
      <c r="B60" s="64" t="s">
        <v>76</v>
      </c>
      <c r="C60" s="63" t="s">
        <v>262</v>
      </c>
      <c r="D60" s="63" t="s">
        <v>284</v>
      </c>
      <c r="E60" s="63">
        <v>900</v>
      </c>
      <c r="F60" s="63">
        <v>400</v>
      </c>
      <c r="G60" s="63"/>
      <c r="H60" s="63"/>
      <c r="I60" s="63"/>
      <c r="J60" s="63">
        <v>200</v>
      </c>
      <c r="K60" s="63">
        <v>1.1499999999999999</v>
      </c>
      <c r="L60" s="63" t="s">
        <v>22</v>
      </c>
      <c r="M60" s="63">
        <v>5</v>
      </c>
      <c r="N60" s="65">
        <v>5707171.8979865769</v>
      </c>
      <c r="O60" s="65">
        <f t="shared" si="0"/>
        <v>28535859.489932884</v>
      </c>
      <c r="P60" s="63" t="s">
        <v>287</v>
      </c>
      <c r="Q60" s="66"/>
    </row>
    <row r="61" spans="1:17" s="67" customFormat="1" ht="76.5">
      <c r="A61" s="63"/>
      <c r="B61" s="64" t="s">
        <v>77</v>
      </c>
      <c r="C61" s="63" t="s">
        <v>262</v>
      </c>
      <c r="D61" s="63" t="s">
        <v>284</v>
      </c>
      <c r="E61" s="63">
        <v>300</v>
      </c>
      <c r="F61" s="63">
        <v>300</v>
      </c>
      <c r="G61" s="63"/>
      <c r="H61" s="63"/>
      <c r="I61" s="63"/>
      <c r="J61" s="63">
        <v>200</v>
      </c>
      <c r="K61" s="63">
        <v>1.1499999999999999</v>
      </c>
      <c r="L61" s="63" t="s">
        <v>22</v>
      </c>
      <c r="M61" s="63">
        <v>6</v>
      </c>
      <c r="N61" s="65">
        <v>4609701.3637583889</v>
      </c>
      <c r="O61" s="65">
        <f t="shared" si="0"/>
        <v>27658208.182550333</v>
      </c>
      <c r="P61" s="63" t="s">
        <v>287</v>
      </c>
      <c r="Q61" s="66"/>
    </row>
    <row r="62" spans="1:17" s="67" customFormat="1" ht="76.5">
      <c r="A62" s="63"/>
      <c r="B62" s="64" t="s">
        <v>78</v>
      </c>
      <c r="C62" s="63" t="s">
        <v>262</v>
      </c>
      <c r="D62" s="63" t="s">
        <v>284</v>
      </c>
      <c r="E62" s="63">
        <v>250</v>
      </c>
      <c r="F62" s="63">
        <v>200</v>
      </c>
      <c r="G62" s="63"/>
      <c r="H62" s="63"/>
      <c r="I62" s="63"/>
      <c r="J62" s="63">
        <v>200</v>
      </c>
      <c r="K62" s="63">
        <v>1.1499999999999999</v>
      </c>
      <c r="L62" s="63" t="s">
        <v>22</v>
      </c>
      <c r="M62" s="63">
        <v>1</v>
      </c>
      <c r="N62" s="65">
        <v>4420265.9328859057</v>
      </c>
      <c r="O62" s="65">
        <f t="shared" si="0"/>
        <v>4420265.9328859057</v>
      </c>
      <c r="P62" s="63" t="s">
        <v>287</v>
      </c>
      <c r="Q62" s="66"/>
    </row>
    <row r="63" spans="1:17" s="67" customFormat="1" ht="76.5">
      <c r="A63" s="63"/>
      <c r="B63" s="64" t="s">
        <v>70</v>
      </c>
      <c r="C63" s="63" t="s">
        <v>262</v>
      </c>
      <c r="D63" s="63" t="s">
        <v>284</v>
      </c>
      <c r="E63" s="63">
        <v>350</v>
      </c>
      <c r="F63" s="63">
        <v>200</v>
      </c>
      <c r="G63" s="63"/>
      <c r="H63" s="63"/>
      <c r="I63" s="63"/>
      <c r="J63" s="63">
        <v>200</v>
      </c>
      <c r="K63" s="63">
        <v>1.1499999999999999</v>
      </c>
      <c r="L63" s="63" t="s">
        <v>22</v>
      </c>
      <c r="M63" s="63">
        <v>1</v>
      </c>
      <c r="N63" s="65">
        <v>4530057.1382550336</v>
      </c>
      <c r="O63" s="65">
        <f t="shared" si="0"/>
        <v>4530057.1382550336</v>
      </c>
      <c r="P63" s="63" t="s">
        <v>287</v>
      </c>
      <c r="Q63" s="66"/>
    </row>
    <row r="64" spans="1:17" s="67" customFormat="1" ht="76.5">
      <c r="A64" s="63"/>
      <c r="B64" s="64" t="s">
        <v>79</v>
      </c>
      <c r="C64" s="63" t="s">
        <v>262</v>
      </c>
      <c r="D64" s="63" t="s">
        <v>284</v>
      </c>
      <c r="E64" s="63">
        <v>350</v>
      </c>
      <c r="F64" s="63">
        <v>150</v>
      </c>
      <c r="G64" s="63"/>
      <c r="H64" s="63"/>
      <c r="I64" s="63"/>
      <c r="J64" s="63">
        <v>200</v>
      </c>
      <c r="K64" s="63">
        <v>1.1499999999999999</v>
      </c>
      <c r="L64" s="63" t="s">
        <v>22</v>
      </c>
      <c r="M64" s="63">
        <v>3</v>
      </c>
      <c r="N64" s="65">
        <v>4455700.068456376</v>
      </c>
      <c r="O64" s="65">
        <f t="shared" si="0"/>
        <v>13367100.205369128</v>
      </c>
      <c r="P64" s="63" t="s">
        <v>287</v>
      </c>
      <c r="Q64" s="66"/>
    </row>
    <row r="65" spans="1:17" s="67" customFormat="1" ht="76.5">
      <c r="A65" s="63"/>
      <c r="B65" s="64" t="s">
        <v>80</v>
      </c>
      <c r="C65" s="63" t="s">
        <v>262</v>
      </c>
      <c r="D65" s="63" t="s">
        <v>284</v>
      </c>
      <c r="E65" s="63">
        <v>1000</v>
      </c>
      <c r="F65" s="63">
        <v>300</v>
      </c>
      <c r="G65" s="63"/>
      <c r="H65" s="63"/>
      <c r="I65" s="63"/>
      <c r="J65" s="63">
        <v>200</v>
      </c>
      <c r="K65" s="63">
        <v>1.1499999999999999</v>
      </c>
      <c r="L65" s="63" t="s">
        <v>22</v>
      </c>
      <c r="M65" s="63">
        <v>2</v>
      </c>
      <c r="N65" s="65">
        <v>5553880.1610738253</v>
      </c>
      <c r="O65" s="65">
        <f t="shared" si="0"/>
        <v>11107760.322147651</v>
      </c>
      <c r="P65" s="63" t="s">
        <v>287</v>
      </c>
      <c r="Q65" s="66"/>
    </row>
    <row r="66" spans="1:17" s="67" customFormat="1" ht="76.5">
      <c r="A66" s="63"/>
      <c r="B66" s="64" t="s">
        <v>81</v>
      </c>
      <c r="C66" s="63" t="s">
        <v>262</v>
      </c>
      <c r="D66" s="63" t="s">
        <v>284</v>
      </c>
      <c r="E66" s="63">
        <v>850</v>
      </c>
      <c r="F66" s="63">
        <v>300</v>
      </c>
      <c r="G66" s="63"/>
      <c r="H66" s="63"/>
      <c r="I66" s="63"/>
      <c r="J66" s="63">
        <v>200</v>
      </c>
      <c r="K66" s="63">
        <v>1.1499999999999999</v>
      </c>
      <c r="L66" s="63" t="s">
        <v>22</v>
      </c>
      <c r="M66" s="63">
        <v>2</v>
      </c>
      <c r="N66" s="65">
        <v>5351470.418791946</v>
      </c>
      <c r="O66" s="65">
        <f t="shared" si="0"/>
        <v>10702940.837583892</v>
      </c>
      <c r="P66" s="63" t="s">
        <v>287</v>
      </c>
      <c r="Q66" s="66"/>
    </row>
    <row r="67" spans="1:17" s="67" customFormat="1" ht="76.5">
      <c r="A67" s="63"/>
      <c r="B67" s="64" t="s">
        <v>82</v>
      </c>
      <c r="C67" s="63" t="s">
        <v>262</v>
      </c>
      <c r="D67" s="63" t="s">
        <v>284</v>
      </c>
      <c r="E67" s="63">
        <v>800</v>
      </c>
      <c r="F67" s="63">
        <v>350</v>
      </c>
      <c r="G67" s="63"/>
      <c r="H67" s="63"/>
      <c r="I67" s="63"/>
      <c r="J67" s="63">
        <v>200</v>
      </c>
      <c r="K67" s="63">
        <v>1.1499999999999999</v>
      </c>
      <c r="L67" s="63" t="s">
        <v>22</v>
      </c>
      <c r="M67" s="63">
        <v>3</v>
      </c>
      <c r="N67" s="65">
        <v>5415141.9758389266</v>
      </c>
      <c r="O67" s="65">
        <f t="shared" si="0"/>
        <v>16245425.927516781</v>
      </c>
      <c r="P67" s="63" t="s">
        <v>287</v>
      </c>
      <c r="Q67" s="66"/>
    </row>
    <row r="68" spans="1:17" s="67" customFormat="1" ht="76.5">
      <c r="A68" s="63"/>
      <c r="B68" s="64" t="s">
        <v>83</v>
      </c>
      <c r="C68" s="63" t="s">
        <v>262</v>
      </c>
      <c r="D68" s="63" t="s">
        <v>284</v>
      </c>
      <c r="E68" s="63">
        <v>2000</v>
      </c>
      <c r="F68" s="63">
        <v>650</v>
      </c>
      <c r="G68" s="63"/>
      <c r="H68" s="63"/>
      <c r="I68" s="63">
        <v>2</v>
      </c>
      <c r="J68" s="63">
        <v>200</v>
      </c>
      <c r="K68" s="63"/>
      <c r="L68" s="63" t="s">
        <v>22</v>
      </c>
      <c r="M68" s="63">
        <v>1</v>
      </c>
      <c r="N68" s="65">
        <v>13305421.637583893</v>
      </c>
      <c r="O68" s="65">
        <f t="shared" si="0"/>
        <v>13305421.637583893</v>
      </c>
      <c r="P68" s="63" t="s">
        <v>287</v>
      </c>
      <c r="Q68" s="66"/>
    </row>
    <row r="69" spans="1:17" s="67" customFormat="1" ht="76.5">
      <c r="A69" s="63"/>
      <c r="B69" s="64" t="s">
        <v>84</v>
      </c>
      <c r="C69" s="63" t="s">
        <v>262</v>
      </c>
      <c r="D69" s="63" t="s">
        <v>284</v>
      </c>
      <c r="E69" s="63">
        <v>1000</v>
      </c>
      <c r="F69" s="63">
        <v>350</v>
      </c>
      <c r="G69" s="63"/>
      <c r="H69" s="63"/>
      <c r="I69" s="63"/>
      <c r="J69" s="63">
        <v>200</v>
      </c>
      <c r="K69" s="63">
        <v>1.1499999999999999</v>
      </c>
      <c r="L69" s="63" t="s">
        <v>22</v>
      </c>
      <c r="M69" s="63">
        <v>2</v>
      </c>
      <c r="N69" s="65">
        <v>5711370.2550335564</v>
      </c>
      <c r="O69" s="65">
        <f t="shared" si="0"/>
        <v>11422740.510067113</v>
      </c>
      <c r="P69" s="63" t="s">
        <v>287</v>
      </c>
      <c r="Q69" s="66"/>
    </row>
    <row r="70" spans="1:17" s="67" customFormat="1" ht="76.5">
      <c r="A70" s="63"/>
      <c r="B70" s="64" t="s">
        <v>85</v>
      </c>
      <c r="C70" s="63" t="s">
        <v>262</v>
      </c>
      <c r="D70" s="63" t="s">
        <v>284</v>
      </c>
      <c r="E70" s="63">
        <v>1200</v>
      </c>
      <c r="F70" s="63">
        <v>350</v>
      </c>
      <c r="G70" s="63"/>
      <c r="H70" s="63"/>
      <c r="I70" s="63"/>
      <c r="J70" s="63">
        <v>200</v>
      </c>
      <c r="K70" s="63">
        <v>1.1499999999999999</v>
      </c>
      <c r="L70" s="63" t="s">
        <v>22</v>
      </c>
      <c r="M70" s="63">
        <v>2</v>
      </c>
      <c r="N70" s="65">
        <v>6006398.5342281889</v>
      </c>
      <c r="O70" s="65">
        <f t="shared" si="0"/>
        <v>12012797.068456378</v>
      </c>
      <c r="P70" s="63" t="s">
        <v>287</v>
      </c>
      <c r="Q70" s="66"/>
    </row>
    <row r="71" spans="1:17" s="67" customFormat="1" ht="76.5">
      <c r="A71" s="63"/>
      <c r="B71" s="64" t="s">
        <v>86</v>
      </c>
      <c r="C71" s="63" t="s">
        <v>262</v>
      </c>
      <c r="D71" s="63" t="s">
        <v>284</v>
      </c>
      <c r="E71" s="63">
        <v>1100</v>
      </c>
      <c r="F71" s="63">
        <v>350</v>
      </c>
      <c r="G71" s="63"/>
      <c r="H71" s="63"/>
      <c r="I71" s="63"/>
      <c r="J71" s="63">
        <v>200</v>
      </c>
      <c r="K71" s="63">
        <v>1.1499999999999999</v>
      </c>
      <c r="L71" s="63" t="s">
        <v>22</v>
      </c>
      <c r="M71" s="63">
        <v>1</v>
      </c>
      <c r="N71" s="65">
        <v>5858884.3946308726</v>
      </c>
      <c r="O71" s="65">
        <f t="shared" si="0"/>
        <v>5858884.3946308726</v>
      </c>
      <c r="P71" s="63" t="s">
        <v>287</v>
      </c>
      <c r="Q71" s="66"/>
    </row>
    <row r="72" spans="1:17" s="67" customFormat="1" ht="76.5">
      <c r="A72" s="63"/>
      <c r="B72" s="64" t="s">
        <v>87</v>
      </c>
      <c r="C72" s="63" t="s">
        <v>262</v>
      </c>
      <c r="D72" s="63" t="s">
        <v>284</v>
      </c>
      <c r="E72" s="63">
        <v>1200</v>
      </c>
      <c r="F72" s="63">
        <v>300</v>
      </c>
      <c r="G72" s="63"/>
      <c r="H72" s="63"/>
      <c r="I72" s="63"/>
      <c r="J72" s="63">
        <v>200</v>
      </c>
      <c r="K72" s="63">
        <v>1.1499999999999999</v>
      </c>
      <c r="L72" s="63" t="s">
        <v>22</v>
      </c>
      <c r="M72" s="63">
        <v>9</v>
      </c>
      <c r="N72" s="65">
        <v>5824159.8174496647</v>
      </c>
      <c r="O72" s="65">
        <f t="shared" si="0"/>
        <v>52417438.357046984</v>
      </c>
      <c r="P72" s="63" t="s">
        <v>287</v>
      </c>
      <c r="Q72" s="66"/>
    </row>
    <row r="73" spans="1:17" s="67" customFormat="1" ht="76.5">
      <c r="A73" s="63"/>
      <c r="B73" s="64" t="s">
        <v>88</v>
      </c>
      <c r="C73" s="63" t="s">
        <v>262</v>
      </c>
      <c r="D73" s="63" t="s">
        <v>284</v>
      </c>
      <c r="E73" s="63">
        <v>1200</v>
      </c>
      <c r="F73" s="63">
        <v>300</v>
      </c>
      <c r="G73" s="63"/>
      <c r="H73" s="63"/>
      <c r="I73" s="63"/>
      <c r="J73" s="63">
        <v>200</v>
      </c>
      <c r="K73" s="63">
        <v>1.1499999999999999</v>
      </c>
      <c r="L73" s="63" t="s">
        <v>22</v>
      </c>
      <c r="M73" s="63">
        <v>1</v>
      </c>
      <c r="N73" s="65">
        <v>5824159.8174496647</v>
      </c>
      <c r="O73" s="65">
        <f t="shared" si="0"/>
        <v>5824159.8174496647</v>
      </c>
      <c r="P73" s="63" t="s">
        <v>287</v>
      </c>
      <c r="Q73" s="66"/>
    </row>
    <row r="74" spans="1:17" s="67" customFormat="1" ht="76.5">
      <c r="A74" s="63"/>
      <c r="B74" s="64" t="s">
        <v>89</v>
      </c>
      <c r="C74" s="63" t="s">
        <v>262</v>
      </c>
      <c r="D74" s="63" t="s">
        <v>284</v>
      </c>
      <c r="E74" s="63">
        <v>900</v>
      </c>
      <c r="F74" s="63">
        <v>350</v>
      </c>
      <c r="G74" s="63"/>
      <c r="H74" s="63"/>
      <c r="I74" s="63"/>
      <c r="J74" s="63">
        <v>200</v>
      </c>
      <c r="K74" s="63">
        <v>1.1499999999999999</v>
      </c>
      <c r="L74" s="63" t="s">
        <v>22</v>
      </c>
      <c r="M74" s="63">
        <v>13</v>
      </c>
      <c r="N74" s="65">
        <v>5562656.115436242</v>
      </c>
      <c r="O74" s="65">
        <f t="shared" si="0"/>
        <v>72314529.500671148</v>
      </c>
      <c r="P74" s="63" t="s">
        <v>287</v>
      </c>
      <c r="Q74" s="66"/>
    </row>
    <row r="75" spans="1:17" s="67" customFormat="1" ht="76.5">
      <c r="A75" s="63"/>
      <c r="B75" s="64" t="s">
        <v>90</v>
      </c>
      <c r="C75" s="63" t="s">
        <v>262</v>
      </c>
      <c r="D75" s="63" t="s">
        <v>284</v>
      </c>
      <c r="E75" s="63">
        <v>1150</v>
      </c>
      <c r="F75" s="63">
        <v>350</v>
      </c>
      <c r="G75" s="63"/>
      <c r="H75" s="63"/>
      <c r="I75" s="63"/>
      <c r="J75" s="63">
        <v>200</v>
      </c>
      <c r="K75" s="63">
        <v>1.1499999999999999</v>
      </c>
      <c r="L75" s="63" t="s">
        <v>22</v>
      </c>
      <c r="M75" s="63">
        <v>12</v>
      </c>
      <c r="N75" s="65">
        <v>6370875.9677852355</v>
      </c>
      <c r="O75" s="65">
        <f t="shared" si="0"/>
        <v>76450511.613422826</v>
      </c>
      <c r="P75" s="63" t="s">
        <v>287</v>
      </c>
      <c r="Q75" s="66"/>
    </row>
    <row r="76" spans="1:17" s="67" customFormat="1" ht="76.5">
      <c r="A76" s="63"/>
      <c r="B76" s="64" t="s">
        <v>91</v>
      </c>
      <c r="C76" s="63" t="s">
        <v>262</v>
      </c>
      <c r="D76" s="63" t="s">
        <v>284</v>
      </c>
      <c r="E76" s="63">
        <v>1200</v>
      </c>
      <c r="F76" s="63">
        <v>450</v>
      </c>
      <c r="G76" s="63"/>
      <c r="H76" s="63"/>
      <c r="I76" s="63"/>
      <c r="J76" s="63">
        <v>200</v>
      </c>
      <c r="K76" s="63">
        <v>1.1499999999999999</v>
      </c>
      <c r="L76" s="63" t="s">
        <v>22</v>
      </c>
      <c r="M76" s="63">
        <v>1</v>
      </c>
      <c r="N76" s="65">
        <v>6370875.9677852355</v>
      </c>
      <c r="O76" s="65">
        <f t="shared" si="0"/>
        <v>6370875.9677852355</v>
      </c>
      <c r="P76" s="63" t="s">
        <v>287</v>
      </c>
      <c r="Q76" s="66"/>
    </row>
    <row r="77" spans="1:17" s="67" customFormat="1" ht="76.5">
      <c r="A77" s="63"/>
      <c r="B77" s="64" t="s">
        <v>92</v>
      </c>
      <c r="C77" s="63" t="s">
        <v>262</v>
      </c>
      <c r="D77" s="63" t="s">
        <v>284</v>
      </c>
      <c r="E77" s="63">
        <v>350</v>
      </c>
      <c r="F77" s="63">
        <v>600</v>
      </c>
      <c r="G77" s="63"/>
      <c r="H77" s="63"/>
      <c r="I77" s="63"/>
      <c r="J77" s="63">
        <v>200</v>
      </c>
      <c r="K77" s="63">
        <v>1.1499999999999999</v>
      </c>
      <c r="L77" s="63" t="s">
        <v>22</v>
      </c>
      <c r="M77" s="63">
        <v>10</v>
      </c>
      <c r="N77" s="65">
        <v>5120113.696644295</v>
      </c>
      <c r="O77" s="65">
        <f t="shared" si="0"/>
        <v>51201136.96644295</v>
      </c>
      <c r="P77" s="63" t="s">
        <v>287</v>
      </c>
      <c r="Q77" s="66"/>
    </row>
    <row r="78" spans="1:17" s="67" customFormat="1" ht="76.5">
      <c r="A78" s="63"/>
      <c r="B78" s="64" t="s">
        <v>86</v>
      </c>
      <c r="C78" s="63" t="s">
        <v>262</v>
      </c>
      <c r="D78" s="63" t="s">
        <v>284</v>
      </c>
      <c r="E78" s="63">
        <v>1100</v>
      </c>
      <c r="F78" s="63">
        <v>350</v>
      </c>
      <c r="G78" s="63"/>
      <c r="H78" s="63"/>
      <c r="I78" s="63"/>
      <c r="J78" s="63">
        <v>200</v>
      </c>
      <c r="K78" s="63">
        <v>1.1499999999999999</v>
      </c>
      <c r="L78" s="63" t="s">
        <v>22</v>
      </c>
      <c r="M78" s="63">
        <v>6</v>
      </c>
      <c r="N78" s="65">
        <v>5858884.3946308726</v>
      </c>
      <c r="O78" s="65">
        <f t="shared" si="0"/>
        <v>35153306.367785238</v>
      </c>
      <c r="P78" s="63" t="s">
        <v>287</v>
      </c>
      <c r="Q78" s="66"/>
    </row>
    <row r="79" spans="1:17" s="67" customFormat="1" ht="76.5">
      <c r="A79" s="63"/>
      <c r="B79" s="64" t="s">
        <v>84</v>
      </c>
      <c r="C79" s="63" t="s">
        <v>262</v>
      </c>
      <c r="D79" s="63" t="s">
        <v>284</v>
      </c>
      <c r="E79" s="63">
        <v>1000</v>
      </c>
      <c r="F79" s="63">
        <v>350</v>
      </c>
      <c r="G79" s="63"/>
      <c r="H79" s="63"/>
      <c r="I79" s="63"/>
      <c r="J79" s="63">
        <v>200</v>
      </c>
      <c r="K79" s="63">
        <v>1.1499999999999999</v>
      </c>
      <c r="L79" s="63" t="s">
        <v>22</v>
      </c>
      <c r="M79" s="63">
        <v>6</v>
      </c>
      <c r="N79" s="65">
        <v>5711370.2550335564</v>
      </c>
      <c r="O79" s="65">
        <f t="shared" si="0"/>
        <v>34268221.530201338</v>
      </c>
      <c r="P79" s="63" t="s">
        <v>287</v>
      </c>
      <c r="Q79" s="66"/>
    </row>
    <row r="80" spans="1:17" s="67" customFormat="1" ht="76.5">
      <c r="A80" s="63"/>
      <c r="B80" s="64" t="s">
        <v>93</v>
      </c>
      <c r="C80" s="63" t="s">
        <v>262</v>
      </c>
      <c r="D80" s="63" t="s">
        <v>284</v>
      </c>
      <c r="E80" s="63">
        <v>800</v>
      </c>
      <c r="F80" s="63">
        <v>300</v>
      </c>
      <c r="G80" s="63"/>
      <c r="H80" s="63"/>
      <c r="I80" s="63"/>
      <c r="J80" s="63">
        <v>200</v>
      </c>
      <c r="K80" s="63">
        <v>1.1499999999999999</v>
      </c>
      <c r="L80" s="63" t="s">
        <v>22</v>
      </c>
      <c r="M80" s="63">
        <v>8</v>
      </c>
      <c r="N80" s="65">
        <v>5283600.5046979869</v>
      </c>
      <c r="O80" s="65">
        <f t="shared" si="0"/>
        <v>42268804.037583895</v>
      </c>
      <c r="P80" s="63" t="s">
        <v>287</v>
      </c>
      <c r="Q80" s="66"/>
    </row>
    <row r="81" spans="1:17" s="67" customFormat="1" ht="76.5">
      <c r="A81" s="63"/>
      <c r="B81" s="64" t="s">
        <v>94</v>
      </c>
      <c r="C81" s="63" t="s">
        <v>262</v>
      </c>
      <c r="D81" s="63" t="s">
        <v>284</v>
      </c>
      <c r="E81" s="63">
        <v>650</v>
      </c>
      <c r="F81" s="63">
        <v>400</v>
      </c>
      <c r="G81" s="63"/>
      <c r="H81" s="63"/>
      <c r="I81" s="63"/>
      <c r="J81" s="63">
        <v>200</v>
      </c>
      <c r="K81" s="63">
        <v>1.1499999999999999</v>
      </c>
      <c r="L81" s="63" t="s">
        <v>22</v>
      </c>
      <c r="M81" s="63">
        <v>6</v>
      </c>
      <c r="N81" s="65">
        <v>5306550.7704697987</v>
      </c>
      <c r="O81" s="65">
        <f t="shared" si="0"/>
        <v>31839304.62281879</v>
      </c>
      <c r="P81" s="63" t="s">
        <v>287</v>
      </c>
      <c r="Q81" s="66"/>
    </row>
    <row r="82" spans="1:17" s="67" customFormat="1" ht="12.75">
      <c r="A82" s="63"/>
      <c r="B82" s="64" t="s">
        <v>95</v>
      </c>
      <c r="C82" s="63"/>
      <c r="D82" s="63" t="s">
        <v>284</v>
      </c>
      <c r="E82" s="63"/>
      <c r="F82" s="63"/>
      <c r="G82" s="63"/>
      <c r="H82" s="63"/>
      <c r="I82" s="63"/>
      <c r="J82" s="63"/>
      <c r="K82" s="63"/>
      <c r="L82" s="63" t="s">
        <v>22</v>
      </c>
      <c r="M82" s="63">
        <v>6</v>
      </c>
      <c r="N82" s="65"/>
      <c r="O82" s="65">
        <f t="shared" ref="O82:O145" si="4">N82*M82</f>
        <v>0</v>
      </c>
      <c r="P82" s="63"/>
      <c r="Q82" s="66"/>
    </row>
    <row r="83" spans="1:17" s="67" customFormat="1" ht="25.5">
      <c r="A83" s="63"/>
      <c r="B83" s="64" t="s">
        <v>96</v>
      </c>
      <c r="C83" s="63" t="s">
        <v>35</v>
      </c>
      <c r="D83" s="63" t="s">
        <v>284</v>
      </c>
      <c r="E83" s="63">
        <v>250</v>
      </c>
      <c r="F83" s="63">
        <v>200</v>
      </c>
      <c r="G83" s="63"/>
      <c r="H83" s="63"/>
      <c r="I83" s="63"/>
      <c r="J83" s="63">
        <v>200</v>
      </c>
      <c r="K83" s="63">
        <v>0.75</v>
      </c>
      <c r="L83" s="63" t="s">
        <v>22</v>
      </c>
      <c r="M83" s="63">
        <v>1</v>
      </c>
      <c r="N83" s="65">
        <v>308400</v>
      </c>
      <c r="O83" s="65">
        <f t="shared" si="4"/>
        <v>308400</v>
      </c>
      <c r="P83" s="63" t="s">
        <v>285</v>
      </c>
      <c r="Q83" s="66"/>
    </row>
    <row r="84" spans="1:17" s="67" customFormat="1" ht="12.75">
      <c r="A84" s="63"/>
      <c r="B84" s="64" t="s">
        <v>97</v>
      </c>
      <c r="C84" s="63" t="s">
        <v>289</v>
      </c>
      <c r="D84" s="63" t="s">
        <v>284</v>
      </c>
      <c r="E84" s="63">
        <v>900</v>
      </c>
      <c r="F84" s="63">
        <v>400</v>
      </c>
      <c r="G84" s="63">
        <v>850</v>
      </c>
      <c r="H84" s="63">
        <v>350</v>
      </c>
      <c r="I84" s="63"/>
      <c r="J84" s="63"/>
      <c r="K84" s="63"/>
      <c r="L84" s="63" t="s">
        <v>22</v>
      </c>
      <c r="M84" s="63">
        <v>2</v>
      </c>
      <c r="N84" s="65">
        <v>579000</v>
      </c>
      <c r="O84" s="65">
        <f t="shared" si="4"/>
        <v>1158000</v>
      </c>
      <c r="P84" s="63" t="s">
        <v>290</v>
      </c>
      <c r="Q84" s="66"/>
    </row>
    <row r="85" spans="1:17" s="67" customFormat="1" ht="12.75">
      <c r="A85" s="63"/>
      <c r="B85" s="64" t="s">
        <v>98</v>
      </c>
      <c r="C85" s="63" t="s">
        <v>289</v>
      </c>
      <c r="D85" s="63" t="s">
        <v>284</v>
      </c>
      <c r="E85" s="63">
        <v>300</v>
      </c>
      <c r="F85" s="63">
        <v>300</v>
      </c>
      <c r="G85" s="63">
        <v>250</v>
      </c>
      <c r="H85" s="63">
        <v>250</v>
      </c>
      <c r="I85" s="63"/>
      <c r="J85" s="63"/>
      <c r="K85" s="63"/>
      <c r="L85" s="63" t="s">
        <v>22</v>
      </c>
      <c r="M85" s="63">
        <v>1</v>
      </c>
      <c r="N85" s="65">
        <v>177000</v>
      </c>
      <c r="O85" s="65">
        <f t="shared" si="4"/>
        <v>177000</v>
      </c>
      <c r="P85" s="63" t="s">
        <v>290</v>
      </c>
      <c r="Q85" s="66"/>
    </row>
    <row r="86" spans="1:17" s="67" customFormat="1" ht="12.75">
      <c r="A86" s="63"/>
      <c r="B86" s="64" t="s">
        <v>99</v>
      </c>
      <c r="C86" s="63"/>
      <c r="D86" s="63" t="s">
        <v>284</v>
      </c>
      <c r="E86" s="63"/>
      <c r="F86" s="63"/>
      <c r="G86" s="63"/>
      <c r="H86" s="63"/>
      <c r="I86" s="63"/>
      <c r="J86" s="63"/>
      <c r="K86" s="63"/>
      <c r="L86" s="63" t="s">
        <v>22</v>
      </c>
      <c r="M86" s="63">
        <v>2</v>
      </c>
      <c r="N86" s="65"/>
      <c r="O86" s="65">
        <f t="shared" si="4"/>
        <v>0</v>
      </c>
      <c r="P86" s="63"/>
      <c r="Q86" s="66"/>
    </row>
    <row r="87" spans="1:17" s="67" customFormat="1" ht="12.75">
      <c r="A87" s="63"/>
      <c r="B87" s="64" t="s">
        <v>100</v>
      </c>
      <c r="C87" s="63"/>
      <c r="D87" s="63" t="s">
        <v>284</v>
      </c>
      <c r="E87" s="63"/>
      <c r="F87" s="63"/>
      <c r="G87" s="63"/>
      <c r="H87" s="63"/>
      <c r="I87" s="63"/>
      <c r="J87" s="63"/>
      <c r="K87" s="63"/>
      <c r="L87" s="63" t="s">
        <v>22</v>
      </c>
      <c r="M87" s="63">
        <v>10</v>
      </c>
      <c r="N87" s="65"/>
      <c r="O87" s="65">
        <f t="shared" si="4"/>
        <v>0</v>
      </c>
      <c r="P87" s="63"/>
      <c r="Q87" s="66"/>
    </row>
    <row r="88" spans="1:17" s="67" customFormat="1" ht="12.75">
      <c r="A88" s="63"/>
      <c r="B88" s="64" t="s">
        <v>99</v>
      </c>
      <c r="C88" s="63"/>
      <c r="D88" s="63" t="s">
        <v>284</v>
      </c>
      <c r="E88" s="63"/>
      <c r="F88" s="63"/>
      <c r="G88" s="63"/>
      <c r="H88" s="63"/>
      <c r="I88" s="63"/>
      <c r="J88" s="63"/>
      <c r="K88" s="63"/>
      <c r="L88" s="63" t="s">
        <v>22</v>
      </c>
      <c r="M88" s="63">
        <v>2</v>
      </c>
      <c r="N88" s="65"/>
      <c r="O88" s="65">
        <f t="shared" si="4"/>
        <v>0</v>
      </c>
      <c r="P88" s="63"/>
      <c r="Q88" s="66"/>
    </row>
    <row r="89" spans="1:17" s="67" customFormat="1" ht="12.75">
      <c r="A89" s="63"/>
      <c r="B89" s="64" t="s">
        <v>98</v>
      </c>
      <c r="C89" s="63" t="s">
        <v>289</v>
      </c>
      <c r="D89" s="63" t="s">
        <v>284</v>
      </c>
      <c r="E89" s="63">
        <v>300</v>
      </c>
      <c r="F89" s="63">
        <v>300</v>
      </c>
      <c r="G89" s="63">
        <v>250</v>
      </c>
      <c r="H89" s="63">
        <v>250</v>
      </c>
      <c r="I89" s="63"/>
      <c r="J89" s="63"/>
      <c r="K89" s="63"/>
      <c r="L89" s="63" t="s">
        <v>22</v>
      </c>
      <c r="M89" s="63">
        <v>8</v>
      </c>
      <c r="N89" s="65">
        <v>177000</v>
      </c>
      <c r="O89" s="65">
        <f t="shared" si="4"/>
        <v>1416000</v>
      </c>
      <c r="P89" s="63" t="s">
        <v>290</v>
      </c>
      <c r="Q89" s="66"/>
    </row>
    <row r="90" spans="1:17" s="67" customFormat="1" ht="12.75">
      <c r="A90" s="63"/>
      <c r="B90" s="64" t="s">
        <v>101</v>
      </c>
      <c r="C90" s="63" t="s">
        <v>289</v>
      </c>
      <c r="D90" s="63" t="s">
        <v>284</v>
      </c>
      <c r="E90" s="63">
        <v>500</v>
      </c>
      <c r="F90" s="63">
        <v>200</v>
      </c>
      <c r="G90" s="63">
        <v>450</v>
      </c>
      <c r="H90" s="63">
        <v>150</v>
      </c>
      <c r="I90" s="63"/>
      <c r="J90" s="63"/>
      <c r="K90" s="63"/>
      <c r="L90" s="63" t="s">
        <v>22</v>
      </c>
      <c r="M90" s="63">
        <v>3</v>
      </c>
      <c r="N90" s="65">
        <v>205000</v>
      </c>
      <c r="O90" s="65">
        <f t="shared" si="4"/>
        <v>615000</v>
      </c>
      <c r="P90" s="63" t="s">
        <v>290</v>
      </c>
      <c r="Q90" s="66"/>
    </row>
    <row r="91" spans="1:17" s="67" customFormat="1" ht="12.75">
      <c r="A91" s="63"/>
      <c r="B91" s="64" t="s">
        <v>102</v>
      </c>
      <c r="C91" s="63"/>
      <c r="D91" s="63" t="s">
        <v>284</v>
      </c>
      <c r="E91" s="63"/>
      <c r="F91" s="63"/>
      <c r="G91" s="63"/>
      <c r="H91" s="63"/>
      <c r="I91" s="63"/>
      <c r="J91" s="63"/>
      <c r="K91" s="63"/>
      <c r="L91" s="63" t="s">
        <v>22</v>
      </c>
      <c r="M91" s="63">
        <v>49</v>
      </c>
      <c r="N91" s="65"/>
      <c r="O91" s="65">
        <f t="shared" si="4"/>
        <v>0</v>
      </c>
      <c r="P91" s="63"/>
      <c r="Q91" s="66"/>
    </row>
    <row r="92" spans="1:17" s="67" customFormat="1" ht="12.75">
      <c r="A92" s="63"/>
      <c r="B92" s="64" t="s">
        <v>103</v>
      </c>
      <c r="C92" s="63" t="s">
        <v>289</v>
      </c>
      <c r="D92" s="63" t="s">
        <v>284</v>
      </c>
      <c r="E92" s="63">
        <v>900</v>
      </c>
      <c r="F92" s="63">
        <v>350</v>
      </c>
      <c r="G92" s="63">
        <v>850</v>
      </c>
      <c r="H92" s="63">
        <v>300</v>
      </c>
      <c r="I92" s="63"/>
      <c r="J92" s="63"/>
      <c r="K92" s="63"/>
      <c r="L92" s="63" t="s">
        <v>22</v>
      </c>
      <c r="M92" s="63">
        <v>18</v>
      </c>
      <c r="N92" s="65">
        <v>516000</v>
      </c>
      <c r="O92" s="65">
        <f t="shared" si="4"/>
        <v>9288000</v>
      </c>
      <c r="P92" s="63" t="s">
        <v>290</v>
      </c>
      <c r="Q92" s="66"/>
    </row>
    <row r="93" spans="1:17" s="67" customFormat="1" ht="12.75">
      <c r="A93" s="63"/>
      <c r="B93" s="64" t="s">
        <v>104</v>
      </c>
      <c r="C93" s="63" t="s">
        <v>289</v>
      </c>
      <c r="D93" s="63" t="s">
        <v>284</v>
      </c>
      <c r="E93" s="63">
        <v>350</v>
      </c>
      <c r="F93" s="63">
        <v>600</v>
      </c>
      <c r="G93" s="63">
        <v>300</v>
      </c>
      <c r="H93" s="63">
        <v>550</v>
      </c>
      <c r="I93" s="63"/>
      <c r="J93" s="63"/>
      <c r="K93" s="63"/>
      <c r="L93" s="63" t="s">
        <v>22</v>
      </c>
      <c r="M93" s="63">
        <v>13</v>
      </c>
      <c r="N93" s="65">
        <v>355000</v>
      </c>
      <c r="O93" s="65">
        <f t="shared" si="4"/>
        <v>4615000</v>
      </c>
      <c r="P93" s="63" t="s">
        <v>290</v>
      </c>
      <c r="Q93" s="66"/>
    </row>
    <row r="94" spans="1:17" s="67" customFormat="1" ht="12.75">
      <c r="A94" s="63"/>
      <c r="B94" s="64" t="s">
        <v>105</v>
      </c>
      <c r="C94" s="63" t="s">
        <v>289</v>
      </c>
      <c r="D94" s="63" t="s">
        <v>284</v>
      </c>
      <c r="E94" s="63">
        <v>800</v>
      </c>
      <c r="F94" s="63">
        <v>400</v>
      </c>
      <c r="G94" s="63">
        <v>750</v>
      </c>
      <c r="H94" s="63">
        <v>350</v>
      </c>
      <c r="I94" s="63"/>
      <c r="J94" s="63"/>
      <c r="K94" s="63"/>
      <c r="L94" s="63" t="s">
        <v>22</v>
      </c>
      <c r="M94" s="63">
        <v>7</v>
      </c>
      <c r="N94" s="65">
        <v>520000</v>
      </c>
      <c r="O94" s="65">
        <f t="shared" si="4"/>
        <v>3640000</v>
      </c>
      <c r="P94" s="63" t="s">
        <v>290</v>
      </c>
      <c r="Q94" s="66"/>
    </row>
    <row r="95" spans="1:17" s="67" customFormat="1" ht="12.75">
      <c r="A95" s="63"/>
      <c r="B95" s="64" t="s">
        <v>106</v>
      </c>
      <c r="C95" s="63" t="s">
        <v>289</v>
      </c>
      <c r="D95" s="63" t="s">
        <v>284</v>
      </c>
      <c r="E95" s="63">
        <v>700</v>
      </c>
      <c r="F95" s="63">
        <v>400</v>
      </c>
      <c r="G95" s="63">
        <v>650</v>
      </c>
      <c r="H95" s="63">
        <v>350</v>
      </c>
      <c r="I95" s="63"/>
      <c r="J95" s="63"/>
      <c r="K95" s="63"/>
      <c r="L95" s="63" t="s">
        <v>22</v>
      </c>
      <c r="M95" s="63">
        <v>17</v>
      </c>
      <c r="N95" s="65">
        <v>461000</v>
      </c>
      <c r="O95" s="65">
        <f t="shared" si="4"/>
        <v>7837000</v>
      </c>
      <c r="P95" s="63" t="s">
        <v>290</v>
      </c>
      <c r="Q95" s="66"/>
    </row>
    <row r="96" spans="1:17" s="67" customFormat="1" ht="12.75">
      <c r="A96" s="63"/>
      <c r="B96" s="64" t="s">
        <v>107</v>
      </c>
      <c r="C96" s="63" t="s">
        <v>291</v>
      </c>
      <c r="D96" s="63" t="s">
        <v>284</v>
      </c>
      <c r="E96" s="63">
        <v>7500</v>
      </c>
      <c r="F96" s="63">
        <v>500</v>
      </c>
      <c r="G96" s="63">
        <v>7450</v>
      </c>
      <c r="H96" s="63">
        <v>450</v>
      </c>
      <c r="I96" s="63"/>
      <c r="J96" s="63"/>
      <c r="K96" s="63"/>
      <c r="L96" s="63" t="s">
        <v>22</v>
      </c>
      <c r="M96" s="63">
        <v>3</v>
      </c>
      <c r="N96" s="65">
        <v>5097000</v>
      </c>
      <c r="O96" s="65">
        <f t="shared" si="4"/>
        <v>15291000</v>
      </c>
      <c r="P96" s="63" t="s">
        <v>292</v>
      </c>
      <c r="Q96" s="66"/>
    </row>
    <row r="97" spans="1:17" s="67" customFormat="1" ht="12.75">
      <c r="A97" s="63"/>
      <c r="B97" s="64" t="s">
        <v>108</v>
      </c>
      <c r="C97" s="63" t="s">
        <v>291</v>
      </c>
      <c r="D97" s="63" t="s">
        <v>284</v>
      </c>
      <c r="E97" s="63">
        <v>1500</v>
      </c>
      <c r="F97" s="63">
        <v>1000</v>
      </c>
      <c r="G97" s="63">
        <v>1450</v>
      </c>
      <c r="H97" s="63">
        <v>950</v>
      </c>
      <c r="I97" s="63"/>
      <c r="J97" s="63"/>
      <c r="K97" s="63"/>
      <c r="L97" s="63" t="s">
        <v>22</v>
      </c>
      <c r="M97" s="63">
        <v>2</v>
      </c>
      <c r="N97" s="65">
        <v>2028000</v>
      </c>
      <c r="O97" s="65">
        <f t="shared" si="4"/>
        <v>4056000</v>
      </c>
      <c r="P97" s="63" t="s">
        <v>293</v>
      </c>
      <c r="Q97" s="66"/>
    </row>
    <row r="98" spans="1:17" s="67" customFormat="1" ht="12.75">
      <c r="A98" s="63"/>
      <c r="B98" s="64" t="s">
        <v>109</v>
      </c>
      <c r="C98" s="63" t="s">
        <v>291</v>
      </c>
      <c r="D98" s="63" t="s">
        <v>284</v>
      </c>
      <c r="E98" s="63">
        <v>3500</v>
      </c>
      <c r="F98" s="63">
        <v>1000</v>
      </c>
      <c r="G98" s="63">
        <v>3450</v>
      </c>
      <c r="H98" s="63">
        <v>950</v>
      </c>
      <c r="I98" s="63"/>
      <c r="J98" s="63"/>
      <c r="K98" s="63"/>
      <c r="L98" s="63" t="s">
        <v>22</v>
      </c>
      <c r="M98" s="63">
        <v>1</v>
      </c>
      <c r="N98" s="65">
        <v>4630000</v>
      </c>
      <c r="O98" s="65">
        <f t="shared" si="4"/>
        <v>4630000</v>
      </c>
      <c r="P98" s="63" t="s">
        <v>292</v>
      </c>
      <c r="Q98" s="66"/>
    </row>
    <row r="99" spans="1:17" s="67" customFormat="1" ht="12.75">
      <c r="A99" s="63"/>
      <c r="B99" s="64" t="s">
        <v>57</v>
      </c>
      <c r="C99" s="63"/>
      <c r="D99" s="63"/>
      <c r="E99" s="63"/>
      <c r="F99" s="63"/>
      <c r="G99" s="63"/>
      <c r="H99" s="63"/>
      <c r="I99" s="63"/>
      <c r="J99" s="63"/>
      <c r="K99" s="63"/>
      <c r="L99" s="63" t="s">
        <v>58</v>
      </c>
      <c r="M99" s="63">
        <v>1</v>
      </c>
      <c r="N99" s="65"/>
      <c r="O99" s="65">
        <f t="shared" si="4"/>
        <v>0</v>
      </c>
      <c r="P99" s="63"/>
      <c r="Q99" s="66"/>
    </row>
    <row r="100" spans="1:17" s="67" customFormat="1" ht="12.75">
      <c r="A100" s="63"/>
      <c r="B100" s="64" t="s">
        <v>111</v>
      </c>
      <c r="C100" s="63"/>
      <c r="D100" s="63"/>
      <c r="E100" s="63"/>
      <c r="F100" s="63"/>
      <c r="G100" s="63"/>
      <c r="H100" s="63"/>
      <c r="I100" s="63"/>
      <c r="J100" s="63"/>
      <c r="K100" s="63"/>
      <c r="L100" s="63"/>
      <c r="M100" s="63"/>
      <c r="N100" s="65"/>
      <c r="O100" s="65">
        <f t="shared" si="4"/>
        <v>0</v>
      </c>
      <c r="P100" s="63"/>
      <c r="Q100" s="66"/>
    </row>
    <row r="101" spans="1:17" s="67" customFormat="1" ht="25.5">
      <c r="A101" s="63"/>
      <c r="B101" s="64" t="s">
        <v>112</v>
      </c>
      <c r="C101" s="63" t="s">
        <v>19</v>
      </c>
      <c r="D101" s="63" t="s">
        <v>284</v>
      </c>
      <c r="E101" s="63">
        <v>1350</v>
      </c>
      <c r="F101" s="63">
        <v>1250</v>
      </c>
      <c r="G101" s="63"/>
      <c r="H101" s="63"/>
      <c r="I101" s="63"/>
      <c r="J101" s="63">
        <v>200</v>
      </c>
      <c r="K101" s="63">
        <v>1.1499999999999999</v>
      </c>
      <c r="L101" s="63" t="s">
        <v>22</v>
      </c>
      <c r="M101" s="63">
        <v>4</v>
      </c>
      <c r="N101" s="65">
        <v>2901700</v>
      </c>
      <c r="O101" s="65">
        <f t="shared" si="4"/>
        <v>11606800</v>
      </c>
      <c r="P101" s="63" t="s">
        <v>285</v>
      </c>
      <c r="Q101" s="66"/>
    </row>
    <row r="102" spans="1:17" s="67" customFormat="1" ht="25.5">
      <c r="A102" s="63"/>
      <c r="B102" s="64" t="s">
        <v>113</v>
      </c>
      <c r="C102" s="63" t="s">
        <v>19</v>
      </c>
      <c r="D102" s="63" t="s">
        <v>284</v>
      </c>
      <c r="E102" s="63">
        <v>1250</v>
      </c>
      <c r="F102" s="63">
        <v>600</v>
      </c>
      <c r="G102" s="63"/>
      <c r="H102" s="63"/>
      <c r="I102" s="63"/>
      <c r="J102" s="63">
        <v>200</v>
      </c>
      <c r="K102" s="63">
        <v>1.1499999999999999</v>
      </c>
      <c r="L102" s="63" t="s">
        <v>22</v>
      </c>
      <c r="M102" s="63">
        <v>4</v>
      </c>
      <c r="N102" s="65">
        <v>1816450</v>
      </c>
      <c r="O102" s="65">
        <f t="shared" si="4"/>
        <v>7265800</v>
      </c>
      <c r="P102" s="63" t="s">
        <v>285</v>
      </c>
      <c r="Q102" s="66"/>
    </row>
    <row r="103" spans="1:17" s="67" customFormat="1" ht="12.75">
      <c r="A103" s="63"/>
      <c r="B103" s="64" t="s">
        <v>114</v>
      </c>
      <c r="C103" s="63" t="s">
        <v>19</v>
      </c>
      <c r="D103" s="63" t="s">
        <v>284</v>
      </c>
      <c r="E103" s="63">
        <v>800</v>
      </c>
      <c r="F103" s="63">
        <v>250</v>
      </c>
      <c r="G103" s="63"/>
      <c r="H103" s="63"/>
      <c r="I103" s="63"/>
      <c r="J103" s="63">
        <v>200</v>
      </c>
      <c r="K103" s="63">
        <v>0.95</v>
      </c>
      <c r="L103" s="63" t="s">
        <v>22</v>
      </c>
      <c r="M103" s="63">
        <v>1</v>
      </c>
      <c r="N103" s="65">
        <v>329000</v>
      </c>
      <c r="O103" s="65">
        <f t="shared" si="4"/>
        <v>329000</v>
      </c>
      <c r="P103" s="63" t="s">
        <v>294</v>
      </c>
      <c r="Q103" s="66"/>
    </row>
    <row r="104" spans="1:17" s="67" customFormat="1" ht="12.75">
      <c r="A104" s="63"/>
      <c r="B104" s="64" t="s">
        <v>115</v>
      </c>
      <c r="C104" s="63" t="s">
        <v>19</v>
      </c>
      <c r="D104" s="63" t="s">
        <v>284</v>
      </c>
      <c r="E104" s="63">
        <v>800</v>
      </c>
      <c r="F104" s="63">
        <v>450</v>
      </c>
      <c r="G104" s="63"/>
      <c r="H104" s="63"/>
      <c r="I104" s="63"/>
      <c r="J104" s="63">
        <v>200</v>
      </c>
      <c r="K104" s="63">
        <v>0.95</v>
      </c>
      <c r="L104" s="63" t="s">
        <v>22</v>
      </c>
      <c r="M104" s="63">
        <v>6</v>
      </c>
      <c r="N104" s="65">
        <v>458000</v>
      </c>
      <c r="O104" s="65">
        <f t="shared" si="4"/>
        <v>2748000</v>
      </c>
      <c r="P104" s="63" t="s">
        <v>294</v>
      </c>
      <c r="Q104" s="66"/>
    </row>
    <row r="105" spans="1:17" s="67" customFormat="1" ht="76.5">
      <c r="A105" s="63"/>
      <c r="B105" s="64" t="s">
        <v>116</v>
      </c>
      <c r="C105" s="63" t="s">
        <v>262</v>
      </c>
      <c r="D105" s="63" t="s">
        <v>284</v>
      </c>
      <c r="E105" s="63">
        <v>1350</v>
      </c>
      <c r="F105" s="63">
        <v>1250</v>
      </c>
      <c r="G105" s="63">
        <v>1350</v>
      </c>
      <c r="H105" s="63">
        <f>F105/2</f>
        <v>625</v>
      </c>
      <c r="I105" s="63">
        <v>2</v>
      </c>
      <c r="J105" s="63">
        <v>200</v>
      </c>
      <c r="K105" s="63">
        <v>1.1499999999999999</v>
      </c>
      <c r="L105" s="63" t="s">
        <v>22</v>
      </c>
      <c r="M105" s="63">
        <v>4</v>
      </c>
      <c r="N105" s="65">
        <v>14675241.510067115</v>
      </c>
      <c r="O105" s="65">
        <f t="shared" si="4"/>
        <v>58700966.040268458</v>
      </c>
      <c r="P105" s="63" t="s">
        <v>287</v>
      </c>
      <c r="Q105" s="66"/>
    </row>
    <row r="106" spans="1:17" s="67" customFormat="1" ht="76.5">
      <c r="A106" s="63"/>
      <c r="B106" s="64" t="s">
        <v>117</v>
      </c>
      <c r="C106" s="63" t="s">
        <v>262</v>
      </c>
      <c r="D106" s="63" t="s">
        <v>284</v>
      </c>
      <c r="E106" s="63">
        <v>1250</v>
      </c>
      <c r="F106" s="63">
        <v>600</v>
      </c>
      <c r="G106" s="63"/>
      <c r="H106" s="63"/>
      <c r="I106" s="63"/>
      <c r="J106" s="63">
        <v>200</v>
      </c>
      <c r="K106" s="63">
        <v>1.1499999999999999</v>
      </c>
      <c r="L106" s="63" t="s">
        <v>22</v>
      </c>
      <c r="M106" s="63">
        <v>4</v>
      </c>
      <c r="N106" s="65">
        <v>7024384.9664429538</v>
      </c>
      <c r="O106" s="65">
        <f t="shared" si="4"/>
        <v>28097539.865771815</v>
      </c>
      <c r="P106" s="63" t="s">
        <v>287</v>
      </c>
      <c r="Q106" s="66"/>
    </row>
    <row r="107" spans="1:17" s="67" customFormat="1" ht="76.5">
      <c r="A107" s="63"/>
      <c r="B107" s="64" t="s">
        <v>118</v>
      </c>
      <c r="C107" s="63" t="s">
        <v>262</v>
      </c>
      <c r="D107" s="63" t="s">
        <v>284</v>
      </c>
      <c r="E107" s="63">
        <v>1050</v>
      </c>
      <c r="F107" s="63">
        <v>350</v>
      </c>
      <c r="G107" s="63"/>
      <c r="H107" s="63"/>
      <c r="I107" s="63"/>
      <c r="J107" s="63">
        <v>200</v>
      </c>
      <c r="K107" s="63">
        <v>1.1499999999999999</v>
      </c>
      <c r="L107" s="63" t="s">
        <v>22</v>
      </c>
      <c r="M107" s="63">
        <v>3</v>
      </c>
      <c r="N107" s="65">
        <v>5784527.324832215</v>
      </c>
      <c r="O107" s="65">
        <f t="shared" si="4"/>
        <v>17353581.974496644</v>
      </c>
      <c r="P107" s="63" t="s">
        <v>287</v>
      </c>
      <c r="Q107" s="66"/>
    </row>
    <row r="108" spans="1:17" s="67" customFormat="1" ht="76.5">
      <c r="A108" s="63"/>
      <c r="B108" s="64" t="s">
        <v>119</v>
      </c>
      <c r="C108" s="63" t="s">
        <v>262</v>
      </c>
      <c r="D108" s="63" t="s">
        <v>284</v>
      </c>
      <c r="E108" s="63">
        <v>800</v>
      </c>
      <c r="F108" s="63">
        <v>350</v>
      </c>
      <c r="G108" s="63"/>
      <c r="H108" s="63"/>
      <c r="I108" s="63"/>
      <c r="J108" s="63">
        <v>200</v>
      </c>
      <c r="K108" s="63">
        <v>1.1499999999999999</v>
      </c>
      <c r="L108" s="63" t="s">
        <v>22</v>
      </c>
      <c r="M108" s="63">
        <v>7</v>
      </c>
      <c r="N108" s="65">
        <v>5415141.9758389266</v>
      </c>
      <c r="O108" s="65">
        <f t="shared" si="4"/>
        <v>37905993.830872484</v>
      </c>
      <c r="P108" s="63" t="s">
        <v>287</v>
      </c>
      <c r="Q108" s="66"/>
    </row>
    <row r="109" spans="1:17" s="67" customFormat="1" ht="76.5">
      <c r="A109" s="63"/>
      <c r="B109" s="64" t="s">
        <v>89</v>
      </c>
      <c r="C109" s="63" t="s">
        <v>262</v>
      </c>
      <c r="D109" s="63" t="s">
        <v>284</v>
      </c>
      <c r="E109" s="63">
        <v>900</v>
      </c>
      <c r="F109" s="63">
        <v>350</v>
      </c>
      <c r="G109" s="63"/>
      <c r="H109" s="63"/>
      <c r="I109" s="63"/>
      <c r="J109" s="63">
        <v>200</v>
      </c>
      <c r="K109" s="63">
        <v>1.1499999999999999</v>
      </c>
      <c r="L109" s="63" t="s">
        <v>22</v>
      </c>
      <c r="M109" s="63">
        <v>2</v>
      </c>
      <c r="N109" s="65">
        <v>5562656.115436242</v>
      </c>
      <c r="O109" s="65">
        <f t="shared" si="4"/>
        <v>11125312.230872484</v>
      </c>
      <c r="P109" s="63" t="s">
        <v>287</v>
      </c>
      <c r="Q109" s="66"/>
    </row>
    <row r="110" spans="1:17" s="67" customFormat="1" ht="76.5">
      <c r="A110" s="63"/>
      <c r="B110" s="64" t="s">
        <v>120</v>
      </c>
      <c r="C110" s="63" t="s">
        <v>262</v>
      </c>
      <c r="D110" s="63" t="s">
        <v>284</v>
      </c>
      <c r="E110" s="63">
        <v>900</v>
      </c>
      <c r="F110" s="63">
        <v>350</v>
      </c>
      <c r="G110" s="63"/>
      <c r="H110" s="63"/>
      <c r="I110" s="63"/>
      <c r="J110" s="63">
        <v>200</v>
      </c>
      <c r="K110" s="63">
        <v>1.1499999999999999</v>
      </c>
      <c r="L110" s="63" t="s">
        <v>22</v>
      </c>
      <c r="M110" s="63">
        <v>2</v>
      </c>
      <c r="N110" s="65">
        <v>5562656.115436242</v>
      </c>
      <c r="O110" s="65">
        <f t="shared" si="4"/>
        <v>11125312.230872484</v>
      </c>
      <c r="P110" s="63" t="s">
        <v>287</v>
      </c>
      <c r="Q110" s="66"/>
    </row>
    <row r="111" spans="1:17" s="67" customFormat="1" ht="76.5">
      <c r="A111" s="63"/>
      <c r="B111" s="64" t="s">
        <v>121</v>
      </c>
      <c r="C111" s="63" t="s">
        <v>262</v>
      </c>
      <c r="D111" s="63" t="s">
        <v>284</v>
      </c>
      <c r="E111" s="63">
        <v>1100</v>
      </c>
      <c r="F111" s="63">
        <v>350</v>
      </c>
      <c r="G111" s="63"/>
      <c r="H111" s="63"/>
      <c r="I111" s="63"/>
      <c r="J111" s="63">
        <v>200</v>
      </c>
      <c r="K111" s="63">
        <v>1.1499999999999999</v>
      </c>
      <c r="L111" s="63" t="s">
        <v>22</v>
      </c>
      <c r="M111" s="63">
        <v>1</v>
      </c>
      <c r="N111" s="65">
        <v>5858884.3946308726</v>
      </c>
      <c r="O111" s="65">
        <f t="shared" si="4"/>
        <v>5858884.3946308726</v>
      </c>
      <c r="P111" s="63" t="s">
        <v>287</v>
      </c>
      <c r="Q111" s="66"/>
    </row>
    <row r="112" spans="1:17" s="67" customFormat="1" ht="76.5">
      <c r="A112" s="63"/>
      <c r="B112" s="64" t="s">
        <v>86</v>
      </c>
      <c r="C112" s="63" t="s">
        <v>262</v>
      </c>
      <c r="D112" s="63" t="s">
        <v>284</v>
      </c>
      <c r="E112" s="63">
        <v>1100</v>
      </c>
      <c r="F112" s="63">
        <v>350</v>
      </c>
      <c r="G112" s="63"/>
      <c r="H112" s="63"/>
      <c r="I112" s="63"/>
      <c r="J112" s="63">
        <v>200</v>
      </c>
      <c r="K112" s="63">
        <v>1.1499999999999999</v>
      </c>
      <c r="L112" s="63" t="s">
        <v>22</v>
      </c>
      <c r="M112" s="63">
        <v>4</v>
      </c>
      <c r="N112" s="65">
        <v>5858884.3946308726</v>
      </c>
      <c r="O112" s="65">
        <f t="shared" si="4"/>
        <v>23435537.578523491</v>
      </c>
      <c r="P112" s="63" t="s">
        <v>287</v>
      </c>
      <c r="Q112" s="66"/>
    </row>
    <row r="113" spans="1:17" s="67" customFormat="1" ht="76.5">
      <c r="A113" s="63"/>
      <c r="B113" s="64" t="s">
        <v>93</v>
      </c>
      <c r="C113" s="63" t="s">
        <v>262</v>
      </c>
      <c r="D113" s="63" t="s">
        <v>284</v>
      </c>
      <c r="E113" s="63">
        <v>800</v>
      </c>
      <c r="F113" s="63">
        <v>300</v>
      </c>
      <c r="G113" s="63"/>
      <c r="H113" s="63"/>
      <c r="I113" s="63"/>
      <c r="J113" s="63">
        <v>200</v>
      </c>
      <c r="K113" s="63">
        <v>1.1499999999999999</v>
      </c>
      <c r="L113" s="63" t="s">
        <v>22</v>
      </c>
      <c r="M113" s="63">
        <v>2</v>
      </c>
      <c r="N113" s="65">
        <v>5283600.5046979869</v>
      </c>
      <c r="O113" s="65">
        <f t="shared" si="4"/>
        <v>10567201.009395974</v>
      </c>
      <c r="P113" s="63" t="s">
        <v>287</v>
      </c>
      <c r="Q113" s="66"/>
    </row>
    <row r="114" spans="1:17" s="67" customFormat="1" ht="76.5">
      <c r="A114" s="63"/>
      <c r="B114" s="64" t="s">
        <v>122</v>
      </c>
      <c r="C114" s="63" t="s">
        <v>262</v>
      </c>
      <c r="D114" s="63" t="s">
        <v>284</v>
      </c>
      <c r="E114" s="63">
        <v>900</v>
      </c>
      <c r="F114" s="63">
        <v>350</v>
      </c>
      <c r="G114" s="63"/>
      <c r="H114" s="63"/>
      <c r="I114" s="63"/>
      <c r="J114" s="63">
        <v>200</v>
      </c>
      <c r="K114" s="63">
        <v>1.1499999999999999</v>
      </c>
      <c r="L114" s="63" t="s">
        <v>22</v>
      </c>
      <c r="M114" s="63">
        <v>1</v>
      </c>
      <c r="N114" s="65">
        <v>5562656.115436242</v>
      </c>
      <c r="O114" s="65">
        <f t="shared" si="4"/>
        <v>5562656.115436242</v>
      </c>
      <c r="P114" s="63" t="s">
        <v>287</v>
      </c>
      <c r="Q114" s="66"/>
    </row>
    <row r="115" spans="1:17" s="67" customFormat="1" ht="76.5">
      <c r="A115" s="63"/>
      <c r="B115" s="64" t="s">
        <v>123</v>
      </c>
      <c r="C115" s="63" t="s">
        <v>262</v>
      </c>
      <c r="D115" s="63" t="s">
        <v>284</v>
      </c>
      <c r="E115" s="63">
        <v>1400</v>
      </c>
      <c r="F115" s="63">
        <v>350</v>
      </c>
      <c r="G115" s="63"/>
      <c r="H115" s="63"/>
      <c r="I115" s="63"/>
      <c r="J115" s="63">
        <v>200</v>
      </c>
      <c r="K115" s="63">
        <v>1.1499999999999999</v>
      </c>
      <c r="L115" s="63" t="s">
        <v>22</v>
      </c>
      <c r="M115" s="63">
        <v>1</v>
      </c>
      <c r="N115" s="65">
        <v>6301426.8134228187</v>
      </c>
      <c r="O115" s="65">
        <f t="shared" si="4"/>
        <v>6301426.8134228187</v>
      </c>
      <c r="P115" s="63" t="s">
        <v>287</v>
      </c>
      <c r="Q115" s="66"/>
    </row>
    <row r="116" spans="1:17" s="67" customFormat="1" ht="102">
      <c r="A116" s="63"/>
      <c r="B116" s="64" t="s">
        <v>124</v>
      </c>
      <c r="C116" s="63" t="s">
        <v>262</v>
      </c>
      <c r="D116" s="63" t="s">
        <v>284</v>
      </c>
      <c r="E116" s="63">
        <v>100</v>
      </c>
      <c r="F116" s="63">
        <v>100</v>
      </c>
      <c r="G116" s="63"/>
      <c r="H116" s="63"/>
      <c r="I116" s="63"/>
      <c r="J116" s="63">
        <v>200</v>
      </c>
      <c r="K116" s="63">
        <v>1.1499999999999999</v>
      </c>
      <c r="L116" s="63" t="s">
        <v>22</v>
      </c>
      <c r="M116" s="63">
        <v>11</v>
      </c>
      <c r="N116" s="65">
        <v>4661154.4249999998</v>
      </c>
      <c r="O116" s="65">
        <f t="shared" si="4"/>
        <v>51272698.674999997</v>
      </c>
      <c r="P116" s="63" t="s">
        <v>295</v>
      </c>
      <c r="Q116" s="66"/>
    </row>
    <row r="117" spans="1:17" s="67" customFormat="1" ht="76.5">
      <c r="A117" s="63"/>
      <c r="B117" s="64" t="s">
        <v>125</v>
      </c>
      <c r="C117" s="63" t="s">
        <v>262</v>
      </c>
      <c r="D117" s="63" t="s">
        <v>284</v>
      </c>
      <c r="E117" s="63">
        <v>150</v>
      </c>
      <c r="F117" s="63">
        <v>150</v>
      </c>
      <c r="G117" s="63"/>
      <c r="H117" s="63"/>
      <c r="I117" s="63"/>
      <c r="J117" s="63">
        <v>200</v>
      </c>
      <c r="K117" s="63">
        <v>1.1499999999999999</v>
      </c>
      <c r="L117" s="63" t="s">
        <v>22</v>
      </c>
      <c r="M117" s="63">
        <v>9</v>
      </c>
      <c r="N117" s="65">
        <v>4661154.4249999998</v>
      </c>
      <c r="O117" s="65">
        <f t="shared" si="4"/>
        <v>41950389.824999996</v>
      </c>
      <c r="P117" s="63" t="s">
        <v>287</v>
      </c>
      <c r="Q117" s="66"/>
    </row>
    <row r="118" spans="1:17" s="67" customFormat="1" ht="76.5">
      <c r="A118" s="63"/>
      <c r="B118" s="64" t="s">
        <v>126</v>
      </c>
      <c r="C118" s="63" t="s">
        <v>262</v>
      </c>
      <c r="D118" s="63" t="s">
        <v>284</v>
      </c>
      <c r="E118" s="63">
        <v>450</v>
      </c>
      <c r="F118" s="63">
        <v>300</v>
      </c>
      <c r="G118" s="63"/>
      <c r="H118" s="63"/>
      <c r="I118" s="63"/>
      <c r="J118" s="63">
        <v>200</v>
      </c>
      <c r="K118" s="63">
        <v>1.1499999999999999</v>
      </c>
      <c r="L118" s="63" t="s">
        <v>22</v>
      </c>
      <c r="M118" s="63">
        <v>3</v>
      </c>
      <c r="N118" s="65">
        <v>4812111.1060402691</v>
      </c>
      <c r="O118" s="65">
        <f t="shared" si="4"/>
        <v>14436333.318120807</v>
      </c>
      <c r="P118" s="63" t="s">
        <v>287</v>
      </c>
      <c r="Q118" s="66"/>
    </row>
    <row r="119" spans="1:17" s="67" customFormat="1" ht="38.25">
      <c r="A119" s="63"/>
      <c r="B119" s="64" t="s">
        <v>127</v>
      </c>
      <c r="C119" s="63" t="s">
        <v>263</v>
      </c>
      <c r="D119" s="63" t="s">
        <v>284</v>
      </c>
      <c r="E119" s="63">
        <v>800</v>
      </c>
      <c r="F119" s="63">
        <v>250</v>
      </c>
      <c r="G119" s="63"/>
      <c r="H119" s="63"/>
      <c r="I119" s="63"/>
      <c r="J119" s="63">
        <v>200</v>
      </c>
      <c r="K119" s="63">
        <v>1.1499999999999999</v>
      </c>
      <c r="L119" s="63" t="s">
        <v>22</v>
      </c>
      <c r="M119" s="63">
        <v>1</v>
      </c>
      <c r="N119" s="65">
        <v>2519556</v>
      </c>
      <c r="O119" s="65">
        <f t="shared" si="4"/>
        <v>2519556</v>
      </c>
      <c r="P119" s="63" t="s">
        <v>264</v>
      </c>
      <c r="Q119" s="66"/>
    </row>
    <row r="120" spans="1:17" s="67" customFormat="1" ht="38.25">
      <c r="A120" s="63"/>
      <c r="B120" s="64" t="s">
        <v>128</v>
      </c>
      <c r="C120" s="63" t="s">
        <v>263</v>
      </c>
      <c r="D120" s="63" t="s">
        <v>284</v>
      </c>
      <c r="E120" s="63">
        <v>300</v>
      </c>
      <c r="F120" s="63">
        <v>200</v>
      </c>
      <c r="G120" s="63"/>
      <c r="H120" s="63"/>
      <c r="I120" s="63"/>
      <c r="J120" s="63">
        <v>200</v>
      </c>
      <c r="K120" s="63">
        <v>1.1499999999999999</v>
      </c>
      <c r="L120" s="63" t="s">
        <v>22</v>
      </c>
      <c r="M120" s="63">
        <v>6</v>
      </c>
      <c r="N120" s="65">
        <v>1256361.8</v>
      </c>
      <c r="O120" s="65">
        <f t="shared" si="4"/>
        <v>7538170.8000000007</v>
      </c>
      <c r="P120" s="63" t="s">
        <v>264</v>
      </c>
      <c r="Q120" s="66"/>
    </row>
    <row r="121" spans="1:17" s="67" customFormat="1" ht="38.25">
      <c r="A121" s="63"/>
      <c r="B121" s="64" t="s">
        <v>129</v>
      </c>
      <c r="C121" s="63" t="s">
        <v>263</v>
      </c>
      <c r="D121" s="63" t="s">
        <v>284</v>
      </c>
      <c r="E121" s="63">
        <v>200</v>
      </c>
      <c r="F121" s="63">
        <v>200</v>
      </c>
      <c r="G121" s="63"/>
      <c r="H121" s="63"/>
      <c r="I121" s="63"/>
      <c r="J121" s="63">
        <v>200</v>
      </c>
      <c r="K121" s="63">
        <v>1.1499999999999999</v>
      </c>
      <c r="L121" s="63" t="s">
        <v>22</v>
      </c>
      <c r="M121" s="63">
        <v>6</v>
      </c>
      <c r="N121" s="65">
        <v>1051991.2</v>
      </c>
      <c r="O121" s="65">
        <f t="shared" si="4"/>
        <v>6311947.1999999993</v>
      </c>
      <c r="P121" s="63" t="s">
        <v>264</v>
      </c>
      <c r="Q121" s="66"/>
    </row>
    <row r="122" spans="1:17" s="67" customFormat="1" ht="38.25">
      <c r="A122" s="63"/>
      <c r="B122" s="64" t="s">
        <v>130</v>
      </c>
      <c r="C122" s="63" t="s">
        <v>263</v>
      </c>
      <c r="D122" s="63" t="s">
        <v>284</v>
      </c>
      <c r="E122" s="63">
        <v>350</v>
      </c>
      <c r="F122" s="63">
        <v>250</v>
      </c>
      <c r="G122" s="63"/>
      <c r="H122" s="63"/>
      <c r="I122" s="63"/>
      <c r="J122" s="63">
        <v>200</v>
      </c>
      <c r="K122" s="63">
        <v>1.1499999999999999</v>
      </c>
      <c r="L122" s="63" t="s">
        <v>22</v>
      </c>
      <c r="M122" s="63">
        <v>6</v>
      </c>
      <c r="N122" s="65">
        <v>1495133.875</v>
      </c>
      <c r="O122" s="65">
        <f t="shared" si="4"/>
        <v>8970803.25</v>
      </c>
      <c r="P122" s="63" t="s">
        <v>264</v>
      </c>
      <c r="Q122" s="66"/>
    </row>
    <row r="123" spans="1:17" s="67" customFormat="1" ht="38.25">
      <c r="A123" s="63"/>
      <c r="B123" s="64" t="s">
        <v>131</v>
      </c>
      <c r="C123" s="63" t="s">
        <v>263</v>
      </c>
      <c r="D123" s="63" t="s">
        <v>284</v>
      </c>
      <c r="E123" s="63">
        <v>450</v>
      </c>
      <c r="F123" s="63">
        <v>200</v>
      </c>
      <c r="G123" s="63"/>
      <c r="H123" s="63"/>
      <c r="I123" s="63"/>
      <c r="J123" s="63">
        <v>200</v>
      </c>
      <c r="K123" s="63">
        <v>1.1499999999999999</v>
      </c>
      <c r="L123" s="63" t="s">
        <v>22</v>
      </c>
      <c r="M123" s="63">
        <v>14</v>
      </c>
      <c r="N123" s="65">
        <v>1561367.7</v>
      </c>
      <c r="O123" s="65">
        <f t="shared" si="4"/>
        <v>21859147.800000001</v>
      </c>
      <c r="P123" s="63" t="s">
        <v>264</v>
      </c>
      <c r="Q123" s="66"/>
    </row>
    <row r="124" spans="1:17" s="67" customFormat="1" ht="38.25">
      <c r="A124" s="63"/>
      <c r="B124" s="64" t="s">
        <v>132</v>
      </c>
      <c r="C124" s="63" t="s">
        <v>296</v>
      </c>
      <c r="D124" s="63" t="s">
        <v>284</v>
      </c>
      <c r="E124" s="63">
        <v>300</v>
      </c>
      <c r="F124" s="63">
        <v>150</v>
      </c>
      <c r="G124" s="63"/>
      <c r="H124" s="63"/>
      <c r="I124" s="63"/>
      <c r="J124" s="63">
        <v>200</v>
      </c>
      <c r="K124" s="63">
        <v>1.1499999999999999</v>
      </c>
      <c r="L124" s="63" t="s">
        <v>22</v>
      </c>
      <c r="M124" s="63">
        <v>78</v>
      </c>
      <c r="N124" s="65">
        <v>2412000</v>
      </c>
      <c r="O124" s="65">
        <f t="shared" si="4"/>
        <v>188136000</v>
      </c>
      <c r="P124" s="63" t="s">
        <v>297</v>
      </c>
      <c r="Q124" s="66"/>
    </row>
    <row r="125" spans="1:17" s="67" customFormat="1" ht="12.75">
      <c r="A125" s="63"/>
      <c r="B125" s="64" t="s">
        <v>133</v>
      </c>
      <c r="C125" s="63"/>
      <c r="D125" s="63"/>
      <c r="E125" s="63"/>
      <c r="F125" s="63"/>
      <c r="G125" s="63"/>
      <c r="H125" s="63"/>
      <c r="I125" s="63"/>
      <c r="J125" s="63"/>
      <c r="K125" s="63"/>
      <c r="L125" s="63" t="s">
        <v>22</v>
      </c>
      <c r="M125" s="63">
        <v>78</v>
      </c>
      <c r="N125" s="65"/>
      <c r="O125" s="65">
        <f t="shared" si="4"/>
        <v>0</v>
      </c>
      <c r="P125" s="63"/>
      <c r="Q125" s="66"/>
    </row>
    <row r="126" spans="1:17" s="67" customFormat="1" ht="25.5">
      <c r="A126" s="63"/>
      <c r="B126" s="64" t="s">
        <v>134</v>
      </c>
      <c r="C126" s="63" t="s">
        <v>35</v>
      </c>
      <c r="D126" s="63" t="s">
        <v>284</v>
      </c>
      <c r="E126" s="63">
        <v>1300</v>
      </c>
      <c r="F126" s="63">
        <v>300</v>
      </c>
      <c r="G126" s="63"/>
      <c r="H126" s="63"/>
      <c r="I126" s="63"/>
      <c r="J126" s="63">
        <v>200</v>
      </c>
      <c r="K126" s="63">
        <v>1.1499999999999999</v>
      </c>
      <c r="L126" s="63" t="s">
        <v>22</v>
      </c>
      <c r="M126" s="63">
        <v>26</v>
      </c>
      <c r="N126" s="65">
        <v>1120000</v>
      </c>
      <c r="O126" s="65">
        <f t="shared" si="4"/>
        <v>29120000</v>
      </c>
      <c r="P126" s="63" t="s">
        <v>298</v>
      </c>
      <c r="Q126" s="66"/>
    </row>
    <row r="127" spans="1:17" s="67" customFormat="1" ht="12.75">
      <c r="A127" s="63"/>
      <c r="B127" s="64" t="s">
        <v>135</v>
      </c>
      <c r="C127" s="63" t="s">
        <v>35</v>
      </c>
      <c r="D127" s="63" t="s">
        <v>284</v>
      </c>
      <c r="E127" s="63">
        <v>150</v>
      </c>
      <c r="F127" s="63">
        <v>150</v>
      </c>
      <c r="G127" s="63"/>
      <c r="H127" s="63"/>
      <c r="I127" s="63"/>
      <c r="J127" s="63">
        <v>200</v>
      </c>
      <c r="K127" s="63">
        <v>0.75</v>
      </c>
      <c r="L127" s="63" t="s">
        <v>22</v>
      </c>
      <c r="M127" s="63">
        <v>413</v>
      </c>
      <c r="N127" s="65">
        <v>174000</v>
      </c>
      <c r="O127" s="65">
        <f t="shared" si="4"/>
        <v>71862000</v>
      </c>
      <c r="P127" s="63" t="s">
        <v>298</v>
      </c>
      <c r="Q127" s="66"/>
    </row>
    <row r="128" spans="1:17" s="67" customFormat="1" ht="12.75">
      <c r="A128" s="63"/>
      <c r="B128" s="64" t="s">
        <v>136</v>
      </c>
      <c r="C128" s="63" t="s">
        <v>35</v>
      </c>
      <c r="D128" s="63" t="s">
        <v>284</v>
      </c>
      <c r="E128" s="63">
        <v>150</v>
      </c>
      <c r="F128" s="63"/>
      <c r="G128" s="63"/>
      <c r="H128" s="63"/>
      <c r="I128" s="63"/>
      <c r="J128" s="63">
        <v>200</v>
      </c>
      <c r="K128" s="63">
        <v>0.75</v>
      </c>
      <c r="L128" s="63" t="s">
        <v>22</v>
      </c>
      <c r="M128" s="63">
        <v>35</v>
      </c>
      <c r="N128" s="65">
        <v>145000</v>
      </c>
      <c r="O128" s="65">
        <f t="shared" si="4"/>
        <v>5075000</v>
      </c>
      <c r="P128" s="63" t="s">
        <v>298</v>
      </c>
      <c r="Q128" s="66"/>
    </row>
    <row r="129" spans="1:18" s="67" customFormat="1" ht="12.75">
      <c r="A129" s="63"/>
      <c r="B129" s="64" t="s">
        <v>137</v>
      </c>
      <c r="C129" s="63" t="s">
        <v>35</v>
      </c>
      <c r="D129" s="63" t="s">
        <v>284</v>
      </c>
      <c r="E129" s="63">
        <v>200</v>
      </c>
      <c r="F129" s="63"/>
      <c r="G129" s="63"/>
      <c r="H129" s="63"/>
      <c r="I129" s="63"/>
      <c r="J129" s="63">
        <v>250</v>
      </c>
      <c r="K129" s="63">
        <v>0.75</v>
      </c>
      <c r="L129" s="63" t="s">
        <v>22</v>
      </c>
      <c r="M129" s="63">
        <v>70</v>
      </c>
      <c r="N129" s="65">
        <v>165000</v>
      </c>
      <c r="O129" s="65">
        <f t="shared" si="4"/>
        <v>11550000</v>
      </c>
      <c r="P129" s="63" t="s">
        <v>298</v>
      </c>
      <c r="Q129" s="66"/>
    </row>
    <row r="130" spans="1:18" s="67" customFormat="1" ht="12.75">
      <c r="A130" s="63"/>
      <c r="B130" s="64" t="s">
        <v>138</v>
      </c>
      <c r="C130" s="63" t="s">
        <v>289</v>
      </c>
      <c r="D130" s="63" t="s">
        <v>284</v>
      </c>
      <c r="E130" s="63">
        <v>1000</v>
      </c>
      <c r="F130" s="63">
        <v>600</v>
      </c>
      <c r="G130" s="63">
        <v>950</v>
      </c>
      <c r="H130" s="63">
        <v>550</v>
      </c>
      <c r="I130" s="63"/>
      <c r="J130" s="63"/>
      <c r="K130" s="63"/>
      <c r="L130" s="63" t="s">
        <v>22</v>
      </c>
      <c r="M130" s="63">
        <v>1</v>
      </c>
      <c r="N130" s="65">
        <v>896000</v>
      </c>
      <c r="O130" s="65">
        <f t="shared" si="4"/>
        <v>896000</v>
      </c>
      <c r="P130" s="63" t="s">
        <v>290</v>
      </c>
      <c r="Q130" s="66"/>
    </row>
    <row r="131" spans="1:18" s="67" customFormat="1" ht="12.75">
      <c r="A131" s="63"/>
      <c r="B131" s="64" t="s">
        <v>139</v>
      </c>
      <c r="C131" s="63" t="s">
        <v>289</v>
      </c>
      <c r="D131" s="63" t="s">
        <v>284</v>
      </c>
      <c r="E131" s="63">
        <v>1200</v>
      </c>
      <c r="F131" s="63">
        <v>600</v>
      </c>
      <c r="G131" s="63">
        <v>1150</v>
      </c>
      <c r="H131" s="63">
        <v>550</v>
      </c>
      <c r="I131" s="63"/>
      <c r="J131" s="63"/>
      <c r="K131" s="63"/>
      <c r="L131" s="63" t="s">
        <v>22</v>
      </c>
      <c r="M131" s="63">
        <v>2</v>
      </c>
      <c r="N131" s="65">
        <v>1062000</v>
      </c>
      <c r="O131" s="65">
        <f t="shared" si="4"/>
        <v>2124000</v>
      </c>
      <c r="P131" s="63" t="s">
        <v>290</v>
      </c>
      <c r="Q131" s="66"/>
    </row>
    <row r="132" spans="1:18" s="67" customFormat="1" ht="12.75">
      <c r="A132" s="63"/>
      <c r="B132" s="64" t="s">
        <v>140</v>
      </c>
      <c r="C132" s="63" t="s">
        <v>289</v>
      </c>
      <c r="D132" s="63" t="s">
        <v>284</v>
      </c>
      <c r="E132" s="63">
        <v>600</v>
      </c>
      <c r="F132" s="63">
        <v>600</v>
      </c>
      <c r="G132" s="63">
        <v>550</v>
      </c>
      <c r="H132" s="63">
        <v>550</v>
      </c>
      <c r="I132" s="63"/>
      <c r="J132" s="63"/>
      <c r="K132" s="63"/>
      <c r="L132" s="63" t="s">
        <v>22</v>
      </c>
      <c r="M132" s="63">
        <v>48</v>
      </c>
      <c r="N132" s="65">
        <v>505000</v>
      </c>
      <c r="O132" s="65">
        <f t="shared" si="4"/>
        <v>24240000</v>
      </c>
      <c r="P132" s="63" t="s">
        <v>290</v>
      </c>
      <c r="Q132" s="66"/>
    </row>
    <row r="133" spans="1:18" s="67" customFormat="1" ht="12.75">
      <c r="A133" s="63"/>
      <c r="B133" s="64" t="s">
        <v>141</v>
      </c>
      <c r="C133" s="63" t="s">
        <v>289</v>
      </c>
      <c r="D133" s="63" t="s">
        <v>284</v>
      </c>
      <c r="E133" s="63">
        <v>900</v>
      </c>
      <c r="F133" s="63">
        <v>600</v>
      </c>
      <c r="G133" s="63">
        <v>850</v>
      </c>
      <c r="H133" s="63">
        <v>550</v>
      </c>
      <c r="I133" s="63"/>
      <c r="J133" s="63"/>
      <c r="K133" s="63"/>
      <c r="L133" s="63" t="s">
        <v>22</v>
      </c>
      <c r="M133" s="63">
        <v>2</v>
      </c>
      <c r="N133" s="65">
        <v>813000</v>
      </c>
      <c r="O133" s="65">
        <f t="shared" si="4"/>
        <v>1626000</v>
      </c>
      <c r="P133" s="63" t="s">
        <v>290</v>
      </c>
      <c r="Q133" s="66"/>
    </row>
    <row r="134" spans="1:18" s="67" customFormat="1" ht="12.75">
      <c r="A134" s="63"/>
      <c r="B134" s="64" t="s">
        <v>142</v>
      </c>
      <c r="C134" s="63" t="s">
        <v>289</v>
      </c>
      <c r="D134" s="63" t="s">
        <v>284</v>
      </c>
      <c r="E134" s="63">
        <v>850</v>
      </c>
      <c r="F134" s="63">
        <v>850</v>
      </c>
      <c r="G134" s="63">
        <v>800</v>
      </c>
      <c r="H134" s="63">
        <v>800</v>
      </c>
      <c r="I134" s="63"/>
      <c r="J134" s="63"/>
      <c r="K134" s="63"/>
      <c r="L134" s="63" t="s">
        <v>22</v>
      </c>
      <c r="M134" s="63">
        <v>1</v>
      </c>
      <c r="N134" s="65">
        <v>1044000</v>
      </c>
      <c r="O134" s="65">
        <f t="shared" si="4"/>
        <v>1044000</v>
      </c>
      <c r="P134" s="63" t="s">
        <v>290</v>
      </c>
      <c r="Q134" s="66"/>
    </row>
    <row r="135" spans="1:18" s="67" customFormat="1" ht="12.75">
      <c r="A135" s="63"/>
      <c r="B135" s="64" t="s">
        <v>143</v>
      </c>
      <c r="C135" s="63" t="s">
        <v>289</v>
      </c>
      <c r="D135" s="63" t="s">
        <v>284</v>
      </c>
      <c r="E135" s="63">
        <v>1050</v>
      </c>
      <c r="F135" s="63">
        <v>800</v>
      </c>
      <c r="G135" s="63">
        <v>1000</v>
      </c>
      <c r="H135" s="63">
        <v>750</v>
      </c>
      <c r="I135" s="63"/>
      <c r="J135" s="63"/>
      <c r="K135" s="63"/>
      <c r="L135" s="63" t="s">
        <v>22</v>
      </c>
      <c r="M135" s="63">
        <v>2</v>
      </c>
      <c r="N135" s="65">
        <v>1207000</v>
      </c>
      <c r="O135" s="65">
        <f t="shared" si="4"/>
        <v>2414000</v>
      </c>
      <c r="P135" s="63" t="s">
        <v>290</v>
      </c>
      <c r="Q135" s="66"/>
    </row>
    <row r="136" spans="1:18" s="67" customFormat="1" ht="12.75">
      <c r="A136" s="63"/>
      <c r="B136" s="64" t="s">
        <v>142</v>
      </c>
      <c r="C136" s="63" t="s">
        <v>289</v>
      </c>
      <c r="D136" s="63" t="s">
        <v>284</v>
      </c>
      <c r="E136" s="63">
        <v>850</v>
      </c>
      <c r="F136" s="63">
        <v>850</v>
      </c>
      <c r="G136" s="63">
        <v>800</v>
      </c>
      <c r="H136" s="63">
        <v>800</v>
      </c>
      <c r="I136" s="63"/>
      <c r="J136" s="63"/>
      <c r="K136" s="63"/>
      <c r="L136" s="63" t="s">
        <v>22</v>
      </c>
      <c r="M136" s="63">
        <v>1</v>
      </c>
      <c r="N136" s="65">
        <v>1044000</v>
      </c>
      <c r="O136" s="65">
        <f t="shared" si="4"/>
        <v>1044000</v>
      </c>
      <c r="P136" s="63" t="s">
        <v>290</v>
      </c>
      <c r="Q136" s="66"/>
    </row>
    <row r="137" spans="1:18" s="67" customFormat="1" ht="12.75">
      <c r="A137" s="63"/>
      <c r="B137" s="64" t="s">
        <v>142</v>
      </c>
      <c r="C137" s="63" t="s">
        <v>289</v>
      </c>
      <c r="D137" s="63" t="s">
        <v>284</v>
      </c>
      <c r="E137" s="63">
        <v>850</v>
      </c>
      <c r="F137" s="63">
        <v>850</v>
      </c>
      <c r="G137" s="63">
        <v>800</v>
      </c>
      <c r="H137" s="63">
        <v>800</v>
      </c>
      <c r="I137" s="63"/>
      <c r="J137" s="63"/>
      <c r="K137" s="63"/>
      <c r="L137" s="63" t="s">
        <v>22</v>
      </c>
      <c r="M137" s="63">
        <v>2</v>
      </c>
      <c r="N137" s="65">
        <v>1044000</v>
      </c>
      <c r="O137" s="65">
        <f t="shared" si="4"/>
        <v>2088000</v>
      </c>
      <c r="P137" s="63" t="s">
        <v>290</v>
      </c>
      <c r="Q137" s="66"/>
    </row>
    <row r="138" spans="1:18" s="67" customFormat="1" ht="12.75">
      <c r="A138" s="63"/>
      <c r="B138" s="64" t="s">
        <v>144</v>
      </c>
      <c r="C138" s="63" t="s">
        <v>289</v>
      </c>
      <c r="D138" s="63" t="s">
        <v>284</v>
      </c>
      <c r="E138" s="63">
        <v>250</v>
      </c>
      <c r="F138" s="63">
        <v>250</v>
      </c>
      <c r="G138" s="63">
        <v>200</v>
      </c>
      <c r="H138" s="63">
        <v>200</v>
      </c>
      <c r="I138" s="63"/>
      <c r="J138" s="63"/>
      <c r="K138" s="63"/>
      <c r="L138" s="63" t="s">
        <v>22</v>
      </c>
      <c r="M138" s="63">
        <v>35</v>
      </c>
      <c r="N138" s="65">
        <v>131000</v>
      </c>
      <c r="O138" s="65">
        <f t="shared" si="4"/>
        <v>4585000</v>
      </c>
      <c r="P138" s="63" t="s">
        <v>290</v>
      </c>
      <c r="Q138" s="66"/>
    </row>
    <row r="139" spans="1:18" s="67" customFormat="1" ht="102">
      <c r="A139" s="63"/>
      <c r="B139" s="64" t="s">
        <v>145</v>
      </c>
      <c r="C139" s="63" t="s">
        <v>262</v>
      </c>
      <c r="D139" s="63" t="s">
        <v>284</v>
      </c>
      <c r="E139" s="63">
        <v>1500</v>
      </c>
      <c r="F139" s="63">
        <v>1000</v>
      </c>
      <c r="G139" s="63">
        <v>1500</v>
      </c>
      <c r="H139" s="63">
        <v>500</v>
      </c>
      <c r="I139" s="63">
        <v>2</v>
      </c>
      <c r="J139" s="63">
        <v>200</v>
      </c>
      <c r="K139" s="63">
        <v>1.1499999999999999</v>
      </c>
      <c r="L139" s="63" t="s">
        <v>22</v>
      </c>
      <c r="M139" s="63">
        <v>3</v>
      </c>
      <c r="N139" s="65">
        <f>Q139+R139</f>
        <v>16250451.812080536</v>
      </c>
      <c r="O139" s="65">
        <f t="shared" si="4"/>
        <v>48751355.436241612</v>
      </c>
      <c r="P139" s="63" t="s">
        <v>299</v>
      </c>
      <c r="Q139" s="66">
        <v>14222451.812080536</v>
      </c>
      <c r="R139" s="67">
        <v>2028000</v>
      </c>
    </row>
    <row r="140" spans="1:18" s="67" customFormat="1" ht="89.25">
      <c r="A140" s="63"/>
      <c r="B140" s="64" t="s">
        <v>146</v>
      </c>
      <c r="C140" s="63" t="s">
        <v>262</v>
      </c>
      <c r="D140" s="63" t="s">
        <v>284</v>
      </c>
      <c r="E140" s="63">
        <v>1000</v>
      </c>
      <c r="F140" s="63">
        <v>800</v>
      </c>
      <c r="G140" s="63"/>
      <c r="H140" s="63"/>
      <c r="I140" s="63"/>
      <c r="J140" s="63">
        <v>200</v>
      </c>
      <c r="K140" s="63">
        <v>1.1499999999999999</v>
      </c>
      <c r="L140" s="63" t="s">
        <v>22</v>
      </c>
      <c r="M140" s="63">
        <v>4</v>
      </c>
      <c r="N140" s="65">
        <f t="shared" ref="N140:N141" si="5">Q140+R140</f>
        <v>8254981.1006711414</v>
      </c>
      <c r="O140" s="65">
        <f t="shared" si="4"/>
        <v>33019924.402684566</v>
      </c>
      <c r="P140" s="63" t="s">
        <v>300</v>
      </c>
      <c r="Q140" s="66">
        <v>7123981.1006711414</v>
      </c>
      <c r="R140" s="67">
        <v>1131000</v>
      </c>
    </row>
    <row r="141" spans="1:18" s="67" customFormat="1" ht="89.25">
      <c r="A141" s="63"/>
      <c r="B141" s="64" t="s">
        <v>147</v>
      </c>
      <c r="C141" s="63" t="s">
        <v>262</v>
      </c>
      <c r="D141" s="63" t="s">
        <v>284</v>
      </c>
      <c r="E141" s="63">
        <v>1000</v>
      </c>
      <c r="F141" s="63">
        <v>750</v>
      </c>
      <c r="G141" s="63"/>
      <c r="H141" s="63"/>
      <c r="I141" s="63"/>
      <c r="J141" s="63">
        <v>200</v>
      </c>
      <c r="K141" s="63">
        <v>1.1499999999999999</v>
      </c>
      <c r="L141" s="63" t="s">
        <v>22</v>
      </c>
      <c r="M141" s="63">
        <v>1</v>
      </c>
      <c r="N141" s="65">
        <f t="shared" si="5"/>
        <v>8035491.0067114094</v>
      </c>
      <c r="O141" s="65">
        <f t="shared" si="4"/>
        <v>8035491.0067114094</v>
      </c>
      <c r="P141" s="63" t="s">
        <v>300</v>
      </c>
      <c r="Q141" s="66">
        <v>6966491.0067114094</v>
      </c>
      <c r="R141" s="67">
        <v>1069000</v>
      </c>
    </row>
    <row r="142" spans="1:18" s="67" customFormat="1" ht="12.75">
      <c r="A142" s="63"/>
      <c r="B142" s="64" t="s">
        <v>148</v>
      </c>
      <c r="C142" s="63" t="s">
        <v>291</v>
      </c>
      <c r="D142" s="63" t="s">
        <v>284</v>
      </c>
      <c r="E142" s="63">
        <v>300</v>
      </c>
      <c r="F142" s="63">
        <v>300</v>
      </c>
      <c r="G142" s="63">
        <f>E142-50</f>
        <v>250</v>
      </c>
      <c r="H142" s="63">
        <f>F142-50</f>
        <v>250</v>
      </c>
      <c r="I142" s="63"/>
      <c r="J142" s="63"/>
      <c r="K142" s="63"/>
      <c r="L142" s="63" t="s">
        <v>149</v>
      </c>
      <c r="M142" s="63">
        <v>6</v>
      </c>
      <c r="N142" s="65">
        <v>169000</v>
      </c>
      <c r="O142" s="65">
        <f t="shared" si="4"/>
        <v>1014000</v>
      </c>
      <c r="P142" s="63" t="s">
        <v>293</v>
      </c>
      <c r="Q142" s="66"/>
    </row>
    <row r="143" spans="1:18" s="67" customFormat="1" ht="12.75">
      <c r="A143" s="63"/>
      <c r="B143" s="64" t="s">
        <v>150</v>
      </c>
      <c r="C143" s="63" t="s">
        <v>291</v>
      </c>
      <c r="D143" s="63" t="s">
        <v>284</v>
      </c>
      <c r="E143" s="63">
        <v>400</v>
      </c>
      <c r="F143" s="63">
        <v>300</v>
      </c>
      <c r="G143" s="63">
        <f t="shared" ref="G143:G151" si="6">E143-50</f>
        <v>350</v>
      </c>
      <c r="H143" s="63">
        <f t="shared" ref="H143:H151" si="7">F143-50</f>
        <v>250</v>
      </c>
      <c r="I143" s="63"/>
      <c r="J143" s="63"/>
      <c r="K143" s="63"/>
      <c r="L143" s="63" t="s">
        <v>149</v>
      </c>
      <c r="M143" s="63">
        <v>15</v>
      </c>
      <c r="N143" s="65">
        <v>201000</v>
      </c>
      <c r="O143" s="65">
        <f t="shared" si="4"/>
        <v>3015000</v>
      </c>
      <c r="P143" s="63" t="s">
        <v>293</v>
      </c>
      <c r="Q143" s="66"/>
    </row>
    <row r="144" spans="1:18" s="67" customFormat="1" ht="12.75">
      <c r="A144" s="63"/>
      <c r="B144" s="64" t="s">
        <v>151</v>
      </c>
      <c r="C144" s="63" t="s">
        <v>291</v>
      </c>
      <c r="D144" s="63" t="s">
        <v>284</v>
      </c>
      <c r="E144" s="63">
        <v>500</v>
      </c>
      <c r="F144" s="63">
        <v>300</v>
      </c>
      <c r="G144" s="63">
        <f t="shared" si="6"/>
        <v>450</v>
      </c>
      <c r="H144" s="63">
        <f t="shared" si="7"/>
        <v>250</v>
      </c>
      <c r="I144" s="63"/>
      <c r="J144" s="63"/>
      <c r="K144" s="63"/>
      <c r="L144" s="63" t="s">
        <v>149</v>
      </c>
      <c r="M144" s="63">
        <v>6</v>
      </c>
      <c r="N144" s="65">
        <v>246000</v>
      </c>
      <c r="O144" s="65">
        <f t="shared" si="4"/>
        <v>1476000</v>
      </c>
      <c r="P144" s="63" t="s">
        <v>293</v>
      </c>
      <c r="Q144" s="66"/>
    </row>
    <row r="145" spans="1:17" s="67" customFormat="1" ht="12.75">
      <c r="A145" s="63"/>
      <c r="B145" s="64" t="s">
        <v>152</v>
      </c>
      <c r="C145" s="63" t="s">
        <v>291</v>
      </c>
      <c r="D145" s="63" t="s">
        <v>284</v>
      </c>
      <c r="E145" s="63">
        <v>600</v>
      </c>
      <c r="F145" s="63">
        <v>400</v>
      </c>
      <c r="G145" s="63">
        <f t="shared" si="6"/>
        <v>550</v>
      </c>
      <c r="H145" s="63">
        <f t="shared" si="7"/>
        <v>350</v>
      </c>
      <c r="I145" s="63"/>
      <c r="J145" s="63"/>
      <c r="K145" s="63"/>
      <c r="L145" s="63" t="s">
        <v>149</v>
      </c>
      <c r="M145" s="63">
        <v>8</v>
      </c>
      <c r="N145" s="65">
        <v>367000</v>
      </c>
      <c r="O145" s="65">
        <f t="shared" si="4"/>
        <v>2936000</v>
      </c>
      <c r="P145" s="63" t="s">
        <v>293</v>
      </c>
      <c r="Q145" s="66"/>
    </row>
    <row r="146" spans="1:17" s="67" customFormat="1" ht="12.75">
      <c r="A146" s="63"/>
      <c r="B146" s="64" t="s">
        <v>153</v>
      </c>
      <c r="C146" s="63" t="s">
        <v>291</v>
      </c>
      <c r="D146" s="63" t="s">
        <v>284</v>
      </c>
      <c r="E146" s="63">
        <v>600</v>
      </c>
      <c r="F146" s="63">
        <v>600</v>
      </c>
      <c r="G146" s="63">
        <f t="shared" si="6"/>
        <v>550</v>
      </c>
      <c r="H146" s="63">
        <f t="shared" si="7"/>
        <v>550</v>
      </c>
      <c r="I146" s="63"/>
      <c r="J146" s="63"/>
      <c r="K146" s="63"/>
      <c r="L146" s="63" t="s">
        <v>149</v>
      </c>
      <c r="M146" s="63">
        <v>2</v>
      </c>
      <c r="N146" s="65">
        <v>520000</v>
      </c>
      <c r="O146" s="65">
        <f t="shared" ref="O146:O209" si="8">N146*M146</f>
        <v>1040000</v>
      </c>
      <c r="P146" s="63" t="s">
        <v>293</v>
      </c>
      <c r="Q146" s="66"/>
    </row>
    <row r="147" spans="1:17" s="67" customFormat="1" ht="12.75">
      <c r="A147" s="63"/>
      <c r="B147" s="64" t="s">
        <v>154</v>
      </c>
      <c r="C147" s="63" t="s">
        <v>291</v>
      </c>
      <c r="D147" s="63" t="s">
        <v>284</v>
      </c>
      <c r="E147" s="63">
        <v>900</v>
      </c>
      <c r="F147" s="63">
        <v>600</v>
      </c>
      <c r="G147" s="63">
        <f t="shared" si="6"/>
        <v>850</v>
      </c>
      <c r="H147" s="63">
        <f t="shared" si="7"/>
        <v>550</v>
      </c>
      <c r="I147" s="63"/>
      <c r="J147" s="63"/>
      <c r="K147" s="63"/>
      <c r="L147" s="63" t="s">
        <v>149</v>
      </c>
      <c r="M147" s="63">
        <v>1</v>
      </c>
      <c r="N147" s="65">
        <v>758000</v>
      </c>
      <c r="O147" s="65">
        <f t="shared" si="8"/>
        <v>758000</v>
      </c>
      <c r="P147" s="63" t="s">
        <v>293</v>
      </c>
      <c r="Q147" s="66"/>
    </row>
    <row r="148" spans="1:17" s="67" customFormat="1" ht="12.75">
      <c r="A148" s="63"/>
      <c r="B148" s="64" t="s">
        <v>155</v>
      </c>
      <c r="C148" s="63" t="s">
        <v>291</v>
      </c>
      <c r="D148" s="63" t="s">
        <v>284</v>
      </c>
      <c r="E148" s="63">
        <v>2500</v>
      </c>
      <c r="F148" s="63">
        <v>500</v>
      </c>
      <c r="G148" s="63">
        <f t="shared" si="6"/>
        <v>2450</v>
      </c>
      <c r="H148" s="63">
        <f t="shared" si="7"/>
        <v>450</v>
      </c>
      <c r="I148" s="63"/>
      <c r="J148" s="63"/>
      <c r="K148" s="63"/>
      <c r="L148" s="63" t="s">
        <v>149</v>
      </c>
      <c r="M148" s="63">
        <v>2</v>
      </c>
      <c r="N148" s="65">
        <v>1725000</v>
      </c>
      <c r="O148" s="65">
        <f t="shared" si="8"/>
        <v>3450000</v>
      </c>
      <c r="P148" s="63" t="s">
        <v>293</v>
      </c>
      <c r="Q148" s="66"/>
    </row>
    <row r="149" spans="1:17" s="67" customFormat="1" ht="12.75">
      <c r="A149" s="63"/>
      <c r="B149" s="64" t="s">
        <v>107</v>
      </c>
      <c r="C149" s="63" t="s">
        <v>291</v>
      </c>
      <c r="D149" s="63" t="s">
        <v>284</v>
      </c>
      <c r="E149" s="63">
        <v>1750</v>
      </c>
      <c r="F149" s="63">
        <v>500</v>
      </c>
      <c r="G149" s="63">
        <f t="shared" si="6"/>
        <v>1700</v>
      </c>
      <c r="H149" s="63">
        <f t="shared" si="7"/>
        <v>450</v>
      </c>
      <c r="I149" s="63"/>
      <c r="J149" s="63"/>
      <c r="K149" s="63"/>
      <c r="L149" s="63" t="s">
        <v>149</v>
      </c>
      <c r="M149" s="63">
        <v>2</v>
      </c>
      <c r="N149" s="65">
        <v>1220000</v>
      </c>
      <c r="O149" s="65">
        <f t="shared" si="8"/>
        <v>2440000</v>
      </c>
      <c r="P149" s="63" t="s">
        <v>293</v>
      </c>
      <c r="Q149" s="66"/>
    </row>
    <row r="150" spans="1:17" s="67" customFormat="1" ht="12.75">
      <c r="A150" s="63"/>
      <c r="B150" s="64" t="s">
        <v>155</v>
      </c>
      <c r="C150" s="63" t="s">
        <v>291</v>
      </c>
      <c r="D150" s="63" t="s">
        <v>284</v>
      </c>
      <c r="E150" s="63">
        <v>2500</v>
      </c>
      <c r="F150" s="63">
        <v>500</v>
      </c>
      <c r="G150" s="63">
        <f t="shared" si="6"/>
        <v>2450</v>
      </c>
      <c r="H150" s="63">
        <f t="shared" si="7"/>
        <v>450</v>
      </c>
      <c r="I150" s="63"/>
      <c r="J150" s="63"/>
      <c r="K150" s="63"/>
      <c r="L150" s="63" t="s">
        <v>149</v>
      </c>
      <c r="M150" s="63">
        <v>5</v>
      </c>
      <c r="N150" s="65">
        <v>1725000</v>
      </c>
      <c r="O150" s="65">
        <f t="shared" si="8"/>
        <v>8625000</v>
      </c>
      <c r="P150" s="63" t="s">
        <v>293</v>
      </c>
      <c r="Q150" s="66"/>
    </row>
    <row r="151" spans="1:17" s="67" customFormat="1" ht="12.75">
      <c r="A151" s="63"/>
      <c r="B151" s="64" t="s">
        <v>156</v>
      </c>
      <c r="C151" s="63" t="s">
        <v>291</v>
      </c>
      <c r="D151" s="63" t="s">
        <v>284</v>
      </c>
      <c r="E151" s="63">
        <v>3000</v>
      </c>
      <c r="F151" s="63">
        <v>500</v>
      </c>
      <c r="G151" s="63">
        <f t="shared" si="6"/>
        <v>2950</v>
      </c>
      <c r="H151" s="63">
        <f t="shared" si="7"/>
        <v>450</v>
      </c>
      <c r="I151" s="63"/>
      <c r="J151" s="63"/>
      <c r="K151" s="63"/>
      <c r="L151" s="63" t="s">
        <v>149</v>
      </c>
      <c r="M151" s="63">
        <v>1</v>
      </c>
      <c r="N151" s="65">
        <v>2062000</v>
      </c>
      <c r="O151" s="65">
        <f t="shared" si="8"/>
        <v>2062000</v>
      </c>
      <c r="P151" s="63" t="s">
        <v>292</v>
      </c>
      <c r="Q151" s="66"/>
    </row>
    <row r="152" spans="1:17" s="67" customFormat="1" ht="12.75">
      <c r="A152" s="63"/>
      <c r="B152" s="64" t="s">
        <v>158</v>
      </c>
      <c r="C152" s="63"/>
      <c r="D152" s="63" t="s">
        <v>284</v>
      </c>
      <c r="E152" s="63"/>
      <c r="F152" s="63"/>
      <c r="G152" s="63"/>
      <c r="H152" s="63"/>
      <c r="I152" s="63"/>
      <c r="J152" s="63"/>
      <c r="K152" s="63"/>
      <c r="L152" s="63"/>
      <c r="M152" s="63"/>
      <c r="N152" s="65"/>
      <c r="O152" s="65">
        <f t="shared" si="8"/>
        <v>0</v>
      </c>
      <c r="P152" s="63"/>
      <c r="Q152" s="66"/>
    </row>
    <row r="153" spans="1:17" s="67" customFormat="1" ht="51">
      <c r="A153" s="63"/>
      <c r="B153" s="64" t="s">
        <v>159</v>
      </c>
      <c r="C153" s="63" t="s">
        <v>263</v>
      </c>
      <c r="D153" s="63" t="s">
        <v>284</v>
      </c>
      <c r="E153" s="63">
        <v>150</v>
      </c>
      <c r="F153" s="63">
        <v>150</v>
      </c>
      <c r="G153" s="63"/>
      <c r="H153" s="63"/>
      <c r="I153" s="63"/>
      <c r="J153" s="63">
        <v>200</v>
      </c>
      <c r="K153" s="63">
        <v>1.1499999999999999</v>
      </c>
      <c r="L153" s="63" t="s">
        <v>22</v>
      </c>
      <c r="M153" s="63">
        <v>62</v>
      </c>
      <c r="N153" s="65">
        <v>869689.25335570471</v>
      </c>
      <c r="O153" s="65">
        <f t="shared" si="8"/>
        <v>53920733.708053693</v>
      </c>
      <c r="P153" s="63" t="s">
        <v>301</v>
      </c>
      <c r="Q153" s="66"/>
    </row>
    <row r="154" spans="1:17" s="67" customFormat="1" ht="51">
      <c r="A154" s="63"/>
      <c r="B154" s="64" t="s">
        <v>160</v>
      </c>
      <c r="C154" s="63" t="s">
        <v>263</v>
      </c>
      <c r="D154" s="63" t="s">
        <v>284</v>
      </c>
      <c r="E154" s="63">
        <v>400</v>
      </c>
      <c r="F154" s="63">
        <v>150</v>
      </c>
      <c r="G154" s="63"/>
      <c r="H154" s="63"/>
      <c r="I154" s="63"/>
      <c r="J154" s="63">
        <v>200</v>
      </c>
      <c r="K154" s="63">
        <v>1.1499999999999999</v>
      </c>
      <c r="L154" s="63" t="s">
        <v>22</v>
      </c>
      <c r="M154" s="63">
        <v>2</v>
      </c>
      <c r="N154" s="65">
        <v>1346109.2617449665</v>
      </c>
      <c r="O154" s="65">
        <f t="shared" si="8"/>
        <v>2692218.523489933</v>
      </c>
      <c r="P154" s="63" t="s">
        <v>301</v>
      </c>
      <c r="Q154" s="66"/>
    </row>
    <row r="155" spans="1:17" s="67" customFormat="1" ht="51">
      <c r="A155" s="63"/>
      <c r="B155" s="64" t="s">
        <v>161</v>
      </c>
      <c r="C155" s="63" t="s">
        <v>263</v>
      </c>
      <c r="D155" s="63" t="s">
        <v>284</v>
      </c>
      <c r="E155" s="63">
        <v>400</v>
      </c>
      <c r="F155" s="63">
        <v>200</v>
      </c>
      <c r="G155" s="63"/>
      <c r="H155" s="63"/>
      <c r="I155" s="63"/>
      <c r="J155" s="63">
        <v>200</v>
      </c>
      <c r="K155" s="63">
        <v>1.1499999999999999</v>
      </c>
      <c r="L155" s="63" t="s">
        <v>22</v>
      </c>
      <c r="M155" s="63">
        <v>2</v>
      </c>
      <c r="N155" s="65">
        <v>1468595.9060402685</v>
      </c>
      <c r="O155" s="65">
        <f t="shared" si="8"/>
        <v>2937191.812080537</v>
      </c>
      <c r="P155" s="63" t="s">
        <v>301</v>
      </c>
      <c r="Q155" s="66"/>
    </row>
    <row r="156" spans="1:17" s="67" customFormat="1" ht="51">
      <c r="A156" s="63"/>
      <c r="B156" s="64" t="s">
        <v>162</v>
      </c>
      <c r="C156" s="63" t="s">
        <v>263</v>
      </c>
      <c r="D156" s="63" t="s">
        <v>284</v>
      </c>
      <c r="E156" s="63">
        <v>300</v>
      </c>
      <c r="F156" s="63">
        <v>150</v>
      </c>
      <c r="G156" s="63"/>
      <c r="H156" s="63"/>
      <c r="I156" s="63"/>
      <c r="J156" s="63">
        <v>200</v>
      </c>
      <c r="K156" s="63">
        <v>1.1499999999999999</v>
      </c>
      <c r="L156" s="63" t="s">
        <v>22</v>
      </c>
      <c r="M156" s="63">
        <v>4</v>
      </c>
      <c r="N156" s="65">
        <v>1155041.258389262</v>
      </c>
      <c r="O156" s="65">
        <f t="shared" si="8"/>
        <v>4620165.0335570481</v>
      </c>
      <c r="P156" s="63" t="s">
        <v>301</v>
      </c>
      <c r="Q156" s="66"/>
    </row>
    <row r="157" spans="1:17" s="67" customFormat="1" ht="51">
      <c r="A157" s="63"/>
      <c r="B157" s="64" t="s">
        <v>163</v>
      </c>
      <c r="C157" s="63" t="s">
        <v>263</v>
      </c>
      <c r="D157" s="63" t="s">
        <v>284</v>
      </c>
      <c r="E157" s="63">
        <v>300</v>
      </c>
      <c r="F157" s="63">
        <v>200</v>
      </c>
      <c r="G157" s="63"/>
      <c r="H157" s="63"/>
      <c r="I157" s="63"/>
      <c r="J157" s="63">
        <v>200</v>
      </c>
      <c r="K157" s="63">
        <v>1.1499999999999999</v>
      </c>
      <c r="L157" s="63" t="s">
        <v>22</v>
      </c>
      <c r="M157" s="63">
        <v>2</v>
      </c>
      <c r="N157" s="65">
        <v>1266746.8456375841</v>
      </c>
      <c r="O157" s="65">
        <f t="shared" si="8"/>
        <v>2533493.6912751682</v>
      </c>
      <c r="P157" s="63" t="s">
        <v>301</v>
      </c>
      <c r="Q157" s="66"/>
    </row>
    <row r="158" spans="1:17" s="67" customFormat="1" ht="51">
      <c r="A158" s="63"/>
      <c r="B158" s="64" t="s">
        <v>160</v>
      </c>
      <c r="C158" s="63" t="s">
        <v>263</v>
      </c>
      <c r="D158" s="63" t="s">
        <v>284</v>
      </c>
      <c r="E158" s="63">
        <v>400</v>
      </c>
      <c r="F158" s="63">
        <v>150</v>
      </c>
      <c r="G158" s="63"/>
      <c r="H158" s="63"/>
      <c r="I158" s="63"/>
      <c r="J158" s="63">
        <v>200</v>
      </c>
      <c r="K158" s="63">
        <v>1.1499999999999999</v>
      </c>
      <c r="L158" s="63" t="s">
        <v>22</v>
      </c>
      <c r="M158" s="63">
        <v>1</v>
      </c>
      <c r="N158" s="65">
        <v>1346109.2617449665</v>
      </c>
      <c r="O158" s="65">
        <f t="shared" si="8"/>
        <v>1346109.2617449665</v>
      </c>
      <c r="P158" s="63" t="s">
        <v>301</v>
      </c>
      <c r="Q158" s="66"/>
    </row>
    <row r="159" spans="1:17" s="67" customFormat="1" ht="51">
      <c r="A159" s="63"/>
      <c r="B159" s="64" t="s">
        <v>164</v>
      </c>
      <c r="C159" s="63" t="s">
        <v>263</v>
      </c>
      <c r="D159" s="63" t="s">
        <v>284</v>
      </c>
      <c r="E159" s="63">
        <v>800</v>
      </c>
      <c r="F159" s="63">
        <v>250</v>
      </c>
      <c r="G159" s="63"/>
      <c r="H159" s="63"/>
      <c r="I159" s="63"/>
      <c r="J159" s="63">
        <v>200</v>
      </c>
      <c r="K159" s="63">
        <v>1.1499999999999999</v>
      </c>
      <c r="L159" s="63" t="s">
        <v>22</v>
      </c>
      <c r="M159" s="63">
        <v>1</v>
      </c>
      <c r="N159" s="65">
        <v>2437853.0201342287</v>
      </c>
      <c r="O159" s="65">
        <f t="shared" si="8"/>
        <v>2437853.0201342287</v>
      </c>
      <c r="P159" s="63" t="s">
        <v>301</v>
      </c>
      <c r="Q159" s="66"/>
    </row>
    <row r="160" spans="1:17" s="67" customFormat="1" ht="51">
      <c r="A160" s="63"/>
      <c r="B160" s="64" t="s">
        <v>165</v>
      </c>
      <c r="C160" s="63" t="s">
        <v>263</v>
      </c>
      <c r="D160" s="63" t="s">
        <v>284</v>
      </c>
      <c r="E160" s="63">
        <v>1200</v>
      </c>
      <c r="F160" s="63">
        <v>350</v>
      </c>
      <c r="G160" s="63"/>
      <c r="H160" s="63"/>
      <c r="I160" s="63"/>
      <c r="J160" s="63">
        <v>200</v>
      </c>
      <c r="K160" s="63">
        <v>1.1499999999999999</v>
      </c>
      <c r="L160" s="63" t="s">
        <v>22</v>
      </c>
      <c r="M160" s="63">
        <v>1</v>
      </c>
      <c r="N160" s="65">
        <v>3698343.6912751682</v>
      </c>
      <c r="O160" s="65">
        <f t="shared" si="8"/>
        <v>3698343.6912751682</v>
      </c>
      <c r="P160" s="63" t="s">
        <v>301</v>
      </c>
      <c r="Q160" s="66"/>
    </row>
    <row r="161" spans="1:17" s="67" customFormat="1" ht="51">
      <c r="A161" s="63"/>
      <c r="B161" s="64" t="s">
        <v>166</v>
      </c>
      <c r="C161" s="63" t="s">
        <v>263</v>
      </c>
      <c r="D161" s="63" t="s">
        <v>284</v>
      </c>
      <c r="E161" s="63">
        <v>1000</v>
      </c>
      <c r="F161" s="63">
        <v>300</v>
      </c>
      <c r="G161" s="63"/>
      <c r="H161" s="63"/>
      <c r="I161" s="63"/>
      <c r="J161" s="63">
        <v>200</v>
      </c>
      <c r="K161" s="63">
        <v>1.1499999999999999</v>
      </c>
      <c r="L161" s="63" t="s">
        <v>22</v>
      </c>
      <c r="M161" s="63">
        <v>1</v>
      </c>
      <c r="N161" s="65">
        <v>3046536.2416107389</v>
      </c>
      <c r="O161" s="65">
        <f t="shared" si="8"/>
        <v>3046536.2416107389</v>
      </c>
      <c r="P161" s="63" t="s">
        <v>301</v>
      </c>
      <c r="Q161" s="66"/>
    </row>
    <row r="162" spans="1:17" s="67" customFormat="1" ht="51">
      <c r="A162" s="63"/>
      <c r="B162" s="64" t="s">
        <v>167</v>
      </c>
      <c r="C162" s="63" t="s">
        <v>263</v>
      </c>
      <c r="D162" s="63" t="s">
        <v>284</v>
      </c>
      <c r="E162" s="63">
        <v>600</v>
      </c>
      <c r="F162" s="63">
        <v>300</v>
      </c>
      <c r="G162" s="63"/>
      <c r="H162" s="63"/>
      <c r="I162" s="63"/>
      <c r="J162" s="63">
        <v>200</v>
      </c>
      <c r="K162" s="63">
        <v>1.1499999999999999</v>
      </c>
      <c r="L162" s="63" t="s">
        <v>22</v>
      </c>
      <c r="M162" s="63">
        <v>1</v>
      </c>
      <c r="N162" s="65">
        <v>2156641.5436241617</v>
      </c>
      <c r="O162" s="65">
        <f t="shared" si="8"/>
        <v>2156641.5436241617</v>
      </c>
      <c r="P162" s="63" t="s">
        <v>301</v>
      </c>
      <c r="Q162" s="66"/>
    </row>
    <row r="163" spans="1:17" s="67" customFormat="1" ht="51">
      <c r="A163" s="63"/>
      <c r="B163" s="64" t="s">
        <v>161</v>
      </c>
      <c r="C163" s="63" t="s">
        <v>263</v>
      </c>
      <c r="D163" s="63" t="s">
        <v>284</v>
      </c>
      <c r="E163" s="63">
        <v>400</v>
      </c>
      <c r="F163" s="63">
        <v>200</v>
      </c>
      <c r="G163" s="63"/>
      <c r="H163" s="63"/>
      <c r="I163" s="63"/>
      <c r="J163" s="63">
        <v>200</v>
      </c>
      <c r="K163" s="63">
        <v>1.1499999999999999</v>
      </c>
      <c r="L163" s="63" t="s">
        <v>149</v>
      </c>
      <c r="M163" s="63">
        <v>9</v>
      </c>
      <c r="N163" s="65">
        <v>1468595.9060402685</v>
      </c>
      <c r="O163" s="65">
        <f t="shared" si="8"/>
        <v>13217363.154362416</v>
      </c>
      <c r="P163" s="63" t="s">
        <v>301</v>
      </c>
      <c r="Q163" s="66"/>
    </row>
    <row r="164" spans="1:17" s="67" customFormat="1" ht="51">
      <c r="A164" s="63"/>
      <c r="B164" s="64" t="s">
        <v>163</v>
      </c>
      <c r="C164" s="63" t="s">
        <v>263</v>
      </c>
      <c r="D164" s="63" t="s">
        <v>284</v>
      </c>
      <c r="E164" s="63">
        <v>300</v>
      </c>
      <c r="F164" s="63">
        <v>200</v>
      </c>
      <c r="G164" s="63"/>
      <c r="H164" s="63"/>
      <c r="I164" s="63"/>
      <c r="J164" s="63">
        <v>200</v>
      </c>
      <c r="K164" s="63">
        <v>1.1499999999999999</v>
      </c>
      <c r="L164" s="63" t="s">
        <v>149</v>
      </c>
      <c r="M164" s="63">
        <v>7</v>
      </c>
      <c r="N164" s="65">
        <v>1266746.8456375841</v>
      </c>
      <c r="O164" s="65">
        <f t="shared" si="8"/>
        <v>8867227.9194630887</v>
      </c>
      <c r="P164" s="63" t="s">
        <v>301</v>
      </c>
      <c r="Q164" s="66"/>
    </row>
    <row r="165" spans="1:17" s="67" customFormat="1" ht="51">
      <c r="A165" s="63"/>
      <c r="B165" s="64" t="s">
        <v>168</v>
      </c>
      <c r="C165" s="63" t="s">
        <v>263</v>
      </c>
      <c r="D165" s="63" t="s">
        <v>284</v>
      </c>
      <c r="E165" s="63">
        <v>350</v>
      </c>
      <c r="F165" s="63">
        <v>200</v>
      </c>
      <c r="G165" s="63"/>
      <c r="H165" s="63"/>
      <c r="I165" s="63"/>
      <c r="J165" s="63">
        <v>200</v>
      </c>
      <c r="K165" s="63">
        <v>1.1499999999999999</v>
      </c>
      <c r="L165" s="63" t="s">
        <v>149</v>
      </c>
      <c r="M165" s="63">
        <v>7</v>
      </c>
      <c r="N165" s="65">
        <v>1367671.3758389265</v>
      </c>
      <c r="O165" s="65">
        <f t="shared" si="8"/>
        <v>9573699.6308724862</v>
      </c>
      <c r="P165" s="63" t="s">
        <v>301</v>
      </c>
      <c r="Q165" s="66"/>
    </row>
    <row r="166" spans="1:17" s="67" customFormat="1" ht="51">
      <c r="A166" s="63"/>
      <c r="B166" s="64" t="s">
        <v>169</v>
      </c>
      <c r="C166" s="63" t="s">
        <v>263</v>
      </c>
      <c r="D166" s="63" t="s">
        <v>284</v>
      </c>
      <c r="E166" s="63">
        <v>500</v>
      </c>
      <c r="F166" s="63">
        <v>200</v>
      </c>
      <c r="G166" s="63"/>
      <c r="H166" s="63"/>
      <c r="I166" s="63"/>
      <c r="J166" s="63">
        <v>200</v>
      </c>
      <c r="K166" s="63">
        <v>1.1499999999999999</v>
      </c>
      <c r="L166" s="63" t="s">
        <v>149</v>
      </c>
      <c r="M166" s="63">
        <v>5</v>
      </c>
      <c r="N166" s="65">
        <v>1669194.9664429533</v>
      </c>
      <c r="O166" s="65">
        <f t="shared" si="8"/>
        <v>8345974.8322147671</v>
      </c>
      <c r="P166" s="63" t="s">
        <v>301</v>
      </c>
      <c r="Q166" s="66"/>
    </row>
    <row r="167" spans="1:17" s="67" customFormat="1" ht="76.5">
      <c r="A167" s="63"/>
      <c r="B167" s="64" t="s">
        <v>170</v>
      </c>
      <c r="C167" s="63" t="s">
        <v>262</v>
      </c>
      <c r="D167" s="63" t="s">
        <v>284</v>
      </c>
      <c r="E167" s="63">
        <v>1250</v>
      </c>
      <c r="F167" s="63">
        <v>350</v>
      </c>
      <c r="G167" s="63"/>
      <c r="H167" s="63"/>
      <c r="I167" s="63"/>
      <c r="J167" s="63">
        <v>200</v>
      </c>
      <c r="K167" s="63">
        <v>1.1499999999999999</v>
      </c>
      <c r="L167" s="63" t="s">
        <v>22</v>
      </c>
      <c r="M167" s="63">
        <v>2</v>
      </c>
      <c r="N167" s="65">
        <v>6079555.6040268457</v>
      </c>
      <c r="O167" s="65">
        <f t="shared" si="8"/>
        <v>12159111.208053691</v>
      </c>
      <c r="P167" s="63" t="s">
        <v>287</v>
      </c>
      <c r="Q167" s="66"/>
    </row>
    <row r="168" spans="1:17" s="67" customFormat="1" ht="76.5">
      <c r="A168" s="63"/>
      <c r="B168" s="64" t="s">
        <v>171</v>
      </c>
      <c r="C168" s="63" t="s">
        <v>262</v>
      </c>
      <c r="D168" s="63" t="s">
        <v>284</v>
      </c>
      <c r="E168" s="63">
        <v>1000</v>
      </c>
      <c r="F168" s="63">
        <v>550</v>
      </c>
      <c r="G168" s="63"/>
      <c r="H168" s="63"/>
      <c r="I168" s="63"/>
      <c r="J168" s="63">
        <v>200</v>
      </c>
      <c r="K168" s="63">
        <v>1.1499999999999999</v>
      </c>
      <c r="L168" s="63" t="s">
        <v>22</v>
      </c>
      <c r="M168" s="63">
        <v>2</v>
      </c>
      <c r="N168" s="65">
        <v>6338930.6308724834</v>
      </c>
      <c r="O168" s="65">
        <f t="shared" si="8"/>
        <v>12677861.261744967</v>
      </c>
      <c r="P168" s="63" t="s">
        <v>287</v>
      </c>
      <c r="Q168" s="66"/>
    </row>
    <row r="169" spans="1:17" s="67" customFormat="1" ht="76.5">
      <c r="A169" s="63"/>
      <c r="B169" s="64" t="s">
        <v>172</v>
      </c>
      <c r="C169" s="63" t="s">
        <v>262</v>
      </c>
      <c r="D169" s="63" t="s">
        <v>284</v>
      </c>
      <c r="E169" s="63">
        <v>500</v>
      </c>
      <c r="F169" s="63">
        <v>200</v>
      </c>
      <c r="G169" s="63"/>
      <c r="H169" s="63"/>
      <c r="I169" s="63"/>
      <c r="J169" s="63">
        <v>200</v>
      </c>
      <c r="K169" s="63">
        <v>1.1499999999999999</v>
      </c>
      <c r="L169" s="63" t="s">
        <v>22</v>
      </c>
      <c r="M169" s="63">
        <v>1</v>
      </c>
      <c r="N169" s="65">
        <v>5235659.3691275176</v>
      </c>
      <c r="O169" s="65">
        <f t="shared" si="8"/>
        <v>5235659.3691275176</v>
      </c>
      <c r="P169" s="63" t="s">
        <v>287</v>
      </c>
      <c r="Q169" s="66"/>
    </row>
    <row r="170" spans="1:17" s="67" customFormat="1" ht="76.5">
      <c r="A170" s="63"/>
      <c r="B170" s="64" t="s">
        <v>173</v>
      </c>
      <c r="C170" s="63" t="s">
        <v>262</v>
      </c>
      <c r="D170" s="63" t="s">
        <v>284</v>
      </c>
      <c r="E170" s="63">
        <v>800</v>
      </c>
      <c r="F170" s="63">
        <v>300</v>
      </c>
      <c r="G170" s="63"/>
      <c r="H170" s="63"/>
      <c r="I170" s="63"/>
      <c r="J170" s="63">
        <v>200</v>
      </c>
      <c r="K170" s="63">
        <v>1.1499999999999999</v>
      </c>
      <c r="L170" s="63" t="s">
        <v>22</v>
      </c>
      <c r="M170" s="63">
        <v>1</v>
      </c>
      <c r="N170" s="65">
        <v>5283600.5046979869</v>
      </c>
      <c r="O170" s="65">
        <f t="shared" si="8"/>
        <v>5283600.5046979869</v>
      </c>
      <c r="P170" s="63" t="s">
        <v>287</v>
      </c>
      <c r="Q170" s="66"/>
    </row>
    <row r="171" spans="1:17" s="67" customFormat="1" ht="76.5">
      <c r="A171" s="63"/>
      <c r="B171" s="64" t="s">
        <v>174</v>
      </c>
      <c r="C171" s="63" t="s">
        <v>262</v>
      </c>
      <c r="D171" s="63" t="s">
        <v>284</v>
      </c>
      <c r="E171" s="63">
        <v>1200</v>
      </c>
      <c r="F171" s="63">
        <v>650</v>
      </c>
      <c r="G171" s="63"/>
      <c r="H171" s="63"/>
      <c r="I171" s="63"/>
      <c r="J171" s="63">
        <v>200</v>
      </c>
      <c r="K171" s="63">
        <v>1.1499999999999999</v>
      </c>
      <c r="L171" s="63" t="s">
        <v>22</v>
      </c>
      <c r="M171" s="63">
        <v>1</v>
      </c>
      <c r="N171" s="65">
        <v>7101030.8348993286</v>
      </c>
      <c r="O171" s="65">
        <f t="shared" si="8"/>
        <v>7101030.8348993286</v>
      </c>
      <c r="P171" s="63" t="s">
        <v>287</v>
      </c>
      <c r="Q171" s="66"/>
    </row>
    <row r="172" spans="1:17" s="67" customFormat="1" ht="25.5">
      <c r="A172" s="63"/>
      <c r="B172" s="64" t="s">
        <v>175</v>
      </c>
      <c r="C172" s="63" t="s">
        <v>35</v>
      </c>
      <c r="D172" s="63" t="s">
        <v>284</v>
      </c>
      <c r="E172" s="63">
        <v>150</v>
      </c>
      <c r="F172" s="63">
        <v>150</v>
      </c>
      <c r="G172" s="63"/>
      <c r="H172" s="63"/>
      <c r="I172" s="63"/>
      <c r="J172" s="63">
        <v>200</v>
      </c>
      <c r="K172" s="63"/>
      <c r="L172" s="63" t="s">
        <v>22</v>
      </c>
      <c r="M172" s="63">
        <v>61</v>
      </c>
      <c r="N172" s="65">
        <v>174000</v>
      </c>
      <c r="O172" s="65">
        <f t="shared" si="8"/>
        <v>10614000</v>
      </c>
      <c r="P172" s="63" t="s">
        <v>298</v>
      </c>
      <c r="Q172" s="66"/>
    </row>
    <row r="173" spans="1:17" s="67" customFormat="1" ht="12.75">
      <c r="A173" s="63"/>
      <c r="B173" s="64" t="s">
        <v>176</v>
      </c>
      <c r="C173" s="63" t="s">
        <v>35</v>
      </c>
      <c r="D173" s="63" t="s">
        <v>284</v>
      </c>
      <c r="E173" s="63">
        <v>300</v>
      </c>
      <c r="F173" s="63">
        <v>150</v>
      </c>
      <c r="G173" s="63"/>
      <c r="H173" s="63"/>
      <c r="I173" s="63"/>
      <c r="J173" s="63">
        <v>200</v>
      </c>
      <c r="K173" s="63"/>
      <c r="L173" s="63" t="s">
        <v>22</v>
      </c>
      <c r="M173" s="63">
        <v>78</v>
      </c>
      <c r="N173" s="65">
        <v>202000</v>
      </c>
      <c r="O173" s="65">
        <f t="shared" si="8"/>
        <v>15756000</v>
      </c>
      <c r="P173" s="63" t="s">
        <v>298</v>
      </c>
      <c r="Q173" s="66"/>
    </row>
    <row r="174" spans="1:17" s="67" customFormat="1" ht="38.25">
      <c r="A174" s="63"/>
      <c r="B174" s="64" t="s">
        <v>132</v>
      </c>
      <c r="C174" s="63" t="s">
        <v>296</v>
      </c>
      <c r="D174" s="63" t="s">
        <v>284</v>
      </c>
      <c r="E174" s="63">
        <v>300</v>
      </c>
      <c r="F174" s="63">
        <v>150</v>
      </c>
      <c r="G174" s="63"/>
      <c r="H174" s="63"/>
      <c r="I174" s="63"/>
      <c r="J174" s="63">
        <v>200</v>
      </c>
      <c r="K174" s="63">
        <v>1.1499999999999999</v>
      </c>
      <c r="L174" s="63" t="s">
        <v>22</v>
      </c>
      <c r="M174" s="63">
        <v>78</v>
      </c>
      <c r="N174" s="65">
        <v>2412000</v>
      </c>
      <c r="O174" s="65">
        <f t="shared" si="8"/>
        <v>188136000</v>
      </c>
      <c r="P174" s="63" t="s">
        <v>297</v>
      </c>
      <c r="Q174" s="66"/>
    </row>
    <row r="175" spans="1:17" s="67" customFormat="1" ht="12.75">
      <c r="A175" s="63"/>
      <c r="B175" s="64" t="s">
        <v>133</v>
      </c>
      <c r="C175" s="63"/>
      <c r="D175" s="63" t="s">
        <v>284</v>
      </c>
      <c r="E175" s="63"/>
      <c r="F175" s="63"/>
      <c r="G175" s="63"/>
      <c r="H175" s="63"/>
      <c r="I175" s="63"/>
      <c r="J175" s="63"/>
      <c r="K175" s="63"/>
      <c r="L175" s="63" t="s">
        <v>22</v>
      </c>
      <c r="M175" s="63">
        <v>78</v>
      </c>
      <c r="N175" s="65"/>
      <c r="O175" s="65">
        <f t="shared" si="8"/>
        <v>0</v>
      </c>
      <c r="P175" s="63"/>
      <c r="Q175" s="66"/>
    </row>
    <row r="176" spans="1:17" s="67" customFormat="1" ht="12.75">
      <c r="A176" s="63"/>
      <c r="B176" s="64" t="s">
        <v>177</v>
      </c>
      <c r="C176" s="63" t="s">
        <v>19</v>
      </c>
      <c r="D176" s="63" t="s">
        <v>284</v>
      </c>
      <c r="E176" s="63">
        <v>350</v>
      </c>
      <c r="F176" s="63">
        <v>200</v>
      </c>
      <c r="G176" s="63"/>
      <c r="H176" s="63"/>
      <c r="I176" s="63"/>
      <c r="J176" s="63">
        <v>200</v>
      </c>
      <c r="K176" s="63">
        <v>0.75</v>
      </c>
      <c r="L176" s="63" t="s">
        <v>22</v>
      </c>
      <c r="M176" s="63">
        <v>38</v>
      </c>
      <c r="N176" s="65">
        <v>179000</v>
      </c>
      <c r="O176" s="65">
        <f t="shared" si="8"/>
        <v>6802000</v>
      </c>
      <c r="P176" s="63"/>
      <c r="Q176" s="66"/>
    </row>
    <row r="177" spans="1:17" s="67" customFormat="1" ht="12.75">
      <c r="A177" s="63"/>
      <c r="B177" s="64" t="s">
        <v>178</v>
      </c>
      <c r="C177" s="63" t="s">
        <v>19</v>
      </c>
      <c r="D177" s="63" t="s">
        <v>284</v>
      </c>
      <c r="E177" s="63">
        <v>400</v>
      </c>
      <c r="F177" s="63">
        <v>400</v>
      </c>
      <c r="G177" s="63"/>
      <c r="H177" s="63"/>
      <c r="I177" s="63"/>
      <c r="J177" s="63">
        <v>200</v>
      </c>
      <c r="K177" s="63">
        <v>0.75</v>
      </c>
      <c r="L177" s="63" t="s">
        <v>22</v>
      </c>
      <c r="M177" s="63">
        <v>20</v>
      </c>
      <c r="N177" s="65">
        <v>286000</v>
      </c>
      <c r="O177" s="65">
        <f t="shared" si="8"/>
        <v>5720000</v>
      </c>
      <c r="P177" s="63"/>
      <c r="Q177" s="66"/>
    </row>
    <row r="178" spans="1:17" s="67" customFormat="1" ht="12.75">
      <c r="A178" s="63"/>
      <c r="B178" s="64" t="s">
        <v>179</v>
      </c>
      <c r="C178" s="63" t="s">
        <v>19</v>
      </c>
      <c r="D178" s="63" t="s">
        <v>284</v>
      </c>
      <c r="E178" s="63">
        <v>250</v>
      </c>
      <c r="F178" s="63">
        <v>250</v>
      </c>
      <c r="G178" s="63"/>
      <c r="H178" s="63"/>
      <c r="I178" s="63"/>
      <c r="J178" s="63">
        <v>200</v>
      </c>
      <c r="K178" s="63">
        <v>0.75</v>
      </c>
      <c r="L178" s="63" t="s">
        <v>22</v>
      </c>
      <c r="M178" s="63">
        <v>6</v>
      </c>
      <c r="N178" s="65">
        <v>210000</v>
      </c>
      <c r="O178" s="65">
        <f t="shared" si="8"/>
        <v>1260000</v>
      </c>
      <c r="P178" s="63"/>
      <c r="Q178" s="66"/>
    </row>
    <row r="179" spans="1:17" s="67" customFormat="1" ht="12.75">
      <c r="A179" s="63"/>
      <c r="B179" s="64" t="s">
        <v>180</v>
      </c>
      <c r="C179" s="63" t="s">
        <v>19</v>
      </c>
      <c r="D179" s="63" t="s">
        <v>284</v>
      </c>
      <c r="E179" s="63">
        <v>1250</v>
      </c>
      <c r="F179" s="63">
        <v>350</v>
      </c>
      <c r="G179" s="63"/>
      <c r="H179" s="63"/>
      <c r="I179" s="63"/>
      <c r="J179" s="63">
        <v>200</v>
      </c>
      <c r="K179" s="63">
        <v>1.1499999999999999</v>
      </c>
      <c r="L179" s="63" t="s">
        <v>22</v>
      </c>
      <c r="M179" s="63">
        <v>1</v>
      </c>
      <c r="N179" s="65">
        <v>1007500</v>
      </c>
      <c r="O179" s="65">
        <f t="shared" si="8"/>
        <v>1007500</v>
      </c>
      <c r="P179" s="63"/>
      <c r="Q179" s="66"/>
    </row>
    <row r="180" spans="1:17" s="67" customFormat="1" ht="12.75">
      <c r="A180" s="63"/>
      <c r="B180" s="64" t="s">
        <v>181</v>
      </c>
      <c r="C180" s="63" t="s">
        <v>19</v>
      </c>
      <c r="D180" s="63" t="s">
        <v>284</v>
      </c>
      <c r="E180" s="63">
        <v>1000</v>
      </c>
      <c r="F180" s="63">
        <v>550</v>
      </c>
      <c r="G180" s="63"/>
      <c r="H180" s="63"/>
      <c r="I180" s="63"/>
      <c r="J180" s="63">
        <v>200</v>
      </c>
      <c r="K180" s="63">
        <v>1.1499999999999999</v>
      </c>
      <c r="L180" s="63" t="s">
        <v>22</v>
      </c>
      <c r="M180" s="63">
        <v>1</v>
      </c>
      <c r="N180" s="65">
        <v>1046250</v>
      </c>
      <c r="O180" s="65">
        <f t="shared" si="8"/>
        <v>1046250</v>
      </c>
      <c r="P180" s="63"/>
      <c r="Q180" s="66"/>
    </row>
    <row r="181" spans="1:17" s="67" customFormat="1" ht="12.75">
      <c r="A181" s="63"/>
      <c r="B181" s="64" t="s">
        <v>182</v>
      </c>
      <c r="C181" s="63" t="s">
        <v>19</v>
      </c>
      <c r="D181" s="63" t="s">
        <v>284</v>
      </c>
      <c r="E181" s="63">
        <v>400</v>
      </c>
      <c r="F181" s="63">
        <v>200</v>
      </c>
      <c r="G181" s="63"/>
      <c r="H181" s="63"/>
      <c r="I181" s="63"/>
      <c r="J181" s="63">
        <v>200</v>
      </c>
      <c r="K181" s="63">
        <v>0.75</v>
      </c>
      <c r="L181" s="63" t="s">
        <v>22</v>
      </c>
      <c r="M181" s="63">
        <v>10</v>
      </c>
      <c r="N181" s="65">
        <v>190000</v>
      </c>
      <c r="O181" s="65">
        <f t="shared" si="8"/>
        <v>1900000</v>
      </c>
      <c r="P181" s="63"/>
      <c r="Q181" s="66"/>
    </row>
    <row r="182" spans="1:17" s="67" customFormat="1" ht="12.75">
      <c r="A182" s="63"/>
      <c r="B182" s="64" t="s">
        <v>115</v>
      </c>
      <c r="C182" s="63" t="s">
        <v>19</v>
      </c>
      <c r="D182" s="63" t="s">
        <v>284</v>
      </c>
      <c r="E182" s="63">
        <v>800</v>
      </c>
      <c r="F182" s="63">
        <v>450</v>
      </c>
      <c r="G182" s="63"/>
      <c r="H182" s="63"/>
      <c r="I182" s="63"/>
      <c r="J182" s="63">
        <v>200</v>
      </c>
      <c r="K182" s="63">
        <v>0.75</v>
      </c>
      <c r="L182" s="63" t="s">
        <v>22</v>
      </c>
      <c r="M182" s="63">
        <v>12</v>
      </c>
      <c r="N182" s="65">
        <v>414000</v>
      </c>
      <c r="O182" s="65">
        <f t="shared" si="8"/>
        <v>4968000</v>
      </c>
      <c r="P182" s="63"/>
      <c r="Q182" s="66"/>
    </row>
    <row r="183" spans="1:17" s="67" customFormat="1" ht="25.5">
      <c r="A183" s="63"/>
      <c r="B183" s="64" t="s">
        <v>183</v>
      </c>
      <c r="C183" s="63" t="s">
        <v>302</v>
      </c>
      <c r="D183" s="63" t="s">
        <v>284</v>
      </c>
      <c r="E183" s="63">
        <v>150</v>
      </c>
      <c r="F183" s="63">
        <v>150</v>
      </c>
      <c r="G183" s="63">
        <f>E183-50</f>
        <v>100</v>
      </c>
      <c r="H183" s="63">
        <f>F183-50</f>
        <v>100</v>
      </c>
      <c r="I183" s="63"/>
      <c r="J183" s="63"/>
      <c r="K183" s="63"/>
      <c r="L183" s="63" t="s">
        <v>22</v>
      </c>
      <c r="M183" s="63">
        <v>62</v>
      </c>
      <c r="N183" s="65">
        <v>89000</v>
      </c>
      <c r="O183" s="65">
        <f t="shared" si="8"/>
        <v>5518000</v>
      </c>
      <c r="P183" s="63" t="s">
        <v>303</v>
      </c>
      <c r="Q183" s="66"/>
    </row>
    <row r="184" spans="1:17" s="67" customFormat="1" ht="25.5">
      <c r="A184" s="63"/>
      <c r="B184" s="64" t="s">
        <v>184</v>
      </c>
      <c r="C184" s="63" t="s">
        <v>302</v>
      </c>
      <c r="D184" s="63" t="s">
        <v>284</v>
      </c>
      <c r="E184" s="63">
        <v>300</v>
      </c>
      <c r="F184" s="63">
        <v>300</v>
      </c>
      <c r="G184" s="63">
        <f t="shared" ref="G184:G198" si="9">E184-50</f>
        <v>250</v>
      </c>
      <c r="H184" s="63">
        <f t="shared" ref="H184:H198" si="10">F184-50</f>
        <v>250</v>
      </c>
      <c r="I184" s="63"/>
      <c r="J184" s="63"/>
      <c r="K184" s="63"/>
      <c r="L184" s="63" t="s">
        <v>22</v>
      </c>
      <c r="M184" s="63">
        <v>2</v>
      </c>
      <c r="N184" s="65">
        <v>238000</v>
      </c>
      <c r="O184" s="65">
        <f t="shared" si="8"/>
        <v>476000</v>
      </c>
      <c r="P184" s="63" t="s">
        <v>304</v>
      </c>
      <c r="Q184" s="66"/>
    </row>
    <row r="185" spans="1:17" s="67" customFormat="1" ht="25.5">
      <c r="A185" s="63"/>
      <c r="B185" s="64" t="s">
        <v>185</v>
      </c>
      <c r="C185" s="63" t="s">
        <v>302</v>
      </c>
      <c r="D185" s="63" t="s">
        <v>284</v>
      </c>
      <c r="E185" s="63">
        <v>400</v>
      </c>
      <c r="F185" s="63">
        <v>300</v>
      </c>
      <c r="G185" s="63">
        <f t="shared" si="9"/>
        <v>350</v>
      </c>
      <c r="H185" s="63">
        <f t="shared" si="10"/>
        <v>250</v>
      </c>
      <c r="I185" s="63"/>
      <c r="J185" s="63"/>
      <c r="K185" s="63"/>
      <c r="L185" s="63" t="s">
        <v>22</v>
      </c>
      <c r="M185" s="63">
        <v>5</v>
      </c>
      <c r="N185" s="65">
        <v>301000</v>
      </c>
      <c r="O185" s="65">
        <f t="shared" si="8"/>
        <v>1505000</v>
      </c>
      <c r="P185" s="63" t="s">
        <v>304</v>
      </c>
      <c r="Q185" s="66"/>
    </row>
    <row r="186" spans="1:17" s="67" customFormat="1" ht="25.5">
      <c r="A186" s="63"/>
      <c r="B186" s="64" t="s">
        <v>186</v>
      </c>
      <c r="C186" s="63" t="s">
        <v>302</v>
      </c>
      <c r="D186" s="63" t="s">
        <v>284</v>
      </c>
      <c r="E186" s="63">
        <v>1200</v>
      </c>
      <c r="F186" s="63">
        <v>800</v>
      </c>
      <c r="G186" s="63">
        <f t="shared" si="9"/>
        <v>1150</v>
      </c>
      <c r="H186" s="63">
        <f t="shared" si="10"/>
        <v>750</v>
      </c>
      <c r="I186" s="63"/>
      <c r="J186" s="63"/>
      <c r="K186" s="63"/>
      <c r="L186" s="63" t="s">
        <v>22</v>
      </c>
      <c r="M186" s="63">
        <v>3</v>
      </c>
      <c r="N186" s="65">
        <v>1774000</v>
      </c>
      <c r="O186" s="65">
        <f t="shared" si="8"/>
        <v>5322000</v>
      </c>
      <c r="P186" s="63" t="s">
        <v>304</v>
      </c>
      <c r="Q186" s="66"/>
    </row>
    <row r="187" spans="1:17" s="67" customFormat="1" ht="25.5">
      <c r="A187" s="63"/>
      <c r="B187" s="64" t="s">
        <v>187</v>
      </c>
      <c r="C187" s="63" t="s">
        <v>302</v>
      </c>
      <c r="D187" s="63" t="s">
        <v>284</v>
      </c>
      <c r="E187" s="63">
        <v>1000</v>
      </c>
      <c r="F187" s="63">
        <v>400</v>
      </c>
      <c r="G187" s="63">
        <f t="shared" si="9"/>
        <v>950</v>
      </c>
      <c r="H187" s="63">
        <f t="shared" si="10"/>
        <v>350</v>
      </c>
      <c r="I187" s="63"/>
      <c r="J187" s="63"/>
      <c r="K187" s="63"/>
      <c r="L187" s="63" t="s">
        <v>22</v>
      </c>
      <c r="M187" s="63">
        <v>1</v>
      </c>
      <c r="N187" s="65">
        <v>842000</v>
      </c>
      <c r="O187" s="65">
        <f t="shared" si="8"/>
        <v>842000</v>
      </c>
      <c r="P187" s="63" t="s">
        <v>304</v>
      </c>
      <c r="Q187" s="66"/>
    </row>
    <row r="188" spans="1:17" s="67" customFormat="1" ht="25.5">
      <c r="A188" s="63"/>
      <c r="B188" s="64" t="s">
        <v>188</v>
      </c>
      <c r="C188" s="63" t="s">
        <v>302</v>
      </c>
      <c r="D188" s="63" t="s">
        <v>284</v>
      </c>
      <c r="E188" s="63">
        <v>600</v>
      </c>
      <c r="F188" s="63">
        <v>400</v>
      </c>
      <c r="G188" s="63">
        <f t="shared" si="9"/>
        <v>550</v>
      </c>
      <c r="H188" s="63">
        <f t="shared" si="10"/>
        <v>350</v>
      </c>
      <c r="I188" s="63"/>
      <c r="J188" s="63"/>
      <c r="K188" s="63"/>
      <c r="L188" s="63" t="s">
        <v>22</v>
      </c>
      <c r="M188" s="63">
        <v>3</v>
      </c>
      <c r="N188" s="65">
        <v>531000</v>
      </c>
      <c r="O188" s="65">
        <f t="shared" si="8"/>
        <v>1593000</v>
      </c>
      <c r="P188" s="63" t="s">
        <v>304</v>
      </c>
      <c r="Q188" s="66"/>
    </row>
    <row r="189" spans="1:17" s="67" customFormat="1" ht="25.5">
      <c r="A189" s="63"/>
      <c r="B189" s="64" t="s">
        <v>189</v>
      </c>
      <c r="C189" s="63" t="s">
        <v>302</v>
      </c>
      <c r="D189" s="63" t="s">
        <v>284</v>
      </c>
      <c r="E189" s="63">
        <v>300</v>
      </c>
      <c r="F189" s="63">
        <v>300</v>
      </c>
      <c r="G189" s="63">
        <f t="shared" si="9"/>
        <v>250</v>
      </c>
      <c r="H189" s="63">
        <f t="shared" si="10"/>
        <v>250</v>
      </c>
      <c r="I189" s="63"/>
      <c r="J189" s="63"/>
      <c r="K189" s="63"/>
      <c r="L189" s="63" t="s">
        <v>22</v>
      </c>
      <c r="M189" s="63">
        <v>44</v>
      </c>
      <c r="N189" s="65">
        <v>238000</v>
      </c>
      <c r="O189" s="65">
        <f t="shared" si="8"/>
        <v>10472000</v>
      </c>
      <c r="P189" s="63" t="s">
        <v>304</v>
      </c>
      <c r="Q189" s="66"/>
    </row>
    <row r="190" spans="1:17" s="67" customFormat="1" ht="12.75">
      <c r="A190" s="63"/>
      <c r="B190" s="64" t="s">
        <v>190</v>
      </c>
      <c r="C190" s="63" t="s">
        <v>291</v>
      </c>
      <c r="D190" s="63" t="s">
        <v>284</v>
      </c>
      <c r="E190" s="63">
        <v>300</v>
      </c>
      <c r="F190" s="63">
        <v>150</v>
      </c>
      <c r="G190" s="63">
        <f t="shared" si="9"/>
        <v>250</v>
      </c>
      <c r="H190" s="63">
        <f t="shared" si="10"/>
        <v>100</v>
      </c>
      <c r="I190" s="63"/>
      <c r="J190" s="63"/>
      <c r="K190" s="63"/>
      <c r="L190" s="63" t="s">
        <v>191</v>
      </c>
      <c r="M190" s="63">
        <v>4</v>
      </c>
      <c r="N190" s="65">
        <v>81000</v>
      </c>
      <c r="O190" s="65">
        <f t="shared" si="8"/>
        <v>324000</v>
      </c>
      <c r="P190" s="63" t="s">
        <v>293</v>
      </c>
      <c r="Q190" s="66"/>
    </row>
    <row r="191" spans="1:17" s="67" customFormat="1" ht="12.75">
      <c r="A191" s="63"/>
      <c r="B191" s="64" t="s">
        <v>192</v>
      </c>
      <c r="C191" s="63" t="s">
        <v>291</v>
      </c>
      <c r="D191" s="63" t="s">
        <v>284</v>
      </c>
      <c r="E191" s="63">
        <v>400</v>
      </c>
      <c r="F191" s="63">
        <v>150</v>
      </c>
      <c r="G191" s="63">
        <f t="shared" si="9"/>
        <v>350</v>
      </c>
      <c r="H191" s="63">
        <f t="shared" si="10"/>
        <v>100</v>
      </c>
      <c r="I191" s="63"/>
      <c r="J191" s="63"/>
      <c r="K191" s="63"/>
      <c r="L191" s="63" t="s">
        <v>191</v>
      </c>
      <c r="M191" s="63">
        <v>2</v>
      </c>
      <c r="N191" s="65">
        <v>103000</v>
      </c>
      <c r="O191" s="65">
        <f t="shared" si="8"/>
        <v>206000</v>
      </c>
      <c r="P191" s="63" t="s">
        <v>293</v>
      </c>
      <c r="Q191" s="66"/>
    </row>
    <row r="192" spans="1:17" s="67" customFormat="1" ht="12.75">
      <c r="A192" s="63"/>
      <c r="B192" s="64" t="s">
        <v>193</v>
      </c>
      <c r="C192" s="63" t="s">
        <v>291</v>
      </c>
      <c r="D192" s="63" t="s">
        <v>284</v>
      </c>
      <c r="E192" s="63">
        <v>800</v>
      </c>
      <c r="F192" s="63">
        <v>250</v>
      </c>
      <c r="G192" s="63">
        <f t="shared" si="9"/>
        <v>750</v>
      </c>
      <c r="H192" s="63">
        <f t="shared" si="10"/>
        <v>200</v>
      </c>
      <c r="I192" s="63"/>
      <c r="J192" s="63"/>
      <c r="K192" s="63"/>
      <c r="L192" s="63" t="s">
        <v>191</v>
      </c>
      <c r="M192" s="63">
        <v>1</v>
      </c>
      <c r="N192" s="65">
        <v>292000</v>
      </c>
      <c r="O192" s="65">
        <f t="shared" si="8"/>
        <v>292000</v>
      </c>
      <c r="P192" s="63" t="s">
        <v>293</v>
      </c>
      <c r="Q192" s="66"/>
    </row>
    <row r="193" spans="1:17" s="67" customFormat="1" ht="12.75">
      <c r="A193" s="63"/>
      <c r="B193" s="64" t="s">
        <v>194</v>
      </c>
      <c r="C193" s="63" t="s">
        <v>291</v>
      </c>
      <c r="D193" s="63" t="s">
        <v>284</v>
      </c>
      <c r="E193" s="63">
        <v>1200</v>
      </c>
      <c r="F193" s="63">
        <v>350</v>
      </c>
      <c r="G193" s="63">
        <f t="shared" si="9"/>
        <v>1150</v>
      </c>
      <c r="H193" s="63">
        <f t="shared" si="10"/>
        <v>300</v>
      </c>
      <c r="I193" s="63"/>
      <c r="J193" s="63"/>
      <c r="K193" s="63"/>
      <c r="L193" s="63" t="s">
        <v>191</v>
      </c>
      <c r="M193" s="63">
        <v>1</v>
      </c>
      <c r="N193" s="65">
        <v>629000</v>
      </c>
      <c r="O193" s="65">
        <f t="shared" si="8"/>
        <v>629000</v>
      </c>
      <c r="P193" s="63" t="s">
        <v>293</v>
      </c>
      <c r="Q193" s="66"/>
    </row>
    <row r="194" spans="1:17" s="67" customFormat="1" ht="12.75">
      <c r="A194" s="63"/>
      <c r="B194" s="64" t="s">
        <v>195</v>
      </c>
      <c r="C194" s="63" t="s">
        <v>291</v>
      </c>
      <c r="D194" s="63" t="s">
        <v>284</v>
      </c>
      <c r="E194" s="63">
        <v>1000</v>
      </c>
      <c r="F194" s="63">
        <v>300</v>
      </c>
      <c r="G194" s="63">
        <f t="shared" si="9"/>
        <v>950</v>
      </c>
      <c r="H194" s="63">
        <f t="shared" si="10"/>
        <v>250</v>
      </c>
      <c r="I194" s="63"/>
      <c r="J194" s="63"/>
      <c r="K194" s="63"/>
      <c r="L194" s="63" t="s">
        <v>191</v>
      </c>
      <c r="M194" s="63">
        <v>1</v>
      </c>
      <c r="N194" s="65">
        <v>468000</v>
      </c>
      <c r="O194" s="65">
        <f t="shared" si="8"/>
        <v>468000</v>
      </c>
      <c r="P194" s="63" t="s">
        <v>293</v>
      </c>
      <c r="Q194" s="66"/>
    </row>
    <row r="195" spans="1:17" s="67" customFormat="1" ht="12.75">
      <c r="A195" s="63"/>
      <c r="B195" s="64" t="s">
        <v>196</v>
      </c>
      <c r="C195" s="63" t="s">
        <v>291</v>
      </c>
      <c r="D195" s="63" t="s">
        <v>284</v>
      </c>
      <c r="E195" s="63">
        <v>800</v>
      </c>
      <c r="F195" s="63">
        <v>300</v>
      </c>
      <c r="G195" s="63">
        <f t="shared" si="9"/>
        <v>750</v>
      </c>
      <c r="H195" s="63">
        <f t="shared" si="10"/>
        <v>250</v>
      </c>
      <c r="I195" s="63"/>
      <c r="J195" s="63"/>
      <c r="K195" s="63"/>
      <c r="L195" s="63" t="s">
        <v>191</v>
      </c>
      <c r="M195" s="63">
        <v>1</v>
      </c>
      <c r="N195" s="65">
        <v>378000</v>
      </c>
      <c r="O195" s="65">
        <f t="shared" si="8"/>
        <v>378000</v>
      </c>
      <c r="P195" s="63" t="s">
        <v>293</v>
      </c>
      <c r="Q195" s="66"/>
    </row>
    <row r="196" spans="1:17" s="67" customFormat="1" ht="12.75">
      <c r="A196" s="63"/>
      <c r="B196" s="64" t="s">
        <v>197</v>
      </c>
      <c r="C196" s="63" t="s">
        <v>291</v>
      </c>
      <c r="D196" s="63" t="s">
        <v>284</v>
      </c>
      <c r="E196" s="63">
        <v>400</v>
      </c>
      <c r="F196" s="63">
        <v>200</v>
      </c>
      <c r="G196" s="63">
        <f t="shared" si="9"/>
        <v>350</v>
      </c>
      <c r="H196" s="63">
        <f t="shared" si="10"/>
        <v>150</v>
      </c>
      <c r="I196" s="63"/>
      <c r="J196" s="63"/>
      <c r="K196" s="63"/>
      <c r="L196" s="63" t="s">
        <v>191</v>
      </c>
      <c r="M196" s="63">
        <v>1</v>
      </c>
      <c r="N196" s="65">
        <v>130000</v>
      </c>
      <c r="O196" s="65">
        <f t="shared" si="8"/>
        <v>130000</v>
      </c>
      <c r="P196" s="63" t="s">
        <v>293</v>
      </c>
      <c r="Q196" s="66"/>
    </row>
    <row r="197" spans="1:17" s="67" customFormat="1" ht="12.75">
      <c r="A197" s="63"/>
      <c r="B197" s="64" t="s">
        <v>198</v>
      </c>
      <c r="C197" s="63" t="s">
        <v>291</v>
      </c>
      <c r="D197" s="63" t="s">
        <v>284</v>
      </c>
      <c r="E197" s="63">
        <v>300</v>
      </c>
      <c r="F197" s="63">
        <v>200</v>
      </c>
      <c r="G197" s="63">
        <f t="shared" si="9"/>
        <v>250</v>
      </c>
      <c r="H197" s="63">
        <f t="shared" si="10"/>
        <v>150</v>
      </c>
      <c r="I197" s="63"/>
      <c r="J197" s="63"/>
      <c r="K197" s="63"/>
      <c r="L197" s="63" t="s">
        <v>191</v>
      </c>
      <c r="M197" s="63">
        <v>2</v>
      </c>
      <c r="N197" s="65">
        <v>103000</v>
      </c>
      <c r="O197" s="65">
        <f t="shared" si="8"/>
        <v>206000</v>
      </c>
      <c r="P197" s="63" t="s">
        <v>293</v>
      </c>
      <c r="Q197" s="66"/>
    </row>
    <row r="198" spans="1:17" s="67" customFormat="1" ht="12.75">
      <c r="A198" s="63"/>
      <c r="B198" s="64" t="s">
        <v>199</v>
      </c>
      <c r="C198" s="63" t="s">
        <v>291</v>
      </c>
      <c r="D198" s="63" t="s">
        <v>284</v>
      </c>
      <c r="E198" s="63">
        <v>1200</v>
      </c>
      <c r="F198" s="63">
        <v>650</v>
      </c>
      <c r="G198" s="63">
        <f t="shared" si="9"/>
        <v>1150</v>
      </c>
      <c r="H198" s="63">
        <f t="shared" si="10"/>
        <v>600</v>
      </c>
      <c r="I198" s="63"/>
      <c r="J198" s="63"/>
      <c r="K198" s="63"/>
      <c r="L198" s="63" t="s">
        <v>191</v>
      </c>
      <c r="M198" s="63">
        <v>2</v>
      </c>
      <c r="N198" s="65">
        <v>1068000</v>
      </c>
      <c r="O198" s="65">
        <f t="shared" si="8"/>
        <v>2136000</v>
      </c>
      <c r="P198" s="63" t="s">
        <v>293</v>
      </c>
      <c r="Q198" s="66"/>
    </row>
    <row r="199" spans="1:17" s="67" customFormat="1" ht="12.75">
      <c r="A199" s="63"/>
      <c r="B199" s="64" t="s">
        <v>201</v>
      </c>
      <c r="C199" s="63"/>
      <c r="D199" s="63"/>
      <c r="E199" s="63"/>
      <c r="F199" s="63"/>
      <c r="G199" s="63"/>
      <c r="H199" s="63"/>
      <c r="I199" s="63"/>
      <c r="J199" s="63"/>
      <c r="K199" s="63"/>
      <c r="L199" s="63"/>
      <c r="M199" s="63"/>
      <c r="N199" s="65"/>
      <c r="O199" s="65">
        <f t="shared" si="8"/>
        <v>0</v>
      </c>
      <c r="P199" s="63"/>
      <c r="Q199" s="66"/>
    </row>
    <row r="200" spans="1:17" s="67" customFormat="1" ht="12.75">
      <c r="A200" s="63"/>
      <c r="B200" s="64" t="s">
        <v>203</v>
      </c>
      <c r="C200" s="63"/>
      <c r="D200" s="63"/>
      <c r="E200" s="63"/>
      <c r="F200" s="63"/>
      <c r="G200" s="63"/>
      <c r="H200" s="63"/>
      <c r="I200" s="63"/>
      <c r="J200" s="63"/>
      <c r="K200" s="63"/>
      <c r="L200" s="63"/>
      <c r="M200" s="63"/>
      <c r="N200" s="65"/>
      <c r="O200" s="65">
        <f t="shared" si="8"/>
        <v>0</v>
      </c>
      <c r="P200" s="63"/>
      <c r="Q200" s="66"/>
    </row>
    <row r="201" spans="1:17" s="67" customFormat="1" ht="12.75">
      <c r="A201" s="63"/>
      <c r="B201" s="64" t="s">
        <v>205</v>
      </c>
      <c r="C201" s="63"/>
      <c r="D201" s="63"/>
      <c r="E201" s="63"/>
      <c r="F201" s="63"/>
      <c r="G201" s="63"/>
      <c r="H201" s="63"/>
      <c r="I201" s="63"/>
      <c r="J201" s="63"/>
      <c r="K201" s="63"/>
      <c r="L201" s="63"/>
      <c r="M201" s="63"/>
      <c r="N201" s="65"/>
      <c r="O201" s="65">
        <f t="shared" si="8"/>
        <v>0</v>
      </c>
      <c r="P201" s="63"/>
      <c r="Q201" s="66"/>
    </row>
    <row r="202" spans="1:17" s="67" customFormat="1" ht="25.5">
      <c r="A202" s="63"/>
      <c r="B202" s="64" t="s">
        <v>206</v>
      </c>
      <c r="C202" s="63"/>
      <c r="D202" s="63"/>
      <c r="E202" s="63"/>
      <c r="F202" s="63"/>
      <c r="G202" s="63"/>
      <c r="H202" s="63"/>
      <c r="I202" s="63"/>
      <c r="J202" s="63"/>
      <c r="K202" s="63"/>
      <c r="L202" s="63"/>
      <c r="M202" s="63">
        <v>0</v>
      </c>
      <c r="N202" s="65"/>
      <c r="O202" s="65">
        <f t="shared" si="8"/>
        <v>0</v>
      </c>
      <c r="P202" s="63"/>
      <c r="Q202" s="66"/>
    </row>
    <row r="203" spans="1:17" s="67" customFormat="1" ht="12.75">
      <c r="A203" s="63"/>
      <c r="B203" s="64" t="s">
        <v>207</v>
      </c>
      <c r="C203" s="63"/>
      <c r="D203" s="63"/>
      <c r="E203" s="63"/>
      <c r="F203" s="63"/>
      <c r="G203" s="63"/>
      <c r="H203" s="63"/>
      <c r="I203" s="63"/>
      <c r="J203" s="63"/>
      <c r="K203" s="63"/>
      <c r="L203" s="63"/>
      <c r="M203" s="63">
        <v>0</v>
      </c>
      <c r="N203" s="65"/>
      <c r="O203" s="65">
        <f t="shared" si="8"/>
        <v>0</v>
      </c>
      <c r="P203" s="63"/>
      <c r="Q203" s="66"/>
    </row>
    <row r="204" spans="1:17" s="67" customFormat="1" ht="25.5">
      <c r="A204" s="63"/>
      <c r="B204" s="64" t="s">
        <v>208</v>
      </c>
      <c r="C204" s="63" t="s">
        <v>305</v>
      </c>
      <c r="D204" s="63" t="s">
        <v>284</v>
      </c>
      <c r="E204" s="63">
        <v>600</v>
      </c>
      <c r="F204" s="63">
        <v>600</v>
      </c>
      <c r="G204" s="63">
        <v>450</v>
      </c>
      <c r="H204" s="63">
        <v>450</v>
      </c>
      <c r="I204" s="63"/>
      <c r="J204" s="63"/>
      <c r="K204" s="63"/>
      <c r="L204" s="63" t="s">
        <v>22</v>
      </c>
      <c r="M204" s="63">
        <v>309</v>
      </c>
      <c r="N204" s="65">
        <v>505000</v>
      </c>
      <c r="O204" s="65">
        <f t="shared" si="8"/>
        <v>156045000</v>
      </c>
      <c r="P204" s="63" t="s">
        <v>306</v>
      </c>
      <c r="Q204" s="66"/>
    </row>
    <row r="205" spans="1:17" s="67" customFormat="1" ht="25.5">
      <c r="A205" s="63"/>
      <c r="B205" s="64" t="s">
        <v>209</v>
      </c>
      <c r="C205" s="63" t="s">
        <v>289</v>
      </c>
      <c r="D205" s="63" t="s">
        <v>284</v>
      </c>
      <c r="E205" s="63">
        <v>600</v>
      </c>
      <c r="F205" s="63">
        <v>600</v>
      </c>
      <c r="G205" s="63">
        <v>550</v>
      </c>
      <c r="H205" s="63">
        <v>550</v>
      </c>
      <c r="I205" s="63"/>
      <c r="J205" s="63"/>
      <c r="K205" s="63"/>
      <c r="L205" s="63" t="s">
        <v>22</v>
      </c>
      <c r="M205" s="63">
        <v>195</v>
      </c>
      <c r="N205" s="65">
        <v>505000</v>
      </c>
      <c r="O205" s="65">
        <f t="shared" si="8"/>
        <v>98475000</v>
      </c>
      <c r="P205" s="63" t="s">
        <v>290</v>
      </c>
      <c r="Q205" s="66"/>
    </row>
    <row r="206" spans="1:17" s="67" customFormat="1" ht="12.75">
      <c r="A206" s="63"/>
      <c r="B206" s="64" t="s">
        <v>211</v>
      </c>
      <c r="C206" s="63"/>
      <c r="D206" s="63"/>
      <c r="E206" s="63"/>
      <c r="F206" s="63"/>
      <c r="G206" s="63"/>
      <c r="H206" s="63"/>
      <c r="I206" s="63"/>
      <c r="J206" s="63"/>
      <c r="K206" s="63"/>
      <c r="L206" s="63"/>
      <c r="M206" s="63"/>
      <c r="N206" s="65"/>
      <c r="O206" s="65">
        <f t="shared" si="8"/>
        <v>0</v>
      </c>
      <c r="P206" s="63"/>
      <c r="Q206" s="66"/>
    </row>
    <row r="207" spans="1:17" s="67" customFormat="1" ht="25.5">
      <c r="A207" s="63"/>
      <c r="B207" s="64" t="s">
        <v>206</v>
      </c>
      <c r="C207" s="63"/>
      <c r="D207" s="63"/>
      <c r="E207" s="63"/>
      <c r="F207" s="63"/>
      <c r="G207" s="63"/>
      <c r="H207" s="63"/>
      <c r="I207" s="63"/>
      <c r="J207" s="63"/>
      <c r="K207" s="63"/>
      <c r="L207" s="63"/>
      <c r="M207" s="63"/>
      <c r="N207" s="65"/>
      <c r="O207" s="65">
        <f t="shared" si="8"/>
        <v>0</v>
      </c>
      <c r="P207" s="63"/>
      <c r="Q207" s="66"/>
    </row>
    <row r="208" spans="1:17" s="67" customFormat="1" ht="12.75">
      <c r="A208" s="63"/>
      <c r="B208" s="64" t="s">
        <v>212</v>
      </c>
      <c r="C208" s="63"/>
      <c r="D208" s="63"/>
      <c r="E208" s="63"/>
      <c r="F208" s="63"/>
      <c r="G208" s="63"/>
      <c r="H208" s="63"/>
      <c r="I208" s="63"/>
      <c r="J208" s="63"/>
      <c r="K208" s="63"/>
      <c r="L208" s="63"/>
      <c r="M208" s="63"/>
      <c r="N208" s="65"/>
      <c r="O208" s="65">
        <f t="shared" si="8"/>
        <v>0</v>
      </c>
      <c r="P208" s="63"/>
      <c r="Q208" s="66"/>
    </row>
    <row r="209" spans="1:17" s="67" customFormat="1" ht="12.75">
      <c r="A209" s="63"/>
      <c r="B209" s="64" t="s">
        <v>214</v>
      </c>
      <c r="C209" s="63"/>
      <c r="D209" s="63"/>
      <c r="E209" s="63"/>
      <c r="F209" s="63"/>
      <c r="G209" s="63"/>
      <c r="H209" s="63"/>
      <c r="I209" s="63"/>
      <c r="J209" s="63"/>
      <c r="K209" s="63"/>
      <c r="L209" s="63"/>
      <c r="M209" s="63"/>
      <c r="N209" s="65"/>
      <c r="O209" s="65">
        <f t="shared" si="8"/>
        <v>0</v>
      </c>
      <c r="P209" s="63"/>
      <c r="Q209" s="66"/>
    </row>
    <row r="210" spans="1:17" s="67" customFormat="1" ht="25.5">
      <c r="A210" s="63"/>
      <c r="B210" s="64" t="s">
        <v>216</v>
      </c>
      <c r="C210" s="63"/>
      <c r="D210" s="63" t="s">
        <v>284</v>
      </c>
      <c r="E210" s="63">
        <v>900</v>
      </c>
      <c r="F210" s="63">
        <v>100</v>
      </c>
      <c r="G210" s="63">
        <f>E210+30</f>
        <v>930</v>
      </c>
      <c r="H210" s="63">
        <f>F210+30</f>
        <v>130</v>
      </c>
      <c r="I210" s="63"/>
      <c r="J210" s="63"/>
      <c r="K210" s="63"/>
      <c r="L210" s="63" t="s">
        <v>218</v>
      </c>
      <c r="M210" s="63">
        <v>291</v>
      </c>
      <c r="N210" s="65">
        <v>445500</v>
      </c>
      <c r="O210" s="65">
        <f t="shared" ref="O210:O221" si="11">N210*M210</f>
        <v>129640500</v>
      </c>
      <c r="P210" s="63"/>
      <c r="Q210" s="66"/>
    </row>
    <row r="211" spans="1:17" s="67" customFormat="1" ht="25.5">
      <c r="A211" s="63"/>
      <c r="B211" s="64" t="s">
        <v>219</v>
      </c>
      <c r="C211" s="63"/>
      <c r="D211" s="63" t="s">
        <v>284</v>
      </c>
      <c r="E211" s="63">
        <v>1200</v>
      </c>
      <c r="F211" s="63">
        <v>100</v>
      </c>
      <c r="G211" s="63">
        <f t="shared" ref="G211:G218" si="12">E211+30</f>
        <v>1230</v>
      </c>
      <c r="H211" s="63">
        <f t="shared" ref="H211:H218" si="13">F211+30</f>
        <v>130</v>
      </c>
      <c r="I211" s="63"/>
      <c r="J211" s="63"/>
      <c r="K211" s="63"/>
      <c r="L211" s="63" t="s">
        <v>218</v>
      </c>
      <c r="M211" s="63">
        <v>38</v>
      </c>
      <c r="N211" s="65">
        <v>579000</v>
      </c>
      <c r="O211" s="65">
        <f t="shared" si="11"/>
        <v>22002000</v>
      </c>
      <c r="P211" s="63"/>
      <c r="Q211" s="66"/>
    </row>
    <row r="212" spans="1:17" s="67" customFormat="1" ht="25.5">
      <c r="A212" s="63"/>
      <c r="B212" s="64" t="s">
        <v>220</v>
      </c>
      <c r="C212" s="63"/>
      <c r="D212" s="63" t="s">
        <v>284</v>
      </c>
      <c r="E212" s="63">
        <v>2000</v>
      </c>
      <c r="F212" s="63">
        <v>100</v>
      </c>
      <c r="G212" s="63">
        <f t="shared" si="12"/>
        <v>2030</v>
      </c>
      <c r="H212" s="63">
        <f t="shared" si="13"/>
        <v>130</v>
      </c>
      <c r="I212" s="63"/>
      <c r="J212" s="63"/>
      <c r="K212" s="63"/>
      <c r="L212" s="63" t="s">
        <v>218</v>
      </c>
      <c r="M212" s="63">
        <v>46</v>
      </c>
      <c r="N212" s="65">
        <v>936000</v>
      </c>
      <c r="O212" s="65">
        <f t="shared" si="11"/>
        <v>43056000</v>
      </c>
      <c r="P212" s="63"/>
      <c r="Q212" s="66"/>
    </row>
    <row r="213" spans="1:17" s="67" customFormat="1" ht="51">
      <c r="A213" s="63"/>
      <c r="B213" s="64" t="s">
        <v>221</v>
      </c>
      <c r="C213" s="63"/>
      <c r="D213" s="63" t="s">
        <v>284</v>
      </c>
      <c r="E213" s="63">
        <v>900</v>
      </c>
      <c r="F213" s="63">
        <v>100</v>
      </c>
      <c r="G213" s="63">
        <f t="shared" si="12"/>
        <v>930</v>
      </c>
      <c r="H213" s="63">
        <f t="shared" si="13"/>
        <v>130</v>
      </c>
      <c r="I213" s="63"/>
      <c r="J213" s="63"/>
      <c r="K213" s="63"/>
      <c r="L213" s="63" t="s">
        <v>218</v>
      </c>
      <c r="M213" s="63">
        <v>148</v>
      </c>
      <c r="N213" s="65">
        <v>445500</v>
      </c>
      <c r="O213" s="65">
        <f t="shared" si="11"/>
        <v>65934000</v>
      </c>
      <c r="P213" s="63"/>
      <c r="Q213" s="66"/>
    </row>
    <row r="214" spans="1:17" s="67" customFormat="1" ht="51">
      <c r="A214" s="63"/>
      <c r="B214" s="64" t="s">
        <v>222</v>
      </c>
      <c r="C214" s="63"/>
      <c r="D214" s="63" t="s">
        <v>284</v>
      </c>
      <c r="E214" s="63">
        <v>1200</v>
      </c>
      <c r="F214" s="63">
        <v>100</v>
      </c>
      <c r="G214" s="63">
        <f t="shared" si="12"/>
        <v>1230</v>
      </c>
      <c r="H214" s="63">
        <f t="shared" si="13"/>
        <v>130</v>
      </c>
      <c r="I214" s="63"/>
      <c r="J214" s="63"/>
      <c r="K214" s="63"/>
      <c r="L214" s="63" t="s">
        <v>218</v>
      </c>
      <c r="M214" s="63">
        <v>12</v>
      </c>
      <c r="N214" s="65">
        <v>579000</v>
      </c>
      <c r="O214" s="65">
        <f t="shared" si="11"/>
        <v>6948000</v>
      </c>
      <c r="P214" s="63"/>
      <c r="Q214" s="66"/>
    </row>
    <row r="215" spans="1:17" s="67" customFormat="1" ht="51">
      <c r="A215" s="63"/>
      <c r="B215" s="64" t="s">
        <v>223</v>
      </c>
      <c r="C215" s="63"/>
      <c r="D215" s="63" t="s">
        <v>284</v>
      </c>
      <c r="E215" s="63">
        <v>1400</v>
      </c>
      <c r="F215" s="63">
        <v>100</v>
      </c>
      <c r="G215" s="63">
        <f t="shared" si="12"/>
        <v>1430</v>
      </c>
      <c r="H215" s="63">
        <f t="shared" si="13"/>
        <v>130</v>
      </c>
      <c r="I215" s="63"/>
      <c r="J215" s="63"/>
      <c r="K215" s="63"/>
      <c r="L215" s="63" t="s">
        <v>218</v>
      </c>
      <c r="M215" s="63">
        <v>12</v>
      </c>
      <c r="N215" s="65">
        <v>669000</v>
      </c>
      <c r="O215" s="65">
        <f t="shared" si="11"/>
        <v>8028000</v>
      </c>
      <c r="P215" s="63" t="s">
        <v>308</v>
      </c>
      <c r="Q215" s="66"/>
    </row>
    <row r="216" spans="1:17" s="67" customFormat="1" ht="51">
      <c r="A216" s="63"/>
      <c r="B216" s="64" t="s">
        <v>224</v>
      </c>
      <c r="C216" s="63"/>
      <c r="D216" s="63" t="s">
        <v>284</v>
      </c>
      <c r="E216" s="63">
        <v>2000</v>
      </c>
      <c r="F216" s="63">
        <v>100</v>
      </c>
      <c r="G216" s="63">
        <f t="shared" si="12"/>
        <v>2030</v>
      </c>
      <c r="H216" s="63">
        <f t="shared" si="13"/>
        <v>130</v>
      </c>
      <c r="I216" s="63"/>
      <c r="J216" s="63"/>
      <c r="K216" s="63"/>
      <c r="L216" s="63" t="s">
        <v>218</v>
      </c>
      <c r="M216" s="63">
        <v>20</v>
      </c>
      <c r="N216" s="65">
        <v>936000</v>
      </c>
      <c r="O216" s="65">
        <f t="shared" si="11"/>
        <v>18720000</v>
      </c>
      <c r="P216" s="63" t="s">
        <v>308</v>
      </c>
      <c r="Q216" s="66"/>
    </row>
    <row r="217" spans="1:17" s="67" customFormat="1" ht="51">
      <c r="A217" s="63"/>
      <c r="B217" s="64" t="s">
        <v>225</v>
      </c>
      <c r="C217" s="63"/>
      <c r="D217" s="63" t="s">
        <v>284</v>
      </c>
      <c r="E217" s="63">
        <v>4200</v>
      </c>
      <c r="F217" s="63">
        <v>100</v>
      </c>
      <c r="G217" s="63">
        <f t="shared" si="12"/>
        <v>4230</v>
      </c>
      <c r="H217" s="63">
        <f t="shared" si="13"/>
        <v>130</v>
      </c>
      <c r="I217" s="63"/>
      <c r="J217" s="63"/>
      <c r="K217" s="63"/>
      <c r="L217" s="63" t="s">
        <v>218</v>
      </c>
      <c r="M217" s="63">
        <v>9</v>
      </c>
      <c r="N217" s="65">
        <v>1917000</v>
      </c>
      <c r="O217" s="65">
        <f t="shared" si="11"/>
        <v>17253000</v>
      </c>
      <c r="P217" s="63" t="s">
        <v>307</v>
      </c>
      <c r="Q217" s="66"/>
    </row>
    <row r="218" spans="1:17" s="67" customFormat="1" ht="51">
      <c r="A218" s="63"/>
      <c r="B218" s="64" t="s">
        <v>226</v>
      </c>
      <c r="C218" s="63"/>
      <c r="D218" s="63" t="s">
        <v>284</v>
      </c>
      <c r="E218" s="63">
        <v>7600</v>
      </c>
      <c r="F218" s="63">
        <v>100</v>
      </c>
      <c r="G218" s="63">
        <f t="shared" si="12"/>
        <v>7630</v>
      </c>
      <c r="H218" s="63">
        <f t="shared" si="13"/>
        <v>130</v>
      </c>
      <c r="I218" s="63"/>
      <c r="J218" s="63"/>
      <c r="K218" s="63"/>
      <c r="L218" s="63" t="s">
        <v>218</v>
      </c>
      <c r="M218" s="63">
        <v>6</v>
      </c>
      <c r="N218" s="65">
        <v>4116600</v>
      </c>
      <c r="O218" s="65">
        <f t="shared" si="11"/>
        <v>24699600</v>
      </c>
      <c r="P218" s="63" t="s">
        <v>307</v>
      </c>
      <c r="Q218" s="66"/>
    </row>
    <row r="219" spans="1:17" s="67" customFormat="1" ht="12.75">
      <c r="A219" s="63"/>
      <c r="B219" s="64" t="s">
        <v>57</v>
      </c>
      <c r="C219" s="63"/>
      <c r="D219" s="63"/>
      <c r="E219" s="63"/>
      <c r="F219" s="63"/>
      <c r="G219" s="63"/>
      <c r="H219" s="63"/>
      <c r="I219" s="63"/>
      <c r="J219" s="63"/>
      <c r="K219" s="63"/>
      <c r="L219" s="63" t="s">
        <v>58</v>
      </c>
      <c r="M219" s="63">
        <v>1</v>
      </c>
      <c r="N219" s="65"/>
      <c r="O219" s="65">
        <f t="shared" si="11"/>
        <v>0</v>
      </c>
      <c r="P219" s="63"/>
      <c r="Q219" s="66"/>
    </row>
    <row r="220" spans="1:17" s="67" customFormat="1" ht="25.5">
      <c r="A220" s="63"/>
      <c r="B220" s="64" t="s">
        <v>228</v>
      </c>
      <c r="C220" s="63"/>
      <c r="D220" s="63"/>
      <c r="E220" s="63"/>
      <c r="F220" s="63"/>
      <c r="G220" s="63"/>
      <c r="H220" s="63"/>
      <c r="I220" s="63"/>
      <c r="J220" s="63"/>
      <c r="K220" s="63"/>
      <c r="L220" s="63"/>
      <c r="M220" s="63"/>
      <c r="N220" s="65"/>
      <c r="O220" s="65">
        <f t="shared" si="11"/>
        <v>0</v>
      </c>
      <c r="P220" s="63"/>
      <c r="Q220" s="66"/>
    </row>
    <row r="221" spans="1:17" s="67" customFormat="1" ht="90" customHeight="1">
      <c r="A221" s="63"/>
      <c r="B221" s="64" t="s">
        <v>229</v>
      </c>
      <c r="C221" s="63"/>
      <c r="D221" s="63"/>
      <c r="E221" s="63"/>
      <c r="F221" s="63"/>
      <c r="G221" s="63"/>
      <c r="H221" s="63"/>
      <c r="I221" s="63"/>
      <c r="J221" s="63"/>
      <c r="K221" s="63"/>
      <c r="L221" s="63" t="s">
        <v>230</v>
      </c>
      <c r="M221" s="63">
        <v>0</v>
      </c>
      <c r="N221" s="65"/>
      <c r="O221" s="65">
        <f t="shared" si="11"/>
        <v>0</v>
      </c>
      <c r="P221" s="63"/>
      <c r="Q221" s="66"/>
    </row>
    <row r="222" spans="1:17" s="71" customFormat="1" ht="12.75">
      <c r="A222" s="68"/>
      <c r="B222" s="69" t="s">
        <v>309</v>
      </c>
      <c r="C222" s="68"/>
      <c r="D222" s="68"/>
      <c r="E222" s="68"/>
      <c r="F222" s="68"/>
      <c r="G222" s="68"/>
      <c r="H222" s="68"/>
      <c r="I222" s="68"/>
      <c r="J222" s="68"/>
      <c r="K222" s="68"/>
      <c r="L222" s="68"/>
      <c r="M222" s="68"/>
      <c r="N222" s="70"/>
      <c r="O222" s="70"/>
      <c r="P222" s="68" t="s">
        <v>310</v>
      </c>
      <c r="Q222" s="66"/>
    </row>
    <row r="223" spans="1:17" s="71" customFormat="1" ht="12.75">
      <c r="A223" s="68"/>
      <c r="B223" s="69" t="s">
        <v>311</v>
      </c>
      <c r="C223" s="68"/>
      <c r="D223" s="68"/>
      <c r="E223" s="68"/>
      <c r="F223" s="68"/>
      <c r="G223" s="68"/>
      <c r="H223" s="68"/>
      <c r="I223" s="68"/>
      <c r="J223" s="68"/>
      <c r="K223" s="68"/>
      <c r="L223" s="68"/>
      <c r="M223" s="68"/>
      <c r="N223" s="70"/>
      <c r="O223" s="70"/>
      <c r="P223" s="68" t="s">
        <v>312</v>
      </c>
    </row>
    <row r="224" spans="1:17" s="71" customFormat="1" ht="12.75">
      <c r="A224" s="68"/>
      <c r="B224" s="69"/>
      <c r="C224" s="68"/>
      <c r="D224" s="68"/>
      <c r="E224" s="68"/>
      <c r="F224" s="68"/>
      <c r="G224" s="68"/>
      <c r="H224" s="68"/>
      <c r="I224" s="68"/>
      <c r="J224" s="68"/>
      <c r="K224" s="68"/>
      <c r="L224" s="68"/>
      <c r="M224" s="68"/>
      <c r="N224" s="70"/>
      <c r="O224" s="70"/>
      <c r="P224" s="68"/>
    </row>
    <row r="225" spans="1:16" s="71" customFormat="1" ht="29.45" customHeight="1">
      <c r="A225" s="68"/>
      <c r="B225" s="68"/>
      <c r="C225" s="68"/>
      <c r="D225" s="68"/>
      <c r="E225" s="68"/>
      <c r="F225" s="68"/>
      <c r="G225" s="68"/>
      <c r="H225" s="68"/>
      <c r="I225" s="68"/>
      <c r="J225" s="68"/>
      <c r="K225" s="68"/>
      <c r="L225" s="68"/>
      <c r="M225" s="68"/>
      <c r="N225" s="70"/>
      <c r="O225" s="70"/>
      <c r="P225" s="68"/>
    </row>
    <row r="226" spans="1:16" s="71" customFormat="1" ht="32.25" customHeight="1">
      <c r="A226" s="152" t="s">
        <v>265</v>
      </c>
      <c r="B226" s="153"/>
      <c r="C226" s="153"/>
      <c r="D226" s="153"/>
      <c r="E226" s="153"/>
      <c r="F226" s="153"/>
      <c r="G226" s="153"/>
      <c r="H226" s="153"/>
      <c r="I226" s="153"/>
      <c r="J226" s="153"/>
      <c r="K226" s="153"/>
      <c r="L226" s="153"/>
      <c r="M226" s="153"/>
      <c r="N226" s="72"/>
      <c r="O226" s="73">
        <f>SUM(O15:O225)</f>
        <v>2987056286.1318789</v>
      </c>
      <c r="P226" s="74"/>
    </row>
    <row r="227" spans="1:16" s="71" customFormat="1" ht="32.25" customHeight="1">
      <c r="A227" s="154" t="s">
        <v>266</v>
      </c>
      <c r="B227" s="155"/>
      <c r="C227" s="155"/>
      <c r="D227" s="155"/>
      <c r="E227" s="155"/>
      <c r="F227" s="155"/>
      <c r="G227" s="155"/>
      <c r="H227" s="155"/>
      <c r="I227" s="155"/>
      <c r="J227" s="155"/>
      <c r="K227" s="155"/>
      <c r="L227" s="155"/>
      <c r="M227" s="155"/>
      <c r="N227" s="75"/>
      <c r="O227" s="76">
        <f>O226*0.1</f>
        <v>298705628.61318791</v>
      </c>
      <c r="P227" s="77"/>
    </row>
    <row r="228" spans="1:16" s="71" customFormat="1" ht="32.25" customHeight="1">
      <c r="A228" s="156" t="s">
        <v>267</v>
      </c>
      <c r="B228" s="157"/>
      <c r="C228" s="157"/>
      <c r="D228" s="157"/>
      <c r="E228" s="157"/>
      <c r="F228" s="157"/>
      <c r="G228" s="157"/>
      <c r="H228" s="157"/>
      <c r="I228" s="157"/>
      <c r="J228" s="157"/>
      <c r="K228" s="157"/>
      <c r="L228" s="157"/>
      <c r="M228" s="157"/>
      <c r="N228" s="78"/>
      <c r="O228" s="79">
        <f>SUM(O226:O227)</f>
        <v>3285761914.7450666</v>
      </c>
      <c r="P228" s="80"/>
    </row>
    <row r="229" spans="1:16" s="89" customFormat="1" ht="15" customHeight="1">
      <c r="A229" s="81"/>
      <c r="B229" s="82"/>
      <c r="C229" s="83"/>
      <c r="D229" s="83"/>
      <c r="E229" s="83"/>
      <c r="F229" s="83"/>
      <c r="G229" s="83"/>
      <c r="H229" s="83"/>
      <c r="I229" s="83"/>
      <c r="J229" s="83"/>
      <c r="K229" s="84"/>
      <c r="L229" s="85"/>
      <c r="M229" s="86"/>
      <c r="N229" s="87"/>
      <c r="O229" s="87"/>
      <c r="P229" s="88"/>
    </row>
    <row r="230" spans="1:16" s="89" customFormat="1" ht="15" customHeight="1">
      <c r="A230" s="90"/>
      <c r="B230" s="91" t="s">
        <v>268</v>
      </c>
      <c r="C230" s="92"/>
      <c r="D230" s="92"/>
      <c r="E230" s="92"/>
      <c r="F230" s="93"/>
      <c r="G230" s="92"/>
      <c r="H230" s="90"/>
      <c r="I230" s="90"/>
      <c r="J230" s="90"/>
      <c r="K230" s="90"/>
      <c r="L230" s="90"/>
      <c r="M230" s="88"/>
      <c r="N230" s="88"/>
      <c r="O230" s="94"/>
      <c r="P230" s="95"/>
    </row>
    <row r="231" spans="1:16" s="89" customFormat="1" ht="15" customHeight="1">
      <c r="A231" s="90"/>
      <c r="B231" s="96" t="s">
        <v>269</v>
      </c>
      <c r="C231" s="97"/>
      <c r="D231" s="97"/>
      <c r="E231" s="97"/>
      <c r="F231" s="98"/>
      <c r="G231" s="98"/>
      <c r="H231" s="90"/>
      <c r="I231" s="90"/>
      <c r="J231" s="90"/>
      <c r="K231" s="90"/>
      <c r="L231" s="99"/>
      <c r="M231" s="100"/>
      <c r="N231" s="158" t="s">
        <v>270</v>
      </c>
      <c r="O231" s="159"/>
      <c r="P231" s="95"/>
    </row>
    <row r="232" spans="1:16" s="89" customFormat="1" ht="15" customHeight="1">
      <c r="A232" s="90"/>
      <c r="B232" s="96" t="s">
        <v>271</v>
      </c>
      <c r="C232" s="97"/>
      <c r="D232" s="97"/>
      <c r="E232" s="97"/>
      <c r="F232" s="98"/>
      <c r="G232" s="98"/>
      <c r="H232" s="90"/>
      <c r="I232" s="90"/>
      <c r="J232" s="90"/>
      <c r="K232" s="90"/>
      <c r="L232" s="99"/>
      <c r="M232" s="100"/>
      <c r="N232" s="100"/>
      <c r="O232" s="94"/>
      <c r="P232" s="95"/>
    </row>
    <row r="233" spans="1:16" s="89" customFormat="1" ht="15" customHeight="1">
      <c r="A233" s="90"/>
      <c r="B233" s="96" t="s">
        <v>272</v>
      </c>
      <c r="C233" s="97"/>
      <c r="D233" s="97"/>
      <c r="E233" s="97"/>
      <c r="F233" s="98"/>
      <c r="G233" s="98"/>
      <c r="H233" s="90"/>
      <c r="I233" s="90"/>
      <c r="J233" s="90"/>
      <c r="K233" s="90"/>
      <c r="L233" s="99"/>
      <c r="M233" s="100"/>
      <c r="N233" s="100"/>
      <c r="O233" s="94"/>
      <c r="P233" s="95"/>
    </row>
    <row r="234" spans="1:16" s="89" customFormat="1" ht="15" customHeight="1">
      <c r="A234" s="90"/>
      <c r="B234" s="96" t="s">
        <v>273</v>
      </c>
      <c r="C234" s="97"/>
      <c r="D234" s="97"/>
      <c r="E234" s="97"/>
      <c r="F234" s="98"/>
      <c r="G234" s="98"/>
      <c r="H234" s="90"/>
      <c r="I234" s="90"/>
      <c r="J234" s="90"/>
      <c r="K234" s="90"/>
      <c r="L234" s="99"/>
      <c r="M234" s="100"/>
      <c r="N234" s="100"/>
      <c r="O234" s="94"/>
      <c r="P234" s="95"/>
    </row>
    <row r="235" spans="1:16" s="89" customFormat="1" ht="15" customHeight="1">
      <c r="A235" s="90"/>
      <c r="B235" s="101" t="s">
        <v>274</v>
      </c>
      <c r="C235" s="102"/>
      <c r="D235" s="102"/>
      <c r="E235" s="102"/>
      <c r="F235" s="103"/>
      <c r="G235" s="103"/>
      <c r="H235" s="90"/>
      <c r="I235" s="90"/>
      <c r="J235" s="90"/>
      <c r="K235" s="90"/>
      <c r="L235" s="99"/>
      <c r="M235" s="104"/>
      <c r="N235" s="105"/>
      <c r="O235" s="106"/>
      <c r="P235" s="95"/>
    </row>
    <row r="236" spans="1:16" s="89" customFormat="1" ht="15" customHeight="1">
      <c r="A236" s="90"/>
      <c r="B236" s="107" t="s">
        <v>275</v>
      </c>
      <c r="C236" s="107"/>
      <c r="D236" s="107"/>
      <c r="E236" s="107"/>
      <c r="F236" s="107"/>
      <c r="G236" s="107"/>
      <c r="H236" s="90"/>
      <c r="I236" s="90"/>
      <c r="J236" s="90"/>
      <c r="K236" s="90"/>
      <c r="L236" s="99"/>
      <c r="M236" s="104"/>
      <c r="N236" s="105"/>
      <c r="O236" s="106"/>
      <c r="P236" s="95"/>
    </row>
    <row r="237" spans="1:16" s="89" customFormat="1" ht="15" customHeight="1">
      <c r="A237" s="90"/>
      <c r="B237" s="108" t="s">
        <v>276</v>
      </c>
      <c r="C237" s="97"/>
      <c r="D237" s="97"/>
      <c r="E237" s="97"/>
      <c r="F237" s="103"/>
      <c r="G237" s="103"/>
      <c r="H237" s="90"/>
      <c r="I237" s="90"/>
      <c r="J237" s="90"/>
      <c r="K237" s="90"/>
      <c r="L237" s="99"/>
      <c r="M237" s="104"/>
      <c r="N237" s="105"/>
      <c r="O237" s="106"/>
      <c r="P237" s="95"/>
    </row>
    <row r="238" spans="1:16" s="89" customFormat="1" ht="15" customHeight="1">
      <c r="A238" s="90"/>
      <c r="B238" s="109" t="s">
        <v>277</v>
      </c>
      <c r="C238" s="110"/>
      <c r="D238" s="110"/>
      <c r="E238" s="110"/>
      <c r="F238" s="111"/>
      <c r="G238" s="111"/>
      <c r="H238" s="90"/>
      <c r="I238" s="90"/>
      <c r="J238" s="90"/>
      <c r="K238" s="90"/>
      <c r="L238" s="99"/>
      <c r="M238" s="104"/>
      <c r="N238" s="105"/>
      <c r="O238" s="112"/>
      <c r="P238" s="95"/>
    </row>
    <row r="239" spans="1:16" s="89" customFormat="1" ht="15" customHeight="1">
      <c r="A239" s="90"/>
      <c r="B239" s="107" t="s">
        <v>278</v>
      </c>
      <c r="C239" s="107"/>
      <c r="D239" s="107"/>
      <c r="E239" s="107"/>
      <c r="F239" s="107"/>
      <c r="G239" s="107"/>
      <c r="H239" s="90"/>
      <c r="I239" s="90"/>
      <c r="J239" s="90"/>
      <c r="K239" s="90"/>
      <c r="L239" s="99"/>
      <c r="M239" s="104"/>
      <c r="N239" s="105"/>
      <c r="O239" s="112"/>
      <c r="P239" s="95"/>
    </row>
    <row r="240" spans="1:16" s="89" customFormat="1" ht="15" customHeight="1">
      <c r="A240" s="84"/>
      <c r="B240" s="107" t="s">
        <v>279</v>
      </c>
      <c r="C240" s="107"/>
      <c r="D240" s="107"/>
      <c r="E240" s="107"/>
      <c r="F240" s="107"/>
      <c r="G240" s="107"/>
      <c r="H240" s="90"/>
      <c r="I240" s="84"/>
      <c r="J240" s="84"/>
      <c r="K240" s="113"/>
      <c r="L240" s="160"/>
      <c r="M240" s="160"/>
      <c r="N240" s="160"/>
      <c r="O240" s="161"/>
      <c r="P240" s="95"/>
    </row>
    <row r="241" spans="1:16" s="89" customFormat="1" ht="15" customHeight="1">
      <c r="A241" s="114"/>
      <c r="B241" s="115" t="s">
        <v>280</v>
      </c>
      <c r="C241" s="107"/>
      <c r="D241" s="107"/>
      <c r="E241" s="107"/>
      <c r="F241" s="107"/>
      <c r="G241" s="107"/>
      <c r="H241" s="116"/>
      <c r="I241" s="114"/>
      <c r="J241" s="114"/>
      <c r="K241" s="114"/>
      <c r="L241" s="162"/>
      <c r="M241" s="162"/>
      <c r="N241" s="162"/>
      <c r="O241" s="163"/>
      <c r="P241" s="95"/>
    </row>
    <row r="242" spans="1:16" s="43" customFormat="1" ht="15" customHeight="1">
      <c r="A242" s="117"/>
      <c r="B242" s="115" t="s">
        <v>281</v>
      </c>
      <c r="C242" s="107"/>
      <c r="D242" s="107"/>
      <c r="E242" s="107"/>
      <c r="F242" s="107"/>
      <c r="G242" s="107"/>
      <c r="H242" s="116"/>
      <c r="I242" s="118"/>
      <c r="J242" s="118"/>
      <c r="K242" s="119"/>
      <c r="L242" s="150"/>
      <c r="M242" s="150"/>
      <c r="N242" s="150"/>
      <c r="O242" s="151"/>
      <c r="P242" s="120"/>
    </row>
    <row r="243" spans="1:16" s="89" customFormat="1" ht="15" customHeight="1">
      <c r="A243" s="81"/>
      <c r="B243" s="121"/>
      <c r="C243" s="110"/>
      <c r="D243" s="110"/>
      <c r="E243" s="110"/>
      <c r="F243" s="111"/>
      <c r="G243" s="111"/>
      <c r="H243" s="118"/>
      <c r="I243" s="83"/>
      <c r="J243" s="84"/>
      <c r="K243" s="85"/>
      <c r="L243" s="86"/>
      <c r="M243" s="122"/>
      <c r="N243" s="122"/>
      <c r="O243" s="123"/>
      <c r="P243" s="95"/>
    </row>
    <row r="244" spans="1:16" s="89" customFormat="1" ht="15" customHeight="1">
      <c r="A244" s="81"/>
      <c r="B244" s="82"/>
      <c r="C244" s="83"/>
      <c r="D244" s="83"/>
      <c r="E244" s="83"/>
      <c r="F244" s="83"/>
      <c r="G244" s="83"/>
      <c r="H244" s="83"/>
      <c r="I244" s="83"/>
      <c r="J244" s="83"/>
      <c r="K244" s="84"/>
      <c r="L244" s="85"/>
      <c r="M244" s="86"/>
      <c r="N244" s="87"/>
      <c r="O244" s="87"/>
      <c r="P244" s="124"/>
    </row>
    <row r="245" spans="1:16" s="89" customFormat="1" ht="15" customHeight="1">
      <c r="A245" s="81"/>
      <c r="B245" s="82"/>
      <c r="C245" s="83"/>
      <c r="D245" s="83"/>
      <c r="E245" s="83"/>
      <c r="F245" s="83"/>
      <c r="G245" s="83"/>
      <c r="H245" s="83"/>
      <c r="I245" s="83"/>
      <c r="J245" s="83"/>
      <c r="K245" s="84"/>
      <c r="L245" s="85"/>
      <c r="M245" s="86"/>
      <c r="N245" s="87"/>
      <c r="O245" s="87"/>
      <c r="P245" s="124"/>
    </row>
    <row r="246" spans="1:16" s="89" customFormat="1" ht="15" customHeight="1">
      <c r="A246" s="81"/>
      <c r="B246" s="82"/>
      <c r="C246" s="83"/>
      <c r="D246" s="83"/>
      <c r="E246" s="83"/>
      <c r="F246" s="83"/>
      <c r="G246" s="83"/>
      <c r="H246" s="83"/>
      <c r="I246" s="83"/>
      <c r="J246" s="83"/>
      <c r="K246" s="84"/>
      <c r="L246" s="85"/>
      <c r="M246" s="86"/>
      <c r="N246" s="87"/>
      <c r="O246" s="87"/>
      <c r="P246" s="124"/>
    </row>
    <row r="247" spans="1:16" s="89" customFormat="1" ht="15" customHeight="1">
      <c r="A247" s="81"/>
      <c r="B247" s="82"/>
      <c r="C247" s="83"/>
      <c r="D247" s="83"/>
      <c r="E247" s="83"/>
      <c r="F247" s="83"/>
      <c r="G247" s="83"/>
      <c r="H247" s="83"/>
      <c r="I247" s="83"/>
      <c r="J247" s="83"/>
      <c r="K247" s="84"/>
      <c r="L247" s="85"/>
      <c r="M247" s="86"/>
      <c r="N247" s="87"/>
      <c r="O247" s="87"/>
      <c r="P247" s="124"/>
    </row>
    <row r="248" spans="1:16" s="89" customFormat="1" ht="15" customHeight="1">
      <c r="A248" s="81"/>
      <c r="B248" s="82"/>
      <c r="C248" s="83"/>
      <c r="D248" s="83"/>
      <c r="E248" s="83"/>
      <c r="F248" s="83"/>
      <c r="G248" s="83"/>
      <c r="H248" s="83"/>
      <c r="I248" s="83"/>
      <c r="J248" s="83"/>
      <c r="K248" s="84"/>
      <c r="L248" s="85"/>
      <c r="M248" s="86"/>
      <c r="N248" s="87"/>
      <c r="O248" s="87"/>
      <c r="P248" s="124"/>
    </row>
    <row r="249" spans="1:16" s="89" customFormat="1" ht="15" customHeight="1">
      <c r="A249" s="81"/>
      <c r="B249" s="82"/>
      <c r="C249" s="83"/>
      <c r="D249" s="83"/>
      <c r="E249" s="83"/>
      <c r="F249" s="83"/>
      <c r="G249" s="83"/>
      <c r="H249" s="83"/>
      <c r="I249" s="83"/>
      <c r="J249" s="83"/>
      <c r="K249" s="84"/>
      <c r="L249" s="85"/>
      <c r="M249" s="86"/>
      <c r="N249" s="87"/>
      <c r="O249" s="87"/>
      <c r="P249" s="124"/>
    </row>
    <row r="250" spans="1:16" s="89" customFormat="1" ht="15" customHeight="1">
      <c r="A250" s="81"/>
      <c r="B250" s="82"/>
      <c r="C250" s="83"/>
      <c r="D250" s="83"/>
      <c r="E250" s="83"/>
      <c r="F250" s="83"/>
      <c r="G250" s="83"/>
      <c r="H250" s="83"/>
      <c r="I250" s="83"/>
      <c r="J250" s="83"/>
      <c r="K250" s="84"/>
      <c r="L250" s="85"/>
      <c r="M250" s="86"/>
      <c r="N250" s="87"/>
      <c r="O250" s="87"/>
      <c r="P250" s="124"/>
    </row>
    <row r="251" spans="1:16" s="89" customFormat="1" ht="15" customHeight="1">
      <c r="A251" s="81"/>
      <c r="B251" s="82"/>
      <c r="C251" s="83"/>
      <c r="D251" s="83"/>
      <c r="E251" s="83"/>
      <c r="F251" s="83"/>
      <c r="G251" s="83"/>
      <c r="H251" s="83"/>
      <c r="I251" s="83"/>
      <c r="J251" s="83"/>
      <c r="K251" s="84"/>
      <c r="L251" s="85"/>
      <c r="M251" s="86"/>
      <c r="N251" s="87"/>
      <c r="O251" s="87"/>
      <c r="P251" s="124"/>
    </row>
    <row r="252" spans="1:16" s="89" customFormat="1" ht="12.75">
      <c r="A252" s="81"/>
      <c r="B252" s="82"/>
      <c r="C252" s="83"/>
      <c r="D252" s="83"/>
      <c r="E252" s="83"/>
      <c r="F252" s="83"/>
      <c r="G252" s="83"/>
      <c r="H252" s="83"/>
      <c r="I252" s="83"/>
      <c r="J252" s="83"/>
      <c r="K252" s="84"/>
      <c r="L252" s="85"/>
      <c r="M252" s="86"/>
      <c r="N252" s="87"/>
      <c r="O252" s="87"/>
      <c r="P252" s="124"/>
    </row>
    <row r="253" spans="1:16" s="89" customFormat="1" ht="12.75">
      <c r="A253" s="81"/>
      <c r="B253" s="82"/>
      <c r="C253" s="83"/>
      <c r="D253" s="83"/>
      <c r="E253" s="83"/>
      <c r="F253" s="83"/>
      <c r="G253" s="83"/>
      <c r="H253" s="83"/>
      <c r="I253" s="83"/>
      <c r="J253" s="83"/>
      <c r="K253" s="84"/>
      <c r="L253" s="85"/>
      <c r="M253" s="86"/>
      <c r="N253" s="87"/>
      <c r="O253" s="87"/>
      <c r="P253" s="124"/>
    </row>
    <row r="254" spans="1:16" s="89" customFormat="1" ht="12.75">
      <c r="B254" s="125"/>
      <c r="C254" s="126"/>
      <c r="D254" s="126"/>
      <c r="E254" s="126"/>
      <c r="F254" s="126"/>
      <c r="G254" s="126"/>
      <c r="H254" s="126"/>
      <c r="I254" s="126"/>
      <c r="J254" s="126"/>
      <c r="K254" s="127"/>
      <c r="L254" s="128"/>
      <c r="M254" s="129"/>
      <c r="N254" s="95"/>
      <c r="O254" s="95"/>
      <c r="P254" s="130"/>
    </row>
    <row r="255" spans="1:16" s="89" customFormat="1" ht="12.75">
      <c r="B255" s="125"/>
      <c r="C255" s="126"/>
      <c r="D255" s="126"/>
      <c r="E255" s="126"/>
      <c r="F255" s="126"/>
      <c r="G255" s="126"/>
      <c r="H255" s="126"/>
      <c r="I255" s="126"/>
      <c r="J255" s="126"/>
      <c r="K255" s="127"/>
      <c r="L255" s="128"/>
      <c r="M255" s="129"/>
      <c r="N255" s="95"/>
      <c r="O255" s="95"/>
      <c r="P255" s="130"/>
    </row>
    <row r="256" spans="1:16" s="89" customFormat="1" ht="12.75">
      <c r="B256" s="125"/>
      <c r="C256" s="126"/>
      <c r="D256" s="126"/>
      <c r="E256" s="126"/>
      <c r="F256" s="126"/>
      <c r="G256" s="126"/>
      <c r="H256" s="126"/>
      <c r="I256" s="126"/>
      <c r="J256" s="126"/>
      <c r="K256" s="127"/>
      <c r="L256" s="128"/>
      <c r="M256" s="129"/>
      <c r="N256" s="95"/>
      <c r="O256" s="95"/>
      <c r="P256" s="130"/>
    </row>
    <row r="257" spans="2:16" s="89" customFormat="1" ht="12.75">
      <c r="B257" s="125"/>
      <c r="C257" s="126"/>
      <c r="D257" s="126"/>
      <c r="E257" s="126"/>
      <c r="F257" s="126"/>
      <c r="G257" s="126"/>
      <c r="H257" s="126"/>
      <c r="I257" s="126"/>
      <c r="J257" s="126"/>
      <c r="K257" s="127"/>
      <c r="L257" s="128"/>
      <c r="M257" s="129"/>
      <c r="N257" s="95"/>
      <c r="O257" s="95"/>
      <c r="P257" s="130"/>
    </row>
    <row r="258" spans="2:16" s="89" customFormat="1" ht="12.75">
      <c r="B258" s="125"/>
      <c r="C258" s="126"/>
      <c r="D258" s="126"/>
      <c r="E258" s="126"/>
      <c r="F258" s="126"/>
      <c r="G258" s="126"/>
      <c r="H258" s="126"/>
      <c r="I258" s="126"/>
      <c r="J258" s="126"/>
      <c r="K258" s="127"/>
      <c r="L258" s="128"/>
      <c r="M258" s="129"/>
      <c r="N258" s="95"/>
      <c r="O258" s="95"/>
      <c r="P258" s="130"/>
    </row>
    <row r="259" spans="2:16" s="89" customFormat="1" ht="12.75">
      <c r="B259" s="125"/>
      <c r="C259" s="126"/>
      <c r="D259" s="126"/>
      <c r="E259" s="126"/>
      <c r="F259" s="126"/>
      <c r="G259" s="126"/>
      <c r="H259" s="126"/>
      <c r="I259" s="126"/>
      <c r="J259" s="126"/>
      <c r="K259" s="127"/>
      <c r="L259" s="128"/>
      <c r="M259" s="129"/>
      <c r="N259" s="95"/>
      <c r="O259" s="95"/>
      <c r="P259" s="130"/>
    </row>
    <row r="260" spans="2:16" s="89" customFormat="1" ht="12.75">
      <c r="B260" s="125"/>
      <c r="C260" s="126"/>
      <c r="D260" s="126"/>
      <c r="E260" s="126"/>
      <c r="F260" s="126"/>
      <c r="G260" s="126"/>
      <c r="H260" s="126"/>
      <c r="I260" s="126"/>
      <c r="J260" s="126"/>
      <c r="K260" s="127"/>
      <c r="L260" s="128"/>
      <c r="M260" s="129"/>
      <c r="N260" s="95"/>
      <c r="O260" s="95"/>
      <c r="P260" s="130"/>
    </row>
    <row r="261" spans="2:16" s="89" customFormat="1" ht="12.75">
      <c r="B261" s="125"/>
      <c r="C261" s="126"/>
      <c r="D261" s="126"/>
      <c r="E261" s="126"/>
      <c r="F261" s="126"/>
      <c r="G261" s="126"/>
      <c r="H261" s="126"/>
      <c r="I261" s="126"/>
      <c r="J261" s="126"/>
      <c r="K261" s="127"/>
      <c r="L261" s="128"/>
      <c r="M261" s="129"/>
      <c r="N261" s="95"/>
      <c r="O261" s="95"/>
      <c r="P261" s="130"/>
    </row>
    <row r="262" spans="2:16" s="89" customFormat="1" ht="12.75">
      <c r="B262" s="125"/>
      <c r="C262" s="126"/>
      <c r="D262" s="126"/>
      <c r="E262" s="126"/>
      <c r="F262" s="126"/>
      <c r="G262" s="126"/>
      <c r="H262" s="126"/>
      <c r="I262" s="126"/>
      <c r="J262" s="126"/>
      <c r="K262" s="127"/>
      <c r="L262" s="128"/>
      <c r="M262" s="129"/>
      <c r="N262" s="95"/>
      <c r="O262" s="95"/>
      <c r="P262" s="130"/>
    </row>
    <row r="263" spans="2:16" s="89" customFormat="1" ht="12.75">
      <c r="B263" s="125"/>
      <c r="C263" s="126"/>
      <c r="D263" s="126"/>
      <c r="E263" s="126"/>
      <c r="F263" s="126"/>
      <c r="G263" s="126"/>
      <c r="H263" s="126"/>
      <c r="I263" s="126"/>
      <c r="J263" s="126"/>
      <c r="K263" s="127"/>
      <c r="L263" s="128"/>
      <c r="M263" s="129"/>
      <c r="N263" s="95"/>
      <c r="O263" s="95"/>
      <c r="P263" s="130"/>
    </row>
    <row r="264" spans="2:16" s="89" customFormat="1" ht="12.75">
      <c r="B264" s="125"/>
      <c r="C264" s="126"/>
      <c r="D264" s="126"/>
      <c r="E264" s="126"/>
      <c r="F264" s="126"/>
      <c r="G264" s="126"/>
      <c r="H264" s="126"/>
      <c r="I264" s="126"/>
      <c r="J264" s="126"/>
      <c r="K264" s="127"/>
      <c r="L264" s="128"/>
      <c r="M264" s="129"/>
      <c r="N264" s="95"/>
      <c r="O264" s="95"/>
      <c r="P264" s="130"/>
    </row>
    <row r="265" spans="2:16" s="89" customFormat="1" ht="12.75">
      <c r="B265" s="125"/>
      <c r="C265" s="126"/>
      <c r="D265" s="126"/>
      <c r="E265" s="126"/>
      <c r="F265" s="126"/>
      <c r="G265" s="126"/>
      <c r="H265" s="126"/>
      <c r="I265" s="126"/>
      <c r="J265" s="126"/>
      <c r="K265" s="127"/>
      <c r="L265" s="128"/>
      <c r="M265" s="129"/>
      <c r="N265" s="95"/>
      <c r="O265" s="95"/>
      <c r="P265" s="130"/>
    </row>
    <row r="266" spans="2:16" s="89" customFormat="1" ht="12.75">
      <c r="B266" s="125"/>
      <c r="C266" s="126"/>
      <c r="D266" s="126"/>
      <c r="E266" s="126"/>
      <c r="F266" s="126"/>
      <c r="G266" s="126"/>
      <c r="H266" s="126"/>
      <c r="I266" s="126"/>
      <c r="J266" s="126"/>
      <c r="K266" s="127"/>
      <c r="L266" s="128"/>
      <c r="M266" s="129"/>
      <c r="N266" s="95"/>
      <c r="O266" s="95"/>
      <c r="P266" s="130"/>
    </row>
    <row r="267" spans="2:16" s="89" customFormat="1" ht="12.75">
      <c r="B267" s="125"/>
      <c r="C267" s="126"/>
      <c r="D267" s="126"/>
      <c r="E267" s="126"/>
      <c r="F267" s="126"/>
      <c r="G267" s="126"/>
      <c r="H267" s="126"/>
      <c r="I267" s="126"/>
      <c r="J267" s="126"/>
      <c r="K267" s="127"/>
      <c r="L267" s="128"/>
      <c r="M267" s="129"/>
      <c r="N267" s="95"/>
      <c r="O267" s="95"/>
      <c r="P267" s="130"/>
    </row>
    <row r="268" spans="2:16" s="89" customFormat="1" ht="12.75">
      <c r="B268" s="125"/>
      <c r="C268" s="126"/>
      <c r="D268" s="126"/>
      <c r="E268" s="126"/>
      <c r="F268" s="126"/>
      <c r="G268" s="126"/>
      <c r="H268" s="126"/>
      <c r="I268" s="126"/>
      <c r="J268" s="126"/>
      <c r="K268" s="127"/>
      <c r="L268" s="128"/>
      <c r="M268" s="129"/>
      <c r="N268" s="95"/>
      <c r="O268" s="95"/>
      <c r="P268" s="130"/>
    </row>
    <row r="269" spans="2:16" s="89" customFormat="1" ht="12.75">
      <c r="B269" s="125"/>
      <c r="C269" s="126"/>
      <c r="D269" s="126"/>
      <c r="E269" s="126"/>
      <c r="F269" s="126"/>
      <c r="G269" s="126"/>
      <c r="H269" s="126"/>
      <c r="I269" s="126"/>
      <c r="J269" s="126"/>
      <c r="K269" s="127"/>
      <c r="L269" s="128"/>
      <c r="M269" s="129"/>
      <c r="N269" s="95"/>
      <c r="O269" s="95"/>
      <c r="P269" s="130"/>
    </row>
    <row r="270" spans="2:16" s="89" customFormat="1" ht="12.75">
      <c r="B270" s="125"/>
      <c r="C270" s="126"/>
      <c r="D270" s="126"/>
      <c r="E270" s="126"/>
      <c r="F270" s="126"/>
      <c r="G270" s="126"/>
      <c r="H270" s="126"/>
      <c r="I270" s="126"/>
      <c r="J270" s="126"/>
      <c r="K270" s="127"/>
      <c r="L270" s="128"/>
      <c r="M270" s="129"/>
      <c r="N270" s="95"/>
      <c r="O270" s="95"/>
      <c r="P270" s="130"/>
    </row>
    <row r="271" spans="2:16" s="89" customFormat="1" ht="12.75">
      <c r="B271" s="125"/>
      <c r="C271" s="126"/>
      <c r="D271" s="126"/>
      <c r="E271" s="126"/>
      <c r="F271" s="126"/>
      <c r="G271" s="126"/>
      <c r="H271" s="126"/>
      <c r="I271" s="126"/>
      <c r="J271" s="126"/>
      <c r="K271" s="127"/>
      <c r="L271" s="128"/>
      <c r="M271" s="129"/>
      <c r="N271" s="95"/>
      <c r="O271" s="95"/>
      <c r="P271" s="130"/>
    </row>
    <row r="272" spans="2:16" s="89" customFormat="1" ht="12.75">
      <c r="B272" s="125"/>
      <c r="C272" s="126"/>
      <c r="D272" s="126"/>
      <c r="E272" s="126"/>
      <c r="F272" s="126"/>
      <c r="G272" s="126"/>
      <c r="H272" s="126"/>
      <c r="I272" s="126"/>
      <c r="J272" s="126"/>
      <c r="K272" s="127"/>
      <c r="L272" s="128"/>
      <c r="M272" s="129"/>
      <c r="N272" s="95"/>
      <c r="O272" s="95"/>
      <c r="P272" s="130"/>
    </row>
    <row r="273" spans="2:16" s="89" customFormat="1" ht="12.75">
      <c r="B273" s="125"/>
      <c r="C273" s="126"/>
      <c r="D273" s="126"/>
      <c r="E273" s="126"/>
      <c r="F273" s="126"/>
      <c r="G273" s="126"/>
      <c r="H273" s="126"/>
      <c r="I273" s="126"/>
      <c r="J273" s="126"/>
      <c r="K273" s="127"/>
      <c r="L273" s="128"/>
      <c r="M273" s="129"/>
      <c r="N273" s="95"/>
      <c r="O273" s="95"/>
      <c r="P273" s="130"/>
    </row>
    <row r="274" spans="2:16" s="89" customFormat="1" ht="12.75">
      <c r="B274" s="125"/>
      <c r="C274" s="126"/>
      <c r="D274" s="126"/>
      <c r="E274" s="126"/>
      <c r="F274" s="126"/>
      <c r="G274" s="126"/>
      <c r="H274" s="126"/>
      <c r="I274" s="126"/>
      <c r="J274" s="126"/>
      <c r="K274" s="127"/>
      <c r="L274" s="128"/>
      <c r="M274" s="129"/>
      <c r="N274" s="95"/>
      <c r="O274" s="95"/>
      <c r="P274" s="130"/>
    </row>
    <row r="275" spans="2:16" s="89" customFormat="1" ht="12.75">
      <c r="B275" s="125"/>
      <c r="C275" s="126"/>
      <c r="D275" s="126"/>
      <c r="E275" s="126"/>
      <c r="F275" s="126"/>
      <c r="G275" s="126"/>
      <c r="H275" s="126"/>
      <c r="I275" s="126"/>
      <c r="J275" s="126"/>
      <c r="K275" s="127"/>
      <c r="L275" s="128"/>
      <c r="M275" s="129"/>
      <c r="N275" s="95"/>
      <c r="O275" s="95"/>
      <c r="P275" s="130"/>
    </row>
    <row r="276" spans="2:16" s="89" customFormat="1" ht="12.75">
      <c r="B276" s="125"/>
      <c r="C276" s="126"/>
      <c r="D276" s="126"/>
      <c r="E276" s="126"/>
      <c r="F276" s="126"/>
      <c r="G276" s="126"/>
      <c r="H276" s="126"/>
      <c r="I276" s="126"/>
      <c r="J276" s="126"/>
      <c r="K276" s="127"/>
      <c r="L276" s="128"/>
      <c r="M276" s="129"/>
      <c r="N276" s="95"/>
      <c r="O276" s="95"/>
      <c r="P276" s="130"/>
    </row>
    <row r="277" spans="2:16" s="89" customFormat="1" ht="12.75">
      <c r="B277" s="125"/>
      <c r="C277" s="126"/>
      <c r="D277" s="126"/>
      <c r="E277" s="126"/>
      <c r="F277" s="126"/>
      <c r="G277" s="126"/>
      <c r="H277" s="126"/>
      <c r="I277" s="126"/>
      <c r="J277" s="126"/>
      <c r="K277" s="127"/>
      <c r="L277" s="128"/>
      <c r="M277" s="129"/>
      <c r="N277" s="95"/>
      <c r="O277" s="95"/>
      <c r="P277" s="130"/>
    </row>
    <row r="278" spans="2:16" s="89" customFormat="1" ht="12.75">
      <c r="B278" s="125"/>
      <c r="C278" s="126"/>
      <c r="D278" s="126"/>
      <c r="E278" s="126"/>
      <c r="F278" s="126"/>
      <c r="G278" s="126"/>
      <c r="H278" s="126"/>
      <c r="I278" s="126"/>
      <c r="J278" s="126"/>
      <c r="K278" s="127"/>
      <c r="L278" s="128"/>
      <c r="M278" s="129"/>
      <c r="N278" s="95"/>
      <c r="O278" s="95"/>
      <c r="P278" s="130"/>
    </row>
    <row r="279" spans="2:16" s="89" customFormat="1" ht="12.75">
      <c r="B279" s="125"/>
      <c r="C279" s="126"/>
      <c r="D279" s="126"/>
      <c r="E279" s="126"/>
      <c r="F279" s="126"/>
      <c r="G279" s="126"/>
      <c r="H279" s="126"/>
      <c r="I279" s="126"/>
      <c r="J279" s="126"/>
      <c r="K279" s="127"/>
      <c r="L279" s="128"/>
      <c r="M279" s="129"/>
      <c r="N279" s="95"/>
      <c r="O279" s="95"/>
      <c r="P279" s="130"/>
    </row>
    <row r="280" spans="2:16" s="89" customFormat="1" ht="12.75">
      <c r="B280" s="125"/>
      <c r="C280" s="126"/>
      <c r="D280" s="126"/>
      <c r="E280" s="126"/>
      <c r="F280" s="126"/>
      <c r="G280" s="126"/>
      <c r="H280" s="126"/>
      <c r="I280" s="126"/>
      <c r="J280" s="126"/>
      <c r="K280" s="127"/>
      <c r="L280" s="128"/>
      <c r="M280" s="129"/>
      <c r="N280" s="95"/>
      <c r="O280" s="95"/>
      <c r="P280" s="130"/>
    </row>
    <row r="281" spans="2:16" s="89" customFormat="1" ht="12.75">
      <c r="B281" s="125"/>
      <c r="C281" s="126"/>
      <c r="D281" s="126"/>
      <c r="E281" s="126"/>
      <c r="F281" s="126"/>
      <c r="G281" s="126"/>
      <c r="H281" s="126"/>
      <c r="I281" s="126"/>
      <c r="J281" s="126"/>
      <c r="K281" s="127"/>
      <c r="L281" s="128"/>
      <c r="M281" s="129"/>
      <c r="N281" s="95"/>
      <c r="O281" s="95"/>
      <c r="P281" s="130"/>
    </row>
    <row r="282" spans="2:16" s="89" customFormat="1" ht="12.75">
      <c r="B282" s="125"/>
      <c r="C282" s="126"/>
      <c r="D282" s="126"/>
      <c r="E282" s="126"/>
      <c r="F282" s="126"/>
      <c r="G282" s="126"/>
      <c r="H282" s="126"/>
      <c r="I282" s="126"/>
      <c r="J282" s="126"/>
      <c r="K282" s="127"/>
      <c r="L282" s="128"/>
      <c r="M282" s="129"/>
      <c r="N282" s="95"/>
      <c r="O282" s="95"/>
      <c r="P282" s="130"/>
    </row>
    <row r="283" spans="2:16" s="89" customFormat="1" ht="12.75">
      <c r="B283" s="125"/>
      <c r="C283" s="126"/>
      <c r="D283" s="126"/>
      <c r="E283" s="126"/>
      <c r="F283" s="126"/>
      <c r="G283" s="126"/>
      <c r="H283" s="126"/>
      <c r="I283" s="126"/>
      <c r="J283" s="126"/>
      <c r="K283" s="127"/>
      <c r="L283" s="128"/>
      <c r="M283" s="129"/>
      <c r="N283" s="95"/>
      <c r="O283" s="95"/>
      <c r="P283" s="130"/>
    </row>
    <row r="284" spans="2:16" s="89" customFormat="1" ht="12.75">
      <c r="B284" s="125"/>
      <c r="C284" s="126"/>
      <c r="D284" s="126"/>
      <c r="E284" s="126"/>
      <c r="F284" s="126"/>
      <c r="G284" s="126"/>
      <c r="H284" s="126"/>
      <c r="I284" s="126"/>
      <c r="J284" s="126"/>
      <c r="K284" s="127"/>
      <c r="L284" s="128"/>
      <c r="M284" s="129"/>
      <c r="N284" s="95"/>
      <c r="O284" s="95"/>
      <c r="P284" s="130"/>
    </row>
    <row r="285" spans="2:16" s="89" customFormat="1" ht="12.75">
      <c r="B285" s="125"/>
      <c r="C285" s="126"/>
      <c r="D285" s="126"/>
      <c r="E285" s="126"/>
      <c r="F285" s="126"/>
      <c r="G285" s="126"/>
      <c r="H285" s="126"/>
      <c r="I285" s="126"/>
      <c r="J285" s="126"/>
      <c r="K285" s="127"/>
      <c r="L285" s="128"/>
      <c r="M285" s="129"/>
      <c r="N285" s="95"/>
      <c r="O285" s="95"/>
      <c r="P285" s="130"/>
    </row>
    <row r="286" spans="2:16" s="89" customFormat="1" ht="12.75">
      <c r="B286" s="125"/>
      <c r="C286" s="126"/>
      <c r="D286" s="126"/>
      <c r="E286" s="126"/>
      <c r="F286" s="126"/>
      <c r="G286" s="126"/>
      <c r="H286" s="126"/>
      <c r="I286" s="126"/>
      <c r="J286" s="126"/>
      <c r="K286" s="127"/>
      <c r="L286" s="128"/>
      <c r="M286" s="129"/>
      <c r="N286" s="95"/>
      <c r="O286" s="95"/>
      <c r="P286" s="130"/>
    </row>
    <row r="287" spans="2:16" s="89" customFormat="1" ht="12.75">
      <c r="B287" s="125"/>
      <c r="C287" s="126"/>
      <c r="D287" s="126"/>
      <c r="E287" s="126"/>
      <c r="F287" s="126"/>
      <c r="G287" s="126"/>
      <c r="H287" s="126"/>
      <c r="I287" s="126"/>
      <c r="J287" s="126"/>
      <c r="K287" s="127"/>
      <c r="L287" s="128"/>
      <c r="M287" s="129"/>
      <c r="N287" s="95"/>
      <c r="O287" s="95"/>
      <c r="P287" s="130"/>
    </row>
    <row r="288" spans="2:16" s="89" customFormat="1" ht="12.75">
      <c r="B288" s="125"/>
      <c r="C288" s="126"/>
      <c r="D288" s="126"/>
      <c r="E288" s="126"/>
      <c r="F288" s="126"/>
      <c r="G288" s="126"/>
      <c r="H288" s="126"/>
      <c r="I288" s="126"/>
      <c r="J288" s="126"/>
      <c r="K288" s="127"/>
      <c r="L288" s="128"/>
      <c r="M288" s="129"/>
      <c r="N288" s="95"/>
      <c r="O288" s="95"/>
      <c r="P288" s="130"/>
    </row>
    <row r="289" spans="2:16" s="89" customFormat="1" ht="12.75">
      <c r="B289" s="125"/>
      <c r="C289" s="126"/>
      <c r="D289" s="126"/>
      <c r="E289" s="126"/>
      <c r="F289" s="126"/>
      <c r="G289" s="126"/>
      <c r="H289" s="126"/>
      <c r="I289" s="126"/>
      <c r="J289" s="126"/>
      <c r="K289" s="127"/>
      <c r="L289" s="128"/>
      <c r="M289" s="129"/>
      <c r="N289" s="95"/>
      <c r="O289" s="95"/>
      <c r="P289" s="130"/>
    </row>
    <row r="290" spans="2:16" s="89" customFormat="1" ht="12.75">
      <c r="B290" s="125"/>
      <c r="C290" s="126"/>
      <c r="D290" s="126"/>
      <c r="E290" s="126"/>
      <c r="F290" s="126"/>
      <c r="G290" s="126"/>
      <c r="H290" s="126"/>
      <c r="I290" s="126"/>
      <c r="J290" s="126"/>
      <c r="K290" s="127"/>
      <c r="L290" s="128"/>
      <c r="M290" s="129"/>
      <c r="N290" s="95"/>
      <c r="O290" s="95"/>
      <c r="P290" s="130"/>
    </row>
    <row r="291" spans="2:16" s="89" customFormat="1" ht="12.75">
      <c r="B291" s="125"/>
      <c r="C291" s="126"/>
      <c r="D291" s="126"/>
      <c r="E291" s="126"/>
      <c r="F291" s="126"/>
      <c r="G291" s="126"/>
      <c r="H291" s="126"/>
      <c r="I291" s="126"/>
      <c r="J291" s="126"/>
      <c r="K291" s="127"/>
      <c r="L291" s="128"/>
      <c r="M291" s="129"/>
      <c r="N291" s="95"/>
      <c r="O291" s="95"/>
      <c r="P291" s="130"/>
    </row>
    <row r="292" spans="2:16" s="89" customFormat="1" ht="12.75">
      <c r="B292" s="125"/>
      <c r="C292" s="126"/>
      <c r="D292" s="126"/>
      <c r="E292" s="126"/>
      <c r="F292" s="126"/>
      <c r="G292" s="126"/>
      <c r="H292" s="126"/>
      <c r="I292" s="126"/>
      <c r="J292" s="126"/>
      <c r="K292" s="127"/>
      <c r="L292" s="128"/>
      <c r="M292" s="129"/>
      <c r="N292" s="95"/>
      <c r="O292" s="95"/>
      <c r="P292" s="130"/>
    </row>
    <row r="293" spans="2:16" s="89" customFormat="1" ht="12.75">
      <c r="B293" s="125"/>
      <c r="C293" s="126"/>
      <c r="D293" s="126"/>
      <c r="E293" s="126"/>
      <c r="F293" s="126"/>
      <c r="G293" s="126"/>
      <c r="H293" s="126"/>
      <c r="I293" s="126"/>
      <c r="J293" s="126"/>
      <c r="K293" s="127"/>
      <c r="L293" s="128"/>
      <c r="M293" s="129"/>
      <c r="N293" s="95"/>
      <c r="O293" s="95"/>
      <c r="P293" s="130"/>
    </row>
    <row r="294" spans="2:16" s="89" customFormat="1" ht="12.75">
      <c r="B294" s="125"/>
      <c r="C294" s="126"/>
      <c r="D294" s="126"/>
      <c r="E294" s="126"/>
      <c r="F294" s="126"/>
      <c r="G294" s="126"/>
      <c r="H294" s="126"/>
      <c r="I294" s="126"/>
      <c r="J294" s="126"/>
      <c r="K294" s="127"/>
      <c r="L294" s="128"/>
      <c r="M294" s="129"/>
      <c r="N294" s="95"/>
      <c r="O294" s="95"/>
      <c r="P294" s="130"/>
    </row>
    <row r="295" spans="2:16" s="89" customFormat="1" ht="12.75">
      <c r="B295" s="125"/>
      <c r="C295" s="126"/>
      <c r="D295" s="126"/>
      <c r="E295" s="126"/>
      <c r="F295" s="126"/>
      <c r="G295" s="126"/>
      <c r="H295" s="126"/>
      <c r="I295" s="126"/>
      <c r="J295" s="126"/>
      <c r="K295" s="127"/>
      <c r="L295" s="128"/>
      <c r="M295" s="129"/>
      <c r="N295" s="95"/>
      <c r="O295" s="95"/>
      <c r="P295" s="130"/>
    </row>
    <row r="296" spans="2:16" s="89" customFormat="1" ht="12.75">
      <c r="B296" s="125"/>
      <c r="C296" s="126"/>
      <c r="D296" s="126"/>
      <c r="E296" s="126"/>
      <c r="F296" s="126"/>
      <c r="G296" s="126"/>
      <c r="H296" s="126"/>
      <c r="I296" s="126"/>
      <c r="J296" s="126"/>
      <c r="K296" s="127"/>
      <c r="L296" s="128"/>
      <c r="M296" s="129"/>
      <c r="N296" s="95"/>
      <c r="O296" s="95"/>
      <c r="P296" s="130"/>
    </row>
    <row r="297" spans="2:16" s="89" customFormat="1" ht="12.75">
      <c r="B297" s="125"/>
      <c r="C297" s="126"/>
      <c r="D297" s="126"/>
      <c r="E297" s="126"/>
      <c r="F297" s="126"/>
      <c r="G297" s="126"/>
      <c r="H297" s="126"/>
      <c r="I297" s="126"/>
      <c r="J297" s="126"/>
      <c r="K297" s="127"/>
      <c r="L297" s="128"/>
      <c r="M297" s="129"/>
      <c r="N297" s="95"/>
      <c r="O297" s="95"/>
      <c r="P297" s="130"/>
    </row>
    <row r="298" spans="2:16" s="89" customFormat="1" ht="12.75">
      <c r="B298" s="125"/>
      <c r="C298" s="126"/>
      <c r="D298" s="126"/>
      <c r="E298" s="126"/>
      <c r="F298" s="126"/>
      <c r="G298" s="126"/>
      <c r="H298" s="126"/>
      <c r="I298" s="126"/>
      <c r="J298" s="126"/>
      <c r="K298" s="127"/>
      <c r="L298" s="128"/>
      <c r="M298" s="129"/>
      <c r="N298" s="95"/>
      <c r="O298" s="95"/>
      <c r="P298" s="130"/>
    </row>
    <row r="299" spans="2:16" s="89" customFormat="1" ht="12.75">
      <c r="B299" s="125"/>
      <c r="C299" s="126"/>
      <c r="D299" s="126"/>
      <c r="E299" s="126"/>
      <c r="F299" s="126"/>
      <c r="G299" s="126"/>
      <c r="H299" s="126"/>
      <c r="I299" s="126"/>
      <c r="J299" s="126"/>
      <c r="K299" s="127"/>
      <c r="L299" s="128"/>
      <c r="M299" s="129"/>
      <c r="N299" s="95"/>
      <c r="O299" s="95"/>
      <c r="P299" s="130"/>
    </row>
    <row r="300" spans="2:16" s="89" customFormat="1" ht="12.75">
      <c r="B300" s="125"/>
      <c r="C300" s="126"/>
      <c r="D300" s="126"/>
      <c r="E300" s="126"/>
      <c r="F300" s="126"/>
      <c r="G300" s="126"/>
      <c r="H300" s="126"/>
      <c r="I300" s="126"/>
      <c r="J300" s="126"/>
      <c r="K300" s="127"/>
      <c r="L300" s="128"/>
      <c r="M300" s="129"/>
      <c r="N300" s="95"/>
      <c r="O300" s="95"/>
      <c r="P300" s="130"/>
    </row>
    <row r="301" spans="2:16" s="89" customFormat="1" ht="12.75">
      <c r="B301" s="125"/>
      <c r="C301" s="126"/>
      <c r="D301" s="126"/>
      <c r="E301" s="126"/>
      <c r="F301" s="126"/>
      <c r="G301" s="126"/>
      <c r="H301" s="126"/>
      <c r="I301" s="126"/>
      <c r="J301" s="126"/>
      <c r="K301" s="127"/>
      <c r="L301" s="128"/>
      <c r="M301" s="129"/>
      <c r="N301" s="95"/>
      <c r="O301" s="95"/>
      <c r="P301" s="130"/>
    </row>
    <row r="302" spans="2:16" s="89" customFormat="1" ht="12.75">
      <c r="B302" s="125"/>
      <c r="C302" s="126"/>
      <c r="D302" s="126"/>
      <c r="E302" s="126"/>
      <c r="F302" s="126"/>
      <c r="G302" s="126"/>
      <c r="H302" s="126"/>
      <c r="I302" s="126"/>
      <c r="J302" s="126"/>
      <c r="K302" s="127"/>
      <c r="L302" s="128"/>
      <c r="M302" s="129"/>
      <c r="N302" s="95"/>
      <c r="O302" s="95"/>
      <c r="P302" s="130"/>
    </row>
    <row r="303" spans="2:16" s="89" customFormat="1" ht="12.75">
      <c r="B303" s="125"/>
      <c r="C303" s="126"/>
      <c r="D303" s="126"/>
      <c r="E303" s="126"/>
      <c r="F303" s="126"/>
      <c r="G303" s="126"/>
      <c r="H303" s="126"/>
      <c r="I303" s="126"/>
      <c r="J303" s="126"/>
      <c r="K303" s="127"/>
      <c r="L303" s="128"/>
      <c r="M303" s="129"/>
      <c r="N303" s="95"/>
      <c r="O303" s="95"/>
      <c r="P303" s="130"/>
    </row>
    <row r="304" spans="2:16" s="89" customFormat="1" ht="12.75">
      <c r="B304" s="125"/>
      <c r="C304" s="126"/>
      <c r="D304" s="126"/>
      <c r="E304" s="126"/>
      <c r="F304" s="126"/>
      <c r="G304" s="126"/>
      <c r="H304" s="126"/>
      <c r="I304" s="126"/>
      <c r="J304" s="126"/>
      <c r="K304" s="127"/>
      <c r="L304" s="128"/>
      <c r="M304" s="129"/>
      <c r="N304" s="95"/>
      <c r="O304" s="95"/>
      <c r="P304" s="130"/>
    </row>
    <row r="305" spans="2:16" s="89" customFormat="1" ht="12.75">
      <c r="B305" s="125"/>
      <c r="C305" s="126"/>
      <c r="D305" s="126"/>
      <c r="E305" s="126"/>
      <c r="F305" s="126"/>
      <c r="G305" s="126"/>
      <c r="H305" s="126"/>
      <c r="I305" s="126"/>
      <c r="J305" s="126"/>
      <c r="K305" s="127"/>
      <c r="L305" s="128"/>
      <c r="M305" s="129"/>
      <c r="N305" s="95"/>
      <c r="O305" s="95"/>
      <c r="P305" s="130"/>
    </row>
    <row r="306" spans="2:16" s="89" customFormat="1" ht="12.75">
      <c r="B306" s="125"/>
      <c r="C306" s="126"/>
      <c r="D306" s="126"/>
      <c r="E306" s="126"/>
      <c r="F306" s="126"/>
      <c r="G306" s="126"/>
      <c r="H306" s="126"/>
      <c r="I306" s="126"/>
      <c r="J306" s="126"/>
      <c r="K306" s="127"/>
      <c r="L306" s="128"/>
      <c r="M306" s="129"/>
      <c r="N306" s="95"/>
      <c r="O306" s="95"/>
      <c r="P306" s="130"/>
    </row>
    <row r="307" spans="2:16" s="89" customFormat="1" ht="12.75">
      <c r="B307" s="125"/>
      <c r="C307" s="126"/>
      <c r="D307" s="126"/>
      <c r="E307" s="126"/>
      <c r="F307" s="126"/>
      <c r="G307" s="126"/>
      <c r="H307" s="126"/>
      <c r="I307" s="126"/>
      <c r="J307" s="126"/>
      <c r="K307" s="127"/>
      <c r="L307" s="128"/>
      <c r="M307" s="129"/>
      <c r="N307" s="95"/>
      <c r="O307" s="95"/>
      <c r="P307" s="130"/>
    </row>
    <row r="308" spans="2:16" s="89" customFormat="1" ht="12.75">
      <c r="B308" s="125"/>
      <c r="C308" s="126"/>
      <c r="D308" s="126"/>
      <c r="E308" s="126"/>
      <c r="F308" s="126"/>
      <c r="G308" s="126"/>
      <c r="H308" s="126"/>
      <c r="I308" s="126"/>
      <c r="J308" s="126"/>
      <c r="K308" s="127"/>
      <c r="L308" s="128"/>
      <c r="M308" s="129"/>
      <c r="N308" s="95"/>
      <c r="O308" s="95"/>
      <c r="P308" s="130"/>
    </row>
    <row r="309" spans="2:16" s="89" customFormat="1" ht="12.75">
      <c r="B309" s="125"/>
      <c r="C309" s="126"/>
      <c r="D309" s="126"/>
      <c r="E309" s="126"/>
      <c r="F309" s="126"/>
      <c r="G309" s="126"/>
      <c r="H309" s="126"/>
      <c r="I309" s="126"/>
      <c r="J309" s="126"/>
      <c r="K309" s="127"/>
      <c r="L309" s="128"/>
      <c r="M309" s="129"/>
      <c r="N309" s="95"/>
      <c r="O309" s="95"/>
      <c r="P309" s="130"/>
    </row>
    <row r="310" spans="2:16" s="89" customFormat="1" ht="12.75">
      <c r="B310" s="125"/>
      <c r="C310" s="126"/>
      <c r="D310" s="126"/>
      <c r="E310" s="126"/>
      <c r="F310" s="126"/>
      <c r="G310" s="126"/>
      <c r="H310" s="126"/>
      <c r="I310" s="126"/>
      <c r="J310" s="126"/>
      <c r="K310" s="127"/>
      <c r="L310" s="128"/>
      <c r="M310" s="129"/>
      <c r="N310" s="95"/>
      <c r="O310" s="95"/>
      <c r="P310" s="130"/>
    </row>
    <row r="311" spans="2:16" s="89" customFormat="1" ht="12.75">
      <c r="B311" s="125"/>
      <c r="C311" s="126"/>
      <c r="D311" s="126"/>
      <c r="E311" s="126"/>
      <c r="F311" s="126"/>
      <c r="G311" s="126"/>
      <c r="H311" s="126"/>
      <c r="I311" s="126"/>
      <c r="J311" s="126"/>
      <c r="K311" s="127"/>
      <c r="L311" s="128"/>
      <c r="M311" s="129"/>
      <c r="N311" s="95"/>
      <c r="O311" s="95"/>
      <c r="P311" s="130"/>
    </row>
    <row r="312" spans="2:16" s="89" customFormat="1" ht="12.75">
      <c r="B312" s="125"/>
      <c r="C312" s="126"/>
      <c r="D312" s="126"/>
      <c r="E312" s="126"/>
      <c r="F312" s="126"/>
      <c r="G312" s="126"/>
      <c r="H312" s="126"/>
      <c r="I312" s="126"/>
      <c r="J312" s="126"/>
      <c r="K312" s="127"/>
      <c r="L312" s="128"/>
      <c r="M312" s="129"/>
      <c r="N312" s="95"/>
      <c r="O312" s="95"/>
      <c r="P312" s="130"/>
    </row>
    <row r="313" spans="2:16" s="89" customFormat="1" ht="12.75">
      <c r="B313" s="125"/>
      <c r="C313" s="126"/>
      <c r="D313" s="126"/>
      <c r="E313" s="126"/>
      <c r="F313" s="126"/>
      <c r="G313" s="126"/>
      <c r="H313" s="126"/>
      <c r="I313" s="126"/>
      <c r="J313" s="126"/>
      <c r="K313" s="127"/>
      <c r="L313" s="128"/>
      <c r="M313" s="129"/>
      <c r="N313" s="95"/>
      <c r="O313" s="95"/>
      <c r="P313" s="130"/>
    </row>
    <row r="314" spans="2:16" s="89" customFormat="1" ht="12.75">
      <c r="B314" s="125"/>
      <c r="C314" s="126"/>
      <c r="D314" s="126"/>
      <c r="E314" s="126"/>
      <c r="F314" s="126"/>
      <c r="G314" s="126"/>
      <c r="H314" s="126"/>
      <c r="I314" s="126"/>
      <c r="J314" s="126"/>
      <c r="K314" s="127"/>
      <c r="L314" s="128"/>
      <c r="M314" s="129"/>
      <c r="N314" s="95"/>
      <c r="O314" s="95"/>
      <c r="P314" s="130"/>
    </row>
    <row r="315" spans="2:16" s="89" customFormat="1" ht="12.75">
      <c r="B315" s="125"/>
      <c r="C315" s="126"/>
      <c r="D315" s="126"/>
      <c r="E315" s="126"/>
      <c r="F315" s="126"/>
      <c r="G315" s="126"/>
      <c r="H315" s="126"/>
      <c r="I315" s="126"/>
      <c r="J315" s="126"/>
      <c r="K315" s="127"/>
      <c r="L315" s="128"/>
      <c r="M315" s="129"/>
      <c r="N315" s="95"/>
      <c r="O315" s="95"/>
      <c r="P315" s="130"/>
    </row>
    <row r="316" spans="2:16" s="89" customFormat="1" ht="12.75">
      <c r="B316" s="125"/>
      <c r="C316" s="126"/>
      <c r="D316" s="126"/>
      <c r="E316" s="126"/>
      <c r="F316" s="126"/>
      <c r="G316" s="126"/>
      <c r="H316" s="126"/>
      <c r="I316" s="126"/>
      <c r="J316" s="126"/>
      <c r="K316" s="127"/>
      <c r="L316" s="128"/>
      <c r="M316" s="129"/>
      <c r="N316" s="95"/>
      <c r="O316" s="95"/>
      <c r="P316" s="130"/>
    </row>
    <row r="317" spans="2:16" s="89" customFormat="1" ht="12.75">
      <c r="B317" s="125"/>
      <c r="C317" s="126"/>
      <c r="D317" s="126"/>
      <c r="E317" s="126"/>
      <c r="F317" s="126"/>
      <c r="G317" s="126"/>
      <c r="H317" s="126"/>
      <c r="I317" s="126"/>
      <c r="J317" s="126"/>
      <c r="K317" s="127"/>
      <c r="L317" s="128"/>
      <c r="M317" s="129"/>
      <c r="N317" s="95"/>
      <c r="O317" s="95"/>
      <c r="P317" s="130"/>
    </row>
    <row r="318" spans="2:16" s="89" customFormat="1" ht="12.75">
      <c r="B318" s="125"/>
      <c r="C318" s="126"/>
      <c r="D318" s="126"/>
      <c r="E318" s="126"/>
      <c r="F318" s="126"/>
      <c r="G318" s="126"/>
      <c r="H318" s="126"/>
      <c r="I318" s="126"/>
      <c r="J318" s="126"/>
      <c r="K318" s="127"/>
      <c r="L318" s="128"/>
      <c r="M318" s="129"/>
      <c r="N318" s="95"/>
      <c r="O318" s="95"/>
      <c r="P318" s="130"/>
    </row>
    <row r="319" spans="2:16" s="89" customFormat="1" ht="12.75">
      <c r="B319" s="125"/>
      <c r="C319" s="126"/>
      <c r="D319" s="126"/>
      <c r="E319" s="126"/>
      <c r="F319" s="126"/>
      <c r="G319" s="126"/>
      <c r="H319" s="126"/>
      <c r="I319" s="126"/>
      <c r="J319" s="126"/>
      <c r="K319" s="127"/>
      <c r="L319" s="128"/>
      <c r="M319" s="129"/>
      <c r="N319" s="95"/>
      <c r="O319" s="95"/>
      <c r="P319" s="130"/>
    </row>
    <row r="320" spans="2:16" s="89" customFormat="1" ht="12.75">
      <c r="B320" s="125"/>
      <c r="C320" s="126"/>
      <c r="D320" s="126"/>
      <c r="E320" s="126"/>
      <c r="F320" s="126"/>
      <c r="G320" s="126"/>
      <c r="H320" s="126"/>
      <c r="I320" s="126"/>
      <c r="J320" s="126"/>
      <c r="K320" s="127"/>
      <c r="L320" s="128"/>
      <c r="M320" s="129"/>
      <c r="N320" s="95"/>
      <c r="O320" s="95"/>
      <c r="P320" s="130"/>
    </row>
    <row r="321" spans="2:16" s="89" customFormat="1" ht="12.75">
      <c r="B321" s="125"/>
      <c r="C321" s="126"/>
      <c r="D321" s="126"/>
      <c r="E321" s="126"/>
      <c r="F321" s="126"/>
      <c r="G321" s="126"/>
      <c r="H321" s="126"/>
      <c r="I321" s="126"/>
      <c r="J321" s="126"/>
      <c r="K321" s="127"/>
      <c r="L321" s="128"/>
      <c r="M321" s="129"/>
      <c r="N321" s="95"/>
      <c r="O321" s="95"/>
      <c r="P321" s="130"/>
    </row>
    <row r="322" spans="2:16" s="89" customFormat="1" ht="12.75">
      <c r="B322" s="125"/>
      <c r="C322" s="126"/>
      <c r="D322" s="126"/>
      <c r="E322" s="126"/>
      <c r="F322" s="126"/>
      <c r="G322" s="126"/>
      <c r="H322" s="126"/>
      <c r="I322" s="126"/>
      <c r="J322" s="126"/>
      <c r="K322" s="127"/>
      <c r="L322" s="128"/>
      <c r="M322" s="129"/>
      <c r="N322" s="95"/>
      <c r="O322" s="95"/>
      <c r="P322" s="130"/>
    </row>
    <row r="323" spans="2:16" s="89" customFormat="1" ht="12.75">
      <c r="B323" s="125"/>
      <c r="C323" s="126"/>
      <c r="D323" s="126"/>
      <c r="E323" s="126"/>
      <c r="F323" s="126"/>
      <c r="G323" s="126"/>
      <c r="H323" s="126"/>
      <c r="I323" s="126"/>
      <c r="J323" s="126"/>
      <c r="K323" s="127"/>
      <c r="L323" s="128"/>
      <c r="M323" s="129"/>
      <c r="N323" s="95"/>
      <c r="O323" s="95"/>
      <c r="P323" s="130"/>
    </row>
    <row r="324" spans="2:16" s="89" customFormat="1" ht="12.75">
      <c r="B324" s="125"/>
      <c r="C324" s="126"/>
      <c r="D324" s="126"/>
      <c r="E324" s="126"/>
      <c r="F324" s="126"/>
      <c r="G324" s="126"/>
      <c r="H324" s="126"/>
      <c r="I324" s="126"/>
      <c r="J324" s="126"/>
      <c r="K324" s="127"/>
      <c r="L324" s="128"/>
      <c r="M324" s="129"/>
      <c r="N324" s="95"/>
      <c r="O324" s="95"/>
      <c r="P324" s="130"/>
    </row>
    <row r="325" spans="2:16" s="89" customFormat="1" ht="12.75">
      <c r="B325" s="125"/>
      <c r="C325" s="126"/>
      <c r="D325" s="126"/>
      <c r="E325" s="126"/>
      <c r="F325" s="126"/>
      <c r="G325" s="126"/>
      <c r="H325" s="126"/>
      <c r="I325" s="126"/>
      <c r="J325" s="126"/>
      <c r="K325" s="127"/>
      <c r="L325" s="128"/>
      <c r="M325" s="129"/>
      <c r="N325" s="95"/>
      <c r="O325" s="95"/>
      <c r="P325" s="130"/>
    </row>
    <row r="326" spans="2:16" s="89" customFormat="1" ht="12.75">
      <c r="B326" s="125"/>
      <c r="C326" s="126"/>
      <c r="D326" s="126"/>
      <c r="E326" s="126"/>
      <c r="F326" s="126"/>
      <c r="G326" s="126"/>
      <c r="H326" s="126"/>
      <c r="I326" s="126"/>
      <c r="J326" s="126"/>
      <c r="K326" s="127"/>
      <c r="L326" s="128"/>
      <c r="M326" s="129"/>
      <c r="N326" s="95"/>
      <c r="O326" s="95"/>
      <c r="P326" s="130"/>
    </row>
    <row r="327" spans="2:16" s="89" customFormat="1" ht="12.75">
      <c r="B327" s="125"/>
      <c r="C327" s="126"/>
      <c r="D327" s="126"/>
      <c r="E327" s="126"/>
      <c r="F327" s="126"/>
      <c r="G327" s="126"/>
      <c r="H327" s="126"/>
      <c r="I327" s="126"/>
      <c r="J327" s="126"/>
      <c r="K327" s="127"/>
      <c r="L327" s="128"/>
      <c r="M327" s="129"/>
      <c r="N327" s="95"/>
      <c r="O327" s="95"/>
      <c r="P327" s="130"/>
    </row>
    <row r="328" spans="2:16" s="89" customFormat="1" ht="12.75">
      <c r="B328" s="125"/>
      <c r="C328" s="126"/>
      <c r="D328" s="126"/>
      <c r="E328" s="126"/>
      <c r="F328" s="126"/>
      <c r="G328" s="126"/>
      <c r="H328" s="126"/>
      <c r="I328" s="126"/>
      <c r="J328" s="126"/>
      <c r="K328" s="127"/>
      <c r="L328" s="128"/>
      <c r="M328" s="129"/>
      <c r="N328" s="95"/>
      <c r="O328" s="95"/>
      <c r="P328" s="130"/>
    </row>
    <row r="329" spans="2:16" s="89" customFormat="1" ht="12.75">
      <c r="B329" s="125"/>
      <c r="C329" s="126"/>
      <c r="D329" s="126"/>
      <c r="E329" s="126"/>
      <c r="F329" s="126"/>
      <c r="G329" s="126"/>
      <c r="H329" s="126"/>
      <c r="I329" s="126"/>
      <c r="J329" s="126"/>
      <c r="K329" s="127"/>
      <c r="L329" s="128"/>
      <c r="M329" s="129"/>
      <c r="N329" s="95"/>
      <c r="O329" s="95"/>
      <c r="P329" s="130"/>
    </row>
    <row r="330" spans="2:16" s="89" customFormat="1" ht="12.75">
      <c r="B330" s="125"/>
      <c r="C330" s="126"/>
      <c r="D330" s="126"/>
      <c r="E330" s="126"/>
      <c r="F330" s="126"/>
      <c r="G330" s="126"/>
      <c r="H330" s="126"/>
      <c r="I330" s="126"/>
      <c r="J330" s="126"/>
      <c r="K330" s="127"/>
      <c r="L330" s="128"/>
      <c r="M330" s="129"/>
      <c r="N330" s="95"/>
      <c r="O330" s="95"/>
      <c r="P330" s="130"/>
    </row>
    <row r="331" spans="2:16" s="89" customFormat="1" ht="12.75">
      <c r="B331" s="125"/>
      <c r="C331" s="126"/>
      <c r="D331" s="126"/>
      <c r="E331" s="126"/>
      <c r="F331" s="126"/>
      <c r="G331" s="126"/>
      <c r="H331" s="126"/>
      <c r="I331" s="126"/>
      <c r="J331" s="126"/>
      <c r="K331" s="127"/>
      <c r="L331" s="128"/>
      <c r="M331" s="129"/>
      <c r="N331" s="95"/>
      <c r="O331" s="95"/>
      <c r="P331" s="130"/>
    </row>
    <row r="332" spans="2:16" s="89" customFormat="1" ht="12.75">
      <c r="B332" s="125"/>
      <c r="C332" s="126"/>
      <c r="D332" s="126"/>
      <c r="E332" s="126"/>
      <c r="F332" s="126"/>
      <c r="G332" s="126"/>
      <c r="H332" s="126"/>
      <c r="I332" s="126"/>
      <c r="J332" s="126"/>
      <c r="K332" s="127"/>
      <c r="L332" s="128"/>
      <c r="M332" s="129"/>
      <c r="N332" s="95"/>
      <c r="O332" s="95"/>
      <c r="P332" s="130"/>
    </row>
    <row r="333" spans="2:16" s="89" customFormat="1" ht="12.75">
      <c r="B333" s="125"/>
      <c r="C333" s="126"/>
      <c r="D333" s="126"/>
      <c r="E333" s="126"/>
      <c r="F333" s="126"/>
      <c r="G333" s="126"/>
      <c r="H333" s="126"/>
      <c r="I333" s="126"/>
      <c r="J333" s="126"/>
      <c r="K333" s="127"/>
      <c r="L333" s="128"/>
      <c r="M333" s="129"/>
      <c r="N333" s="95"/>
      <c r="O333" s="95"/>
      <c r="P333" s="130"/>
    </row>
    <row r="334" spans="2:16" s="89" customFormat="1" ht="12.75">
      <c r="B334" s="125"/>
      <c r="C334" s="126"/>
      <c r="D334" s="126"/>
      <c r="E334" s="126"/>
      <c r="F334" s="126"/>
      <c r="G334" s="126"/>
      <c r="H334" s="126"/>
      <c r="I334" s="126"/>
      <c r="J334" s="126"/>
      <c r="K334" s="127"/>
      <c r="L334" s="128"/>
      <c r="M334" s="129"/>
      <c r="N334" s="95"/>
      <c r="O334" s="95"/>
      <c r="P334" s="130"/>
    </row>
    <row r="335" spans="2:16" s="89" customFormat="1" ht="12.75">
      <c r="B335" s="125"/>
      <c r="C335" s="126"/>
      <c r="D335" s="126"/>
      <c r="E335" s="126"/>
      <c r="F335" s="126"/>
      <c r="G335" s="126"/>
      <c r="H335" s="126"/>
      <c r="I335" s="126"/>
      <c r="J335" s="126"/>
      <c r="K335" s="127"/>
      <c r="L335" s="128"/>
      <c r="M335" s="129"/>
      <c r="N335" s="95"/>
      <c r="O335" s="95"/>
      <c r="P335" s="130"/>
    </row>
    <row r="336" spans="2:16" s="89" customFormat="1" ht="12.75">
      <c r="B336" s="125"/>
      <c r="C336" s="126"/>
      <c r="D336" s="126"/>
      <c r="E336" s="126"/>
      <c r="F336" s="126"/>
      <c r="G336" s="126"/>
      <c r="H336" s="126"/>
      <c r="I336" s="126"/>
      <c r="J336" s="126"/>
      <c r="K336" s="127"/>
      <c r="L336" s="128"/>
      <c r="M336" s="129"/>
      <c r="N336" s="95"/>
      <c r="O336" s="95"/>
      <c r="P336" s="130"/>
    </row>
    <row r="337" spans="2:16" s="89" customFormat="1" ht="12.75">
      <c r="B337" s="125"/>
      <c r="C337" s="126"/>
      <c r="D337" s="126"/>
      <c r="E337" s="126"/>
      <c r="F337" s="126"/>
      <c r="G337" s="126"/>
      <c r="H337" s="126"/>
      <c r="I337" s="126"/>
      <c r="J337" s="126"/>
      <c r="K337" s="127"/>
      <c r="L337" s="128"/>
      <c r="M337" s="129"/>
      <c r="N337" s="95"/>
      <c r="O337" s="95"/>
      <c r="P337" s="130"/>
    </row>
    <row r="338" spans="2:16" s="89" customFormat="1" ht="12.75">
      <c r="B338" s="125"/>
      <c r="C338" s="126"/>
      <c r="D338" s="126"/>
      <c r="E338" s="126"/>
      <c r="F338" s="126"/>
      <c r="G338" s="126"/>
      <c r="H338" s="126"/>
      <c r="I338" s="126"/>
      <c r="J338" s="126"/>
      <c r="K338" s="127"/>
      <c r="L338" s="128"/>
      <c r="M338" s="129"/>
      <c r="N338" s="95"/>
      <c r="O338" s="95"/>
      <c r="P338" s="130"/>
    </row>
    <row r="339" spans="2:16" s="89" customFormat="1" ht="12.75">
      <c r="B339" s="125"/>
      <c r="C339" s="126"/>
      <c r="D339" s="126"/>
      <c r="E339" s="126"/>
      <c r="F339" s="126"/>
      <c r="G339" s="126"/>
      <c r="H339" s="126"/>
      <c r="I339" s="126"/>
      <c r="J339" s="126"/>
      <c r="K339" s="127"/>
      <c r="L339" s="128"/>
      <c r="M339" s="129"/>
      <c r="N339" s="95"/>
      <c r="O339" s="95"/>
      <c r="P339" s="130"/>
    </row>
    <row r="340" spans="2:16" s="89" customFormat="1" ht="12.75">
      <c r="B340" s="125"/>
      <c r="C340" s="126"/>
      <c r="D340" s="126"/>
      <c r="E340" s="126"/>
      <c r="F340" s="126"/>
      <c r="G340" s="126"/>
      <c r="H340" s="126"/>
      <c r="I340" s="126"/>
      <c r="J340" s="126"/>
      <c r="K340" s="127"/>
      <c r="L340" s="128"/>
      <c r="M340" s="129"/>
      <c r="N340" s="95"/>
      <c r="O340" s="95"/>
      <c r="P340" s="130"/>
    </row>
    <row r="341" spans="2:16" s="89" customFormat="1" ht="12.75">
      <c r="B341" s="125"/>
      <c r="C341" s="126"/>
      <c r="D341" s="126"/>
      <c r="E341" s="126"/>
      <c r="F341" s="126"/>
      <c r="G341" s="126"/>
      <c r="H341" s="126"/>
      <c r="I341" s="126"/>
      <c r="J341" s="126"/>
      <c r="K341" s="127"/>
      <c r="L341" s="128"/>
      <c r="M341" s="129"/>
      <c r="N341" s="95"/>
      <c r="O341" s="95"/>
      <c r="P341" s="130"/>
    </row>
    <row r="342" spans="2:16" s="89" customFormat="1" ht="12.75">
      <c r="B342" s="125"/>
      <c r="C342" s="126"/>
      <c r="D342" s="126"/>
      <c r="E342" s="126"/>
      <c r="F342" s="126"/>
      <c r="G342" s="126"/>
      <c r="H342" s="126"/>
      <c r="I342" s="126"/>
      <c r="J342" s="126"/>
      <c r="K342" s="127"/>
      <c r="L342" s="128"/>
      <c r="M342" s="129"/>
      <c r="N342" s="95"/>
      <c r="O342" s="95"/>
      <c r="P342" s="130"/>
    </row>
    <row r="343" spans="2:16" s="89" customFormat="1" ht="12.75">
      <c r="B343" s="125"/>
      <c r="C343" s="126"/>
      <c r="D343" s="126"/>
      <c r="E343" s="126"/>
      <c r="F343" s="126"/>
      <c r="G343" s="126"/>
      <c r="H343" s="126"/>
      <c r="I343" s="126"/>
      <c r="J343" s="126"/>
      <c r="K343" s="127"/>
      <c r="L343" s="128"/>
      <c r="M343" s="129"/>
      <c r="N343" s="95"/>
      <c r="O343" s="95"/>
      <c r="P343" s="130"/>
    </row>
    <row r="344" spans="2:16" s="89" customFormat="1" ht="12.75">
      <c r="B344" s="125"/>
      <c r="C344" s="126"/>
      <c r="D344" s="126"/>
      <c r="E344" s="126"/>
      <c r="F344" s="126"/>
      <c r="G344" s="126"/>
      <c r="H344" s="126"/>
      <c r="I344" s="126"/>
      <c r="J344" s="126"/>
      <c r="K344" s="127"/>
      <c r="L344" s="128"/>
      <c r="M344" s="129"/>
      <c r="N344" s="95"/>
      <c r="O344" s="95"/>
      <c r="P344" s="130"/>
    </row>
    <row r="345" spans="2:16" s="89" customFormat="1" ht="12.75">
      <c r="B345" s="125"/>
      <c r="C345" s="126"/>
      <c r="D345" s="126"/>
      <c r="E345" s="126"/>
      <c r="F345" s="126"/>
      <c r="G345" s="126"/>
      <c r="H345" s="126"/>
      <c r="I345" s="126"/>
      <c r="J345" s="126"/>
      <c r="K345" s="127"/>
      <c r="L345" s="128"/>
      <c r="M345" s="129"/>
      <c r="N345" s="95"/>
      <c r="O345" s="95"/>
      <c r="P345" s="130"/>
    </row>
    <row r="346" spans="2:16" s="89" customFormat="1" ht="12.75">
      <c r="B346" s="125"/>
      <c r="C346" s="126"/>
      <c r="D346" s="126"/>
      <c r="E346" s="126"/>
      <c r="F346" s="126"/>
      <c r="G346" s="126"/>
      <c r="H346" s="126"/>
      <c r="I346" s="126"/>
      <c r="J346" s="126"/>
      <c r="K346" s="127"/>
      <c r="L346" s="128"/>
      <c r="M346" s="129"/>
      <c r="N346" s="95"/>
      <c r="O346" s="95"/>
      <c r="P346" s="130"/>
    </row>
    <row r="347" spans="2:16" s="89" customFormat="1" ht="12.75">
      <c r="B347" s="125"/>
      <c r="C347" s="126"/>
      <c r="D347" s="126"/>
      <c r="E347" s="126"/>
      <c r="F347" s="126"/>
      <c r="G347" s="126"/>
      <c r="H347" s="126"/>
      <c r="I347" s="126"/>
      <c r="J347" s="126"/>
      <c r="K347" s="127"/>
      <c r="L347" s="128"/>
      <c r="M347" s="129"/>
      <c r="N347" s="95"/>
      <c r="O347" s="95"/>
      <c r="P347" s="130"/>
    </row>
    <row r="348" spans="2:16" s="89" customFormat="1" ht="12.75">
      <c r="B348" s="125"/>
      <c r="C348" s="126"/>
      <c r="D348" s="126"/>
      <c r="E348" s="126"/>
      <c r="F348" s="126"/>
      <c r="G348" s="126"/>
      <c r="H348" s="126"/>
      <c r="I348" s="126"/>
      <c r="J348" s="126"/>
      <c r="K348" s="127"/>
      <c r="L348" s="128"/>
      <c r="M348" s="129"/>
      <c r="N348" s="95"/>
      <c r="O348" s="95"/>
      <c r="P348" s="130"/>
    </row>
    <row r="349" spans="2:16" s="89" customFormat="1" ht="12.75">
      <c r="B349" s="125"/>
      <c r="C349" s="126"/>
      <c r="D349" s="126"/>
      <c r="E349" s="126"/>
      <c r="F349" s="126"/>
      <c r="G349" s="126"/>
      <c r="H349" s="126"/>
      <c r="I349" s="126"/>
      <c r="J349" s="126"/>
      <c r="K349" s="127"/>
      <c r="L349" s="128"/>
      <c r="M349" s="129"/>
      <c r="N349" s="95"/>
      <c r="O349" s="95"/>
      <c r="P349" s="130"/>
    </row>
    <row r="350" spans="2:16" s="89" customFormat="1" ht="12.75">
      <c r="B350" s="125"/>
      <c r="C350" s="126"/>
      <c r="D350" s="126"/>
      <c r="E350" s="126"/>
      <c r="F350" s="126"/>
      <c r="G350" s="126"/>
      <c r="H350" s="126"/>
      <c r="I350" s="126"/>
      <c r="J350" s="126"/>
      <c r="K350" s="127"/>
      <c r="L350" s="128"/>
      <c r="M350" s="129"/>
      <c r="N350" s="95"/>
      <c r="O350" s="95"/>
      <c r="P350" s="130"/>
    </row>
    <row r="351" spans="2:16" s="89" customFormat="1" ht="12.75">
      <c r="B351" s="125"/>
      <c r="C351" s="126"/>
      <c r="D351" s="126"/>
      <c r="E351" s="126"/>
      <c r="F351" s="126"/>
      <c r="G351" s="126"/>
      <c r="H351" s="126"/>
      <c r="I351" s="126"/>
      <c r="J351" s="126"/>
      <c r="K351" s="127"/>
      <c r="L351" s="128"/>
      <c r="M351" s="129"/>
      <c r="N351" s="95"/>
      <c r="O351" s="95"/>
      <c r="P351" s="130"/>
    </row>
    <row r="352" spans="2:16" s="89" customFormat="1" ht="12.75">
      <c r="B352" s="125"/>
      <c r="C352" s="126"/>
      <c r="D352" s="126"/>
      <c r="E352" s="126"/>
      <c r="F352" s="126"/>
      <c r="G352" s="126"/>
      <c r="H352" s="126"/>
      <c r="I352" s="126"/>
      <c r="J352" s="126"/>
      <c r="K352" s="127"/>
      <c r="L352" s="128"/>
      <c r="M352" s="129"/>
      <c r="N352" s="95"/>
      <c r="O352" s="95"/>
      <c r="P352" s="130"/>
    </row>
    <row r="353" spans="2:16" s="89" customFormat="1" ht="12.75">
      <c r="B353" s="125"/>
      <c r="C353" s="126"/>
      <c r="D353" s="126"/>
      <c r="E353" s="126"/>
      <c r="F353" s="126"/>
      <c r="G353" s="126"/>
      <c r="H353" s="126"/>
      <c r="I353" s="126"/>
      <c r="J353" s="126"/>
      <c r="K353" s="127"/>
      <c r="L353" s="128"/>
      <c r="M353" s="129"/>
      <c r="N353" s="95"/>
      <c r="O353" s="95"/>
      <c r="P353" s="130"/>
    </row>
    <row r="354" spans="2:16" s="89" customFormat="1" ht="12.75">
      <c r="B354" s="125"/>
      <c r="C354" s="126"/>
      <c r="D354" s="126"/>
      <c r="E354" s="126"/>
      <c r="F354" s="126"/>
      <c r="G354" s="126"/>
      <c r="H354" s="126"/>
      <c r="I354" s="126"/>
      <c r="J354" s="126"/>
      <c r="K354" s="127"/>
      <c r="L354" s="128"/>
      <c r="M354" s="129"/>
      <c r="N354" s="95"/>
      <c r="O354" s="95"/>
      <c r="P354" s="130"/>
    </row>
    <row r="355" spans="2:16" s="89" customFormat="1" ht="12.75">
      <c r="B355" s="125"/>
      <c r="C355" s="126"/>
      <c r="D355" s="126"/>
      <c r="E355" s="126"/>
      <c r="F355" s="126"/>
      <c r="G355" s="126"/>
      <c r="H355" s="126"/>
      <c r="I355" s="126"/>
      <c r="J355" s="126"/>
      <c r="K355" s="127"/>
      <c r="L355" s="128"/>
      <c r="M355" s="129"/>
      <c r="N355" s="95"/>
      <c r="O355" s="95"/>
      <c r="P355" s="130"/>
    </row>
    <row r="356" spans="2:16" s="89" customFormat="1" ht="12.75">
      <c r="B356" s="125"/>
      <c r="C356" s="126"/>
      <c r="D356" s="126"/>
      <c r="E356" s="126"/>
      <c r="F356" s="126"/>
      <c r="G356" s="126"/>
      <c r="H356" s="126"/>
      <c r="I356" s="126"/>
      <c r="J356" s="126"/>
      <c r="K356" s="127"/>
      <c r="L356" s="128"/>
      <c r="M356" s="129"/>
      <c r="N356" s="95"/>
      <c r="O356" s="95"/>
      <c r="P356" s="130"/>
    </row>
    <row r="357" spans="2:16" s="89" customFormat="1" ht="12.75">
      <c r="B357" s="125"/>
      <c r="C357" s="126"/>
      <c r="D357" s="126"/>
      <c r="E357" s="126"/>
      <c r="F357" s="126"/>
      <c r="G357" s="126"/>
      <c r="H357" s="126"/>
      <c r="I357" s="126"/>
      <c r="J357" s="126"/>
      <c r="K357" s="127"/>
      <c r="L357" s="128"/>
      <c r="M357" s="129"/>
      <c r="N357" s="95"/>
      <c r="O357" s="95"/>
      <c r="P357" s="130"/>
    </row>
    <row r="358" spans="2:16" s="89" customFormat="1" ht="12.75">
      <c r="B358" s="125"/>
      <c r="C358" s="126"/>
      <c r="D358" s="126"/>
      <c r="E358" s="126"/>
      <c r="F358" s="126"/>
      <c r="G358" s="126"/>
      <c r="H358" s="126"/>
      <c r="I358" s="126"/>
      <c r="J358" s="126"/>
      <c r="K358" s="127"/>
      <c r="L358" s="128"/>
      <c r="M358" s="129"/>
      <c r="N358" s="95"/>
      <c r="O358" s="95"/>
      <c r="P358" s="130"/>
    </row>
    <row r="359" spans="2:16" s="89" customFormat="1" ht="12.75">
      <c r="B359" s="125"/>
      <c r="C359" s="126"/>
      <c r="D359" s="126"/>
      <c r="E359" s="126"/>
      <c r="F359" s="126"/>
      <c r="G359" s="126"/>
      <c r="H359" s="126"/>
      <c r="I359" s="126"/>
      <c r="J359" s="126"/>
      <c r="K359" s="127"/>
      <c r="L359" s="128"/>
      <c r="M359" s="129"/>
      <c r="N359" s="95"/>
      <c r="O359" s="95"/>
      <c r="P359" s="130"/>
    </row>
    <row r="360" spans="2:16" s="89" customFormat="1" ht="12.75">
      <c r="B360" s="125"/>
      <c r="C360" s="126"/>
      <c r="D360" s="126"/>
      <c r="E360" s="126"/>
      <c r="F360" s="126"/>
      <c r="G360" s="126"/>
      <c r="H360" s="126"/>
      <c r="I360" s="126"/>
      <c r="J360" s="126"/>
      <c r="K360" s="127"/>
      <c r="L360" s="128"/>
      <c r="M360" s="129"/>
      <c r="N360" s="95"/>
      <c r="O360" s="95"/>
      <c r="P360" s="130"/>
    </row>
    <row r="361" spans="2:16" s="89" customFormat="1" ht="12.75">
      <c r="B361" s="125"/>
      <c r="C361" s="126"/>
      <c r="D361" s="126"/>
      <c r="E361" s="126"/>
      <c r="F361" s="126"/>
      <c r="G361" s="126"/>
      <c r="H361" s="126"/>
      <c r="I361" s="126"/>
      <c r="J361" s="126"/>
      <c r="K361" s="127"/>
      <c r="L361" s="128"/>
      <c r="M361" s="129"/>
      <c r="N361" s="95"/>
      <c r="O361" s="95"/>
      <c r="P361" s="130"/>
    </row>
    <row r="362" spans="2:16" s="89" customFormat="1" ht="12.75">
      <c r="B362" s="125"/>
      <c r="C362" s="126"/>
      <c r="D362" s="126"/>
      <c r="E362" s="126"/>
      <c r="F362" s="126"/>
      <c r="G362" s="126"/>
      <c r="H362" s="126"/>
      <c r="I362" s="126"/>
      <c r="J362" s="126"/>
      <c r="K362" s="127"/>
      <c r="L362" s="128"/>
      <c r="M362" s="129"/>
      <c r="N362" s="95"/>
      <c r="O362" s="95"/>
      <c r="P362" s="130"/>
    </row>
    <row r="363" spans="2:16" s="89" customFormat="1" ht="12.75">
      <c r="B363" s="125"/>
      <c r="C363" s="126"/>
      <c r="D363" s="126"/>
      <c r="E363" s="126"/>
      <c r="F363" s="126"/>
      <c r="G363" s="126"/>
      <c r="H363" s="126"/>
      <c r="I363" s="126"/>
      <c r="J363" s="126"/>
      <c r="K363" s="127"/>
      <c r="L363" s="128"/>
      <c r="M363" s="129"/>
      <c r="N363" s="95"/>
      <c r="O363" s="95"/>
      <c r="P363" s="130"/>
    </row>
    <row r="364" spans="2:16" s="89" customFormat="1" ht="12.75">
      <c r="B364" s="125"/>
      <c r="C364" s="126"/>
      <c r="D364" s="126"/>
      <c r="E364" s="126"/>
      <c r="F364" s="126"/>
      <c r="G364" s="126"/>
      <c r="H364" s="126"/>
      <c r="I364" s="126"/>
      <c r="J364" s="126"/>
      <c r="K364" s="127"/>
      <c r="L364" s="128"/>
      <c r="M364" s="129"/>
      <c r="N364" s="95"/>
      <c r="O364" s="95"/>
      <c r="P364" s="130"/>
    </row>
    <row r="365" spans="2:16" s="89" customFormat="1" ht="12.75">
      <c r="B365" s="125"/>
      <c r="C365" s="126"/>
      <c r="D365" s="126"/>
      <c r="E365" s="126"/>
      <c r="F365" s="126"/>
      <c r="G365" s="126"/>
      <c r="H365" s="126"/>
      <c r="I365" s="126"/>
      <c r="J365" s="126"/>
      <c r="K365" s="127"/>
      <c r="L365" s="128"/>
      <c r="M365" s="129"/>
      <c r="N365" s="95"/>
      <c r="O365" s="95"/>
      <c r="P365" s="130"/>
    </row>
    <row r="366" spans="2:16" s="89" customFormat="1" ht="12.75">
      <c r="B366" s="125"/>
      <c r="C366" s="126"/>
      <c r="D366" s="126"/>
      <c r="E366" s="126"/>
      <c r="F366" s="126"/>
      <c r="G366" s="126"/>
      <c r="H366" s="126"/>
      <c r="I366" s="126"/>
      <c r="J366" s="126"/>
      <c r="K366" s="127"/>
      <c r="L366" s="128"/>
      <c r="M366" s="129"/>
      <c r="N366" s="95"/>
      <c r="O366" s="95"/>
      <c r="P366" s="130"/>
    </row>
    <row r="367" spans="2:16" s="89" customFormat="1" ht="12.75">
      <c r="B367" s="125"/>
      <c r="C367" s="126"/>
      <c r="D367" s="126"/>
      <c r="E367" s="126"/>
      <c r="F367" s="126"/>
      <c r="G367" s="126"/>
      <c r="H367" s="126"/>
      <c r="I367" s="126"/>
      <c r="J367" s="126"/>
      <c r="K367" s="127"/>
      <c r="L367" s="128"/>
      <c r="M367" s="129"/>
      <c r="N367" s="95"/>
      <c r="O367" s="95"/>
      <c r="P367" s="130"/>
    </row>
    <row r="368" spans="2:16" s="89" customFormat="1" ht="12.75">
      <c r="B368" s="125"/>
      <c r="C368" s="126"/>
      <c r="D368" s="126"/>
      <c r="E368" s="126"/>
      <c r="F368" s="126"/>
      <c r="G368" s="126"/>
      <c r="H368" s="126"/>
      <c r="I368" s="126"/>
      <c r="J368" s="126"/>
      <c r="K368" s="127"/>
      <c r="L368" s="128"/>
      <c r="M368" s="129"/>
      <c r="N368" s="95"/>
      <c r="O368" s="95"/>
      <c r="P368" s="130"/>
    </row>
    <row r="369" spans="2:16" s="89" customFormat="1" ht="12.75">
      <c r="B369" s="125"/>
      <c r="C369" s="126"/>
      <c r="D369" s="126"/>
      <c r="E369" s="126"/>
      <c r="F369" s="126"/>
      <c r="G369" s="126"/>
      <c r="H369" s="126"/>
      <c r="I369" s="126"/>
      <c r="J369" s="126"/>
      <c r="K369" s="127"/>
      <c r="L369" s="128"/>
      <c r="M369" s="129"/>
      <c r="N369" s="95"/>
      <c r="O369" s="95"/>
      <c r="P369" s="130"/>
    </row>
    <row r="370" spans="2:16" s="89" customFormat="1" ht="12.75">
      <c r="B370" s="125"/>
      <c r="C370" s="126"/>
      <c r="D370" s="126"/>
      <c r="E370" s="126"/>
      <c r="F370" s="126"/>
      <c r="G370" s="126"/>
      <c r="H370" s="126"/>
      <c r="I370" s="126"/>
      <c r="J370" s="126"/>
      <c r="K370" s="127"/>
      <c r="L370" s="128"/>
      <c r="M370" s="129"/>
      <c r="N370" s="95"/>
      <c r="O370" s="95"/>
      <c r="P370" s="130"/>
    </row>
    <row r="371" spans="2:16" s="89" customFormat="1" ht="12.75">
      <c r="B371" s="125"/>
      <c r="C371" s="126"/>
      <c r="D371" s="126"/>
      <c r="E371" s="126"/>
      <c r="F371" s="126"/>
      <c r="G371" s="126"/>
      <c r="H371" s="126"/>
      <c r="I371" s="126"/>
      <c r="J371" s="126"/>
      <c r="K371" s="127"/>
      <c r="L371" s="128"/>
      <c r="M371" s="129"/>
      <c r="N371" s="95"/>
      <c r="O371" s="95"/>
      <c r="P371" s="130"/>
    </row>
    <row r="372" spans="2:16" s="89" customFormat="1" ht="12.75">
      <c r="B372" s="125"/>
      <c r="C372" s="126"/>
      <c r="D372" s="126"/>
      <c r="E372" s="126"/>
      <c r="F372" s="126"/>
      <c r="G372" s="126"/>
      <c r="H372" s="126"/>
      <c r="I372" s="126"/>
      <c r="J372" s="126"/>
      <c r="K372" s="127"/>
      <c r="L372" s="128"/>
      <c r="M372" s="129"/>
      <c r="N372" s="95"/>
      <c r="O372" s="95"/>
      <c r="P372" s="130"/>
    </row>
    <row r="373" spans="2:16" s="89" customFormat="1" ht="12.75">
      <c r="B373" s="125"/>
      <c r="C373" s="126"/>
      <c r="D373" s="126"/>
      <c r="E373" s="126"/>
      <c r="F373" s="126"/>
      <c r="G373" s="126"/>
      <c r="H373" s="126"/>
      <c r="I373" s="126"/>
      <c r="J373" s="126"/>
      <c r="K373" s="127"/>
      <c r="L373" s="128"/>
      <c r="M373" s="129"/>
      <c r="N373" s="95"/>
      <c r="O373" s="95"/>
      <c r="P373" s="130"/>
    </row>
    <row r="374" spans="2:16" s="89" customFormat="1" ht="12.75">
      <c r="B374" s="125"/>
      <c r="C374" s="126"/>
      <c r="D374" s="126"/>
      <c r="E374" s="126"/>
      <c r="F374" s="126"/>
      <c r="G374" s="126"/>
      <c r="H374" s="126"/>
      <c r="I374" s="126"/>
      <c r="J374" s="126"/>
      <c r="K374" s="127"/>
      <c r="L374" s="128"/>
      <c r="M374" s="129"/>
      <c r="N374" s="95"/>
      <c r="O374" s="95"/>
      <c r="P374" s="130"/>
    </row>
    <row r="375" spans="2:16" s="89" customFormat="1" ht="12.75">
      <c r="B375" s="125"/>
      <c r="C375" s="126"/>
      <c r="D375" s="126"/>
      <c r="E375" s="126"/>
      <c r="F375" s="126"/>
      <c r="G375" s="126"/>
      <c r="H375" s="126"/>
      <c r="I375" s="126"/>
      <c r="J375" s="126"/>
      <c r="K375" s="127"/>
      <c r="L375" s="128"/>
      <c r="M375" s="129"/>
      <c r="N375" s="95"/>
      <c r="O375" s="95"/>
      <c r="P375" s="130"/>
    </row>
    <row r="376" spans="2:16" s="89" customFormat="1" ht="12.75">
      <c r="B376" s="125"/>
      <c r="C376" s="126"/>
      <c r="D376" s="126"/>
      <c r="E376" s="126"/>
      <c r="F376" s="126"/>
      <c r="G376" s="126"/>
      <c r="H376" s="126"/>
      <c r="I376" s="126"/>
      <c r="J376" s="126"/>
      <c r="K376" s="127"/>
      <c r="L376" s="128"/>
      <c r="M376" s="129"/>
      <c r="N376" s="95"/>
      <c r="O376" s="95"/>
      <c r="P376" s="130"/>
    </row>
    <row r="377" spans="2:16" s="89" customFormat="1" ht="12.75">
      <c r="B377" s="125"/>
      <c r="C377" s="126"/>
      <c r="D377" s="126"/>
      <c r="E377" s="126"/>
      <c r="F377" s="126"/>
      <c r="G377" s="126"/>
      <c r="H377" s="126"/>
      <c r="I377" s="126"/>
      <c r="J377" s="126"/>
      <c r="K377" s="127"/>
      <c r="L377" s="128"/>
      <c r="M377" s="129"/>
      <c r="N377" s="95"/>
      <c r="O377" s="95"/>
      <c r="P377" s="130"/>
    </row>
    <row r="378" spans="2:16" s="89" customFormat="1" ht="12.75">
      <c r="B378" s="125"/>
      <c r="C378" s="126"/>
      <c r="D378" s="126"/>
      <c r="E378" s="126"/>
      <c r="F378" s="126"/>
      <c r="G378" s="126"/>
      <c r="H378" s="126"/>
      <c r="I378" s="126"/>
      <c r="J378" s="126"/>
      <c r="K378" s="127"/>
      <c r="L378" s="128"/>
      <c r="M378" s="129"/>
      <c r="N378" s="95"/>
      <c r="O378" s="95"/>
      <c r="P378" s="130"/>
    </row>
    <row r="379" spans="2:16" s="89" customFormat="1" ht="12.75">
      <c r="B379" s="125"/>
      <c r="C379" s="126"/>
      <c r="D379" s="126"/>
      <c r="E379" s="126"/>
      <c r="F379" s="126"/>
      <c r="G379" s="126"/>
      <c r="H379" s="126"/>
      <c r="I379" s="126"/>
      <c r="J379" s="126"/>
      <c r="K379" s="127"/>
      <c r="L379" s="128"/>
      <c r="M379" s="129"/>
      <c r="N379" s="95"/>
      <c r="O379" s="95"/>
      <c r="P379" s="130"/>
    </row>
    <row r="380" spans="2:16" s="89" customFormat="1" ht="12.75">
      <c r="B380" s="125"/>
      <c r="C380" s="126"/>
      <c r="D380" s="126"/>
      <c r="E380" s="126"/>
      <c r="F380" s="126"/>
      <c r="G380" s="126"/>
      <c r="H380" s="126"/>
      <c r="I380" s="126"/>
      <c r="J380" s="126"/>
      <c r="K380" s="127"/>
      <c r="L380" s="128"/>
      <c r="M380" s="129"/>
      <c r="N380" s="95"/>
      <c r="O380" s="95"/>
      <c r="P380" s="130"/>
    </row>
    <row r="381" spans="2:16" s="89" customFormat="1" ht="12.75">
      <c r="B381" s="125"/>
      <c r="C381" s="126"/>
      <c r="D381" s="126"/>
      <c r="E381" s="126"/>
      <c r="F381" s="126"/>
      <c r="G381" s="126"/>
      <c r="H381" s="126"/>
      <c r="I381" s="126"/>
      <c r="J381" s="126"/>
      <c r="K381" s="127"/>
      <c r="L381" s="128"/>
      <c r="M381" s="129"/>
      <c r="N381" s="95"/>
      <c r="O381" s="95"/>
      <c r="P381" s="130"/>
    </row>
    <row r="382" spans="2:16" s="89" customFormat="1" ht="12.75">
      <c r="B382" s="125"/>
      <c r="C382" s="126"/>
      <c r="D382" s="126"/>
      <c r="E382" s="126"/>
      <c r="F382" s="126"/>
      <c r="G382" s="126"/>
      <c r="H382" s="126"/>
      <c r="I382" s="126"/>
      <c r="J382" s="126"/>
      <c r="K382" s="127"/>
      <c r="L382" s="128"/>
      <c r="M382" s="129"/>
      <c r="N382" s="95"/>
      <c r="O382" s="95"/>
      <c r="P382" s="130"/>
    </row>
    <row r="383" spans="2:16" s="89" customFormat="1" ht="12.75">
      <c r="B383" s="125"/>
      <c r="C383" s="126"/>
      <c r="D383" s="126"/>
      <c r="E383" s="126"/>
      <c r="F383" s="126"/>
      <c r="G383" s="126"/>
      <c r="H383" s="126"/>
      <c r="I383" s="126"/>
      <c r="J383" s="126"/>
      <c r="K383" s="127"/>
      <c r="L383" s="128"/>
      <c r="M383" s="129"/>
      <c r="N383" s="95"/>
      <c r="O383" s="95"/>
      <c r="P383" s="130"/>
    </row>
    <row r="384" spans="2:16" s="89" customFormat="1" ht="12.75">
      <c r="B384" s="125"/>
      <c r="C384" s="126"/>
      <c r="D384" s="126"/>
      <c r="E384" s="126"/>
      <c r="F384" s="126"/>
      <c r="G384" s="126"/>
      <c r="H384" s="126"/>
      <c r="I384" s="126"/>
      <c r="J384" s="126"/>
      <c r="K384" s="127"/>
      <c r="L384" s="128"/>
      <c r="M384" s="129"/>
      <c r="N384" s="95"/>
      <c r="O384" s="95"/>
      <c r="P384" s="130"/>
    </row>
    <row r="385" spans="2:16" s="89" customFormat="1" ht="12.75">
      <c r="B385" s="125"/>
      <c r="C385" s="126"/>
      <c r="D385" s="126"/>
      <c r="E385" s="126"/>
      <c r="F385" s="126"/>
      <c r="G385" s="126"/>
      <c r="H385" s="126"/>
      <c r="I385" s="126"/>
      <c r="J385" s="126"/>
      <c r="K385" s="127"/>
      <c r="L385" s="128"/>
      <c r="M385" s="129"/>
      <c r="N385" s="95"/>
      <c r="O385" s="95"/>
      <c r="P385" s="130"/>
    </row>
    <row r="386" spans="2:16" s="89" customFormat="1" ht="12.75">
      <c r="B386" s="125"/>
      <c r="C386" s="126"/>
      <c r="D386" s="126"/>
      <c r="E386" s="126"/>
      <c r="F386" s="126"/>
      <c r="G386" s="126"/>
      <c r="H386" s="126"/>
      <c r="I386" s="126"/>
      <c r="J386" s="126"/>
      <c r="K386" s="127"/>
      <c r="L386" s="128"/>
      <c r="M386" s="129"/>
      <c r="N386" s="95"/>
      <c r="O386" s="95"/>
      <c r="P386" s="130"/>
    </row>
    <row r="387" spans="2:16" s="89" customFormat="1" ht="12.75">
      <c r="B387" s="125"/>
      <c r="C387" s="126"/>
      <c r="D387" s="126"/>
      <c r="E387" s="126"/>
      <c r="F387" s="126"/>
      <c r="G387" s="126"/>
      <c r="H387" s="126"/>
      <c r="I387" s="126"/>
      <c r="J387" s="126"/>
      <c r="K387" s="127"/>
      <c r="L387" s="128"/>
      <c r="M387" s="129"/>
      <c r="N387" s="95"/>
      <c r="O387" s="95"/>
      <c r="P387" s="130"/>
    </row>
    <row r="388" spans="2:16" s="89" customFormat="1" ht="12.75">
      <c r="B388" s="125"/>
      <c r="C388" s="126"/>
      <c r="D388" s="126"/>
      <c r="E388" s="126"/>
      <c r="F388" s="126"/>
      <c r="G388" s="126"/>
      <c r="H388" s="126"/>
      <c r="I388" s="126"/>
      <c r="J388" s="126"/>
      <c r="K388" s="127"/>
      <c r="L388" s="128"/>
      <c r="M388" s="129"/>
      <c r="N388" s="95"/>
      <c r="O388" s="95"/>
      <c r="P388" s="130"/>
    </row>
    <row r="389" spans="2:16" s="89" customFormat="1" ht="12.75">
      <c r="B389" s="125"/>
      <c r="C389" s="126"/>
      <c r="D389" s="126"/>
      <c r="E389" s="126"/>
      <c r="F389" s="126"/>
      <c r="G389" s="126"/>
      <c r="H389" s="126"/>
      <c r="I389" s="126"/>
      <c r="J389" s="126"/>
      <c r="K389" s="127"/>
      <c r="L389" s="128"/>
      <c r="M389" s="129"/>
      <c r="N389" s="95"/>
      <c r="O389" s="95"/>
      <c r="P389" s="130"/>
    </row>
    <row r="390" spans="2:16" s="89" customFormat="1" ht="12.75">
      <c r="B390" s="125"/>
      <c r="C390" s="126"/>
      <c r="D390" s="126"/>
      <c r="E390" s="126"/>
      <c r="F390" s="126"/>
      <c r="G390" s="126"/>
      <c r="H390" s="126"/>
      <c r="I390" s="126"/>
      <c r="J390" s="126"/>
      <c r="K390" s="127"/>
      <c r="L390" s="128"/>
      <c r="M390" s="129"/>
      <c r="N390" s="95"/>
      <c r="O390" s="95"/>
      <c r="P390" s="130"/>
    </row>
    <row r="391" spans="2:16" s="89" customFormat="1" ht="12.75">
      <c r="B391" s="125"/>
      <c r="C391" s="126"/>
      <c r="D391" s="126"/>
      <c r="E391" s="126"/>
      <c r="F391" s="126"/>
      <c r="G391" s="126"/>
      <c r="H391" s="126"/>
      <c r="I391" s="126"/>
      <c r="J391" s="126"/>
      <c r="K391" s="127"/>
      <c r="L391" s="128"/>
      <c r="M391" s="129"/>
      <c r="N391" s="95"/>
      <c r="O391" s="95"/>
      <c r="P391" s="130"/>
    </row>
    <row r="392" spans="2:16" s="89" customFormat="1" ht="12.75">
      <c r="B392" s="125"/>
      <c r="C392" s="126"/>
      <c r="D392" s="126"/>
      <c r="E392" s="126"/>
      <c r="F392" s="126"/>
      <c r="G392" s="126"/>
      <c r="H392" s="126"/>
      <c r="I392" s="126"/>
      <c r="J392" s="126"/>
      <c r="K392" s="127"/>
      <c r="L392" s="128"/>
      <c r="M392" s="129"/>
      <c r="N392" s="95"/>
      <c r="O392" s="95"/>
      <c r="P392" s="130"/>
    </row>
    <row r="393" spans="2:16" s="89" customFormat="1" ht="12.75">
      <c r="B393" s="125"/>
      <c r="C393" s="126"/>
      <c r="D393" s="126"/>
      <c r="E393" s="126"/>
      <c r="F393" s="126"/>
      <c r="G393" s="126"/>
      <c r="H393" s="126"/>
      <c r="I393" s="126"/>
      <c r="J393" s="126"/>
      <c r="K393" s="127"/>
      <c r="L393" s="128"/>
      <c r="M393" s="129"/>
      <c r="N393" s="95"/>
      <c r="O393" s="95"/>
      <c r="P393" s="130"/>
    </row>
    <row r="394" spans="2:16" s="89" customFormat="1" ht="12.75">
      <c r="B394" s="125"/>
      <c r="C394" s="126"/>
      <c r="D394" s="126"/>
      <c r="E394" s="126"/>
      <c r="F394" s="126"/>
      <c r="G394" s="126"/>
      <c r="H394" s="126"/>
      <c r="I394" s="126"/>
      <c r="J394" s="126"/>
      <c r="K394" s="127"/>
      <c r="L394" s="128"/>
      <c r="M394" s="129"/>
      <c r="N394" s="95"/>
      <c r="O394" s="95"/>
      <c r="P394" s="130"/>
    </row>
    <row r="395" spans="2:16" s="89" customFormat="1" ht="12.75">
      <c r="B395" s="125"/>
      <c r="C395" s="126"/>
      <c r="D395" s="126"/>
      <c r="E395" s="126"/>
      <c r="F395" s="126"/>
      <c r="G395" s="126"/>
      <c r="H395" s="126"/>
      <c r="I395" s="126"/>
      <c r="J395" s="126"/>
      <c r="K395" s="127"/>
      <c r="L395" s="128"/>
      <c r="M395" s="129"/>
      <c r="N395" s="95"/>
      <c r="O395" s="95"/>
      <c r="P395" s="130"/>
    </row>
    <row r="396" spans="2:16" s="89" customFormat="1" ht="12.75">
      <c r="B396" s="125"/>
      <c r="C396" s="126"/>
      <c r="D396" s="126"/>
      <c r="E396" s="126"/>
      <c r="F396" s="126"/>
      <c r="G396" s="126"/>
      <c r="H396" s="126"/>
      <c r="I396" s="126"/>
      <c r="J396" s="126"/>
      <c r="K396" s="127"/>
      <c r="L396" s="128"/>
      <c r="M396" s="129"/>
      <c r="N396" s="95"/>
      <c r="O396" s="95"/>
      <c r="P396" s="130"/>
    </row>
    <row r="397" spans="2:16" s="89" customFormat="1" ht="12.75">
      <c r="B397" s="125"/>
      <c r="C397" s="126"/>
      <c r="D397" s="126"/>
      <c r="E397" s="126"/>
      <c r="F397" s="126"/>
      <c r="G397" s="126"/>
      <c r="H397" s="126"/>
      <c r="I397" s="126"/>
      <c r="J397" s="126"/>
      <c r="K397" s="127"/>
      <c r="L397" s="128"/>
      <c r="M397" s="129"/>
      <c r="N397" s="95"/>
      <c r="O397" s="95"/>
      <c r="P397" s="130"/>
    </row>
    <row r="398" spans="2:16" s="89" customFormat="1" ht="12.75">
      <c r="B398" s="125"/>
      <c r="C398" s="126"/>
      <c r="D398" s="126"/>
      <c r="E398" s="126"/>
      <c r="F398" s="126"/>
      <c r="G398" s="126"/>
      <c r="H398" s="126"/>
      <c r="I398" s="126"/>
      <c r="J398" s="126"/>
      <c r="K398" s="127"/>
      <c r="L398" s="128"/>
      <c r="M398" s="129"/>
      <c r="N398" s="95"/>
      <c r="O398" s="95"/>
      <c r="P398" s="130"/>
    </row>
    <row r="399" spans="2:16" s="89" customFormat="1" ht="12.75">
      <c r="B399" s="125"/>
      <c r="C399" s="126"/>
      <c r="D399" s="126"/>
      <c r="E399" s="126"/>
      <c r="F399" s="126"/>
      <c r="G399" s="126"/>
      <c r="H399" s="126"/>
      <c r="I399" s="126"/>
      <c r="J399" s="126"/>
      <c r="K399" s="127"/>
      <c r="L399" s="128"/>
      <c r="M399" s="129"/>
      <c r="N399" s="95"/>
      <c r="O399" s="95"/>
      <c r="P399" s="130"/>
    </row>
    <row r="400" spans="2:16" s="89" customFormat="1" ht="12.75">
      <c r="B400" s="125"/>
      <c r="C400" s="126"/>
      <c r="D400" s="126"/>
      <c r="E400" s="126"/>
      <c r="F400" s="126"/>
      <c r="G400" s="126"/>
      <c r="H400" s="126"/>
      <c r="I400" s="126"/>
      <c r="J400" s="126"/>
      <c r="K400" s="127"/>
      <c r="L400" s="128"/>
      <c r="M400" s="129"/>
      <c r="N400" s="95"/>
      <c r="O400" s="95"/>
      <c r="P400" s="130"/>
    </row>
    <row r="401" spans="2:16" s="89" customFormat="1" ht="12.75">
      <c r="B401" s="125"/>
      <c r="C401" s="126"/>
      <c r="D401" s="126"/>
      <c r="E401" s="126"/>
      <c r="F401" s="126"/>
      <c r="G401" s="126"/>
      <c r="H401" s="126"/>
      <c r="I401" s="126"/>
      <c r="J401" s="126"/>
      <c r="K401" s="127"/>
      <c r="L401" s="128"/>
      <c r="M401" s="129"/>
      <c r="N401" s="95"/>
      <c r="O401" s="95"/>
      <c r="P401" s="130"/>
    </row>
    <row r="402" spans="2:16" s="89" customFormat="1" ht="12.75">
      <c r="B402" s="125"/>
      <c r="C402" s="126"/>
      <c r="D402" s="126"/>
      <c r="E402" s="126"/>
      <c r="F402" s="126"/>
      <c r="G402" s="126"/>
      <c r="H402" s="126"/>
      <c r="I402" s="126"/>
      <c r="J402" s="126"/>
      <c r="K402" s="127"/>
      <c r="L402" s="128"/>
      <c r="M402" s="129"/>
      <c r="N402" s="95"/>
      <c r="O402" s="95"/>
      <c r="P402" s="130"/>
    </row>
    <row r="403" spans="2:16" s="89" customFormat="1" ht="12.75">
      <c r="B403" s="125"/>
      <c r="C403" s="126"/>
      <c r="D403" s="126"/>
      <c r="E403" s="126"/>
      <c r="F403" s="126"/>
      <c r="G403" s="126"/>
      <c r="H403" s="126"/>
      <c r="I403" s="126"/>
      <c r="J403" s="126"/>
      <c r="K403" s="127"/>
      <c r="L403" s="128"/>
      <c r="M403" s="129"/>
      <c r="N403" s="95"/>
      <c r="O403" s="95"/>
      <c r="P403" s="130"/>
    </row>
    <row r="404" spans="2:16" s="89" customFormat="1" ht="12.75">
      <c r="B404" s="125"/>
      <c r="C404" s="126"/>
      <c r="D404" s="126"/>
      <c r="E404" s="126"/>
      <c r="F404" s="126"/>
      <c r="G404" s="126"/>
      <c r="H404" s="126"/>
      <c r="I404" s="126"/>
      <c r="J404" s="126"/>
      <c r="K404" s="127"/>
      <c r="L404" s="128"/>
      <c r="M404" s="129"/>
      <c r="N404" s="95"/>
      <c r="O404" s="95"/>
      <c r="P404" s="130"/>
    </row>
    <row r="405" spans="2:16" s="89" customFormat="1" ht="12.75">
      <c r="B405" s="125"/>
      <c r="C405" s="126"/>
      <c r="D405" s="126"/>
      <c r="E405" s="126"/>
      <c r="F405" s="126"/>
      <c r="G405" s="126"/>
      <c r="H405" s="126"/>
      <c r="I405" s="126"/>
      <c r="J405" s="126"/>
      <c r="K405" s="127"/>
      <c r="L405" s="128"/>
      <c r="M405" s="129"/>
      <c r="N405" s="95"/>
      <c r="O405" s="95"/>
      <c r="P405" s="130"/>
    </row>
    <row r="406" spans="2:16" s="89" customFormat="1" ht="12.75">
      <c r="B406" s="125"/>
      <c r="C406" s="126"/>
      <c r="D406" s="126"/>
      <c r="E406" s="126"/>
      <c r="F406" s="126"/>
      <c r="G406" s="126"/>
      <c r="H406" s="126"/>
      <c r="I406" s="126"/>
      <c r="J406" s="126"/>
      <c r="K406" s="127"/>
      <c r="L406" s="128"/>
      <c r="M406" s="129"/>
      <c r="N406" s="95"/>
      <c r="O406" s="95"/>
      <c r="P406" s="130"/>
    </row>
    <row r="407" spans="2:16" s="89" customFormat="1" ht="12.75">
      <c r="B407" s="125"/>
      <c r="C407" s="126"/>
      <c r="D407" s="126"/>
      <c r="E407" s="126"/>
      <c r="F407" s="126"/>
      <c r="G407" s="126"/>
      <c r="H407" s="126"/>
      <c r="I407" s="126"/>
      <c r="J407" s="126"/>
      <c r="K407" s="127"/>
      <c r="L407" s="128"/>
      <c r="M407" s="129"/>
      <c r="N407" s="95"/>
      <c r="O407" s="95"/>
      <c r="P407" s="130"/>
    </row>
    <row r="408" spans="2:16" s="89" customFormat="1" ht="12.75">
      <c r="B408" s="125"/>
      <c r="C408" s="126"/>
      <c r="D408" s="126"/>
      <c r="E408" s="126"/>
      <c r="F408" s="126"/>
      <c r="G408" s="126"/>
      <c r="H408" s="126"/>
      <c r="I408" s="126"/>
      <c r="J408" s="126"/>
      <c r="K408" s="127"/>
      <c r="L408" s="128"/>
      <c r="M408" s="129"/>
      <c r="N408" s="95"/>
      <c r="O408" s="95"/>
      <c r="P408" s="130"/>
    </row>
    <row r="409" spans="2:16" s="89" customFormat="1" ht="12.75">
      <c r="B409" s="125"/>
      <c r="C409" s="126"/>
      <c r="D409" s="126"/>
      <c r="E409" s="126"/>
      <c r="F409" s="126"/>
      <c r="G409" s="126"/>
      <c r="H409" s="126"/>
      <c r="I409" s="126"/>
      <c r="J409" s="126"/>
      <c r="K409" s="127"/>
      <c r="L409" s="128"/>
      <c r="M409" s="129"/>
      <c r="N409" s="95"/>
      <c r="O409" s="95"/>
      <c r="P409" s="130"/>
    </row>
    <row r="410" spans="2:16" s="89" customFormat="1" ht="12.75">
      <c r="B410" s="125"/>
      <c r="C410" s="126"/>
      <c r="D410" s="126"/>
      <c r="E410" s="126"/>
      <c r="F410" s="126"/>
      <c r="G410" s="126"/>
      <c r="H410" s="126"/>
      <c r="I410" s="126"/>
      <c r="J410" s="126"/>
      <c r="K410" s="127"/>
      <c r="L410" s="128"/>
      <c r="M410" s="129"/>
      <c r="N410" s="95"/>
      <c r="O410" s="95"/>
      <c r="P410" s="130"/>
    </row>
    <row r="411" spans="2:16" s="89" customFormat="1" ht="12.75">
      <c r="B411" s="125"/>
      <c r="C411" s="126"/>
      <c r="D411" s="126"/>
      <c r="E411" s="126"/>
      <c r="F411" s="126"/>
      <c r="G411" s="126"/>
      <c r="H411" s="126"/>
      <c r="I411" s="126"/>
      <c r="J411" s="126"/>
      <c r="K411" s="127"/>
      <c r="L411" s="128"/>
      <c r="M411" s="129"/>
      <c r="N411" s="95"/>
      <c r="O411" s="95"/>
      <c r="P411" s="130"/>
    </row>
    <row r="412" spans="2:16" s="89" customFormat="1" ht="12.75">
      <c r="B412" s="125"/>
      <c r="C412" s="126"/>
      <c r="D412" s="126"/>
      <c r="E412" s="126"/>
      <c r="F412" s="126"/>
      <c r="G412" s="126"/>
      <c r="H412" s="126"/>
      <c r="I412" s="126"/>
      <c r="J412" s="126"/>
      <c r="K412" s="127"/>
      <c r="L412" s="128"/>
      <c r="M412" s="129"/>
      <c r="N412" s="95"/>
      <c r="O412" s="95"/>
      <c r="P412" s="130"/>
    </row>
    <row r="413" spans="2:16" s="89" customFormat="1" ht="12.75">
      <c r="B413" s="125"/>
      <c r="C413" s="126"/>
      <c r="D413" s="126"/>
      <c r="E413" s="126"/>
      <c r="F413" s="126"/>
      <c r="G413" s="126"/>
      <c r="H413" s="126"/>
      <c r="I413" s="126"/>
      <c r="J413" s="126"/>
      <c r="K413" s="127"/>
      <c r="L413" s="128"/>
      <c r="M413" s="129"/>
      <c r="N413" s="95"/>
      <c r="O413" s="95"/>
      <c r="P413" s="130"/>
    </row>
    <row r="414" spans="2:16" s="89" customFormat="1" ht="12.75">
      <c r="B414" s="125"/>
      <c r="C414" s="126"/>
      <c r="D414" s="126"/>
      <c r="E414" s="126"/>
      <c r="F414" s="126"/>
      <c r="G414" s="126"/>
      <c r="H414" s="126"/>
      <c r="I414" s="126"/>
      <c r="J414" s="126"/>
      <c r="K414" s="127"/>
      <c r="L414" s="128"/>
      <c r="M414" s="129"/>
      <c r="N414" s="95"/>
      <c r="O414" s="95"/>
      <c r="P414" s="130"/>
    </row>
    <row r="415" spans="2:16" s="89" customFormat="1" ht="12.75">
      <c r="B415" s="125"/>
      <c r="C415" s="126"/>
      <c r="D415" s="126"/>
      <c r="E415" s="126"/>
      <c r="F415" s="126"/>
      <c r="G415" s="126"/>
      <c r="H415" s="126"/>
      <c r="I415" s="126"/>
      <c r="J415" s="126"/>
      <c r="K415" s="127"/>
      <c r="L415" s="128"/>
      <c r="M415" s="129"/>
      <c r="N415" s="95"/>
      <c r="O415" s="95"/>
      <c r="P415" s="130"/>
    </row>
    <row r="416" spans="2:16" s="89" customFormat="1" ht="12.75">
      <c r="B416" s="125"/>
      <c r="C416" s="126"/>
      <c r="D416" s="126"/>
      <c r="E416" s="126"/>
      <c r="F416" s="126"/>
      <c r="G416" s="126"/>
      <c r="H416" s="126"/>
      <c r="I416" s="126"/>
      <c r="J416" s="126"/>
      <c r="K416" s="127"/>
      <c r="L416" s="128"/>
      <c r="M416" s="129"/>
      <c r="N416" s="95"/>
      <c r="O416" s="95"/>
      <c r="P416" s="130"/>
    </row>
    <row r="417" spans="2:16" s="89" customFormat="1" ht="12.75">
      <c r="B417" s="125"/>
      <c r="C417" s="126"/>
      <c r="D417" s="126"/>
      <c r="E417" s="126"/>
      <c r="F417" s="126"/>
      <c r="G417" s="126"/>
      <c r="H417" s="126"/>
      <c r="I417" s="126"/>
      <c r="J417" s="126"/>
      <c r="K417" s="127"/>
      <c r="L417" s="128"/>
      <c r="M417" s="129"/>
      <c r="N417" s="95"/>
      <c r="O417" s="95"/>
      <c r="P417" s="130"/>
    </row>
    <row r="418" spans="2:16" s="89" customFormat="1" ht="12.75">
      <c r="B418" s="125"/>
      <c r="C418" s="126"/>
      <c r="D418" s="126"/>
      <c r="E418" s="126"/>
      <c r="F418" s="126"/>
      <c r="G418" s="126"/>
      <c r="H418" s="126"/>
      <c r="I418" s="126"/>
      <c r="J418" s="126"/>
      <c r="K418" s="127"/>
      <c r="L418" s="128"/>
      <c r="M418" s="129"/>
      <c r="N418" s="95"/>
      <c r="O418" s="95"/>
      <c r="P418" s="130"/>
    </row>
    <row r="419" spans="2:16" s="89" customFormat="1" ht="12.75">
      <c r="B419" s="125"/>
      <c r="C419" s="126"/>
      <c r="D419" s="126"/>
      <c r="E419" s="126"/>
      <c r="F419" s="126"/>
      <c r="G419" s="126"/>
      <c r="H419" s="126"/>
      <c r="I419" s="126"/>
      <c r="J419" s="126"/>
      <c r="K419" s="127"/>
      <c r="L419" s="128"/>
      <c r="M419" s="129"/>
      <c r="N419" s="95"/>
      <c r="O419" s="95"/>
      <c r="P419" s="130"/>
    </row>
    <row r="420" spans="2:16" s="89" customFormat="1" ht="12.75">
      <c r="B420" s="125"/>
      <c r="C420" s="126"/>
      <c r="D420" s="126"/>
      <c r="E420" s="126"/>
      <c r="F420" s="126"/>
      <c r="G420" s="126"/>
      <c r="H420" s="126"/>
      <c r="I420" s="126"/>
      <c r="J420" s="126"/>
      <c r="K420" s="127"/>
      <c r="L420" s="128"/>
      <c r="M420" s="129"/>
      <c r="N420" s="95"/>
      <c r="O420" s="95"/>
      <c r="P420" s="130"/>
    </row>
    <row r="421" spans="2:16" s="89" customFormat="1" ht="12.75">
      <c r="B421" s="125"/>
      <c r="C421" s="126"/>
      <c r="D421" s="126"/>
      <c r="E421" s="126"/>
      <c r="F421" s="126"/>
      <c r="G421" s="126"/>
      <c r="H421" s="126"/>
      <c r="I421" s="126"/>
      <c r="J421" s="126"/>
      <c r="K421" s="127"/>
      <c r="L421" s="128"/>
      <c r="M421" s="129"/>
      <c r="N421" s="95"/>
      <c r="O421" s="95"/>
      <c r="P421" s="130"/>
    </row>
    <row r="422" spans="2:16" s="89" customFormat="1" ht="12.75">
      <c r="B422" s="125"/>
      <c r="C422" s="126"/>
      <c r="D422" s="126"/>
      <c r="E422" s="126"/>
      <c r="F422" s="126"/>
      <c r="G422" s="126"/>
      <c r="H422" s="126"/>
      <c r="I422" s="126"/>
      <c r="J422" s="126"/>
      <c r="K422" s="127"/>
      <c r="L422" s="128"/>
      <c r="M422" s="129"/>
      <c r="N422" s="95"/>
      <c r="O422" s="95"/>
      <c r="P422" s="130"/>
    </row>
    <row r="423" spans="2:16" s="89" customFormat="1" ht="12.75">
      <c r="B423" s="125"/>
      <c r="C423" s="126"/>
      <c r="D423" s="126"/>
      <c r="E423" s="126"/>
      <c r="F423" s="126"/>
      <c r="G423" s="126"/>
      <c r="H423" s="126"/>
      <c r="I423" s="126"/>
      <c r="J423" s="126"/>
      <c r="K423" s="127"/>
      <c r="L423" s="128"/>
      <c r="M423" s="129"/>
      <c r="N423" s="95"/>
      <c r="O423" s="95"/>
      <c r="P423" s="130"/>
    </row>
    <row r="424" spans="2:16" s="89" customFormat="1" ht="12.75">
      <c r="B424" s="125"/>
      <c r="C424" s="126"/>
      <c r="D424" s="126"/>
      <c r="E424" s="126"/>
      <c r="F424" s="126"/>
      <c r="G424" s="126"/>
      <c r="H424" s="126"/>
      <c r="I424" s="126"/>
      <c r="J424" s="126"/>
      <c r="K424" s="127"/>
      <c r="L424" s="128"/>
      <c r="M424" s="129"/>
      <c r="N424" s="95"/>
      <c r="O424" s="95"/>
      <c r="P424" s="130"/>
    </row>
    <row r="425" spans="2:16" s="89" customFormat="1" ht="12.75">
      <c r="B425" s="125"/>
      <c r="C425" s="126"/>
      <c r="D425" s="126"/>
      <c r="E425" s="126"/>
      <c r="F425" s="126"/>
      <c r="G425" s="126"/>
      <c r="H425" s="126"/>
      <c r="I425" s="126"/>
      <c r="J425" s="126"/>
      <c r="K425" s="127"/>
      <c r="L425" s="128"/>
      <c r="M425" s="129"/>
      <c r="N425" s="95"/>
      <c r="O425" s="95"/>
      <c r="P425" s="130"/>
    </row>
    <row r="426" spans="2:16" s="89" customFormat="1" ht="12.75">
      <c r="B426" s="125"/>
      <c r="C426" s="126"/>
      <c r="D426" s="126"/>
      <c r="E426" s="126"/>
      <c r="F426" s="126"/>
      <c r="G426" s="126"/>
      <c r="H426" s="126"/>
      <c r="I426" s="126"/>
      <c r="J426" s="126"/>
      <c r="K426" s="127"/>
      <c r="L426" s="128"/>
      <c r="M426" s="129"/>
      <c r="N426" s="95"/>
      <c r="O426" s="95"/>
      <c r="P426" s="130"/>
    </row>
    <row r="427" spans="2:16" s="89" customFormat="1" ht="12.75">
      <c r="B427" s="125"/>
      <c r="C427" s="126"/>
      <c r="D427" s="126"/>
      <c r="E427" s="126"/>
      <c r="F427" s="126"/>
      <c r="G427" s="126"/>
      <c r="H427" s="126"/>
      <c r="I427" s="126"/>
      <c r="J427" s="126"/>
      <c r="K427" s="127"/>
      <c r="L427" s="128"/>
      <c r="M427" s="129"/>
      <c r="N427" s="95"/>
      <c r="O427" s="95"/>
      <c r="P427" s="130"/>
    </row>
    <row r="428" spans="2:16" s="89" customFormat="1" ht="12.75">
      <c r="B428" s="125"/>
      <c r="C428" s="126"/>
      <c r="D428" s="126"/>
      <c r="E428" s="126"/>
      <c r="F428" s="126"/>
      <c r="G428" s="126"/>
      <c r="H428" s="126"/>
      <c r="I428" s="126"/>
      <c r="J428" s="126"/>
      <c r="K428" s="127"/>
      <c r="L428" s="128"/>
      <c r="M428" s="129"/>
      <c r="N428" s="95"/>
      <c r="O428" s="95"/>
      <c r="P428" s="130"/>
    </row>
    <row r="429" spans="2:16" s="89" customFormat="1" ht="12.75">
      <c r="B429" s="125"/>
      <c r="C429" s="126"/>
      <c r="D429" s="126"/>
      <c r="E429" s="126"/>
      <c r="F429" s="126"/>
      <c r="G429" s="126"/>
      <c r="H429" s="126"/>
      <c r="I429" s="126"/>
      <c r="J429" s="126"/>
      <c r="K429" s="127"/>
      <c r="L429" s="128"/>
      <c r="M429" s="129"/>
      <c r="N429" s="95"/>
      <c r="O429" s="95"/>
      <c r="P429" s="130"/>
    </row>
    <row r="430" spans="2:16" s="89" customFormat="1" ht="12.75">
      <c r="B430" s="125"/>
      <c r="C430" s="126"/>
      <c r="D430" s="126"/>
      <c r="E430" s="126"/>
      <c r="F430" s="126"/>
      <c r="G430" s="126"/>
      <c r="H430" s="126"/>
      <c r="I430" s="126"/>
      <c r="J430" s="126"/>
      <c r="K430" s="127"/>
      <c r="L430" s="128"/>
      <c r="M430" s="129"/>
      <c r="N430" s="95"/>
      <c r="O430" s="95"/>
      <c r="P430" s="130"/>
    </row>
    <row r="431" spans="2:16" s="89" customFormat="1" ht="12.75">
      <c r="B431" s="125"/>
      <c r="C431" s="126"/>
      <c r="D431" s="126"/>
      <c r="E431" s="126"/>
      <c r="F431" s="126"/>
      <c r="G431" s="126"/>
      <c r="H431" s="126"/>
      <c r="I431" s="126"/>
      <c r="J431" s="126"/>
      <c r="K431" s="127"/>
      <c r="L431" s="128"/>
      <c r="M431" s="129"/>
      <c r="N431" s="95"/>
      <c r="O431" s="95"/>
      <c r="P431" s="130"/>
    </row>
    <row r="432" spans="2:16" s="89" customFormat="1" ht="12.75">
      <c r="B432" s="125"/>
      <c r="C432" s="126"/>
      <c r="D432" s="126"/>
      <c r="E432" s="126"/>
      <c r="F432" s="126"/>
      <c r="G432" s="126"/>
      <c r="H432" s="126"/>
      <c r="I432" s="126"/>
      <c r="J432" s="126"/>
      <c r="K432" s="127"/>
      <c r="L432" s="128"/>
      <c r="M432" s="129"/>
      <c r="N432" s="95"/>
      <c r="O432" s="95"/>
      <c r="P432" s="130"/>
    </row>
    <row r="433" spans="2:16" s="89" customFormat="1" ht="12.75">
      <c r="B433" s="125"/>
      <c r="C433" s="126"/>
      <c r="D433" s="126"/>
      <c r="E433" s="126"/>
      <c r="F433" s="126"/>
      <c r="G433" s="126"/>
      <c r="H433" s="126"/>
      <c r="I433" s="126"/>
      <c r="J433" s="126"/>
      <c r="K433" s="127"/>
      <c r="L433" s="128"/>
      <c r="M433" s="129"/>
      <c r="N433" s="95"/>
      <c r="O433" s="95"/>
      <c r="P433" s="130"/>
    </row>
    <row r="434" spans="2:16" s="89" customFormat="1" ht="12.75">
      <c r="B434" s="125"/>
      <c r="C434" s="126"/>
      <c r="D434" s="126"/>
      <c r="E434" s="126"/>
      <c r="F434" s="126"/>
      <c r="G434" s="126"/>
      <c r="H434" s="126"/>
      <c r="I434" s="126"/>
      <c r="J434" s="126"/>
      <c r="K434" s="127"/>
      <c r="L434" s="128"/>
      <c r="M434" s="129"/>
      <c r="N434" s="95"/>
      <c r="O434" s="95"/>
      <c r="P434" s="130"/>
    </row>
    <row r="435" spans="2:16" s="89" customFormat="1" ht="12.75">
      <c r="B435" s="125"/>
      <c r="C435" s="126"/>
      <c r="D435" s="126"/>
      <c r="E435" s="126"/>
      <c r="F435" s="126"/>
      <c r="G435" s="126"/>
      <c r="H435" s="126"/>
      <c r="I435" s="126"/>
      <c r="J435" s="126"/>
      <c r="K435" s="127"/>
      <c r="L435" s="128"/>
      <c r="M435" s="129"/>
      <c r="N435" s="95"/>
      <c r="O435" s="95"/>
      <c r="P435" s="130"/>
    </row>
    <row r="436" spans="2:16" s="89" customFormat="1" ht="12.75">
      <c r="B436" s="125"/>
      <c r="C436" s="126"/>
      <c r="D436" s="126"/>
      <c r="E436" s="126"/>
      <c r="F436" s="126"/>
      <c r="G436" s="126"/>
      <c r="H436" s="126"/>
      <c r="I436" s="126"/>
      <c r="J436" s="126"/>
      <c r="K436" s="127"/>
      <c r="L436" s="128"/>
      <c r="M436" s="129"/>
      <c r="N436" s="95"/>
      <c r="O436" s="95"/>
      <c r="P436" s="130"/>
    </row>
    <row r="437" spans="2:16" s="89" customFormat="1" ht="12.75">
      <c r="B437" s="125"/>
      <c r="C437" s="126"/>
      <c r="D437" s="126"/>
      <c r="E437" s="126"/>
      <c r="F437" s="126"/>
      <c r="G437" s="126"/>
      <c r="H437" s="126"/>
      <c r="I437" s="126"/>
      <c r="J437" s="126"/>
      <c r="K437" s="127"/>
      <c r="L437" s="128"/>
      <c r="M437" s="129"/>
      <c r="N437" s="95"/>
      <c r="O437" s="95"/>
      <c r="P437" s="130"/>
    </row>
    <row r="438" spans="2:16" s="89" customFormat="1" ht="12.75">
      <c r="B438" s="125"/>
      <c r="C438" s="126"/>
      <c r="D438" s="126"/>
      <c r="E438" s="126"/>
      <c r="F438" s="126"/>
      <c r="G438" s="126"/>
      <c r="H438" s="126"/>
      <c r="I438" s="126"/>
      <c r="J438" s="126"/>
      <c r="K438" s="127"/>
      <c r="L438" s="128"/>
      <c r="M438" s="129"/>
      <c r="N438" s="95"/>
      <c r="O438" s="95"/>
      <c r="P438" s="130"/>
    </row>
    <row r="439" spans="2:16" s="89" customFormat="1" ht="12.75">
      <c r="B439" s="125"/>
      <c r="C439" s="126"/>
      <c r="D439" s="126"/>
      <c r="E439" s="126"/>
      <c r="F439" s="126"/>
      <c r="G439" s="126"/>
      <c r="H439" s="126"/>
      <c r="I439" s="126"/>
      <c r="J439" s="126"/>
      <c r="K439" s="127"/>
      <c r="L439" s="128"/>
      <c r="M439" s="129"/>
      <c r="N439" s="95"/>
      <c r="O439" s="95"/>
      <c r="P439" s="130"/>
    </row>
    <row r="440" spans="2:16" s="89" customFormat="1" ht="12.75">
      <c r="B440" s="125"/>
      <c r="C440" s="126"/>
      <c r="D440" s="126"/>
      <c r="E440" s="126"/>
      <c r="F440" s="126"/>
      <c r="G440" s="126"/>
      <c r="H440" s="126"/>
      <c r="I440" s="126"/>
      <c r="J440" s="126"/>
      <c r="K440" s="127"/>
      <c r="L440" s="128"/>
      <c r="M440" s="129"/>
      <c r="N440" s="95"/>
      <c r="O440" s="95"/>
      <c r="P440" s="130"/>
    </row>
    <row r="441" spans="2:16" s="89" customFormat="1" ht="12.75">
      <c r="B441" s="125"/>
      <c r="C441" s="126"/>
      <c r="D441" s="126"/>
      <c r="E441" s="126"/>
      <c r="F441" s="126"/>
      <c r="G441" s="126"/>
      <c r="H441" s="126"/>
      <c r="I441" s="126"/>
      <c r="J441" s="126"/>
      <c r="K441" s="127"/>
      <c r="L441" s="128"/>
      <c r="M441" s="129"/>
      <c r="N441" s="95"/>
      <c r="O441" s="95"/>
      <c r="P441" s="130"/>
    </row>
    <row r="442" spans="2:16" s="89" customFormat="1" ht="12.75">
      <c r="B442" s="125"/>
      <c r="C442" s="126"/>
      <c r="D442" s="126"/>
      <c r="E442" s="126"/>
      <c r="F442" s="126"/>
      <c r="G442" s="126"/>
      <c r="H442" s="126"/>
      <c r="I442" s="126"/>
      <c r="J442" s="126"/>
      <c r="K442" s="127"/>
      <c r="L442" s="128"/>
      <c r="M442" s="129"/>
      <c r="N442" s="95"/>
      <c r="O442" s="95"/>
      <c r="P442" s="130"/>
    </row>
    <row r="443" spans="2:16" s="89" customFormat="1" ht="12.75">
      <c r="B443" s="125"/>
      <c r="C443" s="126"/>
      <c r="D443" s="126"/>
      <c r="E443" s="126"/>
      <c r="F443" s="126"/>
      <c r="G443" s="126"/>
      <c r="H443" s="126"/>
      <c r="I443" s="126"/>
      <c r="J443" s="126"/>
      <c r="K443" s="127"/>
      <c r="L443" s="128"/>
      <c r="M443" s="129"/>
      <c r="N443" s="95"/>
      <c r="O443" s="95"/>
      <c r="P443" s="130"/>
    </row>
    <row r="444" spans="2:16" s="89" customFormat="1" ht="12.75">
      <c r="B444" s="125"/>
      <c r="C444" s="126"/>
      <c r="D444" s="126"/>
      <c r="E444" s="126"/>
      <c r="F444" s="126"/>
      <c r="G444" s="126"/>
      <c r="H444" s="126"/>
      <c r="I444" s="126"/>
      <c r="J444" s="126"/>
      <c r="K444" s="127"/>
      <c r="L444" s="128"/>
      <c r="M444" s="129"/>
      <c r="N444" s="95"/>
      <c r="O444" s="95"/>
      <c r="P444" s="130"/>
    </row>
    <row r="445" spans="2:16" s="89" customFormat="1" ht="12.75">
      <c r="B445" s="125"/>
      <c r="C445" s="126"/>
      <c r="D445" s="126"/>
      <c r="E445" s="126"/>
      <c r="F445" s="126"/>
      <c r="G445" s="126"/>
      <c r="H445" s="126"/>
      <c r="I445" s="126"/>
      <c r="J445" s="126"/>
      <c r="K445" s="127"/>
      <c r="L445" s="128"/>
      <c r="M445" s="129"/>
      <c r="N445" s="95"/>
      <c r="O445" s="95"/>
      <c r="P445" s="130"/>
    </row>
    <row r="446" spans="2:16" s="89" customFormat="1" ht="12.75">
      <c r="B446" s="125"/>
      <c r="C446" s="126"/>
      <c r="D446" s="126"/>
      <c r="E446" s="126"/>
      <c r="F446" s="126"/>
      <c r="G446" s="126"/>
      <c r="H446" s="126"/>
      <c r="I446" s="126"/>
      <c r="J446" s="126"/>
      <c r="K446" s="127"/>
      <c r="L446" s="128"/>
      <c r="M446" s="129"/>
      <c r="N446" s="95"/>
      <c r="O446" s="95"/>
      <c r="P446" s="130"/>
    </row>
    <row r="447" spans="2:16" s="89" customFormat="1" ht="12.75">
      <c r="B447" s="125"/>
      <c r="C447" s="126"/>
      <c r="D447" s="126"/>
      <c r="E447" s="126"/>
      <c r="F447" s="126"/>
      <c r="G447" s="126"/>
      <c r="H447" s="126"/>
      <c r="I447" s="126"/>
      <c r="J447" s="126"/>
      <c r="K447" s="127"/>
      <c r="L447" s="128"/>
      <c r="M447" s="129"/>
      <c r="N447" s="95"/>
      <c r="O447" s="95"/>
      <c r="P447" s="130"/>
    </row>
    <row r="448" spans="2:16" s="89" customFormat="1" ht="12.75">
      <c r="B448" s="125"/>
      <c r="C448" s="126"/>
      <c r="D448" s="126"/>
      <c r="E448" s="126"/>
      <c r="F448" s="126"/>
      <c r="G448" s="126"/>
      <c r="H448" s="126"/>
      <c r="I448" s="126"/>
      <c r="J448" s="126"/>
      <c r="K448" s="127"/>
      <c r="L448" s="128"/>
      <c r="M448" s="129"/>
      <c r="N448" s="95"/>
      <c r="O448" s="95"/>
      <c r="P448" s="130"/>
    </row>
    <row r="449" spans="2:16" s="89" customFormat="1" ht="12.75">
      <c r="B449" s="125"/>
      <c r="C449" s="126"/>
      <c r="D449" s="126"/>
      <c r="E449" s="126"/>
      <c r="F449" s="126"/>
      <c r="G449" s="126"/>
      <c r="H449" s="126"/>
      <c r="I449" s="126"/>
      <c r="J449" s="126"/>
      <c r="K449" s="127"/>
      <c r="L449" s="128"/>
      <c r="M449" s="129"/>
      <c r="N449" s="95"/>
      <c r="O449" s="95"/>
      <c r="P449" s="130"/>
    </row>
    <row r="450" spans="2:16" s="89" customFormat="1" ht="12.75">
      <c r="B450" s="125"/>
      <c r="C450" s="126"/>
      <c r="D450" s="126"/>
      <c r="E450" s="126"/>
      <c r="F450" s="126"/>
      <c r="G450" s="126"/>
      <c r="H450" s="126"/>
      <c r="I450" s="126"/>
      <c r="J450" s="126"/>
      <c r="K450" s="127"/>
      <c r="L450" s="128"/>
      <c r="M450" s="129"/>
      <c r="N450" s="95"/>
      <c r="O450" s="95"/>
      <c r="P450" s="130"/>
    </row>
    <row r="451" spans="2:16" s="89" customFormat="1" ht="12.75">
      <c r="B451" s="125"/>
      <c r="C451" s="126"/>
      <c r="D451" s="126"/>
      <c r="E451" s="126"/>
      <c r="F451" s="126"/>
      <c r="G451" s="126"/>
      <c r="H451" s="126"/>
      <c r="I451" s="126"/>
      <c r="J451" s="126"/>
      <c r="K451" s="127"/>
      <c r="L451" s="128"/>
      <c r="M451" s="129"/>
      <c r="N451" s="95"/>
      <c r="O451" s="95"/>
      <c r="P451" s="130"/>
    </row>
    <row r="452" spans="2:16" s="89" customFormat="1" ht="12.75">
      <c r="B452" s="125"/>
      <c r="C452" s="126"/>
      <c r="D452" s="126"/>
      <c r="E452" s="126"/>
      <c r="F452" s="126"/>
      <c r="G452" s="126"/>
      <c r="H452" s="126"/>
      <c r="I452" s="126"/>
      <c r="J452" s="126"/>
      <c r="K452" s="127"/>
      <c r="L452" s="128"/>
      <c r="M452" s="129"/>
      <c r="N452" s="95"/>
      <c r="O452" s="95"/>
      <c r="P452" s="130"/>
    </row>
    <row r="453" spans="2:16" s="89" customFormat="1" ht="12.75">
      <c r="B453" s="125"/>
      <c r="C453" s="126"/>
      <c r="D453" s="126"/>
      <c r="E453" s="126"/>
      <c r="F453" s="126"/>
      <c r="G453" s="126"/>
      <c r="H453" s="126"/>
      <c r="I453" s="126"/>
      <c r="J453" s="126"/>
      <c r="K453" s="127"/>
      <c r="L453" s="128"/>
      <c r="M453" s="129"/>
      <c r="N453" s="95"/>
      <c r="O453" s="95"/>
      <c r="P453" s="130"/>
    </row>
    <row r="454" spans="2:16" s="89" customFormat="1" ht="12.75">
      <c r="B454" s="125"/>
      <c r="C454" s="126"/>
      <c r="D454" s="126"/>
      <c r="E454" s="126"/>
      <c r="F454" s="126"/>
      <c r="G454" s="126"/>
      <c r="H454" s="126"/>
      <c r="I454" s="126"/>
      <c r="J454" s="126"/>
      <c r="K454" s="127"/>
      <c r="L454" s="128"/>
      <c r="M454" s="129"/>
      <c r="N454" s="95"/>
      <c r="O454" s="95"/>
      <c r="P454" s="130"/>
    </row>
    <row r="455" spans="2:16" s="89" customFormat="1" ht="12.75">
      <c r="B455" s="125"/>
      <c r="C455" s="126"/>
      <c r="D455" s="126"/>
      <c r="E455" s="126"/>
      <c r="F455" s="126"/>
      <c r="G455" s="126"/>
      <c r="H455" s="126"/>
      <c r="I455" s="126"/>
      <c r="J455" s="126"/>
      <c r="K455" s="127"/>
      <c r="L455" s="128"/>
      <c r="M455" s="129"/>
      <c r="N455" s="95"/>
      <c r="O455" s="95"/>
      <c r="P455" s="130"/>
    </row>
    <row r="456" spans="2:16" s="89" customFormat="1" ht="12.75">
      <c r="B456" s="125"/>
      <c r="C456" s="126"/>
      <c r="D456" s="126"/>
      <c r="E456" s="126"/>
      <c r="F456" s="126"/>
      <c r="G456" s="126"/>
      <c r="H456" s="126"/>
      <c r="I456" s="126"/>
      <c r="J456" s="126"/>
      <c r="K456" s="127"/>
      <c r="L456" s="128"/>
      <c r="M456" s="129"/>
      <c r="N456" s="95"/>
      <c r="O456" s="95"/>
      <c r="P456" s="130"/>
    </row>
    <row r="457" spans="2:16" s="89" customFormat="1" ht="12.75">
      <c r="B457" s="125"/>
      <c r="C457" s="126"/>
      <c r="D457" s="126"/>
      <c r="E457" s="126"/>
      <c r="F457" s="126"/>
      <c r="G457" s="126"/>
      <c r="H457" s="126"/>
      <c r="I457" s="126"/>
      <c r="J457" s="126"/>
      <c r="K457" s="127"/>
      <c r="L457" s="128"/>
      <c r="M457" s="129"/>
      <c r="N457" s="95"/>
      <c r="O457" s="95"/>
      <c r="P457" s="130"/>
    </row>
    <row r="458" spans="2:16" s="89" customFormat="1" ht="12.75">
      <c r="B458" s="125"/>
      <c r="C458" s="126"/>
      <c r="D458" s="126"/>
      <c r="E458" s="126"/>
      <c r="F458" s="126"/>
      <c r="G458" s="126"/>
      <c r="H458" s="126"/>
      <c r="I458" s="126"/>
      <c r="J458" s="126"/>
      <c r="K458" s="127"/>
      <c r="L458" s="128"/>
      <c r="M458" s="129"/>
      <c r="N458" s="95"/>
      <c r="O458" s="95"/>
      <c r="P458" s="130"/>
    </row>
    <row r="459" spans="2:16" s="89" customFormat="1" ht="12.75">
      <c r="B459" s="125"/>
      <c r="C459" s="126"/>
      <c r="D459" s="126"/>
      <c r="E459" s="126"/>
      <c r="F459" s="126"/>
      <c r="G459" s="126"/>
      <c r="H459" s="126"/>
      <c r="I459" s="126"/>
      <c r="J459" s="126"/>
      <c r="K459" s="127"/>
      <c r="L459" s="128"/>
      <c r="M459" s="129"/>
      <c r="N459" s="95"/>
      <c r="O459" s="95"/>
      <c r="P459" s="130"/>
    </row>
    <row r="460" spans="2:16" s="89" customFormat="1" ht="12.75">
      <c r="B460" s="125"/>
      <c r="C460" s="126"/>
      <c r="D460" s="126"/>
      <c r="E460" s="126"/>
      <c r="F460" s="126"/>
      <c r="G460" s="126"/>
      <c r="H460" s="126"/>
      <c r="I460" s="126"/>
      <c r="J460" s="126"/>
      <c r="K460" s="127"/>
      <c r="L460" s="128"/>
      <c r="M460" s="129"/>
      <c r="N460" s="95"/>
      <c r="O460" s="95"/>
      <c r="P460" s="130"/>
    </row>
    <row r="461" spans="2:16" s="89" customFormat="1" ht="12.75">
      <c r="B461" s="125"/>
      <c r="C461" s="126"/>
      <c r="D461" s="126"/>
      <c r="E461" s="126"/>
      <c r="F461" s="126"/>
      <c r="G461" s="126"/>
      <c r="H461" s="126"/>
      <c r="I461" s="126"/>
      <c r="J461" s="126"/>
      <c r="K461" s="127"/>
      <c r="L461" s="128"/>
      <c r="M461" s="129"/>
      <c r="N461" s="95"/>
      <c r="O461" s="95"/>
      <c r="P461" s="130"/>
    </row>
    <row r="462" spans="2:16" s="89" customFormat="1" ht="12.75">
      <c r="B462" s="125"/>
      <c r="C462" s="126"/>
      <c r="D462" s="126"/>
      <c r="E462" s="126"/>
      <c r="F462" s="126"/>
      <c r="G462" s="126"/>
      <c r="H462" s="126"/>
      <c r="I462" s="126"/>
      <c r="J462" s="126"/>
      <c r="K462" s="127"/>
      <c r="L462" s="128"/>
      <c r="M462" s="129"/>
      <c r="N462" s="95"/>
      <c r="O462" s="95"/>
      <c r="P462" s="130"/>
    </row>
    <row r="463" spans="2:16" s="89" customFormat="1" ht="12.75">
      <c r="B463" s="125"/>
      <c r="C463" s="126"/>
      <c r="D463" s="126"/>
      <c r="E463" s="126"/>
      <c r="F463" s="126"/>
      <c r="G463" s="126"/>
      <c r="H463" s="126"/>
      <c r="I463" s="126"/>
      <c r="J463" s="126"/>
      <c r="K463" s="127"/>
      <c r="L463" s="128"/>
      <c r="M463" s="129"/>
      <c r="N463" s="95"/>
      <c r="O463" s="95"/>
      <c r="P463" s="130"/>
    </row>
    <row r="464" spans="2:16" s="89" customFormat="1" ht="12.75">
      <c r="B464" s="125"/>
      <c r="C464" s="126"/>
      <c r="D464" s="126"/>
      <c r="E464" s="126"/>
      <c r="F464" s="126"/>
      <c r="G464" s="126"/>
      <c r="H464" s="126"/>
      <c r="I464" s="126"/>
      <c r="J464" s="126"/>
      <c r="K464" s="127"/>
      <c r="L464" s="128"/>
      <c r="M464" s="129"/>
      <c r="N464" s="95"/>
      <c r="O464" s="95"/>
      <c r="P464" s="130"/>
    </row>
    <row r="465" spans="2:16" s="89" customFormat="1" ht="12.75">
      <c r="B465" s="125"/>
      <c r="C465" s="126"/>
      <c r="D465" s="126"/>
      <c r="E465" s="126"/>
      <c r="F465" s="126"/>
      <c r="G465" s="126"/>
      <c r="H465" s="126"/>
      <c r="I465" s="126"/>
      <c r="J465" s="126"/>
      <c r="K465" s="127"/>
      <c r="L465" s="128"/>
      <c r="M465" s="129"/>
      <c r="N465" s="95"/>
      <c r="O465" s="95"/>
      <c r="P465" s="130"/>
    </row>
    <row r="466" spans="2:16" s="89" customFormat="1" ht="12.75">
      <c r="B466" s="125"/>
      <c r="C466" s="126"/>
      <c r="D466" s="126"/>
      <c r="E466" s="126"/>
      <c r="F466" s="126"/>
      <c r="G466" s="126"/>
      <c r="H466" s="126"/>
      <c r="I466" s="126"/>
      <c r="J466" s="126"/>
      <c r="K466" s="127"/>
      <c r="L466" s="128"/>
      <c r="M466" s="129"/>
      <c r="N466" s="95"/>
      <c r="O466" s="95"/>
      <c r="P466" s="130"/>
    </row>
    <row r="467" spans="2:16" s="89" customFormat="1" ht="12.75">
      <c r="B467" s="125"/>
      <c r="C467" s="126"/>
      <c r="D467" s="126"/>
      <c r="E467" s="126"/>
      <c r="F467" s="126"/>
      <c r="G467" s="126"/>
      <c r="H467" s="126"/>
      <c r="I467" s="126"/>
      <c r="J467" s="126"/>
      <c r="K467" s="127"/>
      <c r="L467" s="128"/>
      <c r="M467" s="129"/>
      <c r="N467" s="95"/>
      <c r="O467" s="95"/>
      <c r="P467" s="130"/>
    </row>
    <row r="468" spans="2:16" s="89" customFormat="1" ht="12.75">
      <c r="B468" s="125"/>
      <c r="C468" s="126"/>
      <c r="D468" s="126"/>
      <c r="E468" s="126"/>
      <c r="F468" s="126"/>
      <c r="G468" s="126"/>
      <c r="H468" s="126"/>
      <c r="I468" s="126"/>
      <c r="J468" s="126"/>
      <c r="K468" s="127"/>
      <c r="L468" s="128"/>
      <c r="M468" s="129"/>
      <c r="N468" s="95"/>
      <c r="O468" s="95"/>
      <c r="P468" s="130"/>
    </row>
    <row r="469" spans="2:16" s="89" customFormat="1" ht="12.75">
      <c r="B469" s="125"/>
      <c r="C469" s="126"/>
      <c r="D469" s="126"/>
      <c r="E469" s="126"/>
      <c r="F469" s="126"/>
      <c r="G469" s="126"/>
      <c r="H469" s="126"/>
      <c r="I469" s="126"/>
      <c r="J469" s="126"/>
      <c r="K469" s="127"/>
      <c r="L469" s="128"/>
      <c r="M469" s="129"/>
      <c r="N469" s="95"/>
      <c r="O469" s="95"/>
      <c r="P469" s="130"/>
    </row>
    <row r="470" spans="2:16" s="89" customFormat="1" ht="12.75">
      <c r="B470" s="125"/>
      <c r="C470" s="126"/>
      <c r="D470" s="126"/>
      <c r="E470" s="126"/>
      <c r="F470" s="126"/>
      <c r="G470" s="126"/>
      <c r="H470" s="126"/>
      <c r="I470" s="126"/>
      <c r="J470" s="126"/>
      <c r="K470" s="127"/>
      <c r="L470" s="128"/>
      <c r="M470" s="129"/>
      <c r="N470" s="95"/>
      <c r="O470" s="95"/>
      <c r="P470" s="130"/>
    </row>
    <row r="471" spans="2:16" s="89" customFormat="1" ht="12.75">
      <c r="B471" s="125"/>
      <c r="C471" s="126"/>
      <c r="D471" s="126"/>
      <c r="E471" s="126"/>
      <c r="F471" s="126"/>
      <c r="G471" s="126"/>
      <c r="H471" s="126"/>
      <c r="I471" s="126"/>
      <c r="J471" s="126"/>
      <c r="K471" s="127"/>
      <c r="L471" s="128"/>
      <c r="M471" s="129"/>
      <c r="N471" s="95"/>
      <c r="O471" s="95"/>
      <c r="P471" s="130"/>
    </row>
    <row r="472" spans="2:16" s="89" customFormat="1" ht="12.75">
      <c r="B472" s="125"/>
      <c r="C472" s="126"/>
      <c r="D472" s="126"/>
      <c r="E472" s="126"/>
      <c r="F472" s="126"/>
      <c r="G472" s="126"/>
      <c r="H472" s="126"/>
      <c r="I472" s="126"/>
      <c r="J472" s="126"/>
      <c r="K472" s="127"/>
      <c r="L472" s="128"/>
      <c r="M472" s="129"/>
      <c r="N472" s="95"/>
      <c r="O472" s="95"/>
      <c r="P472" s="130"/>
    </row>
    <row r="473" spans="2:16" s="89" customFormat="1" ht="12.75">
      <c r="B473" s="125"/>
      <c r="C473" s="126"/>
      <c r="D473" s="126"/>
      <c r="E473" s="126"/>
      <c r="F473" s="126"/>
      <c r="G473" s="126"/>
      <c r="H473" s="126"/>
      <c r="I473" s="126"/>
      <c r="J473" s="126"/>
      <c r="K473" s="127"/>
      <c r="L473" s="128"/>
      <c r="M473" s="129"/>
      <c r="N473" s="95"/>
      <c r="O473" s="95"/>
      <c r="P473" s="130"/>
    </row>
    <row r="474" spans="2:16" s="89" customFormat="1" ht="12.75">
      <c r="B474" s="125"/>
      <c r="C474" s="126"/>
      <c r="D474" s="126"/>
      <c r="E474" s="126"/>
      <c r="F474" s="126"/>
      <c r="G474" s="126"/>
      <c r="H474" s="126"/>
      <c r="I474" s="126"/>
      <c r="J474" s="126"/>
      <c r="K474" s="127"/>
      <c r="L474" s="128"/>
      <c r="M474" s="129"/>
      <c r="N474" s="95"/>
      <c r="O474" s="95"/>
      <c r="P474" s="130"/>
    </row>
    <row r="475" spans="2:16" s="89" customFormat="1" ht="12.75">
      <c r="B475" s="125"/>
      <c r="C475" s="126"/>
      <c r="D475" s="126"/>
      <c r="E475" s="126"/>
      <c r="F475" s="126"/>
      <c r="G475" s="126"/>
      <c r="H475" s="126"/>
      <c r="I475" s="126"/>
      <c r="J475" s="126"/>
      <c r="K475" s="127"/>
      <c r="L475" s="128"/>
      <c r="M475" s="129"/>
      <c r="N475" s="95"/>
      <c r="O475" s="95"/>
      <c r="P475" s="130"/>
    </row>
    <row r="476" spans="2:16" s="89" customFormat="1" ht="12.75">
      <c r="B476" s="125"/>
      <c r="C476" s="126"/>
      <c r="D476" s="126"/>
      <c r="E476" s="126"/>
      <c r="F476" s="126"/>
      <c r="G476" s="126"/>
      <c r="H476" s="126"/>
      <c r="I476" s="126"/>
      <c r="J476" s="126"/>
      <c r="K476" s="127"/>
      <c r="L476" s="128"/>
      <c r="M476" s="129"/>
      <c r="N476" s="95"/>
      <c r="O476" s="95"/>
      <c r="P476" s="130"/>
    </row>
    <row r="477" spans="2:16" s="89" customFormat="1" ht="12.75">
      <c r="B477" s="125"/>
      <c r="C477" s="126"/>
      <c r="D477" s="126"/>
      <c r="E477" s="126"/>
      <c r="F477" s="126"/>
      <c r="G477" s="126"/>
      <c r="H477" s="126"/>
      <c r="I477" s="126"/>
      <c r="J477" s="126"/>
      <c r="K477" s="127"/>
      <c r="L477" s="128"/>
      <c r="M477" s="129"/>
      <c r="N477" s="95"/>
      <c r="O477" s="95"/>
      <c r="P477" s="130"/>
    </row>
    <row r="478" spans="2:16" s="89" customFormat="1" ht="12.75">
      <c r="B478" s="125"/>
      <c r="C478" s="126"/>
      <c r="D478" s="126"/>
      <c r="E478" s="126"/>
      <c r="F478" s="126"/>
      <c r="G478" s="126"/>
      <c r="H478" s="126"/>
      <c r="I478" s="126"/>
      <c r="J478" s="126"/>
      <c r="K478" s="127"/>
      <c r="L478" s="128"/>
      <c r="M478" s="129"/>
      <c r="N478" s="95"/>
      <c r="O478" s="95"/>
      <c r="P478" s="130"/>
    </row>
    <row r="479" spans="2:16" s="89" customFormat="1" ht="12.75">
      <c r="B479" s="125"/>
      <c r="C479" s="126"/>
      <c r="D479" s="126"/>
      <c r="E479" s="126"/>
      <c r="F479" s="126"/>
      <c r="G479" s="126"/>
      <c r="H479" s="126"/>
      <c r="I479" s="126"/>
      <c r="J479" s="126"/>
      <c r="K479" s="127"/>
      <c r="L479" s="128"/>
      <c r="M479" s="129"/>
      <c r="N479" s="95"/>
      <c r="O479" s="95"/>
      <c r="P479" s="130"/>
    </row>
    <row r="480" spans="2:16" s="89" customFormat="1" ht="12.75">
      <c r="B480" s="125"/>
      <c r="C480" s="126"/>
      <c r="D480" s="126"/>
      <c r="E480" s="126"/>
      <c r="F480" s="126"/>
      <c r="G480" s="126"/>
      <c r="H480" s="126"/>
      <c r="I480" s="126"/>
      <c r="J480" s="126"/>
      <c r="K480" s="127"/>
      <c r="L480" s="128"/>
      <c r="M480" s="129"/>
      <c r="N480" s="95"/>
      <c r="O480" s="95"/>
      <c r="P480" s="130"/>
    </row>
    <row r="481" spans="2:16" s="89" customFormat="1" ht="12.75">
      <c r="B481" s="125"/>
      <c r="C481" s="126"/>
      <c r="D481" s="126"/>
      <c r="E481" s="126"/>
      <c r="F481" s="126"/>
      <c r="G481" s="126"/>
      <c r="H481" s="126"/>
      <c r="I481" s="126"/>
      <c r="J481" s="126"/>
      <c r="K481" s="127"/>
      <c r="L481" s="128"/>
      <c r="M481" s="129"/>
      <c r="N481" s="95"/>
      <c r="O481" s="95"/>
      <c r="P481" s="130"/>
    </row>
    <row r="482" spans="2:16" s="89" customFormat="1" ht="12.75">
      <c r="B482" s="125"/>
      <c r="C482" s="126"/>
      <c r="D482" s="126"/>
      <c r="E482" s="126"/>
      <c r="F482" s="126"/>
      <c r="G482" s="126"/>
      <c r="H482" s="126"/>
      <c r="I482" s="126"/>
      <c r="J482" s="126"/>
      <c r="K482" s="127"/>
      <c r="L482" s="128"/>
      <c r="M482" s="129"/>
      <c r="N482" s="95"/>
      <c r="O482" s="95"/>
      <c r="P482" s="130"/>
    </row>
    <row r="483" spans="2:16" s="89" customFormat="1" ht="12.75">
      <c r="B483" s="125"/>
      <c r="C483" s="126"/>
      <c r="D483" s="126"/>
      <c r="E483" s="126"/>
      <c r="F483" s="126"/>
      <c r="G483" s="126"/>
      <c r="H483" s="126"/>
      <c r="I483" s="126"/>
      <c r="J483" s="126"/>
      <c r="K483" s="127"/>
      <c r="L483" s="128"/>
      <c r="M483" s="129"/>
      <c r="N483" s="95"/>
      <c r="O483" s="95"/>
      <c r="P483" s="130"/>
    </row>
    <row r="484" spans="2:16" s="89" customFormat="1" ht="12.75">
      <c r="B484" s="125"/>
      <c r="C484" s="126"/>
      <c r="D484" s="126"/>
      <c r="E484" s="126"/>
      <c r="F484" s="126"/>
      <c r="G484" s="126"/>
      <c r="H484" s="126"/>
      <c r="I484" s="126"/>
      <c r="J484" s="126"/>
      <c r="K484" s="127"/>
      <c r="L484" s="128"/>
      <c r="M484" s="129"/>
      <c r="N484" s="95"/>
      <c r="O484" s="95"/>
      <c r="P484" s="130"/>
    </row>
    <row r="485" spans="2:16" s="89" customFormat="1" ht="12.75">
      <c r="B485" s="125"/>
      <c r="C485" s="126"/>
      <c r="D485" s="126"/>
      <c r="E485" s="126"/>
      <c r="F485" s="126"/>
      <c r="G485" s="126"/>
      <c r="H485" s="126"/>
      <c r="I485" s="126"/>
      <c r="J485" s="126"/>
      <c r="K485" s="127"/>
      <c r="L485" s="128"/>
      <c r="M485" s="129"/>
      <c r="N485" s="95"/>
      <c r="O485" s="95"/>
      <c r="P485" s="130"/>
    </row>
    <row r="486" spans="2:16" s="89" customFormat="1" ht="12.75">
      <c r="B486" s="125"/>
      <c r="C486" s="126"/>
      <c r="D486" s="126"/>
      <c r="E486" s="126"/>
      <c r="F486" s="126"/>
      <c r="G486" s="126"/>
      <c r="H486" s="126"/>
      <c r="I486" s="126"/>
      <c r="J486" s="126"/>
      <c r="K486" s="127"/>
      <c r="L486" s="128"/>
      <c r="M486" s="129"/>
      <c r="N486" s="95"/>
      <c r="O486" s="95"/>
      <c r="P486" s="130"/>
    </row>
    <row r="487" spans="2:16" s="89" customFormat="1" ht="12.75">
      <c r="B487" s="125"/>
      <c r="C487" s="126"/>
      <c r="D487" s="126"/>
      <c r="E487" s="126"/>
      <c r="F487" s="126"/>
      <c r="G487" s="126"/>
      <c r="H487" s="126"/>
      <c r="I487" s="126"/>
      <c r="J487" s="126"/>
      <c r="K487" s="127"/>
      <c r="L487" s="128"/>
      <c r="M487" s="129"/>
      <c r="N487" s="95"/>
      <c r="O487" s="95"/>
      <c r="P487" s="130"/>
    </row>
    <row r="488" spans="2:16" s="89" customFormat="1" ht="12.75">
      <c r="B488" s="125"/>
      <c r="C488" s="126"/>
      <c r="D488" s="126"/>
      <c r="E488" s="126"/>
      <c r="F488" s="126"/>
      <c r="G488" s="126"/>
      <c r="H488" s="126"/>
      <c r="I488" s="126"/>
      <c r="J488" s="126"/>
      <c r="K488" s="127"/>
      <c r="L488" s="128"/>
      <c r="M488" s="129"/>
      <c r="N488" s="95"/>
      <c r="O488" s="95"/>
      <c r="P488" s="130"/>
    </row>
    <row r="489" spans="2:16" s="89" customFormat="1" ht="12.75">
      <c r="B489" s="125"/>
      <c r="C489" s="126"/>
      <c r="D489" s="126"/>
      <c r="E489" s="126"/>
      <c r="F489" s="126"/>
      <c r="G489" s="126"/>
      <c r="H489" s="126"/>
      <c r="I489" s="126"/>
      <c r="J489" s="126"/>
      <c r="K489" s="127"/>
      <c r="L489" s="128"/>
      <c r="M489" s="129"/>
      <c r="N489" s="95"/>
      <c r="O489" s="95"/>
      <c r="P489" s="130"/>
    </row>
    <row r="490" spans="2:16" s="89" customFormat="1" ht="12.75">
      <c r="B490" s="125"/>
      <c r="C490" s="126"/>
      <c r="D490" s="126"/>
      <c r="E490" s="126"/>
      <c r="F490" s="126"/>
      <c r="G490" s="126"/>
      <c r="H490" s="126"/>
      <c r="I490" s="126"/>
      <c r="J490" s="126"/>
      <c r="K490" s="127"/>
      <c r="L490" s="128"/>
      <c r="M490" s="129"/>
      <c r="N490" s="95"/>
      <c r="O490" s="95"/>
      <c r="P490" s="130"/>
    </row>
    <row r="491" spans="2:16" s="89" customFormat="1" ht="12.75">
      <c r="B491" s="125"/>
      <c r="C491" s="126"/>
      <c r="D491" s="126"/>
      <c r="E491" s="126"/>
      <c r="F491" s="126"/>
      <c r="G491" s="126"/>
      <c r="H491" s="126"/>
      <c r="I491" s="126"/>
      <c r="J491" s="126"/>
      <c r="K491" s="127"/>
      <c r="L491" s="128"/>
      <c r="M491" s="129"/>
      <c r="N491" s="95"/>
      <c r="O491" s="95"/>
      <c r="P491" s="130"/>
    </row>
    <row r="492" spans="2:16" s="89" customFormat="1" ht="12.75">
      <c r="B492" s="125"/>
      <c r="C492" s="126"/>
      <c r="D492" s="126"/>
      <c r="E492" s="126"/>
      <c r="F492" s="126"/>
      <c r="G492" s="126"/>
      <c r="H492" s="126"/>
      <c r="I492" s="126"/>
      <c r="J492" s="126"/>
      <c r="K492" s="127"/>
      <c r="L492" s="128"/>
      <c r="M492" s="129"/>
      <c r="N492" s="95"/>
      <c r="O492" s="95"/>
      <c r="P492" s="130"/>
    </row>
    <row r="493" spans="2:16" s="89" customFormat="1" ht="12.75">
      <c r="B493" s="125"/>
      <c r="C493" s="126"/>
      <c r="D493" s="126"/>
      <c r="E493" s="126"/>
      <c r="F493" s="126"/>
      <c r="G493" s="126"/>
      <c r="H493" s="126"/>
      <c r="I493" s="126"/>
      <c r="J493" s="126"/>
      <c r="K493" s="127"/>
      <c r="L493" s="128"/>
      <c r="M493" s="129"/>
      <c r="N493" s="95"/>
      <c r="O493" s="95"/>
      <c r="P493" s="130"/>
    </row>
    <row r="494" spans="2:16" s="89" customFormat="1" ht="12.75">
      <c r="B494" s="125"/>
      <c r="C494" s="126"/>
      <c r="D494" s="126"/>
      <c r="E494" s="126"/>
      <c r="F494" s="126"/>
      <c r="G494" s="126"/>
      <c r="H494" s="126"/>
      <c r="I494" s="126"/>
      <c r="J494" s="126"/>
      <c r="K494" s="127"/>
      <c r="L494" s="128"/>
      <c r="M494" s="129"/>
      <c r="N494" s="95"/>
      <c r="O494" s="95"/>
      <c r="P494" s="130"/>
    </row>
    <row r="495" spans="2:16" s="89" customFormat="1" ht="12.75">
      <c r="B495" s="125"/>
      <c r="C495" s="126"/>
      <c r="D495" s="126"/>
      <c r="E495" s="126"/>
      <c r="F495" s="126"/>
      <c r="G495" s="126"/>
      <c r="H495" s="126"/>
      <c r="I495" s="126"/>
      <c r="J495" s="126"/>
      <c r="K495" s="127"/>
      <c r="L495" s="128"/>
      <c r="M495" s="129"/>
      <c r="N495" s="95"/>
      <c r="O495" s="95"/>
      <c r="P495" s="130"/>
    </row>
    <row r="496" spans="2:16" s="89" customFormat="1" ht="12.75">
      <c r="B496" s="125"/>
      <c r="C496" s="126"/>
      <c r="D496" s="126"/>
      <c r="E496" s="126"/>
      <c r="F496" s="126"/>
      <c r="G496" s="126"/>
      <c r="H496" s="126"/>
      <c r="I496" s="126"/>
      <c r="J496" s="126"/>
      <c r="K496" s="127"/>
      <c r="L496" s="128"/>
      <c r="M496" s="129"/>
      <c r="N496" s="95"/>
      <c r="O496" s="95"/>
      <c r="P496" s="130"/>
    </row>
    <row r="497" spans="2:16" s="89" customFormat="1" ht="12.75">
      <c r="B497" s="125"/>
      <c r="C497" s="126"/>
      <c r="D497" s="126"/>
      <c r="E497" s="126"/>
      <c r="F497" s="126"/>
      <c r="G497" s="126"/>
      <c r="H497" s="126"/>
      <c r="I497" s="126"/>
      <c r="J497" s="126"/>
      <c r="K497" s="127"/>
      <c r="L497" s="128"/>
      <c r="M497" s="129"/>
      <c r="N497" s="95"/>
      <c r="O497" s="95"/>
      <c r="P497" s="130"/>
    </row>
    <row r="498" spans="2:16" s="89" customFormat="1" ht="12.75">
      <c r="B498" s="125"/>
      <c r="C498" s="126"/>
      <c r="D498" s="126"/>
      <c r="E498" s="126"/>
      <c r="F498" s="126"/>
      <c r="G498" s="126"/>
      <c r="H498" s="126"/>
      <c r="I498" s="126"/>
      <c r="J498" s="126"/>
      <c r="K498" s="127"/>
      <c r="L498" s="128"/>
      <c r="M498" s="129"/>
      <c r="N498" s="95"/>
      <c r="O498" s="95"/>
      <c r="P498" s="130"/>
    </row>
    <row r="499" spans="2:16" s="89" customFormat="1" ht="12.75">
      <c r="B499" s="125"/>
      <c r="C499" s="126"/>
      <c r="D499" s="126"/>
      <c r="E499" s="126"/>
      <c r="F499" s="126"/>
      <c r="G499" s="126"/>
      <c r="H499" s="126"/>
      <c r="I499" s="126"/>
      <c r="J499" s="126"/>
      <c r="K499" s="127"/>
      <c r="L499" s="128"/>
      <c r="M499" s="129"/>
      <c r="N499" s="95"/>
      <c r="O499" s="95"/>
      <c r="P499" s="130"/>
    </row>
    <row r="500" spans="2:16" s="89" customFormat="1" ht="12.75">
      <c r="B500" s="125"/>
      <c r="C500" s="126"/>
      <c r="D500" s="126"/>
      <c r="E500" s="126"/>
      <c r="F500" s="126"/>
      <c r="G500" s="126"/>
      <c r="H500" s="126"/>
      <c r="I500" s="126"/>
      <c r="J500" s="126"/>
      <c r="K500" s="127"/>
      <c r="L500" s="128"/>
      <c r="M500" s="129"/>
      <c r="N500" s="95"/>
      <c r="O500" s="95"/>
      <c r="P500" s="130"/>
    </row>
    <row r="501" spans="2:16" s="89" customFormat="1" ht="12.75">
      <c r="B501" s="125"/>
      <c r="C501" s="126"/>
      <c r="D501" s="126"/>
      <c r="E501" s="126"/>
      <c r="F501" s="126"/>
      <c r="G501" s="126"/>
      <c r="H501" s="126"/>
      <c r="I501" s="126"/>
      <c r="J501" s="126"/>
      <c r="K501" s="127"/>
      <c r="L501" s="128"/>
      <c r="M501" s="129"/>
      <c r="N501" s="95"/>
      <c r="O501" s="95"/>
      <c r="P501" s="130"/>
    </row>
    <row r="502" spans="2:16" s="89" customFormat="1" ht="12.75">
      <c r="B502" s="125"/>
      <c r="C502" s="126"/>
      <c r="D502" s="126"/>
      <c r="E502" s="126"/>
      <c r="F502" s="126"/>
      <c r="G502" s="126"/>
      <c r="H502" s="126"/>
      <c r="I502" s="126"/>
      <c r="J502" s="126"/>
      <c r="K502" s="127"/>
      <c r="L502" s="128"/>
      <c r="M502" s="129"/>
      <c r="N502" s="95"/>
      <c r="O502" s="95"/>
      <c r="P502" s="130"/>
    </row>
    <row r="503" spans="2:16" s="89" customFormat="1" ht="12.75">
      <c r="B503" s="125"/>
      <c r="C503" s="126"/>
      <c r="D503" s="126"/>
      <c r="E503" s="126"/>
      <c r="F503" s="126"/>
      <c r="G503" s="126"/>
      <c r="H503" s="126"/>
      <c r="I503" s="126"/>
      <c r="J503" s="126"/>
      <c r="K503" s="127"/>
      <c r="L503" s="128"/>
      <c r="M503" s="129"/>
      <c r="N503" s="95"/>
      <c r="O503" s="95"/>
      <c r="P503" s="130"/>
    </row>
    <row r="504" spans="2:16" s="89" customFormat="1" ht="12.75">
      <c r="B504" s="125"/>
      <c r="C504" s="126"/>
      <c r="D504" s="126"/>
      <c r="E504" s="126"/>
      <c r="F504" s="126"/>
      <c r="G504" s="126"/>
      <c r="H504" s="126"/>
      <c r="I504" s="126"/>
      <c r="J504" s="126"/>
      <c r="K504" s="127"/>
      <c r="L504" s="128"/>
      <c r="M504" s="129"/>
      <c r="N504" s="95"/>
      <c r="O504" s="95"/>
      <c r="P504" s="130"/>
    </row>
    <row r="505" spans="2:16" s="89" customFormat="1" ht="12.75">
      <c r="B505" s="125"/>
      <c r="C505" s="126"/>
      <c r="D505" s="126"/>
      <c r="E505" s="126"/>
      <c r="F505" s="126"/>
      <c r="G505" s="126"/>
      <c r="H505" s="126"/>
      <c r="I505" s="126"/>
      <c r="J505" s="126"/>
      <c r="K505" s="127"/>
      <c r="L505" s="128"/>
      <c r="M505" s="129"/>
      <c r="N505" s="95"/>
      <c r="O505" s="95"/>
      <c r="P505" s="130"/>
    </row>
    <row r="506" spans="2:16" s="89" customFormat="1" ht="12.75">
      <c r="B506" s="125"/>
      <c r="C506" s="126"/>
      <c r="D506" s="126"/>
      <c r="E506" s="126"/>
      <c r="F506" s="126"/>
      <c r="G506" s="126"/>
      <c r="H506" s="126"/>
      <c r="I506" s="126"/>
      <c r="J506" s="126"/>
      <c r="K506" s="127"/>
      <c r="L506" s="128"/>
      <c r="M506" s="129"/>
      <c r="N506" s="95"/>
      <c r="O506" s="95"/>
      <c r="P506" s="130"/>
    </row>
    <row r="507" spans="2:16" s="89" customFormat="1" ht="12.75">
      <c r="B507" s="125"/>
      <c r="C507" s="126"/>
      <c r="D507" s="126"/>
      <c r="E507" s="126"/>
      <c r="F507" s="126"/>
      <c r="G507" s="126"/>
      <c r="H507" s="126"/>
      <c r="I507" s="126"/>
      <c r="J507" s="126"/>
      <c r="K507" s="127"/>
      <c r="L507" s="128"/>
      <c r="M507" s="129"/>
      <c r="N507" s="95"/>
      <c r="O507" s="95"/>
      <c r="P507" s="130"/>
    </row>
    <row r="508" spans="2:16" s="89" customFormat="1" ht="12.75">
      <c r="B508" s="125"/>
      <c r="C508" s="126"/>
      <c r="D508" s="126"/>
      <c r="E508" s="126"/>
      <c r="F508" s="126"/>
      <c r="G508" s="126"/>
      <c r="H508" s="126"/>
      <c r="I508" s="126"/>
      <c r="J508" s="126"/>
      <c r="K508" s="127"/>
      <c r="L508" s="128"/>
      <c r="M508" s="129"/>
      <c r="N508" s="95"/>
      <c r="O508" s="95"/>
      <c r="P508" s="130"/>
    </row>
    <row r="509" spans="2:16" s="89" customFormat="1" ht="12.75">
      <c r="B509" s="125"/>
      <c r="C509" s="126"/>
      <c r="D509" s="126"/>
      <c r="E509" s="126"/>
      <c r="F509" s="126"/>
      <c r="G509" s="126"/>
      <c r="H509" s="126"/>
      <c r="I509" s="126"/>
      <c r="J509" s="126"/>
      <c r="K509" s="127"/>
      <c r="L509" s="128"/>
      <c r="M509" s="129"/>
      <c r="N509" s="95"/>
      <c r="O509" s="95"/>
      <c r="P509" s="130"/>
    </row>
    <row r="510" spans="2:16" s="89" customFormat="1" ht="12.75">
      <c r="B510" s="125"/>
      <c r="C510" s="126"/>
      <c r="D510" s="126"/>
      <c r="E510" s="126"/>
      <c r="F510" s="126"/>
      <c r="G510" s="126"/>
      <c r="H510" s="126"/>
      <c r="I510" s="126"/>
      <c r="J510" s="126"/>
      <c r="K510" s="127"/>
      <c r="L510" s="128"/>
      <c r="M510" s="129"/>
      <c r="N510" s="95"/>
      <c r="O510" s="95"/>
      <c r="P510" s="130"/>
    </row>
    <row r="511" spans="2:16" s="89" customFormat="1" ht="12.75">
      <c r="B511" s="125"/>
      <c r="C511" s="126"/>
      <c r="D511" s="126"/>
      <c r="E511" s="126"/>
      <c r="F511" s="126"/>
      <c r="G511" s="126"/>
      <c r="H511" s="126"/>
      <c r="I511" s="126"/>
      <c r="J511" s="126"/>
      <c r="K511" s="127"/>
      <c r="L511" s="128"/>
      <c r="M511" s="129"/>
      <c r="N511" s="95"/>
      <c r="O511" s="95"/>
      <c r="P511" s="130"/>
    </row>
    <row r="512" spans="2:16" s="89" customFormat="1" ht="12.75">
      <c r="B512" s="125"/>
      <c r="C512" s="126"/>
      <c r="D512" s="126"/>
      <c r="E512" s="126"/>
      <c r="F512" s="126"/>
      <c r="G512" s="126"/>
      <c r="H512" s="126"/>
      <c r="I512" s="126"/>
      <c r="J512" s="126"/>
      <c r="K512" s="127"/>
      <c r="L512" s="128"/>
      <c r="M512" s="129"/>
      <c r="N512" s="95"/>
      <c r="O512" s="95"/>
      <c r="P512" s="130"/>
    </row>
    <row r="513" spans="2:16" s="89" customFormat="1" ht="12.75">
      <c r="B513" s="125"/>
      <c r="C513" s="126"/>
      <c r="D513" s="126"/>
      <c r="E513" s="126"/>
      <c r="F513" s="126"/>
      <c r="G513" s="126"/>
      <c r="H513" s="126"/>
      <c r="I513" s="126"/>
      <c r="J513" s="126"/>
      <c r="K513" s="127"/>
      <c r="L513" s="128"/>
      <c r="M513" s="129"/>
      <c r="N513" s="95"/>
      <c r="O513" s="95"/>
      <c r="P513" s="130"/>
    </row>
    <row r="514" spans="2:16" s="89" customFormat="1" ht="12.75">
      <c r="B514" s="125"/>
      <c r="C514" s="126"/>
      <c r="D514" s="126"/>
      <c r="E514" s="126"/>
      <c r="F514" s="126"/>
      <c r="G514" s="126"/>
      <c r="H514" s="126"/>
      <c r="I514" s="126"/>
      <c r="J514" s="126"/>
      <c r="K514" s="127"/>
      <c r="L514" s="128"/>
      <c r="M514" s="129"/>
      <c r="N514" s="95"/>
      <c r="O514" s="95"/>
      <c r="P514" s="130"/>
    </row>
    <row r="515" spans="2:16" s="89" customFormat="1" ht="12.75">
      <c r="B515" s="125"/>
      <c r="C515" s="126"/>
      <c r="D515" s="126"/>
      <c r="E515" s="126"/>
      <c r="F515" s="126"/>
      <c r="G515" s="126"/>
      <c r="H515" s="126"/>
      <c r="I515" s="126"/>
      <c r="J515" s="126"/>
      <c r="K515" s="127"/>
      <c r="L515" s="128"/>
      <c r="M515" s="129"/>
      <c r="N515" s="95"/>
      <c r="O515" s="95"/>
      <c r="P515" s="130"/>
    </row>
    <row r="516" spans="2:16" s="89" customFormat="1" ht="12.75">
      <c r="B516" s="125"/>
      <c r="C516" s="126"/>
      <c r="D516" s="126"/>
      <c r="E516" s="126"/>
      <c r="F516" s="126"/>
      <c r="G516" s="126"/>
      <c r="H516" s="126"/>
      <c r="I516" s="126"/>
      <c r="J516" s="126"/>
      <c r="K516" s="127"/>
      <c r="L516" s="128"/>
      <c r="M516" s="129"/>
      <c r="N516" s="95"/>
      <c r="O516" s="95"/>
      <c r="P516" s="130"/>
    </row>
    <row r="517" spans="2:16" s="89" customFormat="1" ht="12.75">
      <c r="B517" s="125"/>
      <c r="C517" s="126"/>
      <c r="D517" s="126"/>
      <c r="E517" s="126"/>
      <c r="F517" s="126"/>
      <c r="G517" s="126"/>
      <c r="H517" s="126"/>
      <c r="I517" s="126"/>
      <c r="J517" s="126"/>
      <c r="K517" s="127"/>
      <c r="L517" s="128"/>
      <c r="M517" s="129"/>
      <c r="N517" s="95"/>
      <c r="O517" s="95"/>
      <c r="P517" s="130"/>
    </row>
    <row r="518" spans="2:16" s="89" customFormat="1" ht="12.75">
      <c r="B518" s="125"/>
      <c r="C518" s="126"/>
      <c r="D518" s="126"/>
      <c r="E518" s="126"/>
      <c r="F518" s="126"/>
      <c r="G518" s="126"/>
      <c r="H518" s="126"/>
      <c r="I518" s="126"/>
      <c r="J518" s="126"/>
      <c r="K518" s="127"/>
      <c r="L518" s="128"/>
      <c r="M518" s="129"/>
      <c r="N518" s="95"/>
      <c r="O518" s="95"/>
      <c r="P518" s="130"/>
    </row>
    <row r="519" spans="2:16" s="89" customFormat="1" ht="12.75">
      <c r="B519" s="125"/>
      <c r="C519" s="126"/>
      <c r="D519" s="126"/>
      <c r="E519" s="126"/>
      <c r="F519" s="126"/>
      <c r="G519" s="126"/>
      <c r="H519" s="126"/>
      <c r="I519" s="126"/>
      <c r="J519" s="126"/>
      <c r="K519" s="127"/>
      <c r="L519" s="128"/>
      <c r="M519" s="129"/>
      <c r="N519" s="95"/>
      <c r="O519" s="95"/>
      <c r="P519" s="130"/>
    </row>
    <row r="520" spans="2:16" s="89" customFormat="1" ht="12.75">
      <c r="B520" s="125"/>
      <c r="C520" s="126"/>
      <c r="D520" s="126"/>
      <c r="E520" s="126"/>
      <c r="F520" s="126"/>
      <c r="G520" s="126"/>
      <c r="H520" s="126"/>
      <c r="I520" s="126"/>
      <c r="J520" s="126"/>
      <c r="K520" s="127"/>
      <c r="L520" s="128"/>
      <c r="M520" s="129"/>
      <c r="N520" s="95"/>
      <c r="O520" s="95"/>
      <c r="P520" s="130"/>
    </row>
    <row r="521" spans="2:16" s="89" customFormat="1" ht="12.75">
      <c r="B521" s="125"/>
      <c r="C521" s="126"/>
      <c r="D521" s="126"/>
      <c r="E521" s="126"/>
      <c r="F521" s="126"/>
      <c r="G521" s="126"/>
      <c r="H521" s="126"/>
      <c r="I521" s="126"/>
      <c r="J521" s="126"/>
      <c r="K521" s="127"/>
      <c r="L521" s="128"/>
      <c r="M521" s="129"/>
      <c r="N521" s="95"/>
      <c r="O521" s="95"/>
      <c r="P521" s="130"/>
    </row>
    <row r="522" spans="2:16" s="89" customFormat="1" ht="12.75">
      <c r="B522" s="125"/>
      <c r="C522" s="126"/>
      <c r="D522" s="126"/>
      <c r="E522" s="126"/>
      <c r="F522" s="126"/>
      <c r="G522" s="126"/>
      <c r="H522" s="126"/>
      <c r="I522" s="126"/>
      <c r="J522" s="126"/>
      <c r="K522" s="127"/>
      <c r="L522" s="128"/>
      <c r="M522" s="129"/>
      <c r="N522" s="95"/>
      <c r="O522" s="95"/>
      <c r="P522" s="130"/>
    </row>
    <row r="523" spans="2:16" s="89" customFormat="1" ht="12.75">
      <c r="B523" s="125"/>
      <c r="C523" s="126"/>
      <c r="D523" s="126"/>
      <c r="E523" s="126"/>
      <c r="F523" s="126"/>
      <c r="G523" s="126"/>
      <c r="H523" s="126"/>
      <c r="I523" s="126"/>
      <c r="J523" s="126"/>
      <c r="K523" s="127"/>
      <c r="L523" s="128"/>
      <c r="M523" s="129"/>
      <c r="N523" s="95"/>
      <c r="O523" s="95"/>
      <c r="P523" s="130"/>
    </row>
    <row r="524" spans="2:16" s="89" customFormat="1" ht="12.75">
      <c r="B524" s="125"/>
      <c r="C524" s="126"/>
      <c r="D524" s="126"/>
      <c r="E524" s="126"/>
      <c r="F524" s="126"/>
      <c r="G524" s="126"/>
      <c r="H524" s="126"/>
      <c r="I524" s="126"/>
      <c r="J524" s="126"/>
      <c r="K524" s="127"/>
      <c r="L524" s="128"/>
      <c r="M524" s="129"/>
      <c r="N524" s="95"/>
      <c r="O524" s="95"/>
      <c r="P524" s="130"/>
    </row>
    <row r="525" spans="2:16" s="89" customFormat="1" ht="12.75">
      <c r="B525" s="125"/>
      <c r="C525" s="126"/>
      <c r="D525" s="126"/>
      <c r="E525" s="126"/>
      <c r="F525" s="126"/>
      <c r="G525" s="126"/>
      <c r="H525" s="126"/>
      <c r="I525" s="126"/>
      <c r="J525" s="126"/>
      <c r="K525" s="127"/>
      <c r="L525" s="128"/>
      <c r="M525" s="129"/>
      <c r="N525" s="95"/>
      <c r="O525" s="95"/>
      <c r="P525" s="130"/>
    </row>
    <row r="526" spans="2:16" s="89" customFormat="1" ht="12.75">
      <c r="B526" s="125"/>
      <c r="C526" s="126"/>
      <c r="D526" s="126"/>
      <c r="E526" s="126"/>
      <c r="F526" s="126"/>
      <c r="G526" s="126"/>
      <c r="H526" s="126"/>
      <c r="I526" s="126"/>
      <c r="J526" s="126"/>
      <c r="K526" s="127"/>
      <c r="L526" s="128"/>
      <c r="M526" s="129"/>
      <c r="N526" s="95"/>
      <c r="O526" s="95"/>
      <c r="P526" s="130"/>
    </row>
    <row r="527" spans="2:16" s="89" customFormat="1" ht="12.75">
      <c r="B527" s="125"/>
      <c r="C527" s="126"/>
      <c r="D527" s="126"/>
      <c r="E527" s="126"/>
      <c r="F527" s="126"/>
      <c r="G527" s="126"/>
      <c r="H527" s="126"/>
      <c r="I527" s="126"/>
      <c r="J527" s="126"/>
      <c r="K527" s="127"/>
      <c r="L527" s="128"/>
      <c r="M527" s="129"/>
      <c r="N527" s="95"/>
      <c r="O527" s="95"/>
      <c r="P527" s="130"/>
    </row>
    <row r="528" spans="2:16" s="89" customFormat="1" ht="12.75">
      <c r="B528" s="125"/>
      <c r="C528" s="126"/>
      <c r="D528" s="126"/>
      <c r="E528" s="126"/>
      <c r="F528" s="126"/>
      <c r="G528" s="126"/>
      <c r="H528" s="126"/>
      <c r="I528" s="126"/>
      <c r="J528" s="126"/>
      <c r="K528" s="127"/>
      <c r="L528" s="128"/>
      <c r="M528" s="129"/>
      <c r="N528" s="95"/>
      <c r="O528" s="95"/>
      <c r="P528" s="130"/>
    </row>
    <row r="529" spans="2:16" s="89" customFormat="1" ht="12.75">
      <c r="B529" s="125"/>
      <c r="C529" s="126"/>
      <c r="D529" s="126"/>
      <c r="E529" s="126"/>
      <c r="F529" s="126"/>
      <c r="G529" s="126"/>
      <c r="H529" s="126"/>
      <c r="I529" s="126"/>
      <c r="J529" s="126"/>
      <c r="K529" s="127"/>
      <c r="L529" s="128"/>
      <c r="M529" s="129"/>
      <c r="N529" s="95"/>
      <c r="O529" s="95"/>
      <c r="P529" s="130"/>
    </row>
    <row r="530" spans="2:16" s="89" customFormat="1" ht="12.75">
      <c r="B530" s="125"/>
      <c r="C530" s="126"/>
      <c r="D530" s="126"/>
      <c r="E530" s="126"/>
      <c r="F530" s="126"/>
      <c r="G530" s="126"/>
      <c r="H530" s="126"/>
      <c r="I530" s="126"/>
      <c r="J530" s="126"/>
      <c r="K530" s="127"/>
      <c r="L530" s="128"/>
      <c r="M530" s="129"/>
      <c r="N530" s="95"/>
      <c r="O530" s="95"/>
      <c r="P530" s="130"/>
    </row>
    <row r="531" spans="2:16" s="89" customFormat="1" ht="12.75">
      <c r="B531" s="125"/>
      <c r="C531" s="126"/>
      <c r="D531" s="126"/>
      <c r="E531" s="126"/>
      <c r="F531" s="126"/>
      <c r="G531" s="126"/>
      <c r="H531" s="126"/>
      <c r="I531" s="126"/>
      <c r="J531" s="126"/>
      <c r="K531" s="127"/>
      <c r="L531" s="128"/>
      <c r="M531" s="129"/>
      <c r="N531" s="95"/>
      <c r="O531" s="95"/>
      <c r="P531" s="130"/>
    </row>
    <row r="532" spans="2:16" s="89" customFormat="1" ht="12.75">
      <c r="B532" s="125"/>
      <c r="C532" s="126"/>
      <c r="D532" s="126"/>
      <c r="E532" s="126"/>
      <c r="F532" s="126"/>
      <c r="G532" s="126"/>
      <c r="H532" s="126"/>
      <c r="I532" s="126"/>
      <c r="J532" s="126"/>
      <c r="K532" s="127"/>
      <c r="L532" s="128"/>
      <c r="M532" s="129"/>
      <c r="N532" s="95"/>
      <c r="O532" s="95"/>
      <c r="P532" s="130"/>
    </row>
    <row r="533" spans="2:16" s="89" customFormat="1" ht="12.75">
      <c r="B533" s="125"/>
      <c r="C533" s="126"/>
      <c r="D533" s="126"/>
      <c r="E533" s="126"/>
      <c r="F533" s="126"/>
      <c r="G533" s="126"/>
      <c r="H533" s="126"/>
      <c r="I533" s="126"/>
      <c r="J533" s="126"/>
      <c r="K533" s="127"/>
      <c r="L533" s="128"/>
      <c r="M533" s="129"/>
      <c r="N533" s="95"/>
      <c r="O533" s="95"/>
      <c r="P533" s="130"/>
    </row>
    <row r="534" spans="2:16" s="89" customFormat="1" ht="12.75">
      <c r="B534" s="125"/>
      <c r="C534" s="126"/>
      <c r="D534" s="126"/>
      <c r="E534" s="126"/>
      <c r="F534" s="126"/>
      <c r="G534" s="126"/>
      <c r="H534" s="126"/>
      <c r="I534" s="126"/>
      <c r="J534" s="126"/>
      <c r="K534" s="127"/>
      <c r="L534" s="128"/>
      <c r="M534" s="129"/>
      <c r="N534" s="95"/>
      <c r="O534" s="95"/>
      <c r="P534" s="130"/>
    </row>
    <row r="535" spans="2:16" s="89" customFormat="1" ht="12.75">
      <c r="B535" s="125"/>
      <c r="C535" s="126"/>
      <c r="D535" s="126"/>
      <c r="E535" s="126"/>
      <c r="F535" s="126"/>
      <c r="G535" s="126"/>
      <c r="H535" s="126"/>
      <c r="I535" s="126"/>
      <c r="J535" s="126"/>
      <c r="K535" s="127"/>
      <c r="L535" s="128"/>
      <c r="M535" s="129"/>
      <c r="N535" s="95"/>
      <c r="O535" s="95"/>
      <c r="P535" s="130"/>
    </row>
    <row r="536" spans="2:16" s="89" customFormat="1" ht="12.75">
      <c r="B536" s="125"/>
      <c r="C536" s="126"/>
      <c r="D536" s="126"/>
      <c r="E536" s="126"/>
      <c r="F536" s="126"/>
      <c r="G536" s="126"/>
      <c r="H536" s="126"/>
      <c r="I536" s="126"/>
      <c r="J536" s="126"/>
      <c r="K536" s="127"/>
      <c r="L536" s="128"/>
      <c r="M536" s="129"/>
      <c r="N536" s="95"/>
      <c r="O536" s="95"/>
      <c r="P536" s="130"/>
    </row>
    <row r="537" spans="2:16" s="89" customFormat="1" ht="12.75">
      <c r="B537" s="125"/>
      <c r="C537" s="126"/>
      <c r="D537" s="126"/>
      <c r="E537" s="126"/>
      <c r="F537" s="126"/>
      <c r="G537" s="126"/>
      <c r="H537" s="126"/>
      <c r="I537" s="126"/>
      <c r="J537" s="126"/>
      <c r="K537" s="127"/>
      <c r="L537" s="128"/>
      <c r="M537" s="129"/>
      <c r="N537" s="95"/>
      <c r="O537" s="95"/>
      <c r="P537" s="130"/>
    </row>
    <row r="538" spans="2:16" s="89" customFormat="1" ht="12.75">
      <c r="B538" s="125"/>
      <c r="C538" s="126"/>
      <c r="D538" s="126"/>
      <c r="E538" s="126"/>
      <c r="F538" s="126"/>
      <c r="G538" s="126"/>
      <c r="H538" s="126"/>
      <c r="I538" s="126"/>
      <c r="J538" s="126"/>
      <c r="K538" s="127"/>
      <c r="L538" s="128"/>
      <c r="M538" s="129"/>
      <c r="N538" s="95"/>
      <c r="O538" s="95"/>
      <c r="P538" s="130"/>
    </row>
    <row r="539" spans="2:16" s="89" customFormat="1" ht="12.75">
      <c r="B539" s="125"/>
      <c r="C539" s="126"/>
      <c r="D539" s="126"/>
      <c r="E539" s="126"/>
      <c r="F539" s="126"/>
      <c r="G539" s="126"/>
      <c r="H539" s="126"/>
      <c r="I539" s="126"/>
      <c r="J539" s="126"/>
      <c r="K539" s="127"/>
      <c r="L539" s="128"/>
      <c r="M539" s="129"/>
      <c r="N539" s="95"/>
      <c r="O539" s="95"/>
      <c r="P539" s="130"/>
    </row>
    <row r="540" spans="2:16" s="89" customFormat="1" ht="12.75">
      <c r="B540" s="125"/>
      <c r="C540" s="126"/>
      <c r="D540" s="126"/>
      <c r="E540" s="126"/>
      <c r="F540" s="126"/>
      <c r="G540" s="126"/>
      <c r="H540" s="126"/>
      <c r="I540" s="126"/>
      <c r="J540" s="126"/>
      <c r="K540" s="127"/>
      <c r="L540" s="128"/>
      <c r="M540" s="129"/>
      <c r="N540" s="95"/>
      <c r="O540" s="95"/>
      <c r="P540" s="130"/>
    </row>
    <row r="541" spans="2:16" s="89" customFormat="1" ht="12.75">
      <c r="B541" s="125"/>
      <c r="C541" s="126"/>
      <c r="D541" s="126"/>
      <c r="E541" s="126"/>
      <c r="F541" s="126"/>
      <c r="G541" s="126"/>
      <c r="H541" s="126"/>
      <c r="I541" s="126"/>
      <c r="J541" s="126"/>
      <c r="K541" s="127"/>
      <c r="L541" s="128"/>
      <c r="M541" s="129"/>
      <c r="N541" s="95"/>
      <c r="O541" s="95"/>
      <c r="P541" s="130"/>
    </row>
    <row r="542" spans="2:16" s="89" customFormat="1" ht="12.75">
      <c r="B542" s="125"/>
      <c r="C542" s="126"/>
      <c r="D542" s="126"/>
      <c r="E542" s="126"/>
      <c r="F542" s="126"/>
      <c r="G542" s="126"/>
      <c r="H542" s="126"/>
      <c r="I542" s="126"/>
      <c r="J542" s="126"/>
      <c r="K542" s="127"/>
      <c r="L542" s="128"/>
      <c r="M542" s="129"/>
      <c r="N542" s="95"/>
      <c r="O542" s="95"/>
      <c r="P542" s="130"/>
    </row>
    <row r="543" spans="2:16" s="89" customFormat="1" ht="12.75">
      <c r="B543" s="125"/>
      <c r="C543" s="126"/>
      <c r="D543" s="126"/>
      <c r="E543" s="126"/>
      <c r="F543" s="126"/>
      <c r="G543" s="126"/>
      <c r="H543" s="126"/>
      <c r="I543" s="126"/>
      <c r="J543" s="126"/>
      <c r="K543" s="127"/>
      <c r="L543" s="128"/>
      <c r="M543" s="129"/>
      <c r="N543" s="95"/>
      <c r="O543" s="95"/>
      <c r="P543" s="130"/>
    </row>
    <row r="544" spans="2:16" s="89" customFormat="1" ht="12.75">
      <c r="B544" s="125"/>
      <c r="C544" s="126"/>
      <c r="D544" s="126"/>
      <c r="E544" s="126"/>
      <c r="F544" s="126"/>
      <c r="G544" s="126"/>
      <c r="H544" s="126"/>
      <c r="I544" s="126"/>
      <c r="J544" s="126"/>
      <c r="K544" s="127"/>
      <c r="L544" s="128"/>
      <c r="M544" s="129"/>
      <c r="N544" s="95"/>
      <c r="O544" s="95"/>
      <c r="P544" s="130"/>
    </row>
    <row r="545" spans="2:16" s="89" customFormat="1" ht="12.75">
      <c r="B545" s="125"/>
      <c r="C545" s="126"/>
      <c r="D545" s="126"/>
      <c r="E545" s="126"/>
      <c r="F545" s="126"/>
      <c r="G545" s="126"/>
      <c r="H545" s="126"/>
      <c r="I545" s="126"/>
      <c r="J545" s="126"/>
      <c r="K545" s="127"/>
      <c r="L545" s="128"/>
      <c r="M545" s="129"/>
      <c r="N545" s="95"/>
      <c r="O545" s="95"/>
      <c r="P545" s="130"/>
    </row>
    <row r="546" spans="2:16" s="89" customFormat="1" ht="12.75">
      <c r="B546" s="125"/>
      <c r="C546" s="126"/>
      <c r="D546" s="126"/>
      <c r="E546" s="126"/>
      <c r="F546" s="126"/>
      <c r="G546" s="126"/>
      <c r="H546" s="126"/>
      <c r="I546" s="126"/>
      <c r="J546" s="126"/>
      <c r="K546" s="127"/>
      <c r="L546" s="128"/>
      <c r="M546" s="129"/>
      <c r="N546" s="95"/>
      <c r="O546" s="95"/>
      <c r="P546" s="130"/>
    </row>
    <row r="547" spans="2:16" s="89" customFormat="1" ht="12.75">
      <c r="B547" s="125"/>
      <c r="C547" s="126"/>
      <c r="D547" s="126"/>
      <c r="E547" s="126"/>
      <c r="F547" s="126"/>
      <c r="G547" s="126"/>
      <c r="H547" s="126"/>
      <c r="I547" s="126"/>
      <c r="J547" s="126"/>
      <c r="K547" s="127"/>
      <c r="L547" s="128"/>
      <c r="M547" s="129"/>
      <c r="N547" s="95"/>
      <c r="O547" s="95"/>
      <c r="P547" s="130"/>
    </row>
    <row r="548" spans="2:16" s="89" customFormat="1" ht="12.75">
      <c r="B548" s="125"/>
      <c r="C548" s="126"/>
      <c r="D548" s="126"/>
      <c r="E548" s="126"/>
      <c r="F548" s="126"/>
      <c r="G548" s="126"/>
      <c r="H548" s="126"/>
      <c r="I548" s="126"/>
      <c r="J548" s="126"/>
      <c r="K548" s="127"/>
      <c r="L548" s="128"/>
      <c r="M548" s="129"/>
      <c r="N548" s="95"/>
      <c r="O548" s="95"/>
      <c r="P548" s="130"/>
    </row>
    <row r="549" spans="2:16" s="89" customFormat="1" ht="12.75">
      <c r="B549" s="125"/>
      <c r="C549" s="126"/>
      <c r="D549" s="126"/>
      <c r="E549" s="126"/>
      <c r="F549" s="126"/>
      <c r="G549" s="126"/>
      <c r="H549" s="126"/>
      <c r="I549" s="126"/>
      <c r="J549" s="126"/>
      <c r="K549" s="127"/>
      <c r="L549" s="128"/>
      <c r="M549" s="129"/>
      <c r="N549" s="95"/>
      <c r="O549" s="95"/>
      <c r="P549" s="130"/>
    </row>
    <row r="550" spans="2:16" s="89" customFormat="1" ht="12.75">
      <c r="B550" s="125"/>
      <c r="C550" s="126"/>
      <c r="D550" s="126"/>
      <c r="E550" s="126"/>
      <c r="F550" s="126"/>
      <c r="G550" s="126"/>
      <c r="H550" s="126"/>
      <c r="I550" s="126"/>
      <c r="J550" s="126"/>
      <c r="K550" s="127"/>
      <c r="L550" s="128"/>
      <c r="M550" s="129"/>
      <c r="N550" s="95"/>
      <c r="O550" s="95"/>
      <c r="P550" s="130"/>
    </row>
    <row r="551" spans="2:16" s="89" customFormat="1" ht="12.75">
      <c r="B551" s="125"/>
      <c r="C551" s="126"/>
      <c r="D551" s="126"/>
      <c r="E551" s="126"/>
      <c r="F551" s="126"/>
      <c r="G551" s="126"/>
      <c r="H551" s="126"/>
      <c r="I551" s="126"/>
      <c r="J551" s="126"/>
      <c r="K551" s="127"/>
      <c r="L551" s="128"/>
      <c r="M551" s="129"/>
      <c r="N551" s="95"/>
      <c r="O551" s="95"/>
      <c r="P551" s="130"/>
    </row>
    <row r="552" spans="2:16" s="89" customFormat="1" ht="12.75">
      <c r="B552" s="125"/>
      <c r="C552" s="126"/>
      <c r="D552" s="126"/>
      <c r="E552" s="126"/>
      <c r="F552" s="126"/>
      <c r="G552" s="126"/>
      <c r="H552" s="126"/>
      <c r="I552" s="126"/>
      <c r="J552" s="126"/>
      <c r="K552" s="127"/>
      <c r="L552" s="128"/>
      <c r="M552" s="129"/>
      <c r="N552" s="95"/>
      <c r="O552" s="95"/>
      <c r="P552" s="130"/>
    </row>
    <row r="553" spans="2:16" s="89" customFormat="1" ht="12.75">
      <c r="B553" s="125"/>
      <c r="C553" s="126"/>
      <c r="D553" s="126"/>
      <c r="E553" s="126"/>
      <c r="F553" s="126"/>
      <c r="G553" s="126"/>
      <c r="H553" s="126"/>
      <c r="I553" s="126"/>
      <c r="J553" s="126"/>
      <c r="K553" s="127"/>
      <c r="L553" s="128"/>
      <c r="M553" s="129"/>
      <c r="N553" s="95"/>
      <c r="O553" s="95"/>
      <c r="P553" s="130"/>
    </row>
    <row r="554" spans="2:16" s="89" customFormat="1" ht="12.75">
      <c r="B554" s="125"/>
      <c r="C554" s="126"/>
      <c r="D554" s="126"/>
      <c r="E554" s="126"/>
      <c r="F554" s="126"/>
      <c r="G554" s="126"/>
      <c r="H554" s="126"/>
      <c r="I554" s="126"/>
      <c r="J554" s="126"/>
      <c r="K554" s="127"/>
      <c r="L554" s="128"/>
      <c r="M554" s="129"/>
      <c r="N554" s="95"/>
      <c r="O554" s="95"/>
      <c r="P554" s="130"/>
    </row>
    <row r="555" spans="2:16" s="89" customFormat="1" ht="12.75">
      <c r="B555" s="125"/>
      <c r="C555" s="126"/>
      <c r="D555" s="126"/>
      <c r="E555" s="126"/>
      <c r="F555" s="126"/>
      <c r="G555" s="126"/>
      <c r="H555" s="126"/>
      <c r="I555" s="126"/>
      <c r="J555" s="126"/>
      <c r="K555" s="127"/>
      <c r="L555" s="128"/>
      <c r="M555" s="129"/>
      <c r="N555" s="95"/>
      <c r="O555" s="95"/>
      <c r="P555" s="130"/>
    </row>
    <row r="556" spans="2:16" s="89" customFormat="1" ht="12.75">
      <c r="B556" s="125"/>
      <c r="C556" s="126"/>
      <c r="D556" s="126"/>
      <c r="E556" s="126"/>
      <c r="F556" s="126"/>
      <c r="G556" s="126"/>
      <c r="H556" s="126"/>
      <c r="I556" s="126"/>
      <c r="J556" s="126"/>
      <c r="K556" s="127"/>
      <c r="L556" s="128"/>
      <c r="M556" s="129"/>
      <c r="N556" s="95"/>
      <c r="O556" s="95"/>
      <c r="P556" s="130"/>
    </row>
    <row r="557" spans="2:16" s="89" customFormat="1" ht="12.75">
      <c r="B557" s="125"/>
      <c r="C557" s="126"/>
      <c r="D557" s="126"/>
      <c r="E557" s="126"/>
      <c r="F557" s="126"/>
      <c r="G557" s="126"/>
      <c r="H557" s="126"/>
      <c r="I557" s="126"/>
      <c r="J557" s="126"/>
      <c r="K557" s="127"/>
      <c r="L557" s="128"/>
      <c r="M557" s="129"/>
      <c r="N557" s="95"/>
      <c r="O557" s="95"/>
      <c r="P557" s="130"/>
    </row>
    <row r="558" spans="2:16" s="89" customFormat="1" ht="12.75">
      <c r="B558" s="125"/>
      <c r="C558" s="126"/>
      <c r="D558" s="126"/>
      <c r="E558" s="126"/>
      <c r="F558" s="126"/>
      <c r="G558" s="126"/>
      <c r="H558" s="126"/>
      <c r="I558" s="126"/>
      <c r="J558" s="126"/>
      <c r="K558" s="127"/>
      <c r="L558" s="128"/>
      <c r="M558" s="129"/>
      <c r="N558" s="95"/>
      <c r="O558" s="95"/>
      <c r="P558" s="130"/>
    </row>
    <row r="559" spans="2:16" s="89" customFormat="1" ht="12.75">
      <c r="B559" s="125"/>
      <c r="C559" s="126"/>
      <c r="D559" s="126"/>
      <c r="E559" s="126"/>
      <c r="F559" s="126"/>
      <c r="G559" s="126"/>
      <c r="H559" s="126"/>
      <c r="I559" s="126"/>
      <c r="J559" s="126"/>
      <c r="K559" s="127"/>
      <c r="L559" s="128"/>
      <c r="M559" s="129"/>
      <c r="N559" s="95"/>
      <c r="O559" s="95"/>
      <c r="P559" s="130"/>
    </row>
    <row r="560" spans="2:16" s="89" customFormat="1" ht="12.75">
      <c r="B560" s="125"/>
      <c r="C560" s="126"/>
      <c r="D560" s="126"/>
      <c r="E560" s="126"/>
      <c r="F560" s="126"/>
      <c r="G560" s="126"/>
      <c r="H560" s="126"/>
      <c r="I560" s="126"/>
      <c r="J560" s="126"/>
      <c r="K560" s="127"/>
      <c r="L560" s="128"/>
      <c r="M560" s="129"/>
      <c r="N560" s="95"/>
      <c r="O560" s="95"/>
      <c r="P560" s="130"/>
    </row>
    <row r="561" spans="2:16" s="89" customFormat="1" ht="12.75">
      <c r="B561" s="125"/>
      <c r="C561" s="126"/>
      <c r="D561" s="126"/>
      <c r="E561" s="126"/>
      <c r="F561" s="126"/>
      <c r="G561" s="126"/>
      <c r="H561" s="126"/>
      <c r="I561" s="126"/>
      <c r="J561" s="126"/>
      <c r="K561" s="127"/>
      <c r="L561" s="128"/>
      <c r="M561" s="129"/>
      <c r="N561" s="95"/>
      <c r="O561" s="95"/>
      <c r="P561" s="130"/>
    </row>
    <row r="562" spans="2:16" s="89" customFormat="1" ht="12.75">
      <c r="B562" s="125"/>
      <c r="C562" s="126"/>
      <c r="D562" s="126"/>
      <c r="E562" s="126"/>
      <c r="F562" s="126"/>
      <c r="G562" s="126"/>
      <c r="H562" s="126"/>
      <c r="I562" s="126"/>
      <c r="J562" s="126"/>
      <c r="K562" s="127"/>
      <c r="L562" s="128"/>
      <c r="M562" s="129"/>
      <c r="N562" s="95"/>
      <c r="O562" s="95"/>
      <c r="P562" s="130"/>
    </row>
    <row r="563" spans="2:16" s="89" customFormat="1" ht="12.75">
      <c r="B563" s="125"/>
      <c r="C563" s="126"/>
      <c r="D563" s="126"/>
      <c r="E563" s="126"/>
      <c r="F563" s="126"/>
      <c r="G563" s="126"/>
      <c r="H563" s="126"/>
      <c r="I563" s="126"/>
      <c r="J563" s="126"/>
      <c r="K563" s="127"/>
      <c r="L563" s="128"/>
      <c r="M563" s="129"/>
      <c r="N563" s="95"/>
      <c r="O563" s="95"/>
      <c r="P563" s="130"/>
    </row>
    <row r="564" spans="2:16" s="89" customFormat="1" ht="12.75">
      <c r="B564" s="125"/>
      <c r="C564" s="126"/>
      <c r="D564" s="126"/>
      <c r="E564" s="126"/>
      <c r="F564" s="126"/>
      <c r="G564" s="126"/>
      <c r="H564" s="126"/>
      <c r="I564" s="126"/>
      <c r="J564" s="126"/>
      <c r="K564" s="127"/>
      <c r="L564" s="128"/>
      <c r="M564" s="129"/>
      <c r="N564" s="95"/>
      <c r="O564" s="95"/>
      <c r="P564" s="130"/>
    </row>
    <row r="565" spans="2:16" s="89" customFormat="1" ht="12.75">
      <c r="B565" s="125"/>
      <c r="C565" s="126"/>
      <c r="D565" s="126"/>
      <c r="E565" s="126"/>
      <c r="F565" s="126"/>
      <c r="G565" s="126"/>
      <c r="H565" s="126"/>
      <c r="I565" s="126"/>
      <c r="J565" s="126"/>
      <c r="K565" s="127"/>
      <c r="L565" s="128"/>
      <c r="M565" s="129"/>
      <c r="N565" s="95"/>
      <c r="O565" s="95"/>
      <c r="P565" s="130"/>
    </row>
    <row r="566" spans="2:16" s="89" customFormat="1" ht="12.75">
      <c r="B566" s="125"/>
      <c r="C566" s="126"/>
      <c r="D566" s="126"/>
      <c r="E566" s="126"/>
      <c r="F566" s="126"/>
      <c r="G566" s="126"/>
      <c r="H566" s="126"/>
      <c r="I566" s="126"/>
      <c r="J566" s="126"/>
      <c r="K566" s="127"/>
      <c r="L566" s="128"/>
      <c r="M566" s="129"/>
      <c r="N566" s="95"/>
      <c r="O566" s="95"/>
      <c r="P566" s="130"/>
    </row>
    <row r="567" spans="2:16" s="89" customFormat="1" ht="12.75">
      <c r="B567" s="125"/>
      <c r="C567" s="126"/>
      <c r="D567" s="126"/>
      <c r="E567" s="126"/>
      <c r="F567" s="126"/>
      <c r="G567" s="126"/>
      <c r="H567" s="126"/>
      <c r="I567" s="126"/>
      <c r="J567" s="126"/>
      <c r="K567" s="127"/>
      <c r="L567" s="128"/>
      <c r="M567" s="129"/>
      <c r="N567" s="95"/>
      <c r="O567" s="95"/>
      <c r="P567" s="130"/>
    </row>
    <row r="568" spans="2:16" s="89" customFormat="1" ht="12.75">
      <c r="B568" s="125"/>
      <c r="C568" s="126"/>
      <c r="D568" s="126"/>
      <c r="E568" s="126"/>
      <c r="F568" s="126"/>
      <c r="G568" s="126"/>
      <c r="H568" s="126"/>
      <c r="I568" s="126"/>
      <c r="J568" s="126"/>
      <c r="K568" s="127"/>
      <c r="L568" s="128"/>
      <c r="M568" s="129"/>
      <c r="N568" s="95"/>
      <c r="O568" s="95"/>
      <c r="P568" s="130"/>
    </row>
    <row r="569" spans="2:16" s="89" customFormat="1" ht="12.75">
      <c r="B569" s="125"/>
      <c r="C569" s="126"/>
      <c r="D569" s="126"/>
      <c r="E569" s="126"/>
      <c r="F569" s="126"/>
      <c r="G569" s="126"/>
      <c r="H569" s="126"/>
      <c r="I569" s="126"/>
      <c r="J569" s="126"/>
      <c r="K569" s="127"/>
      <c r="L569" s="128"/>
      <c r="M569" s="129"/>
      <c r="N569" s="95"/>
      <c r="O569" s="95"/>
      <c r="P569" s="130"/>
    </row>
    <row r="570" spans="2:16" s="89" customFormat="1" ht="12.75">
      <c r="B570" s="125"/>
      <c r="C570" s="126"/>
      <c r="D570" s="126"/>
      <c r="E570" s="126"/>
      <c r="F570" s="126"/>
      <c r="G570" s="126"/>
      <c r="H570" s="126"/>
      <c r="I570" s="126"/>
      <c r="J570" s="126"/>
      <c r="K570" s="127"/>
      <c r="L570" s="128"/>
      <c r="M570" s="129"/>
      <c r="N570" s="95"/>
      <c r="O570" s="95"/>
      <c r="P570" s="130"/>
    </row>
    <row r="571" spans="2:16" s="89" customFormat="1" ht="12.75">
      <c r="B571" s="125"/>
      <c r="C571" s="126"/>
      <c r="D571" s="126"/>
      <c r="E571" s="126"/>
      <c r="F571" s="126"/>
      <c r="G571" s="126"/>
      <c r="H571" s="126"/>
      <c r="I571" s="126"/>
      <c r="J571" s="126"/>
      <c r="K571" s="127"/>
      <c r="L571" s="128"/>
      <c r="M571" s="129"/>
      <c r="N571" s="95"/>
      <c r="O571" s="95"/>
      <c r="P571" s="130"/>
    </row>
    <row r="572" spans="2:16" s="89" customFormat="1" ht="12.75">
      <c r="B572" s="125"/>
      <c r="C572" s="126"/>
      <c r="D572" s="126"/>
      <c r="E572" s="126"/>
      <c r="F572" s="126"/>
      <c r="G572" s="126"/>
      <c r="H572" s="126"/>
      <c r="I572" s="126"/>
      <c r="J572" s="126"/>
      <c r="K572" s="127"/>
      <c r="L572" s="128"/>
      <c r="M572" s="129"/>
      <c r="N572" s="95"/>
      <c r="O572" s="95"/>
      <c r="P572" s="130"/>
    </row>
    <row r="573" spans="2:16" s="89" customFormat="1" ht="12.75">
      <c r="B573" s="125"/>
      <c r="C573" s="126"/>
      <c r="D573" s="126"/>
      <c r="E573" s="126"/>
      <c r="F573" s="126"/>
      <c r="G573" s="126"/>
      <c r="H573" s="126"/>
      <c r="I573" s="126"/>
      <c r="J573" s="126"/>
      <c r="K573" s="127"/>
      <c r="L573" s="128"/>
      <c r="M573" s="129"/>
      <c r="N573" s="95"/>
      <c r="O573" s="95"/>
      <c r="P573" s="130"/>
    </row>
    <row r="574" spans="2:16" s="89" customFormat="1" ht="12.75">
      <c r="B574" s="125"/>
      <c r="C574" s="126"/>
      <c r="D574" s="126"/>
      <c r="E574" s="126"/>
      <c r="F574" s="126"/>
      <c r="G574" s="126"/>
      <c r="H574" s="126"/>
      <c r="I574" s="126"/>
      <c r="J574" s="126"/>
      <c r="K574" s="127"/>
      <c r="L574" s="128"/>
      <c r="M574" s="129"/>
      <c r="N574" s="95"/>
      <c r="O574" s="95"/>
      <c r="P574" s="130"/>
    </row>
    <row r="575" spans="2:16" s="89" customFormat="1" ht="12.75">
      <c r="B575" s="125"/>
      <c r="C575" s="126"/>
      <c r="D575" s="126"/>
      <c r="E575" s="126"/>
      <c r="F575" s="126"/>
      <c r="G575" s="126"/>
      <c r="H575" s="126"/>
      <c r="I575" s="126"/>
      <c r="J575" s="126"/>
      <c r="K575" s="127"/>
      <c r="L575" s="128"/>
      <c r="M575" s="129"/>
      <c r="N575" s="95"/>
      <c r="O575" s="95"/>
      <c r="P575" s="130"/>
    </row>
    <row r="576" spans="2:16" s="89" customFormat="1" ht="12.75">
      <c r="B576" s="125"/>
      <c r="C576" s="126"/>
      <c r="D576" s="126"/>
      <c r="E576" s="126"/>
      <c r="F576" s="126"/>
      <c r="G576" s="126"/>
      <c r="H576" s="126"/>
      <c r="I576" s="126"/>
      <c r="J576" s="126"/>
      <c r="K576" s="127"/>
      <c r="L576" s="128"/>
      <c r="M576" s="129"/>
      <c r="N576" s="95"/>
      <c r="O576" s="95"/>
      <c r="P576" s="130"/>
    </row>
    <row r="577" spans="2:16" s="89" customFormat="1" ht="12.75">
      <c r="B577" s="125"/>
      <c r="C577" s="126"/>
      <c r="D577" s="126"/>
      <c r="E577" s="126"/>
      <c r="F577" s="126"/>
      <c r="G577" s="126"/>
      <c r="H577" s="126"/>
      <c r="I577" s="126"/>
      <c r="J577" s="126"/>
      <c r="K577" s="127"/>
      <c r="L577" s="128"/>
      <c r="M577" s="129"/>
      <c r="N577" s="95"/>
      <c r="O577" s="95"/>
      <c r="P577" s="130"/>
    </row>
    <row r="578" spans="2:16" s="89" customFormat="1" ht="12.75">
      <c r="B578" s="125"/>
      <c r="C578" s="126"/>
      <c r="D578" s="126"/>
      <c r="E578" s="126"/>
      <c r="F578" s="126"/>
      <c r="G578" s="126"/>
      <c r="H578" s="126"/>
      <c r="I578" s="126"/>
      <c r="J578" s="126"/>
      <c r="K578" s="127"/>
      <c r="L578" s="128"/>
      <c r="M578" s="129"/>
      <c r="N578" s="95"/>
      <c r="O578" s="95"/>
      <c r="P578" s="130"/>
    </row>
    <row r="579" spans="2:16" s="89" customFormat="1" ht="12.75">
      <c r="B579" s="125"/>
      <c r="C579" s="126"/>
      <c r="D579" s="126"/>
      <c r="E579" s="126"/>
      <c r="F579" s="126"/>
      <c r="G579" s="126"/>
      <c r="H579" s="126"/>
      <c r="I579" s="126"/>
      <c r="J579" s="126"/>
      <c r="K579" s="127"/>
      <c r="L579" s="128"/>
      <c r="M579" s="129"/>
      <c r="N579" s="95"/>
      <c r="O579" s="95"/>
      <c r="P579" s="130"/>
    </row>
    <row r="580" spans="2:16" s="89" customFormat="1" ht="12.75">
      <c r="B580" s="125"/>
      <c r="C580" s="126"/>
      <c r="D580" s="126"/>
      <c r="E580" s="126"/>
      <c r="F580" s="126"/>
      <c r="G580" s="126"/>
      <c r="H580" s="126"/>
      <c r="I580" s="126"/>
      <c r="J580" s="126"/>
      <c r="K580" s="127"/>
      <c r="L580" s="128"/>
      <c r="M580" s="129"/>
      <c r="N580" s="95"/>
      <c r="O580" s="95"/>
      <c r="P580" s="130"/>
    </row>
    <row r="581" spans="2:16" s="89" customFormat="1" ht="12.75">
      <c r="B581" s="125"/>
      <c r="C581" s="126"/>
      <c r="D581" s="126"/>
      <c r="E581" s="126"/>
      <c r="F581" s="126"/>
      <c r="G581" s="126"/>
      <c r="H581" s="126"/>
      <c r="I581" s="126"/>
      <c r="J581" s="126"/>
      <c r="K581" s="127"/>
      <c r="L581" s="128"/>
      <c r="M581" s="129"/>
      <c r="N581" s="95"/>
      <c r="O581" s="95"/>
      <c r="P581" s="130"/>
    </row>
    <row r="582" spans="2:16" s="89" customFormat="1" ht="12.75">
      <c r="B582" s="125"/>
      <c r="C582" s="126"/>
      <c r="D582" s="126"/>
      <c r="E582" s="126"/>
      <c r="F582" s="126"/>
      <c r="G582" s="126"/>
      <c r="H582" s="126"/>
      <c r="I582" s="126"/>
      <c r="J582" s="126"/>
      <c r="K582" s="127"/>
      <c r="L582" s="128"/>
      <c r="M582" s="129"/>
      <c r="N582" s="95"/>
      <c r="O582" s="95"/>
      <c r="P582" s="130"/>
    </row>
    <row r="583" spans="2:16" s="89" customFormat="1" ht="12.75">
      <c r="B583" s="125"/>
      <c r="C583" s="126"/>
      <c r="D583" s="126"/>
      <c r="E583" s="126"/>
      <c r="F583" s="126"/>
      <c r="G583" s="126"/>
      <c r="H583" s="126"/>
      <c r="I583" s="126"/>
      <c r="J583" s="126"/>
      <c r="K583" s="127"/>
      <c r="L583" s="128"/>
      <c r="M583" s="129"/>
      <c r="N583" s="95"/>
      <c r="O583" s="95"/>
      <c r="P583" s="130"/>
    </row>
    <row r="584" spans="2:16" s="89" customFormat="1" ht="12.75">
      <c r="B584" s="125"/>
      <c r="C584" s="126"/>
      <c r="D584" s="126"/>
      <c r="E584" s="126"/>
      <c r="F584" s="126"/>
      <c r="G584" s="126"/>
      <c r="H584" s="126"/>
      <c r="I584" s="126"/>
      <c r="J584" s="126"/>
      <c r="K584" s="127"/>
      <c r="L584" s="128"/>
      <c r="M584" s="129"/>
      <c r="N584" s="95"/>
      <c r="O584" s="95"/>
      <c r="P584" s="130"/>
    </row>
    <row r="585" spans="2:16" s="89" customFormat="1" ht="12.75">
      <c r="B585" s="125"/>
      <c r="C585" s="126"/>
      <c r="D585" s="126"/>
      <c r="E585" s="126"/>
      <c r="F585" s="126"/>
      <c r="G585" s="126"/>
      <c r="H585" s="126"/>
      <c r="I585" s="126"/>
      <c r="J585" s="126"/>
      <c r="K585" s="127"/>
      <c r="L585" s="128"/>
      <c r="M585" s="129"/>
      <c r="N585" s="95"/>
      <c r="O585" s="95"/>
      <c r="P585" s="130"/>
    </row>
    <row r="586" spans="2:16" s="89" customFormat="1" ht="12.75">
      <c r="B586" s="125"/>
      <c r="C586" s="126"/>
      <c r="D586" s="126"/>
      <c r="E586" s="126"/>
      <c r="F586" s="126"/>
      <c r="G586" s="126"/>
      <c r="H586" s="126"/>
      <c r="I586" s="126"/>
      <c r="J586" s="126"/>
      <c r="K586" s="127"/>
      <c r="L586" s="128"/>
      <c r="M586" s="129"/>
      <c r="N586" s="95"/>
      <c r="O586" s="95"/>
      <c r="P586" s="130"/>
    </row>
    <row r="587" spans="2:16" s="89" customFormat="1" ht="12.75">
      <c r="B587" s="125"/>
      <c r="C587" s="126"/>
      <c r="D587" s="126"/>
      <c r="E587" s="126"/>
      <c r="F587" s="126"/>
      <c r="G587" s="126"/>
      <c r="H587" s="126"/>
      <c r="I587" s="126"/>
      <c r="J587" s="126"/>
      <c r="K587" s="127"/>
      <c r="L587" s="128"/>
      <c r="M587" s="129"/>
      <c r="N587" s="95"/>
      <c r="O587" s="95"/>
      <c r="P587" s="130"/>
    </row>
    <row r="588" spans="2:16" s="89" customFormat="1" ht="12.75">
      <c r="B588" s="125"/>
      <c r="C588" s="126"/>
      <c r="D588" s="126"/>
      <c r="E588" s="126"/>
      <c r="F588" s="126"/>
      <c r="G588" s="126"/>
      <c r="H588" s="126"/>
      <c r="I588" s="126"/>
      <c r="J588" s="126"/>
      <c r="K588" s="127"/>
      <c r="L588" s="128"/>
      <c r="M588" s="129"/>
      <c r="N588" s="95"/>
      <c r="O588" s="95"/>
      <c r="P588" s="130"/>
    </row>
    <row r="589" spans="2:16" s="89" customFormat="1" ht="12.75">
      <c r="B589" s="125"/>
      <c r="C589" s="126"/>
      <c r="D589" s="126"/>
      <c r="E589" s="126"/>
      <c r="F589" s="126"/>
      <c r="G589" s="126"/>
      <c r="H589" s="126"/>
      <c r="I589" s="126"/>
      <c r="J589" s="126"/>
      <c r="K589" s="127"/>
      <c r="L589" s="128"/>
      <c r="M589" s="129"/>
      <c r="N589" s="95"/>
      <c r="O589" s="95"/>
      <c r="P589" s="130"/>
    </row>
    <row r="590" spans="2:16" s="89" customFormat="1" ht="12.75">
      <c r="B590" s="125"/>
      <c r="C590" s="126"/>
      <c r="D590" s="126"/>
      <c r="E590" s="126"/>
      <c r="F590" s="126"/>
      <c r="G590" s="126"/>
      <c r="H590" s="126"/>
      <c r="I590" s="126"/>
      <c r="J590" s="126"/>
      <c r="K590" s="127"/>
      <c r="L590" s="128"/>
      <c r="M590" s="129"/>
      <c r="N590" s="95"/>
      <c r="O590" s="95"/>
      <c r="P590" s="130"/>
    </row>
    <row r="591" spans="2:16" s="89" customFormat="1" ht="12.75">
      <c r="B591" s="125"/>
      <c r="C591" s="126"/>
      <c r="D591" s="126"/>
      <c r="E591" s="126"/>
      <c r="F591" s="126"/>
      <c r="G591" s="126"/>
      <c r="H591" s="126"/>
      <c r="I591" s="126"/>
      <c r="J591" s="126"/>
      <c r="K591" s="127"/>
      <c r="L591" s="128"/>
      <c r="M591" s="129"/>
      <c r="N591" s="95"/>
      <c r="O591" s="95"/>
      <c r="P591" s="130"/>
    </row>
    <row r="592" spans="2:16" s="89" customFormat="1" ht="12.75">
      <c r="B592" s="125"/>
      <c r="C592" s="126"/>
      <c r="D592" s="126"/>
      <c r="E592" s="126"/>
      <c r="F592" s="126"/>
      <c r="G592" s="126"/>
      <c r="H592" s="126"/>
      <c r="I592" s="126"/>
      <c r="J592" s="126"/>
      <c r="K592" s="127"/>
      <c r="L592" s="128"/>
      <c r="M592" s="129"/>
      <c r="N592" s="95"/>
      <c r="O592" s="95"/>
      <c r="P592" s="130"/>
    </row>
    <row r="593" spans="2:16" s="89" customFormat="1" ht="12.75">
      <c r="B593" s="125"/>
      <c r="C593" s="126"/>
      <c r="D593" s="126"/>
      <c r="E593" s="126"/>
      <c r="F593" s="126"/>
      <c r="G593" s="126"/>
      <c r="H593" s="126"/>
      <c r="I593" s="126"/>
      <c r="J593" s="126"/>
      <c r="K593" s="127"/>
      <c r="L593" s="128"/>
      <c r="M593" s="129"/>
      <c r="N593" s="95"/>
      <c r="O593" s="95"/>
      <c r="P593" s="130"/>
    </row>
    <row r="594" spans="2:16" s="89" customFormat="1" ht="12.75">
      <c r="B594" s="125"/>
      <c r="C594" s="126"/>
      <c r="D594" s="126"/>
      <c r="E594" s="126"/>
      <c r="F594" s="126"/>
      <c r="G594" s="126"/>
      <c r="H594" s="126"/>
      <c r="I594" s="126"/>
      <c r="J594" s="126"/>
      <c r="K594" s="127"/>
      <c r="L594" s="128"/>
      <c r="M594" s="129"/>
      <c r="N594" s="95"/>
      <c r="O594" s="95"/>
      <c r="P594" s="130"/>
    </row>
    <row r="595" spans="2:16" s="89" customFormat="1" ht="12.75">
      <c r="B595" s="125"/>
      <c r="C595" s="126"/>
      <c r="D595" s="126"/>
      <c r="E595" s="126"/>
      <c r="F595" s="126"/>
      <c r="G595" s="126"/>
      <c r="H595" s="126"/>
      <c r="I595" s="126"/>
      <c r="J595" s="126"/>
      <c r="K595" s="127"/>
      <c r="L595" s="128"/>
      <c r="M595" s="129"/>
      <c r="N595" s="95"/>
      <c r="O595" s="95"/>
      <c r="P595" s="130"/>
    </row>
    <row r="596" spans="2:16" s="89" customFormat="1" ht="12.75">
      <c r="B596" s="125"/>
      <c r="C596" s="126"/>
      <c r="D596" s="126"/>
      <c r="E596" s="126"/>
      <c r="F596" s="126"/>
      <c r="G596" s="126"/>
      <c r="H596" s="126"/>
      <c r="I596" s="126"/>
      <c r="J596" s="126"/>
      <c r="K596" s="127"/>
      <c r="L596" s="128"/>
      <c r="M596" s="129"/>
      <c r="N596" s="95"/>
      <c r="O596" s="95"/>
      <c r="P596" s="130"/>
    </row>
    <row r="597" spans="2:16" s="89" customFormat="1" ht="12.75">
      <c r="B597" s="125"/>
      <c r="C597" s="126"/>
      <c r="D597" s="126"/>
      <c r="E597" s="126"/>
      <c r="F597" s="126"/>
      <c r="G597" s="126"/>
      <c r="H597" s="126"/>
      <c r="I597" s="126"/>
      <c r="J597" s="126"/>
      <c r="K597" s="127"/>
      <c r="L597" s="128"/>
      <c r="M597" s="129"/>
      <c r="N597" s="95"/>
      <c r="O597" s="95"/>
      <c r="P597" s="130"/>
    </row>
    <row r="598" spans="2:16" s="89" customFormat="1" ht="12.75">
      <c r="B598" s="125"/>
      <c r="C598" s="126"/>
      <c r="D598" s="126"/>
      <c r="E598" s="126"/>
      <c r="F598" s="126"/>
      <c r="G598" s="126"/>
      <c r="H598" s="126"/>
      <c r="I598" s="126"/>
      <c r="J598" s="126"/>
      <c r="K598" s="127"/>
      <c r="L598" s="128"/>
      <c r="M598" s="129"/>
      <c r="N598" s="95"/>
      <c r="O598" s="95"/>
      <c r="P598" s="130"/>
    </row>
    <row r="599" spans="2:16" s="89" customFormat="1" ht="12.75">
      <c r="B599" s="125"/>
      <c r="C599" s="126"/>
      <c r="D599" s="126"/>
      <c r="E599" s="126"/>
      <c r="F599" s="126"/>
      <c r="G599" s="126"/>
      <c r="H599" s="126"/>
      <c r="I599" s="126"/>
      <c r="J599" s="126"/>
      <c r="K599" s="127"/>
      <c r="L599" s="128"/>
      <c r="M599" s="129"/>
      <c r="N599" s="95"/>
      <c r="O599" s="95"/>
      <c r="P599" s="130"/>
    </row>
    <row r="600" spans="2:16" s="89" customFormat="1" ht="12.75">
      <c r="B600" s="125"/>
      <c r="C600" s="126"/>
      <c r="D600" s="126"/>
      <c r="E600" s="126"/>
      <c r="F600" s="126"/>
      <c r="G600" s="126"/>
      <c r="H600" s="126"/>
      <c r="I600" s="126"/>
      <c r="J600" s="126"/>
      <c r="K600" s="127"/>
      <c r="L600" s="128"/>
      <c r="M600" s="129"/>
      <c r="N600" s="95"/>
      <c r="O600" s="95"/>
      <c r="P600" s="130"/>
    </row>
    <row r="601" spans="2:16" s="89" customFormat="1" ht="12.75">
      <c r="B601" s="125"/>
      <c r="C601" s="126"/>
      <c r="D601" s="126"/>
      <c r="E601" s="126"/>
      <c r="F601" s="126"/>
      <c r="G601" s="126"/>
      <c r="H601" s="126"/>
      <c r="I601" s="126"/>
      <c r="J601" s="126"/>
      <c r="K601" s="127"/>
      <c r="L601" s="128"/>
      <c r="M601" s="129"/>
      <c r="N601" s="95"/>
      <c r="O601" s="95"/>
      <c r="P601" s="130"/>
    </row>
    <row r="602" spans="2:16" s="89" customFormat="1" ht="12.75">
      <c r="B602" s="125"/>
      <c r="C602" s="126"/>
      <c r="D602" s="126"/>
      <c r="E602" s="126"/>
      <c r="F602" s="126"/>
      <c r="G602" s="126"/>
      <c r="H602" s="126"/>
      <c r="I602" s="126"/>
      <c r="J602" s="126"/>
      <c r="K602" s="127"/>
      <c r="L602" s="128"/>
      <c r="M602" s="129"/>
      <c r="N602" s="95"/>
      <c r="O602" s="95"/>
      <c r="P602" s="130"/>
    </row>
    <row r="603" spans="2:16" s="89" customFormat="1" ht="12.75">
      <c r="B603" s="125"/>
      <c r="C603" s="126"/>
      <c r="D603" s="126"/>
      <c r="E603" s="126"/>
      <c r="F603" s="126"/>
      <c r="G603" s="126"/>
      <c r="H603" s="126"/>
      <c r="I603" s="126"/>
      <c r="J603" s="126"/>
      <c r="K603" s="127"/>
      <c r="L603" s="128"/>
      <c r="M603" s="129"/>
      <c r="N603" s="95"/>
      <c r="O603" s="95"/>
      <c r="P603" s="130"/>
    </row>
    <row r="604" spans="2:16" s="89" customFormat="1" ht="12.75">
      <c r="B604" s="125"/>
      <c r="C604" s="126"/>
      <c r="D604" s="126"/>
      <c r="E604" s="126"/>
      <c r="F604" s="126"/>
      <c r="G604" s="126"/>
      <c r="H604" s="126"/>
      <c r="I604" s="126"/>
      <c r="J604" s="126"/>
      <c r="K604" s="127"/>
      <c r="L604" s="128"/>
      <c r="M604" s="129"/>
      <c r="N604" s="95"/>
      <c r="O604" s="95"/>
      <c r="P604" s="130"/>
    </row>
    <row r="605" spans="2:16" s="89" customFormat="1" ht="12.75">
      <c r="B605" s="125"/>
      <c r="C605" s="126"/>
      <c r="D605" s="126"/>
      <c r="E605" s="126"/>
      <c r="F605" s="126"/>
      <c r="G605" s="126"/>
      <c r="H605" s="126"/>
      <c r="I605" s="126"/>
      <c r="J605" s="126"/>
      <c r="K605" s="127"/>
      <c r="L605" s="128"/>
      <c r="M605" s="129"/>
      <c r="N605" s="95"/>
      <c r="O605" s="95"/>
      <c r="P605" s="130"/>
    </row>
    <row r="606" spans="2:16" s="89" customFormat="1" ht="12.75">
      <c r="B606" s="125"/>
      <c r="C606" s="126"/>
      <c r="D606" s="126"/>
      <c r="E606" s="126"/>
      <c r="F606" s="126"/>
      <c r="G606" s="126"/>
      <c r="H606" s="126"/>
      <c r="I606" s="126"/>
      <c r="J606" s="126"/>
      <c r="K606" s="127"/>
      <c r="L606" s="128"/>
      <c r="M606" s="129"/>
      <c r="N606" s="95"/>
      <c r="O606" s="95"/>
      <c r="P606" s="130"/>
    </row>
    <row r="607" spans="2:16" s="89" customFormat="1" ht="12.75">
      <c r="B607" s="125"/>
      <c r="C607" s="126"/>
      <c r="D607" s="126"/>
      <c r="E607" s="126"/>
      <c r="F607" s="126"/>
      <c r="G607" s="126"/>
      <c r="H607" s="126"/>
      <c r="I607" s="126"/>
      <c r="J607" s="126"/>
      <c r="K607" s="127"/>
      <c r="L607" s="128"/>
      <c r="M607" s="129"/>
      <c r="N607" s="95"/>
      <c r="O607" s="95"/>
      <c r="P607" s="130"/>
    </row>
    <row r="608" spans="2:16" s="89" customFormat="1" ht="12.75">
      <c r="B608" s="125"/>
      <c r="C608" s="126"/>
      <c r="D608" s="126"/>
      <c r="E608" s="126"/>
      <c r="F608" s="126"/>
      <c r="G608" s="126"/>
      <c r="H608" s="126"/>
      <c r="I608" s="126"/>
      <c r="J608" s="126"/>
      <c r="K608" s="127"/>
      <c r="L608" s="128"/>
      <c r="M608" s="129"/>
      <c r="N608" s="95"/>
      <c r="O608" s="95"/>
      <c r="P608" s="130"/>
    </row>
    <row r="609" spans="2:16" s="89" customFormat="1" ht="12.75">
      <c r="B609" s="125"/>
      <c r="C609" s="126"/>
      <c r="D609" s="126"/>
      <c r="E609" s="126"/>
      <c r="F609" s="126"/>
      <c r="G609" s="126"/>
      <c r="H609" s="126"/>
      <c r="I609" s="126"/>
      <c r="J609" s="126"/>
      <c r="K609" s="127"/>
      <c r="L609" s="128"/>
      <c r="M609" s="129"/>
      <c r="N609" s="95"/>
      <c r="O609" s="95"/>
      <c r="P609" s="130"/>
    </row>
    <row r="610" spans="2:16" s="89" customFormat="1" ht="12.75">
      <c r="B610" s="125"/>
      <c r="C610" s="126"/>
      <c r="D610" s="126"/>
      <c r="E610" s="126"/>
      <c r="F610" s="126"/>
      <c r="G610" s="126"/>
      <c r="H610" s="126"/>
      <c r="I610" s="126"/>
      <c r="J610" s="126"/>
      <c r="K610" s="127"/>
      <c r="L610" s="128"/>
      <c r="M610" s="129"/>
      <c r="N610" s="95"/>
      <c r="O610" s="95"/>
      <c r="P610" s="130"/>
    </row>
    <row r="611" spans="2:16" s="89" customFormat="1" ht="12.75">
      <c r="B611" s="125"/>
      <c r="C611" s="126"/>
      <c r="D611" s="126"/>
      <c r="E611" s="126"/>
      <c r="F611" s="126"/>
      <c r="G611" s="126"/>
      <c r="H611" s="126"/>
      <c r="I611" s="126"/>
      <c r="J611" s="126"/>
      <c r="K611" s="127"/>
      <c r="L611" s="128"/>
      <c r="M611" s="129"/>
      <c r="N611" s="95"/>
      <c r="O611" s="95"/>
      <c r="P611" s="130"/>
    </row>
    <row r="612" spans="2:16" s="89" customFormat="1" ht="12.75">
      <c r="B612" s="125"/>
      <c r="C612" s="126"/>
      <c r="D612" s="126"/>
      <c r="E612" s="126"/>
      <c r="F612" s="126"/>
      <c r="G612" s="126"/>
      <c r="H612" s="126"/>
      <c r="I612" s="126"/>
      <c r="J612" s="126"/>
      <c r="K612" s="127"/>
      <c r="L612" s="128"/>
      <c r="M612" s="129"/>
      <c r="N612" s="95"/>
      <c r="O612" s="95"/>
      <c r="P612" s="130"/>
    </row>
    <row r="613" spans="2:16" s="89" customFormat="1" ht="12.75">
      <c r="B613" s="125"/>
      <c r="C613" s="126"/>
      <c r="D613" s="126"/>
      <c r="E613" s="126"/>
      <c r="F613" s="126"/>
      <c r="G613" s="126"/>
      <c r="H613" s="126"/>
      <c r="I613" s="126"/>
      <c r="J613" s="126"/>
      <c r="K613" s="127"/>
      <c r="L613" s="128"/>
      <c r="M613" s="129"/>
      <c r="N613" s="95"/>
      <c r="O613" s="95"/>
      <c r="P613" s="130"/>
    </row>
    <row r="614" spans="2:16" s="89" customFormat="1" ht="12.75">
      <c r="B614" s="125"/>
      <c r="C614" s="126"/>
      <c r="D614" s="126"/>
      <c r="E614" s="126"/>
      <c r="F614" s="126"/>
      <c r="G614" s="126"/>
      <c r="H614" s="126"/>
      <c r="I614" s="126"/>
      <c r="J614" s="126"/>
      <c r="K614" s="127"/>
      <c r="L614" s="128"/>
      <c r="M614" s="129"/>
      <c r="N614" s="95"/>
      <c r="O614" s="95"/>
      <c r="P614" s="130"/>
    </row>
    <row r="615" spans="2:16" s="89" customFormat="1" ht="12.75">
      <c r="B615" s="125"/>
      <c r="C615" s="126"/>
      <c r="D615" s="126"/>
      <c r="E615" s="126"/>
      <c r="F615" s="126"/>
      <c r="G615" s="126"/>
      <c r="H615" s="126"/>
      <c r="I615" s="126"/>
      <c r="J615" s="126"/>
      <c r="K615" s="127"/>
      <c r="L615" s="128"/>
      <c r="M615" s="129"/>
      <c r="N615" s="95"/>
      <c r="O615" s="95"/>
      <c r="P615" s="130"/>
    </row>
    <row r="616" spans="2:16" s="89" customFormat="1" ht="12.75">
      <c r="B616" s="125"/>
      <c r="C616" s="126"/>
      <c r="D616" s="126"/>
      <c r="E616" s="126"/>
      <c r="F616" s="126"/>
      <c r="G616" s="126"/>
      <c r="H616" s="126"/>
      <c r="I616" s="126"/>
      <c r="J616" s="126"/>
      <c r="K616" s="127"/>
      <c r="L616" s="128"/>
      <c r="M616" s="129"/>
      <c r="N616" s="95"/>
      <c r="O616" s="95"/>
      <c r="P616" s="130"/>
    </row>
    <row r="617" spans="2:16" s="89" customFormat="1" ht="12.75">
      <c r="B617" s="125"/>
      <c r="C617" s="126"/>
      <c r="D617" s="126"/>
      <c r="E617" s="126"/>
      <c r="F617" s="126"/>
      <c r="G617" s="126"/>
      <c r="H617" s="126"/>
      <c r="I617" s="126"/>
      <c r="J617" s="126"/>
      <c r="K617" s="127"/>
      <c r="L617" s="128"/>
      <c r="M617" s="129"/>
      <c r="N617" s="95"/>
      <c r="O617" s="95"/>
      <c r="P617" s="130"/>
    </row>
    <row r="618" spans="2:16" s="89" customFormat="1" ht="12.75">
      <c r="B618" s="125"/>
      <c r="C618" s="126"/>
      <c r="D618" s="126"/>
      <c r="E618" s="126"/>
      <c r="F618" s="126"/>
      <c r="G618" s="126"/>
      <c r="H618" s="126"/>
      <c r="I618" s="126"/>
      <c r="J618" s="126"/>
      <c r="K618" s="127"/>
      <c r="L618" s="128"/>
      <c r="M618" s="129"/>
      <c r="N618" s="95"/>
      <c r="O618" s="95"/>
      <c r="P618" s="130"/>
    </row>
    <row r="619" spans="2:16" s="89" customFormat="1" ht="12.75">
      <c r="B619" s="125"/>
      <c r="C619" s="126"/>
      <c r="D619" s="126"/>
      <c r="E619" s="126"/>
      <c r="F619" s="126"/>
      <c r="G619" s="126"/>
      <c r="H619" s="126"/>
      <c r="I619" s="126"/>
      <c r="J619" s="126"/>
      <c r="K619" s="127"/>
      <c r="L619" s="128"/>
      <c r="M619" s="129"/>
      <c r="N619" s="95"/>
      <c r="O619" s="95"/>
      <c r="P619" s="130"/>
    </row>
    <row r="620" spans="2:16" s="89" customFormat="1" ht="12.75">
      <c r="B620" s="125"/>
      <c r="C620" s="126"/>
      <c r="D620" s="126"/>
      <c r="E620" s="126"/>
      <c r="F620" s="126"/>
      <c r="G620" s="126"/>
      <c r="H620" s="126"/>
      <c r="I620" s="126"/>
      <c r="J620" s="126"/>
      <c r="K620" s="127"/>
      <c r="L620" s="128"/>
      <c r="M620" s="129"/>
      <c r="N620" s="95"/>
      <c r="O620" s="95"/>
      <c r="P620" s="130"/>
    </row>
    <row r="621" spans="2:16" s="89" customFormat="1" ht="12.75">
      <c r="B621" s="125"/>
      <c r="C621" s="126"/>
      <c r="D621" s="126"/>
      <c r="E621" s="126"/>
      <c r="F621" s="126"/>
      <c r="G621" s="126"/>
      <c r="H621" s="126"/>
      <c r="I621" s="126"/>
      <c r="J621" s="126"/>
      <c r="K621" s="127"/>
      <c r="L621" s="128"/>
      <c r="M621" s="129"/>
      <c r="N621" s="95"/>
      <c r="O621" s="95"/>
      <c r="P621" s="130"/>
    </row>
    <row r="622" spans="2:16" s="89" customFormat="1" ht="12.75">
      <c r="B622" s="125"/>
      <c r="C622" s="126"/>
      <c r="D622" s="126"/>
      <c r="E622" s="126"/>
      <c r="F622" s="126"/>
      <c r="G622" s="126"/>
      <c r="H622" s="126"/>
      <c r="I622" s="126"/>
      <c r="J622" s="126"/>
      <c r="K622" s="127"/>
      <c r="L622" s="128"/>
      <c r="M622" s="129"/>
      <c r="N622" s="95"/>
      <c r="O622" s="95"/>
      <c r="P622" s="130"/>
    </row>
    <row r="623" spans="2:16" s="89" customFormat="1" ht="12.75">
      <c r="B623" s="125"/>
      <c r="C623" s="126"/>
      <c r="D623" s="126"/>
      <c r="E623" s="126"/>
      <c r="F623" s="126"/>
      <c r="G623" s="126"/>
      <c r="H623" s="126"/>
      <c r="I623" s="126"/>
      <c r="J623" s="126"/>
      <c r="K623" s="127"/>
      <c r="L623" s="128"/>
      <c r="M623" s="129"/>
      <c r="N623" s="95"/>
      <c r="O623" s="95"/>
      <c r="P623" s="130"/>
    </row>
    <row r="624" spans="2:16" s="89" customFormat="1" ht="12.75">
      <c r="B624" s="125"/>
      <c r="C624" s="126"/>
      <c r="D624" s="126"/>
      <c r="E624" s="126"/>
      <c r="F624" s="126"/>
      <c r="G624" s="126"/>
      <c r="H624" s="126"/>
      <c r="I624" s="126"/>
      <c r="J624" s="126"/>
      <c r="K624" s="127"/>
      <c r="L624" s="128"/>
      <c r="M624" s="129"/>
      <c r="N624" s="95"/>
      <c r="O624" s="95"/>
      <c r="P624" s="130"/>
    </row>
    <row r="625" spans="2:16" s="89" customFormat="1" ht="12.75">
      <c r="B625" s="125"/>
      <c r="C625" s="126"/>
      <c r="D625" s="126"/>
      <c r="E625" s="126"/>
      <c r="F625" s="126"/>
      <c r="G625" s="126"/>
      <c r="H625" s="126"/>
      <c r="I625" s="126"/>
      <c r="J625" s="126"/>
      <c r="K625" s="127"/>
      <c r="L625" s="128"/>
      <c r="M625" s="129"/>
      <c r="N625" s="95"/>
      <c r="O625" s="95"/>
      <c r="P625" s="130"/>
    </row>
    <row r="626" spans="2:16" s="89" customFormat="1" ht="12.75">
      <c r="B626" s="125"/>
      <c r="C626" s="126"/>
      <c r="D626" s="126"/>
      <c r="E626" s="126"/>
      <c r="F626" s="126"/>
      <c r="G626" s="126"/>
      <c r="H626" s="126"/>
      <c r="I626" s="126"/>
      <c r="J626" s="126"/>
      <c r="K626" s="127"/>
      <c r="L626" s="128"/>
      <c r="M626" s="129"/>
      <c r="N626" s="95"/>
      <c r="O626" s="95"/>
      <c r="P626" s="130"/>
    </row>
    <row r="627" spans="2:16" s="89" customFormat="1" ht="12.75">
      <c r="B627" s="125"/>
      <c r="C627" s="126"/>
      <c r="D627" s="126"/>
      <c r="E627" s="126"/>
      <c r="F627" s="126"/>
      <c r="G627" s="126"/>
      <c r="H627" s="126"/>
      <c r="I627" s="126"/>
      <c r="J627" s="126"/>
      <c r="K627" s="127"/>
      <c r="L627" s="128"/>
      <c r="M627" s="129"/>
      <c r="N627" s="95"/>
      <c r="O627" s="95"/>
      <c r="P627" s="130"/>
    </row>
    <row r="628" spans="2:16" s="89" customFormat="1" ht="12.75">
      <c r="B628" s="125"/>
      <c r="C628" s="126"/>
      <c r="D628" s="126"/>
      <c r="E628" s="126"/>
      <c r="F628" s="126"/>
      <c r="G628" s="126"/>
      <c r="H628" s="126"/>
      <c r="I628" s="126"/>
      <c r="J628" s="126"/>
      <c r="K628" s="127"/>
      <c r="L628" s="128"/>
      <c r="M628" s="129"/>
      <c r="N628" s="95"/>
      <c r="O628" s="95"/>
      <c r="P628" s="130"/>
    </row>
    <row r="629" spans="2:16" s="89" customFormat="1" ht="12.75">
      <c r="B629" s="125"/>
      <c r="C629" s="126"/>
      <c r="D629" s="126"/>
      <c r="E629" s="126"/>
      <c r="F629" s="126"/>
      <c r="G629" s="126"/>
      <c r="H629" s="126"/>
      <c r="I629" s="126"/>
      <c r="J629" s="126"/>
      <c r="K629" s="127"/>
      <c r="L629" s="128"/>
      <c r="M629" s="129"/>
      <c r="N629" s="95"/>
      <c r="O629" s="95"/>
      <c r="P629" s="130"/>
    </row>
    <row r="630" spans="2:16" s="89" customFormat="1" ht="12.75">
      <c r="B630" s="125"/>
      <c r="C630" s="126"/>
      <c r="D630" s="126"/>
      <c r="E630" s="126"/>
      <c r="F630" s="126"/>
      <c r="G630" s="126"/>
      <c r="H630" s="126"/>
      <c r="I630" s="126"/>
      <c r="J630" s="126"/>
      <c r="K630" s="127"/>
      <c r="L630" s="128"/>
      <c r="M630" s="129"/>
      <c r="N630" s="95"/>
      <c r="O630" s="95"/>
      <c r="P630" s="130"/>
    </row>
    <row r="631" spans="2:16" s="89" customFormat="1" ht="12.75">
      <c r="B631" s="125"/>
      <c r="C631" s="126"/>
      <c r="D631" s="126"/>
      <c r="E631" s="126"/>
      <c r="F631" s="126"/>
      <c r="G631" s="126"/>
      <c r="H631" s="126"/>
      <c r="I631" s="126"/>
      <c r="J631" s="126"/>
      <c r="K631" s="127"/>
      <c r="L631" s="128"/>
      <c r="M631" s="129"/>
      <c r="N631" s="95"/>
      <c r="O631" s="95"/>
      <c r="P631" s="130"/>
    </row>
    <row r="632" spans="2:16" s="89" customFormat="1" ht="12.75">
      <c r="B632" s="125"/>
      <c r="C632" s="126"/>
      <c r="D632" s="126"/>
      <c r="E632" s="126"/>
      <c r="F632" s="126"/>
      <c r="G632" s="126"/>
      <c r="H632" s="126"/>
      <c r="I632" s="126"/>
      <c r="J632" s="126"/>
      <c r="K632" s="127"/>
      <c r="L632" s="128"/>
      <c r="M632" s="129"/>
      <c r="N632" s="95"/>
      <c r="O632" s="95"/>
      <c r="P632" s="130"/>
    </row>
    <row r="633" spans="2:16" s="89" customFormat="1" ht="12.75">
      <c r="B633" s="125"/>
      <c r="C633" s="126"/>
      <c r="D633" s="126"/>
      <c r="E633" s="126"/>
      <c r="F633" s="126"/>
      <c r="G633" s="126"/>
      <c r="H633" s="126"/>
      <c r="I633" s="126"/>
      <c r="J633" s="126"/>
      <c r="K633" s="127"/>
      <c r="L633" s="128"/>
      <c r="M633" s="129"/>
      <c r="N633" s="95"/>
      <c r="O633" s="95"/>
      <c r="P633" s="130"/>
    </row>
    <row r="634" spans="2:16" s="89" customFormat="1" ht="12.75">
      <c r="B634" s="125"/>
      <c r="C634" s="126"/>
      <c r="D634" s="126"/>
      <c r="E634" s="126"/>
      <c r="F634" s="126"/>
      <c r="G634" s="126"/>
      <c r="H634" s="126"/>
      <c r="I634" s="126"/>
      <c r="J634" s="126"/>
      <c r="K634" s="127"/>
      <c r="L634" s="128"/>
      <c r="M634" s="129"/>
      <c r="N634" s="95"/>
      <c r="O634" s="95"/>
      <c r="P634" s="130"/>
    </row>
    <row r="635" spans="2:16" s="89" customFormat="1" ht="12.75">
      <c r="B635" s="125"/>
      <c r="C635" s="126"/>
      <c r="D635" s="126"/>
      <c r="E635" s="126"/>
      <c r="F635" s="126"/>
      <c r="G635" s="126"/>
      <c r="H635" s="126"/>
      <c r="I635" s="126"/>
      <c r="J635" s="126"/>
      <c r="K635" s="127"/>
      <c r="L635" s="128"/>
      <c r="M635" s="129"/>
      <c r="N635" s="95"/>
      <c r="O635" s="95"/>
      <c r="P635" s="130"/>
    </row>
    <row r="636" spans="2:16" s="89" customFormat="1" ht="12.75">
      <c r="B636" s="125"/>
      <c r="C636" s="126"/>
      <c r="D636" s="126"/>
      <c r="E636" s="126"/>
      <c r="F636" s="126"/>
      <c r="G636" s="126"/>
      <c r="H636" s="126"/>
      <c r="I636" s="126"/>
      <c r="J636" s="126"/>
      <c r="K636" s="127"/>
      <c r="L636" s="128"/>
      <c r="M636" s="129"/>
      <c r="N636" s="95"/>
      <c r="O636" s="95"/>
      <c r="P636" s="130"/>
    </row>
    <row r="637" spans="2:16" s="89" customFormat="1" ht="12.75">
      <c r="B637" s="125"/>
      <c r="C637" s="126"/>
      <c r="D637" s="126"/>
      <c r="E637" s="126"/>
      <c r="F637" s="126"/>
      <c r="G637" s="126"/>
      <c r="H637" s="126"/>
      <c r="I637" s="126"/>
      <c r="J637" s="126"/>
      <c r="K637" s="127"/>
      <c r="L637" s="128"/>
      <c r="M637" s="129"/>
      <c r="N637" s="95"/>
      <c r="O637" s="95"/>
      <c r="P637" s="130"/>
    </row>
    <row r="638" spans="2:16" s="89" customFormat="1" ht="12.75">
      <c r="B638" s="125"/>
      <c r="C638" s="126"/>
      <c r="D638" s="126"/>
      <c r="E638" s="126"/>
      <c r="F638" s="126"/>
      <c r="G638" s="126"/>
      <c r="H638" s="126"/>
      <c r="I638" s="126"/>
      <c r="J638" s="126"/>
      <c r="K638" s="127"/>
      <c r="L638" s="128"/>
      <c r="M638" s="129"/>
      <c r="N638" s="95"/>
      <c r="O638" s="95"/>
      <c r="P638" s="130"/>
    </row>
    <row r="639" spans="2:16" s="89" customFormat="1" ht="12.75">
      <c r="B639" s="125"/>
      <c r="C639" s="126"/>
      <c r="D639" s="126"/>
      <c r="E639" s="126"/>
      <c r="F639" s="126"/>
      <c r="G639" s="126"/>
      <c r="H639" s="126"/>
      <c r="I639" s="126"/>
      <c r="J639" s="126"/>
      <c r="K639" s="127"/>
      <c r="L639" s="128"/>
      <c r="M639" s="129"/>
      <c r="N639" s="95"/>
      <c r="O639" s="95"/>
      <c r="P639" s="130"/>
    </row>
    <row r="640" spans="2:16" s="89" customFormat="1" ht="12.75">
      <c r="B640" s="125"/>
      <c r="C640" s="126"/>
      <c r="D640" s="126"/>
      <c r="E640" s="126"/>
      <c r="F640" s="126"/>
      <c r="G640" s="126"/>
      <c r="H640" s="126"/>
      <c r="I640" s="126"/>
      <c r="J640" s="126"/>
      <c r="K640" s="127"/>
      <c r="L640" s="128"/>
      <c r="M640" s="129"/>
      <c r="N640" s="95"/>
      <c r="O640" s="95"/>
      <c r="P640" s="130"/>
    </row>
    <row r="641" spans="2:16" s="89" customFormat="1" ht="12.75">
      <c r="B641" s="125"/>
      <c r="C641" s="126"/>
      <c r="D641" s="126"/>
      <c r="E641" s="126"/>
      <c r="F641" s="126"/>
      <c r="G641" s="126"/>
      <c r="H641" s="126"/>
      <c r="I641" s="126"/>
      <c r="J641" s="126"/>
      <c r="K641" s="127"/>
      <c r="L641" s="128"/>
      <c r="M641" s="129"/>
      <c r="N641" s="95"/>
      <c r="O641" s="95"/>
      <c r="P641" s="130"/>
    </row>
    <row r="642" spans="2:16" s="89" customFormat="1" ht="12.75">
      <c r="B642" s="125"/>
      <c r="C642" s="126"/>
      <c r="D642" s="126"/>
      <c r="E642" s="126"/>
      <c r="F642" s="126"/>
      <c r="G642" s="126"/>
      <c r="H642" s="126"/>
      <c r="I642" s="126"/>
      <c r="J642" s="126"/>
      <c r="K642" s="127"/>
      <c r="L642" s="128"/>
      <c r="M642" s="129"/>
      <c r="N642" s="95"/>
      <c r="O642" s="95"/>
      <c r="P642" s="130"/>
    </row>
    <row r="643" spans="2:16" s="89" customFormat="1" ht="12.75">
      <c r="B643" s="125"/>
      <c r="C643" s="126"/>
      <c r="D643" s="126"/>
      <c r="E643" s="126"/>
      <c r="F643" s="126"/>
      <c r="G643" s="126"/>
      <c r="H643" s="126"/>
      <c r="I643" s="126"/>
      <c r="J643" s="126"/>
      <c r="K643" s="127"/>
      <c r="L643" s="128"/>
      <c r="M643" s="129"/>
      <c r="N643" s="95"/>
      <c r="O643" s="95"/>
      <c r="P643" s="130"/>
    </row>
    <row r="644" spans="2:16" s="89" customFormat="1" ht="12.75">
      <c r="B644" s="125"/>
      <c r="C644" s="126"/>
      <c r="D644" s="126"/>
      <c r="E644" s="126"/>
      <c r="F644" s="126"/>
      <c r="G644" s="126"/>
      <c r="H644" s="126"/>
      <c r="I644" s="126"/>
      <c r="J644" s="126"/>
      <c r="K644" s="127"/>
      <c r="L644" s="128"/>
      <c r="M644" s="129"/>
      <c r="N644" s="95"/>
      <c r="O644" s="95"/>
      <c r="P644" s="130"/>
    </row>
    <row r="645" spans="2:16" s="89" customFormat="1" ht="12.75">
      <c r="B645" s="125"/>
      <c r="C645" s="126"/>
      <c r="D645" s="126"/>
      <c r="E645" s="126"/>
      <c r="F645" s="126"/>
      <c r="G645" s="126"/>
      <c r="H645" s="126"/>
      <c r="I645" s="126"/>
      <c r="J645" s="126"/>
      <c r="K645" s="127"/>
      <c r="L645" s="128"/>
      <c r="M645" s="129"/>
      <c r="N645" s="95"/>
      <c r="O645" s="95"/>
      <c r="P645" s="130"/>
    </row>
    <row r="646" spans="2:16" s="89" customFormat="1" ht="12.75">
      <c r="B646" s="125"/>
      <c r="C646" s="126"/>
      <c r="D646" s="126"/>
      <c r="E646" s="126"/>
      <c r="F646" s="126"/>
      <c r="G646" s="126"/>
      <c r="H646" s="126"/>
      <c r="I646" s="126"/>
      <c r="J646" s="126"/>
      <c r="K646" s="127"/>
      <c r="L646" s="128"/>
      <c r="M646" s="129"/>
      <c r="N646" s="95"/>
      <c r="O646" s="95"/>
      <c r="P646" s="130"/>
    </row>
    <row r="647" spans="2:16" s="89" customFormat="1" ht="12.75">
      <c r="B647" s="125"/>
      <c r="C647" s="126"/>
      <c r="D647" s="126"/>
      <c r="E647" s="126"/>
      <c r="F647" s="126"/>
      <c r="G647" s="126"/>
      <c r="H647" s="126"/>
      <c r="I647" s="126"/>
      <c r="J647" s="126"/>
      <c r="K647" s="127"/>
      <c r="L647" s="128"/>
      <c r="M647" s="129"/>
      <c r="N647" s="95"/>
      <c r="O647" s="95"/>
      <c r="P647" s="130"/>
    </row>
    <row r="648" spans="2:16" s="89" customFormat="1" ht="12.75">
      <c r="B648" s="125"/>
      <c r="C648" s="126"/>
      <c r="D648" s="126"/>
      <c r="E648" s="126"/>
      <c r="F648" s="126"/>
      <c r="G648" s="126"/>
      <c r="H648" s="126"/>
      <c r="I648" s="126"/>
      <c r="J648" s="126"/>
      <c r="K648" s="127"/>
      <c r="L648" s="128"/>
      <c r="M648" s="129"/>
      <c r="N648" s="95"/>
      <c r="O648" s="95"/>
      <c r="P648" s="130"/>
    </row>
    <row r="649" spans="2:16" s="89" customFormat="1" ht="12.75">
      <c r="B649" s="125"/>
      <c r="C649" s="126"/>
      <c r="D649" s="126"/>
      <c r="E649" s="126"/>
      <c r="F649" s="126"/>
      <c r="G649" s="126"/>
      <c r="H649" s="126"/>
      <c r="I649" s="126"/>
      <c r="J649" s="126"/>
      <c r="K649" s="127"/>
      <c r="L649" s="128"/>
      <c r="M649" s="129"/>
      <c r="N649" s="95"/>
      <c r="O649" s="95"/>
      <c r="P649" s="130"/>
    </row>
    <row r="650" spans="2:16" s="89" customFormat="1" ht="12.75">
      <c r="B650" s="125"/>
      <c r="C650" s="126"/>
      <c r="D650" s="126"/>
      <c r="E650" s="126"/>
      <c r="F650" s="126"/>
      <c r="G650" s="126"/>
      <c r="H650" s="126"/>
      <c r="I650" s="126"/>
      <c r="J650" s="126"/>
      <c r="K650" s="127"/>
      <c r="L650" s="128"/>
      <c r="M650" s="129"/>
      <c r="N650" s="95"/>
      <c r="O650" s="95"/>
      <c r="P650" s="130"/>
    </row>
    <row r="651" spans="2:16" s="89" customFormat="1" ht="12.75">
      <c r="B651" s="125"/>
      <c r="C651" s="126"/>
      <c r="D651" s="126"/>
      <c r="E651" s="126"/>
      <c r="F651" s="126"/>
      <c r="G651" s="126"/>
      <c r="H651" s="126"/>
      <c r="I651" s="126"/>
      <c r="J651" s="126"/>
      <c r="K651" s="127"/>
      <c r="L651" s="128"/>
      <c r="M651" s="129"/>
      <c r="N651" s="95"/>
      <c r="O651" s="95"/>
      <c r="P651" s="130"/>
    </row>
    <row r="652" spans="2:16" s="89" customFormat="1" ht="12.75">
      <c r="B652" s="125"/>
      <c r="C652" s="126"/>
      <c r="D652" s="126"/>
      <c r="E652" s="126"/>
      <c r="F652" s="126"/>
      <c r="G652" s="126"/>
      <c r="H652" s="126"/>
      <c r="I652" s="126"/>
      <c r="J652" s="126"/>
      <c r="K652" s="127"/>
      <c r="L652" s="128"/>
      <c r="M652" s="129"/>
      <c r="N652" s="95"/>
      <c r="O652" s="95"/>
      <c r="P652" s="130"/>
    </row>
    <row r="653" spans="2:16" s="89" customFormat="1" ht="12.75">
      <c r="B653" s="125"/>
      <c r="C653" s="126"/>
      <c r="D653" s="126"/>
      <c r="E653" s="126"/>
      <c r="F653" s="126"/>
      <c r="G653" s="126"/>
      <c r="H653" s="126"/>
      <c r="I653" s="126"/>
      <c r="J653" s="126"/>
      <c r="K653" s="127"/>
      <c r="L653" s="128"/>
      <c r="M653" s="129"/>
      <c r="N653" s="95"/>
      <c r="O653" s="95"/>
      <c r="P653" s="130"/>
    </row>
    <row r="654" spans="2:16" s="89" customFormat="1" ht="12.75">
      <c r="B654" s="125"/>
      <c r="C654" s="126"/>
      <c r="D654" s="126"/>
      <c r="E654" s="126"/>
      <c r="F654" s="126"/>
      <c r="G654" s="126"/>
      <c r="H654" s="126"/>
      <c r="I654" s="126"/>
      <c r="J654" s="126"/>
      <c r="K654" s="127"/>
      <c r="L654" s="128"/>
      <c r="M654" s="129"/>
      <c r="N654" s="95"/>
      <c r="O654" s="95"/>
      <c r="P654" s="130"/>
    </row>
    <row r="655" spans="2:16" s="89" customFormat="1" ht="12.75">
      <c r="B655" s="125"/>
      <c r="C655" s="126"/>
      <c r="D655" s="126"/>
      <c r="E655" s="126"/>
      <c r="F655" s="126"/>
      <c r="G655" s="126"/>
      <c r="H655" s="126"/>
      <c r="I655" s="126"/>
      <c r="J655" s="126"/>
      <c r="K655" s="127"/>
      <c r="L655" s="128"/>
      <c r="M655" s="129"/>
      <c r="N655" s="95"/>
      <c r="O655" s="95"/>
      <c r="P655" s="130"/>
    </row>
    <row r="656" spans="2:16" s="89" customFormat="1" ht="12.75">
      <c r="B656" s="125"/>
      <c r="C656" s="126"/>
      <c r="D656" s="126"/>
      <c r="E656" s="126"/>
      <c r="F656" s="126"/>
      <c r="G656" s="126"/>
      <c r="H656" s="126"/>
      <c r="I656" s="126"/>
      <c r="J656" s="126"/>
      <c r="K656" s="127"/>
      <c r="L656" s="128"/>
      <c r="M656" s="129"/>
      <c r="N656" s="95"/>
      <c r="O656" s="95"/>
      <c r="P656" s="130"/>
    </row>
    <row r="657" spans="2:16" s="89" customFormat="1" ht="12.75">
      <c r="B657" s="125"/>
      <c r="C657" s="126"/>
      <c r="D657" s="126"/>
      <c r="E657" s="126"/>
      <c r="F657" s="126"/>
      <c r="G657" s="126"/>
      <c r="H657" s="126"/>
      <c r="I657" s="126"/>
      <c r="J657" s="126"/>
      <c r="K657" s="127"/>
      <c r="L657" s="128"/>
      <c r="M657" s="129"/>
      <c r="N657" s="95"/>
      <c r="O657" s="95"/>
      <c r="P657" s="130"/>
    </row>
    <row r="658" spans="2:16" s="89" customFormat="1" ht="12.75">
      <c r="B658" s="125"/>
      <c r="C658" s="126"/>
      <c r="D658" s="126"/>
      <c r="E658" s="126"/>
      <c r="F658" s="126"/>
      <c r="G658" s="126"/>
      <c r="H658" s="126"/>
      <c r="I658" s="126"/>
      <c r="J658" s="126"/>
      <c r="K658" s="127"/>
      <c r="L658" s="128"/>
      <c r="M658" s="129"/>
      <c r="N658" s="95"/>
      <c r="O658" s="95"/>
      <c r="P658" s="130"/>
    </row>
    <row r="659" spans="2:16" s="89" customFormat="1" ht="12.75">
      <c r="B659" s="125"/>
      <c r="C659" s="126"/>
      <c r="D659" s="126"/>
      <c r="E659" s="126"/>
      <c r="F659" s="126"/>
      <c r="G659" s="126"/>
      <c r="H659" s="126"/>
      <c r="I659" s="126"/>
      <c r="J659" s="126"/>
      <c r="K659" s="127"/>
      <c r="L659" s="128"/>
      <c r="M659" s="129"/>
      <c r="N659" s="95"/>
      <c r="O659" s="95"/>
      <c r="P659" s="130"/>
    </row>
    <row r="660" spans="2:16" s="89" customFormat="1" ht="12.75">
      <c r="B660" s="125"/>
      <c r="C660" s="126"/>
      <c r="D660" s="126"/>
      <c r="E660" s="126"/>
      <c r="F660" s="126"/>
      <c r="G660" s="126"/>
      <c r="H660" s="126"/>
      <c r="I660" s="126"/>
      <c r="J660" s="126"/>
      <c r="K660" s="127"/>
      <c r="L660" s="128"/>
      <c r="M660" s="129"/>
      <c r="N660" s="95"/>
      <c r="O660" s="95"/>
      <c r="P660" s="130"/>
    </row>
    <row r="661" spans="2:16" s="89" customFormat="1" ht="12.75">
      <c r="B661" s="125"/>
      <c r="C661" s="126"/>
      <c r="D661" s="126"/>
      <c r="E661" s="126"/>
      <c r="F661" s="126"/>
      <c r="G661" s="126"/>
      <c r="H661" s="126"/>
      <c r="I661" s="126"/>
      <c r="J661" s="126"/>
      <c r="K661" s="127"/>
      <c r="L661" s="128"/>
      <c r="M661" s="129"/>
      <c r="N661" s="95"/>
      <c r="O661" s="95"/>
      <c r="P661" s="130"/>
    </row>
    <row r="662" spans="2:16" s="89" customFormat="1" ht="12.75">
      <c r="B662" s="125"/>
      <c r="C662" s="126"/>
      <c r="D662" s="126"/>
      <c r="E662" s="126"/>
      <c r="F662" s="126"/>
      <c r="G662" s="126"/>
      <c r="H662" s="126"/>
      <c r="I662" s="126"/>
      <c r="J662" s="126"/>
      <c r="K662" s="127"/>
      <c r="L662" s="128"/>
      <c r="M662" s="129"/>
      <c r="N662" s="95"/>
      <c r="O662" s="95"/>
      <c r="P662" s="130"/>
    </row>
    <row r="663" spans="2:16" s="89" customFormat="1" ht="12.75">
      <c r="B663" s="125"/>
      <c r="C663" s="126"/>
      <c r="D663" s="126"/>
      <c r="E663" s="126"/>
      <c r="F663" s="126"/>
      <c r="G663" s="126"/>
      <c r="H663" s="126"/>
      <c r="I663" s="126"/>
      <c r="J663" s="126"/>
      <c r="K663" s="127"/>
      <c r="L663" s="128"/>
      <c r="M663" s="129"/>
      <c r="N663" s="95"/>
      <c r="O663" s="95"/>
      <c r="P663" s="130"/>
    </row>
    <row r="664" spans="2:16" s="89" customFormat="1" ht="12.75">
      <c r="B664" s="125"/>
      <c r="C664" s="126"/>
      <c r="D664" s="126"/>
      <c r="E664" s="126"/>
      <c r="F664" s="126"/>
      <c r="G664" s="126"/>
      <c r="H664" s="126"/>
      <c r="I664" s="126"/>
      <c r="J664" s="126"/>
      <c r="K664" s="127"/>
      <c r="L664" s="128"/>
      <c r="M664" s="129"/>
      <c r="N664" s="95"/>
      <c r="O664" s="95"/>
      <c r="P664" s="130"/>
    </row>
    <row r="665" spans="2:16" s="89" customFormat="1" ht="12.75">
      <c r="B665" s="125"/>
      <c r="C665" s="126"/>
      <c r="D665" s="126"/>
      <c r="E665" s="126"/>
      <c r="F665" s="126"/>
      <c r="G665" s="126"/>
      <c r="H665" s="126"/>
      <c r="I665" s="126"/>
      <c r="J665" s="126"/>
      <c r="K665" s="127"/>
      <c r="L665" s="128"/>
      <c r="M665" s="129"/>
      <c r="N665" s="95"/>
      <c r="O665" s="95"/>
      <c r="P665" s="130"/>
    </row>
    <row r="666" spans="2:16" s="89" customFormat="1" ht="12.75">
      <c r="B666" s="125"/>
      <c r="C666" s="126"/>
      <c r="D666" s="126"/>
      <c r="E666" s="126"/>
      <c r="F666" s="126"/>
      <c r="G666" s="126"/>
      <c r="H666" s="126"/>
      <c r="I666" s="126"/>
      <c r="J666" s="126"/>
      <c r="K666" s="127"/>
      <c r="L666" s="128"/>
      <c r="M666" s="129"/>
      <c r="N666" s="95"/>
      <c r="O666" s="95"/>
      <c r="P666" s="130"/>
    </row>
    <row r="667" spans="2:16" s="89" customFormat="1" ht="12.75">
      <c r="B667" s="125"/>
      <c r="C667" s="126"/>
      <c r="D667" s="126"/>
      <c r="E667" s="126"/>
      <c r="F667" s="126"/>
      <c r="G667" s="126"/>
      <c r="H667" s="126"/>
      <c r="I667" s="126"/>
      <c r="J667" s="126"/>
      <c r="K667" s="127"/>
      <c r="L667" s="128"/>
      <c r="M667" s="129"/>
      <c r="N667" s="95"/>
      <c r="O667" s="95"/>
      <c r="P667" s="130"/>
    </row>
    <row r="668" spans="2:16" s="89" customFormat="1" ht="12.75">
      <c r="B668" s="125"/>
      <c r="C668" s="126"/>
      <c r="D668" s="126"/>
      <c r="E668" s="126"/>
      <c r="F668" s="126"/>
      <c r="G668" s="126"/>
      <c r="H668" s="126"/>
      <c r="I668" s="126"/>
      <c r="J668" s="126"/>
      <c r="K668" s="127"/>
      <c r="L668" s="128"/>
      <c r="M668" s="129"/>
      <c r="N668" s="95"/>
      <c r="O668" s="95"/>
      <c r="P668" s="130"/>
    </row>
    <row r="669" spans="2:16" s="89" customFormat="1" ht="12.75">
      <c r="B669" s="125"/>
      <c r="C669" s="126"/>
      <c r="D669" s="126"/>
      <c r="E669" s="126"/>
      <c r="F669" s="126"/>
      <c r="G669" s="126"/>
      <c r="H669" s="126"/>
      <c r="I669" s="126"/>
      <c r="J669" s="126"/>
      <c r="K669" s="127"/>
      <c r="L669" s="128"/>
      <c r="M669" s="129"/>
      <c r="N669" s="95"/>
      <c r="O669" s="95"/>
      <c r="P669" s="130"/>
    </row>
    <row r="670" spans="2:16" s="89" customFormat="1" ht="12.75">
      <c r="B670" s="125"/>
      <c r="C670" s="126"/>
      <c r="D670" s="126"/>
      <c r="E670" s="126"/>
      <c r="F670" s="126"/>
      <c r="G670" s="126"/>
      <c r="H670" s="126"/>
      <c r="I670" s="126"/>
      <c r="J670" s="126"/>
      <c r="K670" s="127"/>
      <c r="L670" s="128"/>
      <c r="M670" s="129"/>
      <c r="N670" s="95"/>
      <c r="O670" s="95"/>
      <c r="P670" s="130"/>
    </row>
    <row r="671" spans="2:16" s="89" customFormat="1" ht="12.75">
      <c r="B671" s="125"/>
      <c r="C671" s="126"/>
      <c r="D671" s="126"/>
      <c r="E671" s="126"/>
      <c r="F671" s="126"/>
      <c r="G671" s="126"/>
      <c r="H671" s="126"/>
      <c r="I671" s="126"/>
      <c r="J671" s="126"/>
      <c r="K671" s="127"/>
      <c r="L671" s="128"/>
      <c r="M671" s="129"/>
      <c r="N671" s="95"/>
      <c r="O671" s="95"/>
      <c r="P671" s="130"/>
    </row>
    <row r="672" spans="2:16" s="89" customFormat="1" ht="12.75">
      <c r="B672" s="125"/>
      <c r="C672" s="126"/>
      <c r="D672" s="126"/>
      <c r="E672" s="126"/>
      <c r="F672" s="126"/>
      <c r="G672" s="126"/>
      <c r="H672" s="126"/>
      <c r="I672" s="126"/>
      <c r="J672" s="126"/>
      <c r="K672" s="127"/>
      <c r="L672" s="128"/>
      <c r="M672" s="129"/>
      <c r="N672" s="95"/>
      <c r="O672" s="95"/>
      <c r="P672" s="130"/>
    </row>
    <row r="673" spans="2:16" s="89" customFormat="1" ht="12.75">
      <c r="B673" s="125"/>
      <c r="C673" s="126"/>
      <c r="D673" s="126"/>
      <c r="E673" s="126"/>
      <c r="F673" s="126"/>
      <c r="G673" s="126"/>
      <c r="H673" s="126"/>
      <c r="I673" s="126"/>
      <c r="J673" s="126"/>
      <c r="K673" s="127"/>
      <c r="L673" s="128"/>
      <c r="M673" s="129"/>
      <c r="N673" s="95"/>
      <c r="O673" s="95"/>
      <c r="P673" s="130"/>
    </row>
    <row r="674" spans="2:16" s="89" customFormat="1" ht="12.75">
      <c r="B674" s="125"/>
      <c r="C674" s="126"/>
      <c r="D674" s="126"/>
      <c r="E674" s="126"/>
      <c r="F674" s="126"/>
      <c r="G674" s="126"/>
      <c r="H674" s="126"/>
      <c r="I674" s="126"/>
      <c r="J674" s="126"/>
      <c r="K674" s="127"/>
      <c r="L674" s="128"/>
      <c r="M674" s="129"/>
      <c r="N674" s="95"/>
      <c r="O674" s="95"/>
      <c r="P674" s="130"/>
    </row>
    <row r="675" spans="2:16" s="89" customFormat="1" ht="12.75">
      <c r="B675" s="125"/>
      <c r="C675" s="126"/>
      <c r="D675" s="126"/>
      <c r="E675" s="126"/>
      <c r="F675" s="126"/>
      <c r="G675" s="126"/>
      <c r="H675" s="126"/>
      <c r="I675" s="126"/>
      <c r="J675" s="126"/>
      <c r="K675" s="127"/>
      <c r="L675" s="128"/>
      <c r="M675" s="129"/>
      <c r="N675" s="95"/>
      <c r="O675" s="95"/>
      <c r="P675" s="130"/>
    </row>
    <row r="676" spans="2:16" s="89" customFormat="1" ht="12.75">
      <c r="B676" s="125"/>
      <c r="C676" s="126"/>
      <c r="D676" s="126"/>
      <c r="E676" s="126"/>
      <c r="F676" s="126"/>
      <c r="G676" s="126"/>
      <c r="H676" s="126"/>
      <c r="I676" s="126"/>
      <c r="J676" s="126"/>
      <c r="K676" s="127"/>
      <c r="L676" s="128"/>
      <c r="M676" s="129"/>
      <c r="N676" s="95"/>
      <c r="O676" s="95"/>
      <c r="P676" s="130"/>
    </row>
    <row r="677" spans="2:16" s="89" customFormat="1" ht="12.75">
      <c r="B677" s="125"/>
      <c r="C677" s="126"/>
      <c r="D677" s="126"/>
      <c r="E677" s="126"/>
      <c r="F677" s="126"/>
      <c r="G677" s="126"/>
      <c r="H677" s="126"/>
      <c r="I677" s="126"/>
      <c r="J677" s="126"/>
      <c r="K677" s="127"/>
      <c r="L677" s="128"/>
      <c r="M677" s="129"/>
      <c r="N677" s="95"/>
      <c r="O677" s="95"/>
      <c r="P677" s="130"/>
    </row>
    <row r="678" spans="2:16" s="89" customFormat="1" ht="12.75">
      <c r="B678" s="125"/>
      <c r="C678" s="126"/>
      <c r="D678" s="126"/>
      <c r="E678" s="126"/>
      <c r="F678" s="126"/>
      <c r="G678" s="126"/>
      <c r="H678" s="126"/>
      <c r="I678" s="126"/>
      <c r="J678" s="126"/>
      <c r="K678" s="127"/>
      <c r="L678" s="128"/>
      <c r="M678" s="129"/>
      <c r="N678" s="95"/>
      <c r="O678" s="95"/>
      <c r="P678" s="130"/>
    </row>
    <row r="679" spans="2:16" s="89" customFormat="1" ht="12.75">
      <c r="B679" s="125"/>
      <c r="C679" s="126"/>
      <c r="D679" s="126"/>
      <c r="E679" s="126"/>
      <c r="F679" s="126"/>
      <c r="G679" s="126"/>
      <c r="H679" s="126"/>
      <c r="I679" s="126"/>
      <c r="J679" s="126"/>
      <c r="K679" s="127"/>
      <c r="L679" s="128"/>
      <c r="M679" s="129"/>
      <c r="N679" s="95"/>
      <c r="O679" s="95"/>
      <c r="P679" s="130"/>
    </row>
    <row r="680" spans="2:16" s="89" customFormat="1" ht="12.75">
      <c r="B680" s="125"/>
      <c r="C680" s="126"/>
      <c r="D680" s="126"/>
      <c r="E680" s="126"/>
      <c r="F680" s="126"/>
      <c r="G680" s="126"/>
      <c r="H680" s="126"/>
      <c r="I680" s="126"/>
      <c r="J680" s="126"/>
      <c r="K680" s="127"/>
      <c r="L680" s="128"/>
      <c r="M680" s="129"/>
      <c r="N680" s="95"/>
      <c r="O680" s="95"/>
      <c r="P680" s="130"/>
    </row>
    <row r="681" spans="2:16" s="89" customFormat="1" ht="12.75">
      <c r="B681" s="125"/>
      <c r="C681" s="126"/>
      <c r="D681" s="126"/>
      <c r="E681" s="126"/>
      <c r="F681" s="126"/>
      <c r="G681" s="126"/>
      <c r="H681" s="126"/>
      <c r="I681" s="126"/>
      <c r="J681" s="126"/>
      <c r="K681" s="127"/>
      <c r="L681" s="128"/>
      <c r="M681" s="129"/>
      <c r="N681" s="95"/>
      <c r="O681" s="95"/>
      <c r="P681" s="130"/>
    </row>
    <row r="682" spans="2:16" s="89" customFormat="1" ht="12.75">
      <c r="B682" s="125"/>
      <c r="C682" s="126"/>
      <c r="D682" s="126"/>
      <c r="E682" s="126"/>
      <c r="F682" s="126"/>
      <c r="G682" s="126"/>
      <c r="H682" s="126"/>
      <c r="I682" s="126"/>
      <c r="J682" s="126"/>
      <c r="K682" s="127"/>
      <c r="L682" s="128"/>
      <c r="M682" s="129"/>
      <c r="N682" s="95"/>
      <c r="O682" s="95"/>
      <c r="P682" s="130"/>
    </row>
    <row r="683" spans="2:16" s="89" customFormat="1" ht="12.75">
      <c r="B683" s="125"/>
      <c r="C683" s="126"/>
      <c r="D683" s="126"/>
      <c r="E683" s="126"/>
      <c r="F683" s="126"/>
      <c r="G683" s="126"/>
      <c r="H683" s="126"/>
      <c r="I683" s="126"/>
      <c r="J683" s="126"/>
      <c r="K683" s="127"/>
      <c r="L683" s="128"/>
      <c r="M683" s="129"/>
      <c r="N683" s="95"/>
      <c r="O683" s="95"/>
      <c r="P683" s="130"/>
    </row>
    <row r="684" spans="2:16" s="89" customFormat="1" ht="12.75">
      <c r="B684" s="125"/>
      <c r="C684" s="126"/>
      <c r="D684" s="126"/>
      <c r="E684" s="126"/>
      <c r="F684" s="126"/>
      <c r="G684" s="126"/>
      <c r="H684" s="126"/>
      <c r="I684" s="126"/>
      <c r="J684" s="126"/>
      <c r="K684" s="127"/>
      <c r="L684" s="128"/>
      <c r="M684" s="129"/>
      <c r="N684" s="95"/>
      <c r="O684" s="95"/>
      <c r="P684" s="130"/>
    </row>
    <row r="685" spans="2:16" s="89" customFormat="1" ht="12.75">
      <c r="B685" s="125"/>
      <c r="C685" s="126"/>
      <c r="D685" s="126"/>
      <c r="E685" s="126"/>
      <c r="F685" s="126"/>
      <c r="G685" s="126"/>
      <c r="H685" s="126"/>
      <c r="I685" s="126"/>
      <c r="J685" s="126"/>
      <c r="K685" s="127"/>
      <c r="L685" s="128"/>
      <c r="M685" s="129"/>
      <c r="N685" s="95"/>
      <c r="O685" s="95"/>
      <c r="P685" s="130"/>
    </row>
    <row r="686" spans="2:16" s="89" customFormat="1" ht="12.75">
      <c r="B686" s="125"/>
      <c r="C686" s="126"/>
      <c r="D686" s="126"/>
      <c r="E686" s="126"/>
      <c r="F686" s="126"/>
      <c r="G686" s="126"/>
      <c r="H686" s="126"/>
      <c r="I686" s="126"/>
      <c r="J686" s="126"/>
      <c r="K686" s="127"/>
      <c r="L686" s="128"/>
      <c r="M686" s="129"/>
      <c r="N686" s="95"/>
      <c r="O686" s="95"/>
      <c r="P686" s="130"/>
    </row>
    <row r="687" spans="2:16" s="89" customFormat="1" ht="12.75">
      <c r="B687" s="125"/>
      <c r="C687" s="126"/>
      <c r="D687" s="126"/>
      <c r="E687" s="126"/>
      <c r="F687" s="126"/>
      <c r="G687" s="126"/>
      <c r="H687" s="126"/>
      <c r="I687" s="126"/>
      <c r="J687" s="126"/>
      <c r="K687" s="127"/>
      <c r="L687" s="128"/>
      <c r="M687" s="129"/>
      <c r="N687" s="95"/>
      <c r="O687" s="95"/>
      <c r="P687" s="130"/>
    </row>
    <row r="688" spans="2:16" s="89" customFormat="1" ht="12.75">
      <c r="B688" s="125"/>
      <c r="C688" s="126"/>
      <c r="D688" s="126"/>
      <c r="E688" s="126"/>
      <c r="F688" s="126"/>
      <c r="G688" s="126"/>
      <c r="H688" s="126"/>
      <c r="I688" s="126"/>
      <c r="J688" s="126"/>
      <c r="K688" s="127"/>
      <c r="L688" s="128"/>
      <c r="M688" s="129"/>
      <c r="N688" s="95"/>
      <c r="O688" s="95"/>
      <c r="P688" s="130"/>
    </row>
    <row r="689" spans="2:16" s="89" customFormat="1" ht="12.75">
      <c r="B689" s="125"/>
      <c r="C689" s="126"/>
      <c r="D689" s="126"/>
      <c r="E689" s="126"/>
      <c r="F689" s="126"/>
      <c r="G689" s="126"/>
      <c r="H689" s="126"/>
      <c r="I689" s="126"/>
      <c r="J689" s="126"/>
      <c r="K689" s="127"/>
      <c r="L689" s="128"/>
      <c r="M689" s="129"/>
      <c r="N689" s="95"/>
      <c r="O689" s="95"/>
      <c r="P689" s="130"/>
    </row>
    <row r="690" spans="2:16" s="89" customFormat="1" ht="12.75">
      <c r="B690" s="125"/>
      <c r="C690" s="126"/>
      <c r="D690" s="126"/>
      <c r="E690" s="126"/>
      <c r="F690" s="126"/>
      <c r="G690" s="126"/>
      <c r="H690" s="126"/>
      <c r="I690" s="126"/>
      <c r="J690" s="126"/>
      <c r="K690" s="127"/>
      <c r="L690" s="128"/>
      <c r="M690" s="129"/>
      <c r="N690" s="95"/>
      <c r="O690" s="95"/>
      <c r="P690" s="130"/>
    </row>
    <row r="691" spans="2:16" s="89" customFormat="1" ht="12.75">
      <c r="B691" s="125"/>
      <c r="C691" s="126"/>
      <c r="D691" s="126"/>
      <c r="E691" s="126"/>
      <c r="F691" s="126"/>
      <c r="G691" s="126"/>
      <c r="H691" s="126"/>
      <c r="I691" s="126"/>
      <c r="J691" s="126"/>
      <c r="K691" s="127"/>
      <c r="L691" s="128"/>
      <c r="M691" s="129"/>
      <c r="N691" s="95"/>
      <c r="O691" s="95"/>
      <c r="P691" s="130"/>
    </row>
    <row r="692" spans="2:16" s="89" customFormat="1" ht="12.75">
      <c r="B692" s="125"/>
      <c r="C692" s="126"/>
      <c r="D692" s="126"/>
      <c r="E692" s="126"/>
      <c r="F692" s="126"/>
      <c r="G692" s="126"/>
      <c r="H692" s="126"/>
      <c r="I692" s="126"/>
      <c r="J692" s="126"/>
      <c r="K692" s="127"/>
      <c r="L692" s="128"/>
      <c r="M692" s="129"/>
      <c r="N692" s="95"/>
      <c r="O692" s="95"/>
      <c r="P692" s="130"/>
    </row>
    <row r="693" spans="2:16" s="89" customFormat="1" ht="12.75">
      <c r="B693" s="125"/>
      <c r="C693" s="126"/>
      <c r="D693" s="126"/>
      <c r="E693" s="126"/>
      <c r="F693" s="126"/>
      <c r="G693" s="126"/>
      <c r="H693" s="126"/>
      <c r="I693" s="126"/>
      <c r="J693" s="126"/>
      <c r="K693" s="127"/>
      <c r="L693" s="128"/>
      <c r="M693" s="129"/>
      <c r="N693" s="95"/>
      <c r="O693" s="95"/>
      <c r="P693" s="130"/>
    </row>
    <row r="694" spans="2:16" s="89" customFormat="1" ht="12.75">
      <c r="B694" s="125"/>
      <c r="C694" s="126"/>
      <c r="D694" s="126"/>
      <c r="E694" s="126"/>
      <c r="F694" s="126"/>
      <c r="G694" s="126"/>
      <c r="H694" s="126"/>
      <c r="I694" s="126"/>
      <c r="J694" s="126"/>
      <c r="K694" s="127"/>
      <c r="L694" s="128"/>
      <c r="M694" s="129"/>
      <c r="N694" s="95"/>
      <c r="O694" s="95"/>
      <c r="P694" s="130"/>
    </row>
    <row r="695" spans="2:16" s="89" customFormat="1" ht="12.75">
      <c r="B695" s="125"/>
      <c r="C695" s="126"/>
      <c r="D695" s="126"/>
      <c r="E695" s="126"/>
      <c r="F695" s="126"/>
      <c r="G695" s="126"/>
      <c r="H695" s="126"/>
      <c r="I695" s="126"/>
      <c r="J695" s="126"/>
      <c r="K695" s="127"/>
      <c r="L695" s="128"/>
      <c r="M695" s="129"/>
      <c r="N695" s="95"/>
      <c r="O695" s="95"/>
      <c r="P695" s="130"/>
    </row>
    <row r="696" spans="2:16" s="89" customFormat="1" ht="12.75">
      <c r="B696" s="125"/>
      <c r="C696" s="126"/>
      <c r="D696" s="126"/>
      <c r="E696" s="126"/>
      <c r="F696" s="126"/>
      <c r="G696" s="126"/>
      <c r="H696" s="126"/>
      <c r="I696" s="126"/>
      <c r="J696" s="126"/>
      <c r="K696" s="127"/>
      <c r="L696" s="128"/>
      <c r="M696" s="129"/>
      <c r="N696" s="95"/>
      <c r="O696" s="95"/>
      <c r="P696" s="130"/>
    </row>
    <row r="697" spans="2:16" s="89" customFormat="1" ht="12.75">
      <c r="B697" s="125"/>
      <c r="C697" s="126"/>
      <c r="D697" s="126"/>
      <c r="E697" s="126"/>
      <c r="F697" s="126"/>
      <c r="G697" s="126"/>
      <c r="H697" s="126"/>
      <c r="I697" s="126"/>
      <c r="J697" s="126"/>
      <c r="K697" s="127"/>
      <c r="L697" s="128"/>
      <c r="M697" s="129"/>
      <c r="N697" s="95"/>
      <c r="O697" s="95"/>
      <c r="P697" s="130"/>
    </row>
    <row r="698" spans="2:16" s="89" customFormat="1" ht="12.75">
      <c r="B698" s="125"/>
      <c r="C698" s="126"/>
      <c r="D698" s="126"/>
      <c r="E698" s="126"/>
      <c r="F698" s="126"/>
      <c r="G698" s="126"/>
      <c r="H698" s="126"/>
      <c r="I698" s="126"/>
      <c r="J698" s="126"/>
      <c r="K698" s="127"/>
      <c r="L698" s="128"/>
      <c r="M698" s="129"/>
      <c r="N698" s="95"/>
      <c r="O698" s="95"/>
      <c r="P698" s="130"/>
    </row>
    <row r="699" spans="2:16" s="89" customFormat="1" ht="12.75">
      <c r="B699" s="125"/>
      <c r="C699" s="126"/>
      <c r="D699" s="126"/>
      <c r="E699" s="126"/>
      <c r="F699" s="126"/>
      <c r="G699" s="126"/>
      <c r="H699" s="126"/>
      <c r="I699" s="126"/>
      <c r="J699" s="126"/>
      <c r="K699" s="127"/>
      <c r="L699" s="128"/>
      <c r="M699" s="129"/>
      <c r="N699" s="95"/>
      <c r="O699" s="95"/>
      <c r="P699" s="130"/>
    </row>
    <row r="700" spans="2:16" s="89" customFormat="1" ht="12.75">
      <c r="B700" s="125"/>
      <c r="C700" s="126"/>
      <c r="D700" s="126"/>
      <c r="E700" s="126"/>
      <c r="F700" s="126"/>
      <c r="G700" s="126"/>
      <c r="H700" s="126"/>
      <c r="I700" s="126"/>
      <c r="J700" s="126"/>
      <c r="K700" s="127"/>
      <c r="L700" s="128"/>
      <c r="M700" s="129"/>
      <c r="N700" s="95"/>
      <c r="O700" s="95"/>
      <c r="P700" s="130"/>
    </row>
    <row r="701" spans="2:16" s="89" customFormat="1" ht="12.75">
      <c r="B701" s="125"/>
      <c r="C701" s="126"/>
      <c r="D701" s="126"/>
      <c r="E701" s="126"/>
      <c r="F701" s="126"/>
      <c r="G701" s="126"/>
      <c r="H701" s="126"/>
      <c r="I701" s="126"/>
      <c r="J701" s="126"/>
      <c r="K701" s="127"/>
      <c r="L701" s="128"/>
      <c r="M701" s="129"/>
      <c r="N701" s="95"/>
      <c r="O701" s="95"/>
      <c r="P701" s="130"/>
    </row>
    <row r="702" spans="2:16" s="89" customFormat="1" ht="12.75">
      <c r="B702" s="125"/>
      <c r="C702" s="126"/>
      <c r="D702" s="126"/>
      <c r="E702" s="126"/>
      <c r="F702" s="126"/>
      <c r="G702" s="126"/>
      <c r="H702" s="126"/>
      <c r="I702" s="126"/>
      <c r="J702" s="126"/>
      <c r="K702" s="127"/>
      <c r="L702" s="128"/>
      <c r="M702" s="129"/>
      <c r="N702" s="95"/>
      <c r="O702" s="95"/>
      <c r="P702" s="130"/>
    </row>
    <row r="703" spans="2:16" s="89" customFormat="1" ht="12.75">
      <c r="B703" s="125"/>
      <c r="C703" s="126"/>
      <c r="D703" s="126"/>
      <c r="E703" s="126"/>
      <c r="F703" s="126"/>
      <c r="G703" s="126"/>
      <c r="H703" s="126"/>
      <c r="I703" s="126"/>
      <c r="J703" s="126"/>
      <c r="K703" s="127"/>
      <c r="L703" s="128"/>
      <c r="M703" s="129"/>
      <c r="N703" s="95"/>
      <c r="O703" s="95"/>
      <c r="P703" s="130"/>
    </row>
    <row r="704" spans="2:16" s="89" customFormat="1" ht="12.75">
      <c r="B704" s="125"/>
      <c r="C704" s="126"/>
      <c r="D704" s="126"/>
      <c r="E704" s="126"/>
      <c r="F704" s="126"/>
      <c r="G704" s="126"/>
      <c r="H704" s="126"/>
      <c r="I704" s="126"/>
      <c r="J704" s="126"/>
      <c r="K704" s="127"/>
      <c r="L704" s="128"/>
      <c r="M704" s="129"/>
      <c r="N704" s="95"/>
      <c r="O704" s="95"/>
      <c r="P704" s="130"/>
    </row>
    <row r="705" spans="2:16" s="89" customFormat="1" ht="12.75">
      <c r="B705" s="125"/>
      <c r="C705" s="126"/>
      <c r="D705" s="126"/>
      <c r="E705" s="126"/>
      <c r="F705" s="126"/>
      <c r="G705" s="126"/>
      <c r="H705" s="126"/>
      <c r="I705" s="126"/>
      <c r="J705" s="126"/>
      <c r="K705" s="127"/>
      <c r="L705" s="128"/>
      <c r="M705" s="129"/>
      <c r="N705" s="95"/>
      <c r="O705" s="95"/>
      <c r="P705" s="130"/>
    </row>
    <row r="706" spans="2:16" s="89" customFormat="1" ht="12.75">
      <c r="B706" s="125"/>
      <c r="C706" s="126"/>
      <c r="D706" s="126"/>
      <c r="E706" s="126"/>
      <c r="F706" s="126"/>
      <c r="G706" s="126"/>
      <c r="H706" s="126"/>
      <c r="I706" s="126"/>
      <c r="J706" s="126"/>
      <c r="K706" s="127"/>
      <c r="L706" s="128"/>
      <c r="M706" s="129"/>
      <c r="N706" s="95"/>
      <c r="O706" s="95"/>
      <c r="P706" s="130"/>
    </row>
    <row r="707" spans="2:16" s="89" customFormat="1" ht="12.75">
      <c r="B707" s="125"/>
      <c r="C707" s="126"/>
      <c r="D707" s="126"/>
      <c r="E707" s="126"/>
      <c r="F707" s="126"/>
      <c r="G707" s="126"/>
      <c r="H707" s="126"/>
      <c r="I707" s="126"/>
      <c r="J707" s="126"/>
      <c r="K707" s="127"/>
      <c r="L707" s="128"/>
      <c r="M707" s="129"/>
      <c r="N707" s="95"/>
      <c r="O707" s="95"/>
      <c r="P707" s="130"/>
    </row>
    <row r="708" spans="2:16" s="89" customFormat="1" ht="12.75">
      <c r="B708" s="125"/>
      <c r="C708" s="126"/>
      <c r="D708" s="126"/>
      <c r="E708" s="126"/>
      <c r="F708" s="126"/>
      <c r="G708" s="126"/>
      <c r="H708" s="126"/>
      <c r="I708" s="126"/>
      <c r="J708" s="126"/>
      <c r="K708" s="127"/>
      <c r="L708" s="128"/>
      <c r="M708" s="129"/>
      <c r="N708" s="95"/>
      <c r="O708" s="95"/>
      <c r="P708" s="130"/>
    </row>
    <row r="709" spans="2:16" s="89" customFormat="1" ht="12.75">
      <c r="B709" s="125"/>
      <c r="C709" s="126"/>
      <c r="D709" s="126"/>
      <c r="E709" s="126"/>
      <c r="F709" s="126"/>
      <c r="G709" s="126"/>
      <c r="H709" s="126"/>
      <c r="I709" s="126"/>
      <c r="J709" s="126"/>
      <c r="K709" s="127"/>
      <c r="L709" s="128"/>
      <c r="M709" s="129"/>
      <c r="N709" s="95"/>
      <c r="O709" s="95"/>
      <c r="P709" s="130"/>
    </row>
    <row r="710" spans="2:16" s="89" customFormat="1" ht="12.75">
      <c r="B710" s="125"/>
      <c r="C710" s="126"/>
      <c r="D710" s="126"/>
      <c r="E710" s="126"/>
      <c r="F710" s="126"/>
      <c r="G710" s="126"/>
      <c r="H710" s="126"/>
      <c r="I710" s="126"/>
      <c r="J710" s="126"/>
      <c r="K710" s="127"/>
      <c r="L710" s="128"/>
      <c r="M710" s="129"/>
      <c r="N710" s="95"/>
      <c r="O710" s="95"/>
      <c r="P710" s="130"/>
    </row>
    <row r="711" spans="2:16" s="89" customFormat="1" ht="12.75">
      <c r="B711" s="125"/>
      <c r="C711" s="126"/>
      <c r="D711" s="126"/>
      <c r="E711" s="126"/>
      <c r="F711" s="126"/>
      <c r="G711" s="126"/>
      <c r="H711" s="126"/>
      <c r="I711" s="126"/>
      <c r="J711" s="126"/>
      <c r="K711" s="127"/>
      <c r="L711" s="128"/>
      <c r="M711" s="129"/>
      <c r="N711" s="95"/>
      <c r="O711" s="95"/>
      <c r="P711" s="130"/>
    </row>
    <row r="712" spans="2:16" s="89" customFormat="1" ht="12.75">
      <c r="B712" s="125"/>
      <c r="C712" s="126"/>
      <c r="D712" s="126"/>
      <c r="E712" s="126"/>
      <c r="F712" s="126"/>
      <c r="G712" s="126"/>
      <c r="H712" s="126"/>
      <c r="I712" s="126"/>
      <c r="J712" s="126"/>
      <c r="K712" s="127"/>
      <c r="L712" s="128"/>
      <c r="M712" s="129"/>
      <c r="N712" s="95"/>
      <c r="O712" s="95"/>
      <c r="P712" s="130"/>
    </row>
    <row r="713" spans="2:16" s="89" customFormat="1" ht="12.75">
      <c r="B713" s="125"/>
      <c r="C713" s="126"/>
      <c r="D713" s="126"/>
      <c r="E713" s="126"/>
      <c r="F713" s="126"/>
      <c r="G713" s="126"/>
      <c r="H713" s="126"/>
      <c r="I713" s="126"/>
      <c r="J713" s="126"/>
      <c r="K713" s="127"/>
      <c r="L713" s="128"/>
      <c r="M713" s="129"/>
      <c r="N713" s="95"/>
      <c r="O713" s="95"/>
      <c r="P713" s="130"/>
    </row>
    <row r="714" spans="2:16" s="89" customFormat="1" ht="12.75">
      <c r="B714" s="125"/>
      <c r="C714" s="126"/>
      <c r="D714" s="126"/>
      <c r="E714" s="126"/>
      <c r="F714" s="126"/>
      <c r="G714" s="126"/>
      <c r="H714" s="126"/>
      <c r="I714" s="126"/>
      <c r="J714" s="126"/>
      <c r="K714" s="127"/>
      <c r="L714" s="128"/>
      <c r="M714" s="129"/>
      <c r="N714" s="95"/>
      <c r="O714" s="95"/>
      <c r="P714" s="130"/>
    </row>
    <row r="715" spans="2:16" s="89" customFormat="1" ht="12.75">
      <c r="B715" s="125"/>
      <c r="C715" s="126"/>
      <c r="D715" s="126"/>
      <c r="E715" s="126"/>
      <c r="F715" s="126"/>
      <c r="G715" s="126"/>
      <c r="H715" s="126"/>
      <c r="I715" s="126"/>
      <c r="J715" s="126"/>
      <c r="K715" s="127"/>
      <c r="L715" s="128"/>
      <c r="M715" s="129"/>
      <c r="N715" s="95"/>
      <c r="O715" s="95"/>
      <c r="P715" s="130"/>
    </row>
    <row r="716" spans="2:16" s="89" customFormat="1" ht="12.75">
      <c r="B716" s="125"/>
      <c r="C716" s="126"/>
      <c r="D716" s="126"/>
      <c r="E716" s="126"/>
      <c r="F716" s="126"/>
      <c r="G716" s="126"/>
      <c r="H716" s="126"/>
      <c r="I716" s="126"/>
      <c r="J716" s="126"/>
      <c r="K716" s="127"/>
      <c r="L716" s="128"/>
      <c r="M716" s="129"/>
      <c r="N716" s="95"/>
      <c r="O716" s="95"/>
      <c r="P716" s="130"/>
    </row>
    <row r="717" spans="2:16" s="89" customFormat="1" ht="12.75">
      <c r="B717" s="125"/>
      <c r="C717" s="126"/>
      <c r="D717" s="126"/>
      <c r="E717" s="126"/>
      <c r="F717" s="126"/>
      <c r="G717" s="126"/>
      <c r="H717" s="126"/>
      <c r="I717" s="126"/>
      <c r="J717" s="126"/>
      <c r="K717" s="127"/>
      <c r="L717" s="128"/>
      <c r="M717" s="129"/>
      <c r="N717" s="95"/>
      <c r="O717" s="95"/>
      <c r="P717" s="130"/>
    </row>
    <row r="718" spans="2:16" s="89" customFormat="1" ht="12.75">
      <c r="B718" s="125"/>
      <c r="C718" s="126"/>
      <c r="D718" s="126"/>
      <c r="E718" s="126"/>
      <c r="F718" s="126"/>
      <c r="G718" s="126"/>
      <c r="H718" s="126"/>
      <c r="I718" s="126"/>
      <c r="J718" s="126"/>
      <c r="K718" s="127"/>
      <c r="L718" s="128"/>
      <c r="M718" s="129"/>
      <c r="N718" s="95"/>
      <c r="O718" s="95"/>
      <c r="P718" s="130"/>
    </row>
    <row r="719" spans="2:16" s="89" customFormat="1" ht="12.75">
      <c r="B719" s="125"/>
      <c r="C719" s="126"/>
      <c r="D719" s="126"/>
      <c r="E719" s="126"/>
      <c r="F719" s="126"/>
      <c r="G719" s="126"/>
      <c r="H719" s="126"/>
      <c r="I719" s="126"/>
      <c r="J719" s="126"/>
      <c r="K719" s="127"/>
      <c r="L719" s="128"/>
      <c r="M719" s="129"/>
      <c r="N719" s="95"/>
      <c r="O719" s="95"/>
      <c r="P719" s="130"/>
    </row>
    <row r="720" spans="2:16" s="89" customFormat="1" ht="12.75">
      <c r="B720" s="125"/>
      <c r="C720" s="126"/>
      <c r="D720" s="126"/>
      <c r="E720" s="126"/>
      <c r="F720" s="126"/>
      <c r="G720" s="126"/>
      <c r="H720" s="126"/>
      <c r="I720" s="126"/>
      <c r="J720" s="126"/>
      <c r="K720" s="127"/>
      <c r="L720" s="128"/>
      <c r="M720" s="129"/>
      <c r="N720" s="95"/>
      <c r="O720" s="95"/>
      <c r="P720" s="130"/>
    </row>
    <row r="721" spans="2:16" s="89" customFormat="1" ht="12.75">
      <c r="B721" s="125"/>
      <c r="C721" s="126"/>
      <c r="D721" s="126"/>
      <c r="E721" s="126"/>
      <c r="F721" s="126"/>
      <c r="G721" s="126"/>
      <c r="H721" s="126"/>
      <c r="I721" s="126"/>
      <c r="J721" s="126"/>
      <c r="K721" s="127"/>
      <c r="L721" s="128"/>
      <c r="M721" s="129"/>
      <c r="N721" s="95"/>
      <c r="O721" s="95"/>
      <c r="P721" s="130"/>
    </row>
    <row r="722" spans="2:16" s="89" customFormat="1" ht="12.75">
      <c r="B722" s="125"/>
      <c r="C722" s="126"/>
      <c r="D722" s="126"/>
      <c r="E722" s="126"/>
      <c r="F722" s="126"/>
      <c r="G722" s="126"/>
      <c r="H722" s="126"/>
      <c r="I722" s="126"/>
      <c r="J722" s="126"/>
      <c r="K722" s="127"/>
      <c r="L722" s="128"/>
      <c r="M722" s="129"/>
      <c r="N722" s="95"/>
      <c r="O722" s="95"/>
      <c r="P722" s="130"/>
    </row>
    <row r="723" spans="2:16" s="89" customFormat="1" ht="12.75">
      <c r="B723" s="125"/>
      <c r="C723" s="126"/>
      <c r="D723" s="126"/>
      <c r="E723" s="126"/>
      <c r="F723" s="126"/>
      <c r="G723" s="126"/>
      <c r="H723" s="126"/>
      <c r="I723" s="126"/>
      <c r="J723" s="126"/>
      <c r="K723" s="127"/>
      <c r="L723" s="128"/>
      <c r="M723" s="129"/>
      <c r="N723" s="95"/>
      <c r="O723" s="95"/>
      <c r="P723" s="130"/>
    </row>
    <row r="724" spans="2:16" s="89" customFormat="1" ht="12.75">
      <c r="B724" s="125"/>
      <c r="C724" s="126"/>
      <c r="D724" s="126"/>
      <c r="E724" s="126"/>
      <c r="F724" s="126"/>
      <c r="G724" s="126"/>
      <c r="H724" s="126"/>
      <c r="I724" s="126"/>
      <c r="J724" s="126"/>
      <c r="K724" s="127"/>
      <c r="L724" s="128"/>
      <c r="M724" s="129"/>
      <c r="N724" s="95"/>
      <c r="O724" s="95"/>
      <c r="P724" s="130"/>
    </row>
    <row r="725" spans="2:16" s="89" customFormat="1" ht="12.75">
      <c r="B725" s="125"/>
      <c r="C725" s="126"/>
      <c r="D725" s="126"/>
      <c r="E725" s="126"/>
      <c r="F725" s="126"/>
      <c r="G725" s="126"/>
      <c r="H725" s="126"/>
      <c r="I725" s="126"/>
      <c r="J725" s="126"/>
      <c r="K725" s="127"/>
      <c r="L725" s="128"/>
      <c r="M725" s="129"/>
      <c r="N725" s="95"/>
      <c r="O725" s="95"/>
      <c r="P725" s="130"/>
    </row>
    <row r="726" spans="2:16" s="89" customFormat="1" ht="12.75">
      <c r="B726" s="125"/>
      <c r="C726" s="126"/>
      <c r="D726" s="126"/>
      <c r="E726" s="126"/>
      <c r="F726" s="126"/>
      <c r="G726" s="126"/>
      <c r="H726" s="126"/>
      <c r="I726" s="126"/>
      <c r="J726" s="126"/>
      <c r="K726" s="127"/>
      <c r="L726" s="128"/>
      <c r="M726" s="129"/>
      <c r="N726" s="95"/>
      <c r="O726" s="95"/>
      <c r="P726" s="130"/>
    </row>
    <row r="727" spans="2:16" s="89" customFormat="1" ht="12.75">
      <c r="B727" s="125"/>
      <c r="C727" s="126"/>
      <c r="D727" s="126"/>
      <c r="E727" s="126"/>
      <c r="F727" s="126"/>
      <c r="G727" s="126"/>
      <c r="H727" s="126"/>
      <c r="I727" s="126"/>
      <c r="J727" s="126"/>
      <c r="K727" s="127"/>
      <c r="L727" s="128"/>
      <c r="M727" s="129"/>
      <c r="N727" s="95"/>
      <c r="O727" s="95"/>
      <c r="P727" s="130"/>
    </row>
    <row r="728" spans="2:16" s="89" customFormat="1" ht="12.75">
      <c r="B728" s="125"/>
      <c r="C728" s="126"/>
      <c r="D728" s="126"/>
      <c r="E728" s="126"/>
      <c r="F728" s="126"/>
      <c r="G728" s="126"/>
      <c r="H728" s="126"/>
      <c r="I728" s="126"/>
      <c r="J728" s="126"/>
      <c r="K728" s="127"/>
      <c r="L728" s="128"/>
      <c r="M728" s="129"/>
      <c r="N728" s="95"/>
      <c r="O728" s="95"/>
      <c r="P728" s="130"/>
    </row>
    <row r="729" spans="2:16" s="89" customFormat="1" ht="12.75">
      <c r="B729" s="125"/>
      <c r="C729" s="126"/>
      <c r="D729" s="126"/>
      <c r="E729" s="126"/>
      <c r="F729" s="126"/>
      <c r="G729" s="126"/>
      <c r="H729" s="126"/>
      <c r="I729" s="126"/>
      <c r="J729" s="126"/>
      <c r="K729" s="127"/>
      <c r="L729" s="128"/>
      <c r="M729" s="129"/>
      <c r="N729" s="95"/>
      <c r="O729" s="95"/>
      <c r="P729" s="130"/>
    </row>
    <row r="730" spans="2:16" s="89" customFormat="1" ht="12.75">
      <c r="B730" s="125"/>
      <c r="C730" s="126"/>
      <c r="D730" s="126"/>
      <c r="E730" s="126"/>
      <c r="F730" s="126"/>
      <c r="G730" s="126"/>
      <c r="H730" s="126"/>
      <c r="I730" s="126"/>
      <c r="J730" s="126"/>
      <c r="K730" s="127"/>
      <c r="L730" s="128"/>
      <c r="M730" s="129"/>
      <c r="N730" s="95"/>
      <c r="O730" s="95"/>
      <c r="P730" s="130"/>
    </row>
    <row r="731" spans="2:16" s="89" customFormat="1" ht="12.75">
      <c r="B731" s="125"/>
      <c r="C731" s="126"/>
      <c r="D731" s="126"/>
      <c r="E731" s="126"/>
      <c r="F731" s="126"/>
      <c r="G731" s="126"/>
      <c r="H731" s="126"/>
      <c r="I731" s="126"/>
      <c r="J731" s="126"/>
      <c r="K731" s="127"/>
      <c r="L731" s="128"/>
      <c r="M731" s="129"/>
      <c r="N731" s="95"/>
      <c r="O731" s="95"/>
      <c r="P731" s="130"/>
    </row>
    <row r="732" spans="2:16" s="89" customFormat="1" ht="12.75">
      <c r="B732" s="125"/>
      <c r="C732" s="126"/>
      <c r="D732" s="126"/>
      <c r="E732" s="126"/>
      <c r="F732" s="126"/>
      <c r="G732" s="126"/>
      <c r="H732" s="126"/>
      <c r="I732" s="126"/>
      <c r="J732" s="126"/>
      <c r="K732" s="127"/>
      <c r="L732" s="128"/>
      <c r="M732" s="129"/>
      <c r="N732" s="95"/>
      <c r="O732" s="95"/>
      <c r="P732" s="130"/>
    </row>
    <row r="733" spans="2:16" s="89" customFormat="1" ht="12.75">
      <c r="B733" s="125"/>
      <c r="C733" s="126"/>
      <c r="D733" s="126"/>
      <c r="E733" s="126"/>
      <c r="F733" s="126"/>
      <c r="G733" s="126"/>
      <c r="H733" s="126"/>
      <c r="I733" s="126"/>
      <c r="J733" s="126"/>
      <c r="K733" s="127"/>
      <c r="L733" s="128"/>
      <c r="M733" s="129"/>
      <c r="N733" s="95"/>
      <c r="O733" s="95"/>
      <c r="P733" s="130"/>
    </row>
    <row r="734" spans="2:16" s="89" customFormat="1" ht="12.75">
      <c r="B734" s="125"/>
      <c r="C734" s="126"/>
      <c r="D734" s="126"/>
      <c r="E734" s="126"/>
      <c r="F734" s="126"/>
      <c r="G734" s="126"/>
      <c r="H734" s="126"/>
      <c r="I734" s="126"/>
      <c r="J734" s="126"/>
      <c r="K734" s="127"/>
      <c r="L734" s="128"/>
      <c r="M734" s="129"/>
      <c r="N734" s="95"/>
      <c r="O734" s="95"/>
      <c r="P734" s="130"/>
    </row>
    <row r="735" spans="2:16" s="89" customFormat="1" ht="12.75">
      <c r="B735" s="125"/>
      <c r="C735" s="126"/>
      <c r="D735" s="126"/>
      <c r="E735" s="126"/>
      <c r="F735" s="126"/>
      <c r="G735" s="126"/>
      <c r="H735" s="126"/>
      <c r="I735" s="126"/>
      <c r="J735" s="126"/>
      <c r="K735" s="127"/>
      <c r="L735" s="128"/>
      <c r="M735" s="129"/>
      <c r="N735" s="95"/>
      <c r="O735" s="95"/>
      <c r="P735" s="130"/>
    </row>
    <row r="736" spans="2:16" s="89" customFormat="1" ht="12.75">
      <c r="B736" s="125"/>
      <c r="C736" s="126"/>
      <c r="D736" s="126"/>
      <c r="E736" s="126"/>
      <c r="F736" s="126"/>
      <c r="G736" s="126"/>
      <c r="H736" s="126"/>
      <c r="I736" s="126"/>
      <c r="J736" s="126"/>
      <c r="K736" s="127"/>
      <c r="L736" s="128"/>
      <c r="M736" s="129"/>
      <c r="N736" s="95"/>
      <c r="O736" s="95"/>
      <c r="P736" s="130"/>
    </row>
    <row r="737" spans="2:16" s="89" customFormat="1" ht="12.75">
      <c r="B737" s="125"/>
      <c r="C737" s="126"/>
      <c r="D737" s="126"/>
      <c r="E737" s="126"/>
      <c r="F737" s="126"/>
      <c r="G737" s="126"/>
      <c r="H737" s="126"/>
      <c r="I737" s="126"/>
      <c r="J737" s="126"/>
      <c r="K737" s="127"/>
      <c r="L737" s="128"/>
      <c r="M737" s="129"/>
      <c r="N737" s="95"/>
      <c r="O737" s="95"/>
      <c r="P737" s="130"/>
    </row>
    <row r="738" spans="2:16" s="89" customFormat="1" ht="12.75">
      <c r="B738" s="125"/>
      <c r="C738" s="126"/>
      <c r="D738" s="126"/>
      <c r="E738" s="126"/>
      <c r="F738" s="126"/>
      <c r="G738" s="126"/>
      <c r="H738" s="126"/>
      <c r="I738" s="126"/>
      <c r="J738" s="126"/>
      <c r="K738" s="127"/>
      <c r="L738" s="128"/>
      <c r="M738" s="129"/>
      <c r="N738" s="95"/>
      <c r="O738" s="95"/>
      <c r="P738" s="130"/>
    </row>
    <row r="739" spans="2:16" s="89" customFormat="1" ht="12.75">
      <c r="B739" s="125"/>
      <c r="C739" s="126"/>
      <c r="D739" s="126"/>
      <c r="E739" s="126"/>
      <c r="F739" s="126"/>
      <c r="G739" s="126"/>
      <c r="H739" s="126"/>
      <c r="I739" s="126"/>
      <c r="J739" s="126"/>
      <c r="K739" s="127"/>
      <c r="L739" s="128"/>
      <c r="M739" s="129"/>
      <c r="N739" s="95"/>
      <c r="O739" s="95"/>
      <c r="P739" s="130"/>
    </row>
    <row r="740" spans="2:16" s="89" customFormat="1" ht="12.75">
      <c r="B740" s="125"/>
      <c r="C740" s="126"/>
      <c r="D740" s="126"/>
      <c r="E740" s="126"/>
      <c r="F740" s="126"/>
      <c r="G740" s="126"/>
      <c r="H740" s="126"/>
      <c r="I740" s="126"/>
      <c r="J740" s="126"/>
      <c r="K740" s="127"/>
      <c r="L740" s="128"/>
      <c r="M740" s="129"/>
      <c r="N740" s="95"/>
      <c r="O740" s="95"/>
      <c r="P740" s="130"/>
    </row>
    <row r="741" spans="2:16" s="89" customFormat="1" ht="12.75">
      <c r="B741" s="125"/>
      <c r="C741" s="126"/>
      <c r="D741" s="126"/>
      <c r="E741" s="126"/>
      <c r="F741" s="126"/>
      <c r="G741" s="126"/>
      <c r="H741" s="126"/>
      <c r="I741" s="126"/>
      <c r="J741" s="126"/>
      <c r="K741" s="127"/>
      <c r="L741" s="128"/>
      <c r="M741" s="129"/>
      <c r="N741" s="95"/>
      <c r="O741" s="95"/>
      <c r="P741" s="130"/>
    </row>
    <row r="742" spans="2:16" s="89" customFormat="1" ht="12.75">
      <c r="B742" s="125"/>
      <c r="C742" s="126"/>
      <c r="D742" s="126"/>
      <c r="E742" s="126"/>
      <c r="F742" s="126"/>
      <c r="G742" s="126"/>
      <c r="H742" s="126"/>
      <c r="I742" s="126"/>
      <c r="J742" s="126"/>
      <c r="K742" s="127"/>
      <c r="L742" s="128"/>
      <c r="M742" s="129"/>
      <c r="N742" s="95"/>
      <c r="O742" s="95"/>
      <c r="P742" s="130"/>
    </row>
    <row r="743" spans="2:16" s="89" customFormat="1" ht="12.75">
      <c r="B743" s="125"/>
      <c r="C743" s="126"/>
      <c r="D743" s="126"/>
      <c r="E743" s="126"/>
      <c r="F743" s="126"/>
      <c r="G743" s="126"/>
      <c r="H743" s="126"/>
      <c r="I743" s="126"/>
      <c r="J743" s="126"/>
      <c r="K743" s="127"/>
      <c r="L743" s="128"/>
      <c r="M743" s="129"/>
      <c r="N743" s="95"/>
      <c r="O743" s="95"/>
      <c r="P743" s="130"/>
    </row>
    <row r="744" spans="2:16" s="89" customFormat="1" ht="12.75">
      <c r="B744" s="125"/>
      <c r="C744" s="126"/>
      <c r="D744" s="126"/>
      <c r="E744" s="126"/>
      <c r="F744" s="126"/>
      <c r="G744" s="126"/>
      <c r="H744" s="126"/>
      <c r="I744" s="126"/>
      <c r="J744" s="126"/>
      <c r="K744" s="127"/>
      <c r="L744" s="128"/>
      <c r="M744" s="129"/>
      <c r="N744" s="95"/>
      <c r="O744" s="95"/>
      <c r="P744" s="130"/>
    </row>
    <row r="745" spans="2:16" s="89" customFormat="1" ht="12.75">
      <c r="B745" s="125"/>
      <c r="C745" s="126"/>
      <c r="D745" s="126"/>
      <c r="E745" s="126"/>
      <c r="F745" s="126"/>
      <c r="G745" s="126"/>
      <c r="H745" s="126"/>
      <c r="I745" s="126"/>
      <c r="J745" s="126"/>
      <c r="K745" s="127"/>
      <c r="L745" s="128"/>
      <c r="M745" s="129"/>
      <c r="N745" s="95"/>
      <c r="O745" s="95"/>
      <c r="P745" s="130"/>
    </row>
    <row r="746" spans="2:16" s="89" customFormat="1" ht="12.75">
      <c r="B746" s="125"/>
      <c r="C746" s="126"/>
      <c r="D746" s="126"/>
      <c r="E746" s="126"/>
      <c r="F746" s="126"/>
      <c r="G746" s="126"/>
      <c r="H746" s="126"/>
      <c r="I746" s="126"/>
      <c r="J746" s="126"/>
      <c r="K746" s="127"/>
      <c r="L746" s="128"/>
      <c r="M746" s="129"/>
      <c r="N746" s="95"/>
      <c r="O746" s="95"/>
      <c r="P746" s="130"/>
    </row>
    <row r="747" spans="2:16" s="89" customFormat="1" ht="12.75">
      <c r="B747" s="125"/>
      <c r="C747" s="126"/>
      <c r="D747" s="126"/>
      <c r="E747" s="126"/>
      <c r="F747" s="126"/>
      <c r="G747" s="126"/>
      <c r="H747" s="126"/>
      <c r="I747" s="126"/>
      <c r="J747" s="126"/>
      <c r="K747" s="127"/>
      <c r="L747" s="128"/>
      <c r="M747" s="129"/>
      <c r="N747" s="95"/>
      <c r="O747" s="95"/>
      <c r="P747" s="130"/>
    </row>
    <row r="748" spans="2:16" s="89" customFormat="1" ht="12.75">
      <c r="B748" s="125"/>
      <c r="C748" s="126"/>
      <c r="D748" s="126"/>
      <c r="E748" s="126"/>
      <c r="F748" s="126"/>
      <c r="G748" s="126"/>
      <c r="H748" s="126"/>
      <c r="I748" s="126"/>
      <c r="J748" s="126"/>
      <c r="K748" s="127"/>
      <c r="L748" s="128"/>
      <c r="M748" s="129"/>
      <c r="N748" s="95"/>
      <c r="O748" s="95"/>
      <c r="P748" s="130"/>
    </row>
    <row r="749" spans="2:16" s="89" customFormat="1" ht="12.75">
      <c r="B749" s="125"/>
      <c r="C749" s="126"/>
      <c r="D749" s="126"/>
      <c r="E749" s="126"/>
      <c r="F749" s="126"/>
      <c r="G749" s="126"/>
      <c r="H749" s="126"/>
      <c r="I749" s="126"/>
      <c r="J749" s="126"/>
      <c r="K749" s="127"/>
      <c r="L749" s="128"/>
      <c r="M749" s="129"/>
      <c r="N749" s="95"/>
      <c r="O749" s="95"/>
      <c r="P749" s="130"/>
    </row>
    <row r="750" spans="2:16" s="89" customFormat="1" ht="12.75">
      <c r="B750" s="125"/>
      <c r="C750" s="126"/>
      <c r="D750" s="126"/>
      <c r="E750" s="126"/>
      <c r="F750" s="126"/>
      <c r="G750" s="126"/>
      <c r="H750" s="126"/>
      <c r="I750" s="126"/>
      <c r="J750" s="126"/>
      <c r="K750" s="127"/>
      <c r="L750" s="128"/>
      <c r="M750" s="129"/>
      <c r="N750" s="95"/>
      <c r="O750" s="95"/>
      <c r="P750" s="130"/>
    </row>
    <row r="751" spans="2:16" s="89" customFormat="1" ht="12.75">
      <c r="B751" s="125"/>
      <c r="C751" s="126"/>
      <c r="D751" s="126"/>
      <c r="E751" s="126"/>
      <c r="F751" s="126"/>
      <c r="G751" s="126"/>
      <c r="H751" s="126"/>
      <c r="I751" s="126"/>
      <c r="J751" s="126"/>
      <c r="K751" s="127"/>
      <c r="L751" s="128"/>
      <c r="M751" s="129"/>
      <c r="N751" s="95"/>
      <c r="O751" s="95"/>
      <c r="P751" s="130"/>
    </row>
    <row r="752" spans="2:16" s="89" customFormat="1" ht="12.75">
      <c r="B752" s="125"/>
      <c r="C752" s="126"/>
      <c r="D752" s="126"/>
      <c r="E752" s="126"/>
      <c r="F752" s="126"/>
      <c r="G752" s="126"/>
      <c r="H752" s="126"/>
      <c r="I752" s="126"/>
      <c r="J752" s="126"/>
      <c r="K752" s="127"/>
      <c r="L752" s="128"/>
      <c r="M752" s="129"/>
      <c r="N752" s="95"/>
      <c r="O752" s="95"/>
      <c r="P752" s="130"/>
    </row>
    <row r="753" spans="2:16" s="89" customFormat="1" ht="12.75">
      <c r="B753" s="125"/>
      <c r="C753" s="126"/>
      <c r="D753" s="126"/>
      <c r="E753" s="126"/>
      <c r="F753" s="126"/>
      <c r="G753" s="126"/>
      <c r="H753" s="126"/>
      <c r="I753" s="126"/>
      <c r="J753" s="126"/>
      <c r="K753" s="127"/>
      <c r="L753" s="128"/>
      <c r="M753" s="129"/>
      <c r="N753" s="95"/>
      <c r="O753" s="95"/>
      <c r="P753" s="130"/>
    </row>
    <row r="754" spans="2:16" s="89" customFormat="1" ht="12.75">
      <c r="B754" s="125"/>
      <c r="C754" s="126"/>
      <c r="D754" s="126"/>
      <c r="E754" s="126"/>
      <c r="F754" s="126"/>
      <c r="G754" s="126"/>
      <c r="H754" s="126"/>
      <c r="I754" s="126"/>
      <c r="J754" s="126"/>
      <c r="K754" s="127"/>
      <c r="L754" s="128"/>
      <c r="M754" s="129"/>
      <c r="N754" s="95"/>
      <c r="O754" s="95"/>
      <c r="P754" s="130"/>
    </row>
    <row r="755" spans="2:16" s="89" customFormat="1" ht="12.75">
      <c r="B755" s="125"/>
      <c r="C755" s="126"/>
      <c r="D755" s="126"/>
      <c r="E755" s="126"/>
      <c r="F755" s="126"/>
      <c r="G755" s="126"/>
      <c r="H755" s="126"/>
      <c r="I755" s="126"/>
      <c r="J755" s="126"/>
      <c r="K755" s="127"/>
      <c r="L755" s="128"/>
      <c r="M755" s="129"/>
      <c r="N755" s="95"/>
      <c r="O755" s="95"/>
      <c r="P755" s="130"/>
    </row>
    <row r="756" spans="2:16" s="89" customFormat="1" ht="12.75">
      <c r="B756" s="125"/>
      <c r="C756" s="126"/>
      <c r="D756" s="126"/>
      <c r="E756" s="126"/>
      <c r="F756" s="126"/>
      <c r="G756" s="126"/>
      <c r="H756" s="126"/>
      <c r="I756" s="126"/>
      <c r="J756" s="126"/>
      <c r="K756" s="127"/>
      <c r="L756" s="128"/>
      <c r="M756" s="129"/>
      <c r="N756" s="95"/>
      <c r="O756" s="95"/>
      <c r="P756" s="130"/>
    </row>
    <row r="757" spans="2:16" s="89" customFormat="1" ht="12.75">
      <c r="B757" s="125"/>
      <c r="C757" s="126"/>
      <c r="D757" s="126"/>
      <c r="E757" s="126"/>
      <c r="F757" s="126"/>
      <c r="G757" s="126"/>
      <c r="H757" s="126"/>
      <c r="I757" s="126"/>
      <c r="J757" s="126"/>
      <c r="K757" s="127"/>
      <c r="L757" s="128"/>
      <c r="M757" s="129"/>
      <c r="N757" s="95"/>
      <c r="O757" s="95"/>
      <c r="P757" s="130"/>
    </row>
    <row r="758" spans="2:16" s="89" customFormat="1" ht="12.75">
      <c r="B758" s="125"/>
      <c r="C758" s="126"/>
      <c r="D758" s="126"/>
      <c r="E758" s="126"/>
      <c r="F758" s="126"/>
      <c r="G758" s="126"/>
      <c r="H758" s="126"/>
      <c r="I758" s="126"/>
      <c r="J758" s="126"/>
      <c r="K758" s="127"/>
      <c r="L758" s="128"/>
      <c r="M758" s="129"/>
      <c r="N758" s="95"/>
      <c r="O758" s="95"/>
      <c r="P758" s="130"/>
    </row>
    <row r="759" spans="2:16" s="89" customFormat="1" ht="12.75">
      <c r="B759" s="125"/>
      <c r="C759" s="126"/>
      <c r="D759" s="126"/>
      <c r="E759" s="126"/>
      <c r="F759" s="126"/>
      <c r="G759" s="126"/>
      <c r="H759" s="126"/>
      <c r="I759" s="126"/>
      <c r="J759" s="126"/>
      <c r="K759" s="127"/>
      <c r="L759" s="128"/>
      <c r="M759" s="129"/>
      <c r="N759" s="95"/>
      <c r="O759" s="95"/>
      <c r="P759" s="130"/>
    </row>
    <row r="760" spans="2:16" s="89" customFormat="1" ht="12.75">
      <c r="B760" s="125"/>
      <c r="C760" s="126"/>
      <c r="D760" s="126"/>
      <c r="E760" s="126"/>
      <c r="F760" s="126"/>
      <c r="G760" s="126"/>
      <c r="H760" s="126"/>
      <c r="I760" s="126"/>
      <c r="J760" s="126"/>
      <c r="K760" s="127"/>
      <c r="L760" s="128"/>
      <c r="M760" s="129"/>
      <c r="N760" s="95"/>
      <c r="O760" s="95"/>
      <c r="P760" s="130"/>
    </row>
    <row r="761" spans="2:16" s="89" customFormat="1" ht="12.75">
      <c r="B761" s="125"/>
      <c r="C761" s="126"/>
      <c r="D761" s="126"/>
      <c r="E761" s="126"/>
      <c r="F761" s="126"/>
      <c r="G761" s="126"/>
      <c r="H761" s="126"/>
      <c r="I761" s="126"/>
      <c r="J761" s="126"/>
      <c r="K761" s="127"/>
      <c r="L761" s="128"/>
      <c r="M761" s="129"/>
      <c r="N761" s="95"/>
      <c r="O761" s="95"/>
      <c r="P761" s="130"/>
    </row>
    <row r="762" spans="2:16" s="89" customFormat="1" ht="12.75">
      <c r="B762" s="125"/>
      <c r="C762" s="126"/>
      <c r="D762" s="126"/>
      <c r="E762" s="126"/>
      <c r="F762" s="126"/>
      <c r="G762" s="126"/>
      <c r="H762" s="126"/>
      <c r="I762" s="126"/>
      <c r="J762" s="126"/>
      <c r="K762" s="127"/>
      <c r="L762" s="128"/>
      <c r="M762" s="129"/>
      <c r="N762" s="95"/>
      <c r="O762" s="95"/>
      <c r="P762" s="130"/>
    </row>
    <row r="763" spans="2:16" s="89" customFormat="1" ht="12.75">
      <c r="B763" s="125"/>
      <c r="C763" s="126"/>
      <c r="D763" s="126"/>
      <c r="E763" s="126"/>
      <c r="F763" s="126"/>
      <c r="G763" s="126"/>
      <c r="H763" s="126"/>
      <c r="I763" s="126"/>
      <c r="J763" s="126"/>
      <c r="K763" s="127"/>
      <c r="L763" s="128"/>
      <c r="M763" s="129"/>
      <c r="N763" s="95"/>
      <c r="O763" s="95"/>
      <c r="P763" s="130"/>
    </row>
    <row r="764" spans="2:16" s="89" customFormat="1" ht="12.75">
      <c r="B764" s="125"/>
      <c r="C764" s="126"/>
      <c r="D764" s="126"/>
      <c r="E764" s="126"/>
      <c r="F764" s="126"/>
      <c r="G764" s="126"/>
      <c r="H764" s="126"/>
      <c r="I764" s="126"/>
      <c r="J764" s="126"/>
      <c r="K764" s="127"/>
      <c r="L764" s="128"/>
      <c r="M764" s="129"/>
      <c r="N764" s="95"/>
      <c r="O764" s="95"/>
      <c r="P764" s="130"/>
    </row>
    <row r="765" spans="2:16" s="89" customFormat="1" ht="12.75">
      <c r="B765" s="125"/>
      <c r="C765" s="126"/>
      <c r="D765" s="126"/>
      <c r="E765" s="126"/>
      <c r="F765" s="126"/>
      <c r="G765" s="126"/>
      <c r="H765" s="126"/>
      <c r="I765" s="126"/>
      <c r="J765" s="126"/>
      <c r="K765" s="127"/>
      <c r="L765" s="128"/>
      <c r="M765" s="129"/>
      <c r="N765" s="95"/>
      <c r="O765" s="95"/>
      <c r="P765" s="130"/>
    </row>
    <row r="766" spans="2:16" s="89" customFormat="1" ht="12.75">
      <c r="B766" s="125"/>
      <c r="C766" s="126"/>
      <c r="D766" s="126"/>
      <c r="E766" s="126"/>
      <c r="F766" s="126"/>
      <c r="G766" s="126"/>
      <c r="H766" s="126"/>
      <c r="I766" s="126"/>
      <c r="J766" s="126"/>
      <c r="K766" s="127"/>
      <c r="L766" s="128"/>
      <c r="M766" s="129"/>
      <c r="N766" s="95"/>
      <c r="O766" s="95"/>
      <c r="P766" s="130"/>
    </row>
    <row r="767" spans="2:16" s="89" customFormat="1" ht="12.75">
      <c r="B767" s="125"/>
      <c r="C767" s="126"/>
      <c r="D767" s="126"/>
      <c r="E767" s="126"/>
      <c r="F767" s="126"/>
      <c r="G767" s="126"/>
      <c r="H767" s="126"/>
      <c r="I767" s="126"/>
      <c r="J767" s="126"/>
      <c r="K767" s="127"/>
      <c r="L767" s="128"/>
      <c r="M767" s="129"/>
      <c r="N767" s="95"/>
      <c r="O767" s="95"/>
      <c r="P767" s="130"/>
    </row>
    <row r="768" spans="2:16" s="89" customFormat="1" ht="12.75">
      <c r="B768" s="125"/>
      <c r="C768" s="126"/>
      <c r="D768" s="126"/>
      <c r="E768" s="126"/>
      <c r="F768" s="126"/>
      <c r="G768" s="126"/>
      <c r="H768" s="126"/>
      <c r="I768" s="126"/>
      <c r="J768" s="126"/>
      <c r="K768" s="127"/>
      <c r="L768" s="128"/>
      <c r="M768" s="129"/>
      <c r="N768" s="95"/>
      <c r="O768" s="95"/>
      <c r="P768" s="130"/>
    </row>
    <row r="769" spans="2:16" s="89" customFormat="1" ht="12.75">
      <c r="B769" s="125"/>
      <c r="C769" s="126"/>
      <c r="D769" s="126"/>
      <c r="E769" s="126"/>
      <c r="F769" s="126"/>
      <c r="G769" s="126"/>
      <c r="H769" s="126"/>
      <c r="I769" s="126"/>
      <c r="J769" s="126"/>
      <c r="K769" s="127"/>
      <c r="L769" s="128"/>
      <c r="M769" s="129"/>
      <c r="N769" s="95"/>
      <c r="O769" s="95"/>
      <c r="P769" s="130"/>
    </row>
    <row r="770" spans="2:16" s="89" customFormat="1" ht="12.75">
      <c r="B770" s="125"/>
      <c r="C770" s="126"/>
      <c r="D770" s="126"/>
      <c r="E770" s="126"/>
      <c r="F770" s="126"/>
      <c r="G770" s="126"/>
      <c r="H770" s="126"/>
      <c r="I770" s="126"/>
      <c r="J770" s="126"/>
      <c r="K770" s="127"/>
      <c r="L770" s="128"/>
      <c r="M770" s="129"/>
      <c r="N770" s="95"/>
      <c r="O770" s="95"/>
      <c r="P770" s="130"/>
    </row>
    <row r="771" spans="2:16" s="89" customFormat="1" ht="12.75">
      <c r="B771" s="125"/>
      <c r="C771" s="126"/>
      <c r="D771" s="126"/>
      <c r="E771" s="126"/>
      <c r="F771" s="126"/>
      <c r="G771" s="126"/>
      <c r="H771" s="126"/>
      <c r="I771" s="126"/>
      <c r="J771" s="126"/>
      <c r="K771" s="127"/>
      <c r="L771" s="128"/>
      <c r="M771" s="129"/>
      <c r="N771" s="95"/>
      <c r="O771" s="95"/>
      <c r="P771" s="130"/>
    </row>
    <row r="772" spans="2:16" s="89" customFormat="1" ht="12.75">
      <c r="B772" s="125"/>
      <c r="C772" s="126"/>
      <c r="D772" s="126"/>
      <c r="E772" s="126"/>
      <c r="F772" s="126"/>
      <c r="G772" s="126"/>
      <c r="H772" s="126"/>
      <c r="I772" s="126"/>
      <c r="J772" s="126"/>
      <c r="K772" s="127"/>
      <c r="L772" s="128"/>
      <c r="M772" s="129"/>
      <c r="N772" s="95"/>
      <c r="O772" s="95"/>
      <c r="P772" s="130"/>
    </row>
    <row r="773" spans="2:16" s="89" customFormat="1" ht="12.75">
      <c r="B773" s="125"/>
      <c r="C773" s="126"/>
      <c r="D773" s="126"/>
      <c r="E773" s="126"/>
      <c r="F773" s="126"/>
      <c r="G773" s="126"/>
      <c r="H773" s="126"/>
      <c r="I773" s="126"/>
      <c r="J773" s="126"/>
      <c r="K773" s="127"/>
      <c r="L773" s="128"/>
      <c r="M773" s="129"/>
      <c r="N773" s="95"/>
      <c r="O773" s="95"/>
      <c r="P773" s="130"/>
    </row>
    <row r="774" spans="2:16" s="89" customFormat="1" ht="12.75">
      <c r="B774" s="125"/>
      <c r="C774" s="126"/>
      <c r="D774" s="126"/>
      <c r="E774" s="126"/>
      <c r="F774" s="126"/>
      <c r="G774" s="126"/>
      <c r="H774" s="126"/>
      <c r="I774" s="126"/>
      <c r="J774" s="126"/>
      <c r="K774" s="127"/>
      <c r="L774" s="128"/>
      <c r="M774" s="129"/>
      <c r="N774" s="95"/>
      <c r="O774" s="95"/>
      <c r="P774" s="130"/>
    </row>
    <row r="775" spans="2:16" s="89" customFormat="1" ht="12.75">
      <c r="B775" s="125"/>
      <c r="C775" s="126"/>
      <c r="D775" s="126"/>
      <c r="E775" s="126"/>
      <c r="F775" s="126"/>
      <c r="G775" s="126"/>
      <c r="H775" s="126"/>
      <c r="I775" s="126"/>
      <c r="J775" s="126"/>
      <c r="K775" s="127"/>
      <c r="L775" s="128"/>
      <c r="M775" s="129"/>
      <c r="N775" s="95"/>
      <c r="O775" s="95"/>
      <c r="P775" s="130"/>
    </row>
    <row r="776" spans="2:16" s="89" customFormat="1" ht="12.75">
      <c r="B776" s="125"/>
      <c r="C776" s="126"/>
      <c r="D776" s="126"/>
      <c r="E776" s="126"/>
      <c r="F776" s="126"/>
      <c r="G776" s="126"/>
      <c r="H776" s="126"/>
      <c r="I776" s="126"/>
      <c r="J776" s="126"/>
      <c r="K776" s="127"/>
      <c r="L776" s="128"/>
      <c r="M776" s="129"/>
      <c r="N776" s="95"/>
      <c r="O776" s="95"/>
      <c r="P776" s="130"/>
    </row>
    <row r="777" spans="2:16" s="89" customFormat="1" ht="12.75">
      <c r="B777" s="125"/>
      <c r="C777" s="126"/>
      <c r="D777" s="126"/>
      <c r="E777" s="126"/>
      <c r="F777" s="126"/>
      <c r="G777" s="126"/>
      <c r="H777" s="126"/>
      <c r="I777" s="126"/>
      <c r="J777" s="126"/>
      <c r="K777" s="127"/>
      <c r="L777" s="128"/>
      <c r="M777" s="129"/>
      <c r="N777" s="95"/>
      <c r="O777" s="95"/>
      <c r="P777" s="130"/>
    </row>
    <row r="778" spans="2:16" s="89" customFormat="1" ht="12.75">
      <c r="B778" s="125"/>
      <c r="C778" s="126"/>
      <c r="D778" s="126"/>
      <c r="E778" s="126"/>
      <c r="F778" s="126"/>
      <c r="G778" s="126"/>
      <c r="H778" s="126"/>
      <c r="I778" s="126"/>
      <c r="J778" s="126"/>
      <c r="K778" s="127"/>
      <c r="L778" s="128"/>
      <c r="M778" s="129"/>
      <c r="N778" s="95"/>
      <c r="O778" s="95"/>
      <c r="P778" s="130"/>
    </row>
    <row r="779" spans="2:16" s="89" customFormat="1" ht="12.75">
      <c r="B779" s="125"/>
      <c r="C779" s="126"/>
      <c r="D779" s="126"/>
      <c r="E779" s="126"/>
      <c r="F779" s="126"/>
      <c r="G779" s="126"/>
      <c r="H779" s="126"/>
      <c r="I779" s="126"/>
      <c r="J779" s="126"/>
      <c r="K779" s="127"/>
      <c r="L779" s="128"/>
      <c r="M779" s="129"/>
      <c r="N779" s="95"/>
      <c r="O779" s="95"/>
      <c r="P779" s="130"/>
    </row>
    <row r="780" spans="2:16" s="89" customFormat="1" ht="12.75">
      <c r="B780" s="125"/>
      <c r="C780" s="126"/>
      <c r="D780" s="126"/>
      <c r="E780" s="126"/>
      <c r="F780" s="126"/>
      <c r="G780" s="126"/>
      <c r="H780" s="126"/>
      <c r="I780" s="126"/>
      <c r="J780" s="126"/>
      <c r="K780" s="127"/>
      <c r="L780" s="128"/>
      <c r="M780" s="129"/>
      <c r="N780" s="95"/>
      <c r="O780" s="95"/>
      <c r="P780" s="130"/>
    </row>
    <row r="781" spans="2:16" s="89" customFormat="1" ht="12.75">
      <c r="B781" s="125"/>
      <c r="C781" s="126"/>
      <c r="D781" s="126"/>
      <c r="E781" s="126"/>
      <c r="F781" s="126"/>
      <c r="G781" s="126"/>
      <c r="H781" s="126"/>
      <c r="I781" s="126"/>
      <c r="J781" s="126"/>
      <c r="K781" s="127"/>
      <c r="L781" s="128"/>
      <c r="M781" s="129"/>
      <c r="N781" s="95"/>
      <c r="O781" s="95"/>
      <c r="P781" s="130"/>
    </row>
    <row r="782" spans="2:16" s="89" customFormat="1" ht="12.75">
      <c r="B782" s="125"/>
      <c r="C782" s="126"/>
      <c r="D782" s="126"/>
      <c r="E782" s="126"/>
      <c r="F782" s="126"/>
      <c r="G782" s="126"/>
      <c r="H782" s="126"/>
      <c r="I782" s="126"/>
      <c r="J782" s="126"/>
      <c r="K782" s="127"/>
      <c r="L782" s="128"/>
      <c r="M782" s="129"/>
      <c r="N782" s="95"/>
      <c r="O782" s="95"/>
      <c r="P782" s="130"/>
    </row>
    <row r="783" spans="2:16" s="89" customFormat="1" ht="12.75">
      <c r="B783" s="125"/>
      <c r="C783" s="126"/>
      <c r="D783" s="126"/>
      <c r="E783" s="126"/>
      <c r="F783" s="126"/>
      <c r="G783" s="126"/>
      <c r="H783" s="126"/>
      <c r="I783" s="126"/>
      <c r="J783" s="126"/>
      <c r="K783" s="127"/>
      <c r="L783" s="128"/>
      <c r="M783" s="129"/>
      <c r="N783" s="95"/>
      <c r="O783" s="95"/>
      <c r="P783" s="130"/>
    </row>
    <row r="784" spans="2:16" s="89" customFormat="1" ht="12.75">
      <c r="B784" s="125"/>
      <c r="C784" s="126"/>
      <c r="D784" s="126"/>
      <c r="E784" s="126"/>
      <c r="F784" s="126"/>
      <c r="G784" s="126"/>
      <c r="H784" s="126"/>
      <c r="I784" s="126"/>
      <c r="J784" s="126"/>
      <c r="K784" s="127"/>
      <c r="L784" s="128"/>
      <c r="M784" s="129"/>
      <c r="N784" s="95"/>
      <c r="O784" s="95"/>
      <c r="P784" s="130"/>
    </row>
    <row r="785" spans="2:16" s="89" customFormat="1" ht="12.75">
      <c r="B785" s="125"/>
      <c r="C785" s="126"/>
      <c r="D785" s="126"/>
      <c r="E785" s="126"/>
      <c r="F785" s="126"/>
      <c r="G785" s="126"/>
      <c r="H785" s="126"/>
      <c r="I785" s="126"/>
      <c r="J785" s="126"/>
      <c r="K785" s="127"/>
      <c r="L785" s="128"/>
      <c r="M785" s="129"/>
      <c r="N785" s="95"/>
      <c r="O785" s="95"/>
      <c r="P785" s="130"/>
    </row>
    <row r="786" spans="2:16" s="89" customFormat="1" ht="12.75">
      <c r="B786" s="125"/>
      <c r="C786" s="126"/>
      <c r="D786" s="126"/>
      <c r="E786" s="126"/>
      <c r="F786" s="126"/>
      <c r="G786" s="126"/>
      <c r="H786" s="126"/>
      <c r="I786" s="126"/>
      <c r="J786" s="126"/>
      <c r="K786" s="127"/>
      <c r="L786" s="128"/>
      <c r="M786" s="129"/>
      <c r="N786" s="95"/>
      <c r="O786" s="95"/>
      <c r="P786" s="130"/>
    </row>
    <row r="787" spans="2:16" s="89" customFormat="1" ht="12.75">
      <c r="B787" s="125"/>
      <c r="C787" s="126"/>
      <c r="D787" s="126"/>
      <c r="E787" s="126"/>
      <c r="F787" s="126"/>
      <c r="G787" s="126"/>
      <c r="H787" s="126"/>
      <c r="I787" s="126"/>
      <c r="J787" s="126"/>
      <c r="K787" s="127"/>
      <c r="L787" s="128"/>
      <c r="M787" s="129"/>
      <c r="N787" s="95"/>
      <c r="O787" s="95"/>
      <c r="P787" s="130"/>
    </row>
    <row r="788" spans="2:16" s="89" customFormat="1" ht="12.75">
      <c r="B788" s="125"/>
      <c r="C788" s="126"/>
      <c r="D788" s="126"/>
      <c r="E788" s="126"/>
      <c r="F788" s="126"/>
      <c r="G788" s="126"/>
      <c r="H788" s="126"/>
      <c r="I788" s="126"/>
      <c r="J788" s="126"/>
      <c r="K788" s="127"/>
      <c r="L788" s="128"/>
      <c r="M788" s="129"/>
      <c r="N788" s="95"/>
      <c r="O788" s="95"/>
      <c r="P788" s="130"/>
    </row>
    <row r="789" spans="2:16" s="89" customFormat="1" ht="12.75">
      <c r="B789" s="125"/>
      <c r="C789" s="126"/>
      <c r="D789" s="126"/>
      <c r="E789" s="126"/>
      <c r="F789" s="126"/>
      <c r="G789" s="126"/>
      <c r="H789" s="126"/>
      <c r="I789" s="126"/>
      <c r="J789" s="126"/>
      <c r="K789" s="127"/>
      <c r="L789" s="128"/>
      <c r="M789" s="129"/>
      <c r="N789" s="95"/>
      <c r="O789" s="95"/>
      <c r="P789" s="130"/>
    </row>
    <row r="790" spans="2:16" s="89" customFormat="1" ht="12.75">
      <c r="B790" s="125"/>
      <c r="C790" s="126"/>
      <c r="D790" s="126"/>
      <c r="E790" s="126"/>
      <c r="F790" s="126"/>
      <c r="G790" s="126"/>
      <c r="H790" s="126"/>
      <c r="I790" s="126"/>
      <c r="J790" s="126"/>
      <c r="K790" s="127"/>
      <c r="L790" s="128"/>
      <c r="M790" s="129"/>
      <c r="N790" s="95"/>
      <c r="O790" s="95"/>
      <c r="P790" s="130"/>
    </row>
    <row r="791" spans="2:16" s="89" customFormat="1" ht="12.75">
      <c r="B791" s="125"/>
      <c r="C791" s="126"/>
      <c r="D791" s="126"/>
      <c r="E791" s="126"/>
      <c r="F791" s="126"/>
      <c r="G791" s="126"/>
      <c r="H791" s="126"/>
      <c r="I791" s="126"/>
      <c r="J791" s="126"/>
      <c r="K791" s="127"/>
      <c r="L791" s="128"/>
      <c r="M791" s="129"/>
      <c r="N791" s="95"/>
      <c r="O791" s="95"/>
      <c r="P791" s="130"/>
    </row>
    <row r="792" spans="2:16" s="89" customFormat="1" ht="12.75">
      <c r="B792" s="125"/>
      <c r="C792" s="126"/>
      <c r="D792" s="126"/>
      <c r="E792" s="126"/>
      <c r="F792" s="126"/>
      <c r="G792" s="126"/>
      <c r="H792" s="126"/>
      <c r="I792" s="126"/>
      <c r="J792" s="126"/>
      <c r="K792" s="127"/>
      <c r="L792" s="128"/>
      <c r="M792" s="129"/>
      <c r="N792" s="95"/>
      <c r="O792" s="95"/>
      <c r="P792" s="130"/>
    </row>
    <row r="793" spans="2:16" s="89" customFormat="1" ht="12.75">
      <c r="B793" s="125"/>
      <c r="C793" s="126"/>
      <c r="D793" s="126"/>
      <c r="E793" s="126"/>
      <c r="F793" s="126"/>
      <c r="G793" s="126"/>
      <c r="H793" s="126"/>
      <c r="I793" s="126"/>
      <c r="J793" s="126"/>
      <c r="K793" s="127"/>
      <c r="L793" s="128"/>
      <c r="M793" s="129"/>
      <c r="N793" s="95"/>
      <c r="O793" s="95"/>
      <c r="P793" s="130"/>
    </row>
    <row r="794" spans="2:16" s="89" customFormat="1" ht="12.75">
      <c r="B794" s="125"/>
      <c r="C794" s="126"/>
      <c r="D794" s="126"/>
      <c r="E794" s="126"/>
      <c r="F794" s="126"/>
      <c r="G794" s="126"/>
      <c r="H794" s="126"/>
      <c r="I794" s="126"/>
      <c r="J794" s="126"/>
      <c r="K794" s="127"/>
      <c r="L794" s="128"/>
      <c r="M794" s="129"/>
      <c r="N794" s="95"/>
      <c r="O794" s="95"/>
      <c r="P794" s="130"/>
    </row>
    <row r="795" spans="2:16" s="89" customFormat="1" ht="12.75">
      <c r="B795" s="125"/>
      <c r="C795" s="126"/>
      <c r="D795" s="126"/>
      <c r="E795" s="126"/>
      <c r="F795" s="126"/>
      <c r="G795" s="126"/>
      <c r="H795" s="126"/>
      <c r="I795" s="126"/>
      <c r="J795" s="126"/>
      <c r="K795" s="127"/>
      <c r="L795" s="128"/>
      <c r="M795" s="129"/>
      <c r="N795" s="95"/>
      <c r="O795" s="95"/>
      <c r="P795" s="130"/>
    </row>
    <row r="796" spans="2:16" s="89" customFormat="1" ht="12.75">
      <c r="B796" s="125"/>
      <c r="C796" s="126"/>
      <c r="D796" s="126"/>
      <c r="E796" s="126"/>
      <c r="F796" s="126"/>
      <c r="G796" s="126"/>
      <c r="H796" s="126"/>
      <c r="I796" s="126"/>
      <c r="J796" s="126"/>
      <c r="K796" s="127"/>
      <c r="L796" s="128"/>
      <c r="M796" s="129"/>
      <c r="N796" s="95"/>
      <c r="O796" s="95"/>
      <c r="P796" s="130"/>
    </row>
    <row r="797" spans="2:16" s="89" customFormat="1" ht="12.75">
      <c r="B797" s="125"/>
      <c r="C797" s="126"/>
      <c r="D797" s="126"/>
      <c r="E797" s="126"/>
      <c r="F797" s="126"/>
      <c r="G797" s="126"/>
      <c r="H797" s="126"/>
      <c r="I797" s="126"/>
      <c r="J797" s="126"/>
      <c r="K797" s="127"/>
      <c r="L797" s="128"/>
      <c r="M797" s="129"/>
      <c r="N797" s="95"/>
      <c r="O797" s="95"/>
      <c r="P797" s="130"/>
    </row>
    <row r="798" spans="2:16" s="89" customFormat="1" ht="12.75">
      <c r="B798" s="125"/>
      <c r="C798" s="126"/>
      <c r="D798" s="126"/>
      <c r="E798" s="126"/>
      <c r="F798" s="126"/>
      <c r="G798" s="126"/>
      <c r="H798" s="126"/>
      <c r="I798" s="126"/>
      <c r="J798" s="126"/>
      <c r="K798" s="127"/>
      <c r="L798" s="128"/>
      <c r="M798" s="129"/>
      <c r="N798" s="95"/>
      <c r="O798" s="95"/>
      <c r="P798" s="130"/>
    </row>
    <row r="799" spans="2:16" s="89" customFormat="1" ht="12.75">
      <c r="B799" s="125"/>
      <c r="C799" s="126"/>
      <c r="D799" s="126"/>
      <c r="E799" s="126"/>
      <c r="F799" s="126"/>
      <c r="G799" s="126"/>
      <c r="H799" s="126"/>
      <c r="I799" s="126"/>
      <c r="J799" s="126"/>
      <c r="K799" s="127"/>
      <c r="L799" s="128"/>
      <c r="M799" s="129"/>
      <c r="N799" s="95"/>
      <c r="O799" s="95"/>
      <c r="P799" s="130"/>
    </row>
    <row r="800" spans="2:16" s="89" customFormat="1" ht="12.75">
      <c r="B800" s="125"/>
      <c r="C800" s="126"/>
      <c r="D800" s="126"/>
      <c r="E800" s="126"/>
      <c r="F800" s="126"/>
      <c r="G800" s="126"/>
      <c r="H800" s="126"/>
      <c r="I800" s="126"/>
      <c r="J800" s="126"/>
      <c r="K800" s="127"/>
      <c r="L800" s="128"/>
      <c r="M800" s="129"/>
      <c r="N800" s="95"/>
      <c r="O800" s="95"/>
      <c r="P800" s="130"/>
    </row>
    <row r="801" spans="2:16" s="89" customFormat="1" ht="12.75">
      <c r="B801" s="125"/>
      <c r="C801" s="126"/>
      <c r="D801" s="126"/>
      <c r="E801" s="126"/>
      <c r="F801" s="126"/>
      <c r="G801" s="126"/>
      <c r="H801" s="126"/>
      <c r="I801" s="126"/>
      <c r="J801" s="126"/>
      <c r="K801" s="127"/>
      <c r="L801" s="128"/>
      <c r="M801" s="129"/>
      <c r="N801" s="95"/>
      <c r="O801" s="95"/>
      <c r="P801" s="130"/>
    </row>
    <row r="802" spans="2:16" s="89" customFormat="1" ht="12.75">
      <c r="B802" s="125"/>
      <c r="C802" s="126"/>
      <c r="D802" s="126"/>
      <c r="E802" s="126"/>
      <c r="F802" s="126"/>
      <c r="G802" s="126"/>
      <c r="H802" s="126"/>
      <c r="I802" s="126"/>
      <c r="J802" s="126"/>
      <c r="K802" s="127"/>
      <c r="L802" s="128"/>
      <c r="M802" s="129"/>
      <c r="N802" s="95"/>
      <c r="O802" s="95"/>
      <c r="P802" s="130"/>
    </row>
    <row r="803" spans="2:16" s="89" customFormat="1" ht="12.75">
      <c r="B803" s="125"/>
      <c r="C803" s="126"/>
      <c r="D803" s="126"/>
      <c r="E803" s="126"/>
      <c r="F803" s="126"/>
      <c r="G803" s="126"/>
      <c r="H803" s="126"/>
      <c r="I803" s="126"/>
      <c r="J803" s="126"/>
      <c r="K803" s="127"/>
      <c r="L803" s="128"/>
      <c r="M803" s="129"/>
      <c r="N803" s="95"/>
      <c r="O803" s="95"/>
      <c r="P803" s="130"/>
    </row>
    <row r="804" spans="2:16" s="89" customFormat="1" ht="12.75">
      <c r="B804" s="125"/>
      <c r="C804" s="126"/>
      <c r="D804" s="126"/>
      <c r="E804" s="126"/>
      <c r="F804" s="126"/>
      <c r="G804" s="126"/>
      <c r="H804" s="126"/>
      <c r="I804" s="126"/>
      <c r="J804" s="126"/>
      <c r="K804" s="127"/>
      <c r="L804" s="128"/>
      <c r="M804" s="129"/>
      <c r="N804" s="95"/>
      <c r="O804" s="95"/>
      <c r="P804" s="130"/>
    </row>
    <row r="805" spans="2:16" s="89" customFormat="1" ht="12.75">
      <c r="B805" s="125"/>
      <c r="C805" s="126"/>
      <c r="D805" s="126"/>
      <c r="E805" s="126"/>
      <c r="F805" s="126"/>
      <c r="G805" s="126"/>
      <c r="H805" s="126"/>
      <c r="I805" s="126"/>
      <c r="J805" s="126"/>
      <c r="K805" s="127"/>
      <c r="L805" s="128"/>
      <c r="M805" s="129"/>
      <c r="N805" s="95"/>
      <c r="O805" s="95"/>
      <c r="P805" s="130"/>
    </row>
    <row r="806" spans="2:16" s="89" customFormat="1" ht="12.75">
      <c r="B806" s="125"/>
      <c r="C806" s="126"/>
      <c r="D806" s="126"/>
      <c r="E806" s="126"/>
      <c r="F806" s="126"/>
      <c r="G806" s="126"/>
      <c r="H806" s="126"/>
      <c r="I806" s="126"/>
      <c r="J806" s="126"/>
      <c r="K806" s="127"/>
      <c r="L806" s="128"/>
      <c r="M806" s="129"/>
      <c r="N806" s="95"/>
      <c r="O806" s="95"/>
      <c r="P806" s="130"/>
    </row>
    <row r="807" spans="2:16" s="89" customFormat="1" ht="12.75">
      <c r="B807" s="125"/>
      <c r="C807" s="126"/>
      <c r="D807" s="126"/>
      <c r="E807" s="126"/>
      <c r="F807" s="126"/>
      <c r="G807" s="126"/>
      <c r="H807" s="126"/>
      <c r="I807" s="126"/>
      <c r="J807" s="126"/>
      <c r="K807" s="127"/>
      <c r="L807" s="128"/>
      <c r="M807" s="129"/>
      <c r="N807" s="95"/>
      <c r="O807" s="95"/>
      <c r="P807" s="130"/>
    </row>
    <row r="808" spans="2:16" s="89" customFormat="1" ht="12.75">
      <c r="B808" s="125"/>
      <c r="C808" s="126"/>
      <c r="D808" s="126"/>
      <c r="E808" s="126"/>
      <c r="F808" s="126"/>
      <c r="G808" s="126"/>
      <c r="H808" s="126"/>
      <c r="I808" s="126"/>
      <c r="J808" s="126"/>
      <c r="K808" s="127"/>
      <c r="L808" s="128"/>
      <c r="M808" s="129"/>
      <c r="N808" s="95"/>
      <c r="O808" s="95"/>
      <c r="P808" s="130"/>
    </row>
    <row r="809" spans="2:16" s="89" customFormat="1" ht="12.75">
      <c r="B809" s="125"/>
      <c r="C809" s="126"/>
      <c r="D809" s="126"/>
      <c r="E809" s="126"/>
      <c r="F809" s="126"/>
      <c r="G809" s="126"/>
      <c r="H809" s="126"/>
      <c r="I809" s="126"/>
      <c r="J809" s="126"/>
      <c r="K809" s="127"/>
      <c r="L809" s="128"/>
      <c r="M809" s="129"/>
      <c r="N809" s="95"/>
      <c r="O809" s="95"/>
      <c r="P809" s="130"/>
    </row>
    <row r="810" spans="2:16" s="89" customFormat="1" ht="12.75">
      <c r="B810" s="125"/>
      <c r="C810" s="126"/>
      <c r="D810" s="126"/>
      <c r="E810" s="126"/>
      <c r="F810" s="126"/>
      <c r="G810" s="126"/>
      <c r="H810" s="126"/>
      <c r="I810" s="126"/>
      <c r="J810" s="126"/>
      <c r="K810" s="127"/>
      <c r="L810" s="128"/>
      <c r="M810" s="129"/>
      <c r="N810" s="95"/>
      <c r="O810" s="95"/>
      <c r="P810" s="130"/>
    </row>
    <row r="811" spans="2:16" s="89" customFormat="1" ht="12.75">
      <c r="B811" s="125"/>
      <c r="C811" s="126"/>
      <c r="D811" s="126"/>
      <c r="E811" s="126"/>
      <c r="F811" s="126"/>
      <c r="G811" s="126"/>
      <c r="H811" s="126"/>
      <c r="I811" s="126"/>
      <c r="J811" s="126"/>
      <c r="K811" s="127"/>
      <c r="L811" s="128"/>
      <c r="M811" s="129"/>
      <c r="N811" s="95"/>
      <c r="O811" s="95"/>
      <c r="P811" s="130"/>
    </row>
    <row r="812" spans="2:16" s="89" customFormat="1" ht="12.75">
      <c r="B812" s="125"/>
      <c r="C812" s="126"/>
      <c r="D812" s="126"/>
      <c r="E812" s="126"/>
      <c r="F812" s="126"/>
      <c r="G812" s="126"/>
      <c r="H812" s="126"/>
      <c r="I812" s="126"/>
      <c r="J812" s="126"/>
      <c r="K812" s="127"/>
      <c r="L812" s="128"/>
      <c r="M812" s="129"/>
      <c r="N812" s="95"/>
      <c r="O812" s="95"/>
      <c r="P812" s="130"/>
    </row>
    <row r="813" spans="2:16" s="89" customFormat="1" ht="12.75">
      <c r="B813" s="125"/>
      <c r="C813" s="126"/>
      <c r="D813" s="126"/>
      <c r="E813" s="126"/>
      <c r="F813" s="126"/>
      <c r="G813" s="126"/>
      <c r="H813" s="126"/>
      <c r="I813" s="126"/>
      <c r="J813" s="126"/>
      <c r="K813" s="127"/>
      <c r="L813" s="128"/>
      <c r="M813" s="129"/>
      <c r="N813" s="95"/>
      <c r="O813" s="95"/>
      <c r="P813" s="130"/>
    </row>
    <row r="814" spans="2:16" s="89" customFormat="1" ht="12.75">
      <c r="B814" s="125"/>
      <c r="C814" s="126"/>
      <c r="D814" s="126"/>
      <c r="E814" s="126"/>
      <c r="F814" s="126"/>
      <c r="G814" s="126"/>
      <c r="H814" s="126"/>
      <c r="I814" s="126"/>
      <c r="J814" s="126"/>
      <c r="K814" s="127"/>
      <c r="L814" s="128"/>
      <c r="M814" s="129"/>
      <c r="N814" s="95"/>
      <c r="O814" s="95"/>
      <c r="P814" s="130"/>
    </row>
    <row r="815" spans="2:16" s="89" customFormat="1" ht="12.75">
      <c r="B815" s="125"/>
      <c r="C815" s="126"/>
      <c r="D815" s="126"/>
      <c r="E815" s="126"/>
      <c r="F815" s="126"/>
      <c r="G815" s="126"/>
      <c r="H815" s="126"/>
      <c r="I815" s="126"/>
      <c r="J815" s="126"/>
      <c r="K815" s="127"/>
      <c r="L815" s="128"/>
      <c r="M815" s="129"/>
      <c r="N815" s="95"/>
      <c r="O815" s="95"/>
      <c r="P815" s="130"/>
    </row>
    <row r="816" spans="2:16" s="89" customFormat="1" ht="12.75">
      <c r="B816" s="125"/>
      <c r="C816" s="126"/>
      <c r="D816" s="126"/>
      <c r="E816" s="126"/>
      <c r="F816" s="126"/>
      <c r="G816" s="126"/>
      <c r="H816" s="126"/>
      <c r="I816" s="126"/>
      <c r="J816" s="126"/>
      <c r="K816" s="127"/>
      <c r="L816" s="128"/>
      <c r="M816" s="129"/>
      <c r="N816" s="95"/>
      <c r="O816" s="95"/>
      <c r="P816" s="130"/>
    </row>
    <row r="817" spans="2:16" s="89" customFormat="1" ht="12.75">
      <c r="B817" s="125"/>
      <c r="C817" s="126"/>
      <c r="D817" s="126"/>
      <c r="E817" s="126"/>
      <c r="F817" s="126"/>
      <c r="G817" s="126"/>
      <c r="H817" s="126"/>
      <c r="I817" s="126"/>
      <c r="J817" s="126"/>
      <c r="K817" s="127"/>
      <c r="L817" s="128"/>
      <c r="M817" s="129"/>
      <c r="N817" s="95"/>
      <c r="O817" s="95"/>
      <c r="P817" s="130"/>
    </row>
    <row r="818" spans="2:16" s="89" customFormat="1" ht="12.75">
      <c r="B818" s="125"/>
      <c r="C818" s="126"/>
      <c r="D818" s="126"/>
      <c r="E818" s="126"/>
      <c r="F818" s="126"/>
      <c r="G818" s="126"/>
      <c r="H818" s="126"/>
      <c r="I818" s="126"/>
      <c r="J818" s="126"/>
      <c r="K818" s="127"/>
      <c r="L818" s="128"/>
      <c r="M818" s="129"/>
      <c r="N818" s="95"/>
      <c r="O818" s="95"/>
      <c r="P818" s="130"/>
    </row>
    <row r="819" spans="2:16" s="89" customFormat="1" ht="12.75">
      <c r="B819" s="125"/>
      <c r="C819" s="126"/>
      <c r="D819" s="126"/>
      <c r="E819" s="126"/>
      <c r="F819" s="126"/>
      <c r="G819" s="126"/>
      <c r="H819" s="126"/>
      <c r="I819" s="126"/>
      <c r="J819" s="126"/>
      <c r="K819" s="127"/>
      <c r="L819" s="128"/>
      <c r="M819" s="129"/>
      <c r="N819" s="95"/>
      <c r="O819" s="95"/>
      <c r="P819" s="130"/>
    </row>
    <row r="820" spans="2:16" s="89" customFormat="1" ht="12.75">
      <c r="B820" s="125"/>
      <c r="C820" s="126"/>
      <c r="D820" s="126"/>
      <c r="E820" s="126"/>
      <c r="F820" s="126"/>
      <c r="G820" s="126"/>
      <c r="H820" s="126"/>
      <c r="I820" s="126"/>
      <c r="J820" s="126"/>
      <c r="K820" s="127"/>
      <c r="L820" s="128"/>
      <c r="M820" s="129"/>
      <c r="N820" s="95"/>
      <c r="O820" s="95"/>
      <c r="P820" s="130"/>
    </row>
    <row r="821" spans="2:16" s="89" customFormat="1" ht="12.75">
      <c r="B821" s="125"/>
      <c r="C821" s="126"/>
      <c r="D821" s="126"/>
      <c r="E821" s="126"/>
      <c r="F821" s="126"/>
      <c r="G821" s="126"/>
      <c r="H821" s="126"/>
      <c r="I821" s="126"/>
      <c r="J821" s="126"/>
      <c r="K821" s="127"/>
      <c r="L821" s="128"/>
      <c r="M821" s="129"/>
      <c r="N821" s="95"/>
      <c r="O821" s="95"/>
      <c r="P821" s="130"/>
    </row>
    <row r="822" spans="2:16" s="89" customFormat="1" ht="12.75">
      <c r="B822" s="125"/>
      <c r="C822" s="126"/>
      <c r="D822" s="126"/>
      <c r="E822" s="126"/>
      <c r="F822" s="126"/>
      <c r="G822" s="126"/>
      <c r="H822" s="126"/>
      <c r="I822" s="126"/>
      <c r="J822" s="126"/>
      <c r="K822" s="127"/>
      <c r="L822" s="128"/>
      <c r="M822" s="129"/>
      <c r="N822" s="95"/>
      <c r="O822" s="95"/>
      <c r="P822" s="130"/>
    </row>
    <row r="823" spans="2:16" s="89" customFormat="1" ht="12.75">
      <c r="B823" s="125"/>
      <c r="C823" s="126"/>
      <c r="D823" s="126"/>
      <c r="E823" s="126"/>
      <c r="F823" s="126"/>
      <c r="G823" s="126"/>
      <c r="H823" s="126"/>
      <c r="I823" s="126"/>
      <c r="J823" s="126"/>
      <c r="K823" s="127"/>
      <c r="L823" s="128"/>
      <c r="M823" s="129"/>
      <c r="N823" s="95"/>
      <c r="O823" s="95"/>
      <c r="P823" s="130"/>
    </row>
    <row r="824" spans="2:16" s="89" customFormat="1" ht="12.75">
      <c r="B824" s="125"/>
      <c r="C824" s="126"/>
      <c r="D824" s="126"/>
      <c r="E824" s="126"/>
      <c r="F824" s="126"/>
      <c r="G824" s="126"/>
      <c r="H824" s="126"/>
      <c r="I824" s="126"/>
      <c r="J824" s="126"/>
      <c r="K824" s="127"/>
      <c r="L824" s="128"/>
      <c r="M824" s="129"/>
      <c r="N824" s="95"/>
      <c r="O824" s="95"/>
      <c r="P824" s="130"/>
    </row>
    <row r="825" spans="2:16" s="89" customFormat="1" ht="12.75">
      <c r="B825" s="125"/>
      <c r="C825" s="126"/>
      <c r="D825" s="126"/>
      <c r="E825" s="126"/>
      <c r="F825" s="126"/>
      <c r="G825" s="126"/>
      <c r="H825" s="126"/>
      <c r="I825" s="126"/>
      <c r="J825" s="126"/>
      <c r="K825" s="127"/>
      <c r="L825" s="128"/>
      <c r="M825" s="129"/>
      <c r="N825" s="95"/>
      <c r="O825" s="95"/>
      <c r="P825" s="130"/>
    </row>
    <row r="826" spans="2:16" s="89" customFormat="1" ht="12.75">
      <c r="B826" s="125"/>
      <c r="C826" s="126"/>
      <c r="D826" s="126"/>
      <c r="E826" s="126"/>
      <c r="F826" s="126"/>
      <c r="G826" s="126"/>
      <c r="H826" s="126"/>
      <c r="I826" s="126"/>
      <c r="J826" s="126"/>
      <c r="K826" s="127"/>
      <c r="L826" s="128"/>
      <c r="M826" s="129"/>
      <c r="N826" s="95"/>
      <c r="O826" s="95"/>
      <c r="P826" s="130"/>
    </row>
    <row r="827" spans="2:16" s="89" customFormat="1" ht="12.75">
      <c r="B827" s="125"/>
      <c r="C827" s="126"/>
      <c r="D827" s="126"/>
      <c r="E827" s="126"/>
      <c r="F827" s="126"/>
      <c r="G827" s="126"/>
      <c r="H827" s="126"/>
      <c r="I827" s="126"/>
      <c r="J827" s="126"/>
      <c r="K827" s="127"/>
      <c r="L827" s="128"/>
      <c r="M827" s="129"/>
      <c r="N827" s="95"/>
      <c r="O827" s="95"/>
      <c r="P827" s="130"/>
    </row>
    <row r="828" spans="2:16" s="89" customFormat="1" ht="12.75">
      <c r="B828" s="125"/>
      <c r="C828" s="126"/>
      <c r="D828" s="126"/>
      <c r="E828" s="126"/>
      <c r="F828" s="126"/>
      <c r="G828" s="126"/>
      <c r="H828" s="126"/>
      <c r="I828" s="126"/>
      <c r="J828" s="126"/>
      <c r="K828" s="127"/>
      <c r="L828" s="128"/>
      <c r="M828" s="129"/>
      <c r="N828" s="95"/>
      <c r="O828" s="95"/>
      <c r="P828" s="130"/>
    </row>
    <row r="829" spans="2:16" s="89" customFormat="1" ht="12.75">
      <c r="B829" s="125"/>
      <c r="C829" s="126"/>
      <c r="D829" s="126"/>
      <c r="E829" s="126"/>
      <c r="F829" s="126"/>
      <c r="G829" s="126"/>
      <c r="H829" s="126"/>
      <c r="I829" s="126"/>
      <c r="J829" s="126"/>
      <c r="K829" s="127"/>
      <c r="L829" s="128"/>
      <c r="M829" s="129"/>
      <c r="N829" s="95"/>
      <c r="O829" s="95"/>
      <c r="P829" s="130"/>
    </row>
    <row r="830" spans="2:16" s="89" customFormat="1" ht="12.75">
      <c r="B830" s="125"/>
      <c r="C830" s="126"/>
      <c r="D830" s="126"/>
      <c r="E830" s="126"/>
      <c r="F830" s="126"/>
      <c r="G830" s="126"/>
      <c r="H830" s="126"/>
      <c r="I830" s="126"/>
      <c r="J830" s="126"/>
      <c r="K830" s="127"/>
      <c r="L830" s="128"/>
      <c r="M830" s="129"/>
      <c r="N830" s="95"/>
      <c r="O830" s="95"/>
      <c r="P830" s="130"/>
    </row>
    <row r="831" spans="2:16" s="89" customFormat="1" ht="12.75">
      <c r="B831" s="125"/>
      <c r="C831" s="126"/>
      <c r="D831" s="126"/>
      <c r="E831" s="126"/>
      <c r="F831" s="126"/>
      <c r="G831" s="126"/>
      <c r="H831" s="126"/>
      <c r="I831" s="126"/>
      <c r="J831" s="126"/>
      <c r="K831" s="127"/>
      <c r="L831" s="128"/>
      <c r="M831" s="129"/>
      <c r="N831" s="95"/>
      <c r="O831" s="95"/>
      <c r="P831" s="130"/>
    </row>
    <row r="832" spans="2:16" s="89" customFormat="1" ht="12.75">
      <c r="B832" s="125"/>
      <c r="C832" s="126"/>
      <c r="D832" s="126"/>
      <c r="E832" s="126"/>
      <c r="F832" s="126"/>
      <c r="G832" s="126"/>
      <c r="H832" s="126"/>
      <c r="I832" s="126"/>
      <c r="J832" s="126"/>
      <c r="K832" s="127"/>
      <c r="L832" s="128"/>
      <c r="M832" s="129"/>
      <c r="N832" s="95"/>
      <c r="O832" s="95"/>
      <c r="P832" s="130"/>
    </row>
    <row r="833" spans="2:16" s="89" customFormat="1" ht="12.75">
      <c r="B833" s="125"/>
      <c r="C833" s="126"/>
      <c r="D833" s="126"/>
      <c r="E833" s="126"/>
      <c r="F833" s="126"/>
      <c r="G833" s="126"/>
      <c r="H833" s="126"/>
      <c r="I833" s="126"/>
      <c r="J833" s="126"/>
      <c r="K833" s="127"/>
      <c r="L833" s="128"/>
      <c r="M833" s="129"/>
      <c r="N833" s="95"/>
      <c r="O833" s="95"/>
      <c r="P833" s="130"/>
    </row>
    <row r="834" spans="2:16" s="89" customFormat="1" ht="12.75">
      <c r="B834" s="125"/>
      <c r="C834" s="126"/>
      <c r="D834" s="126"/>
      <c r="E834" s="126"/>
      <c r="F834" s="126"/>
      <c r="G834" s="126"/>
      <c r="H834" s="126"/>
      <c r="I834" s="126"/>
      <c r="J834" s="126"/>
      <c r="K834" s="127"/>
      <c r="L834" s="128"/>
      <c r="M834" s="129"/>
      <c r="N834" s="95"/>
      <c r="O834" s="95"/>
      <c r="P834" s="130"/>
    </row>
    <row r="835" spans="2:16" s="89" customFormat="1" ht="12.75">
      <c r="B835" s="125"/>
      <c r="C835" s="126"/>
      <c r="D835" s="126"/>
      <c r="E835" s="126"/>
      <c r="F835" s="126"/>
      <c r="G835" s="126"/>
      <c r="H835" s="126"/>
      <c r="I835" s="126"/>
      <c r="J835" s="126"/>
      <c r="K835" s="127"/>
      <c r="L835" s="128"/>
      <c r="M835" s="129"/>
      <c r="N835" s="95"/>
      <c r="O835" s="95"/>
      <c r="P835" s="130"/>
    </row>
    <row r="836" spans="2:16" s="89" customFormat="1" ht="12.75">
      <c r="B836" s="125"/>
      <c r="C836" s="126"/>
      <c r="D836" s="126"/>
      <c r="E836" s="126"/>
      <c r="F836" s="126"/>
      <c r="G836" s="126"/>
      <c r="H836" s="126"/>
      <c r="I836" s="126"/>
      <c r="J836" s="126"/>
      <c r="K836" s="127"/>
      <c r="L836" s="128"/>
      <c r="M836" s="129"/>
      <c r="N836" s="95"/>
      <c r="O836" s="95"/>
      <c r="P836" s="130"/>
    </row>
    <row r="837" spans="2:16" s="89" customFormat="1" ht="12.75">
      <c r="B837" s="125"/>
      <c r="C837" s="126"/>
      <c r="D837" s="126"/>
      <c r="E837" s="126"/>
      <c r="F837" s="126"/>
      <c r="G837" s="126"/>
      <c r="H837" s="126"/>
      <c r="I837" s="126"/>
      <c r="J837" s="126"/>
      <c r="K837" s="127"/>
      <c r="L837" s="128"/>
      <c r="M837" s="129"/>
      <c r="N837" s="95"/>
      <c r="O837" s="95"/>
      <c r="P837" s="130"/>
    </row>
    <row r="838" spans="2:16" s="89" customFormat="1" ht="12.75">
      <c r="B838" s="125"/>
      <c r="C838" s="126"/>
      <c r="D838" s="126"/>
      <c r="E838" s="126"/>
      <c r="F838" s="126"/>
      <c r="G838" s="126"/>
      <c r="H838" s="126"/>
      <c r="I838" s="126"/>
      <c r="J838" s="126"/>
      <c r="K838" s="127"/>
      <c r="L838" s="128"/>
      <c r="M838" s="129"/>
      <c r="N838" s="95"/>
      <c r="O838" s="95"/>
      <c r="P838" s="130"/>
    </row>
    <row r="839" spans="2:16" s="89" customFormat="1" ht="12.75">
      <c r="B839" s="125"/>
      <c r="C839" s="126"/>
      <c r="D839" s="126"/>
      <c r="E839" s="126"/>
      <c r="F839" s="126"/>
      <c r="G839" s="126"/>
      <c r="H839" s="126"/>
      <c r="I839" s="126"/>
      <c r="J839" s="126"/>
      <c r="K839" s="127"/>
      <c r="L839" s="128"/>
      <c r="M839" s="129"/>
      <c r="N839" s="95"/>
      <c r="O839" s="95"/>
      <c r="P839" s="130"/>
    </row>
    <row r="840" spans="2:16" s="89" customFormat="1" ht="12.75">
      <c r="B840" s="125"/>
      <c r="C840" s="126"/>
      <c r="D840" s="126"/>
      <c r="E840" s="126"/>
      <c r="F840" s="126"/>
      <c r="G840" s="126"/>
      <c r="H840" s="126"/>
      <c r="I840" s="126"/>
      <c r="J840" s="126"/>
      <c r="K840" s="127"/>
      <c r="L840" s="128"/>
      <c r="M840" s="129"/>
      <c r="N840" s="95"/>
      <c r="O840" s="95"/>
      <c r="P840" s="130"/>
    </row>
    <row r="841" spans="2:16" s="89" customFormat="1" ht="12.75">
      <c r="B841" s="125"/>
      <c r="C841" s="126"/>
      <c r="D841" s="126"/>
      <c r="E841" s="126"/>
      <c r="F841" s="126"/>
      <c r="G841" s="126"/>
      <c r="H841" s="126"/>
      <c r="I841" s="126"/>
      <c r="J841" s="126"/>
      <c r="K841" s="127"/>
      <c r="L841" s="128"/>
      <c r="M841" s="129"/>
      <c r="N841" s="95"/>
      <c r="O841" s="95"/>
      <c r="P841" s="130"/>
    </row>
    <row r="842" spans="2:16" s="89" customFormat="1" ht="12.75">
      <c r="B842" s="125"/>
      <c r="C842" s="126"/>
      <c r="D842" s="126"/>
      <c r="E842" s="126"/>
      <c r="F842" s="126"/>
      <c r="G842" s="126"/>
      <c r="H842" s="126"/>
      <c r="I842" s="126"/>
      <c r="J842" s="126"/>
      <c r="K842" s="127"/>
      <c r="L842" s="128"/>
      <c r="M842" s="129"/>
      <c r="N842" s="95"/>
      <c r="O842" s="95"/>
      <c r="P842" s="130"/>
    </row>
    <row r="843" spans="2:16" s="89" customFormat="1" ht="12.75">
      <c r="B843" s="125"/>
      <c r="C843" s="126"/>
      <c r="D843" s="126"/>
      <c r="E843" s="126"/>
      <c r="F843" s="126"/>
      <c r="G843" s="126"/>
      <c r="H843" s="126"/>
      <c r="I843" s="126"/>
      <c r="J843" s="126"/>
      <c r="K843" s="127"/>
      <c r="L843" s="128"/>
      <c r="M843" s="129"/>
      <c r="N843" s="95"/>
      <c r="O843" s="95"/>
      <c r="P843" s="130"/>
    </row>
    <row r="844" spans="2:16" s="89" customFormat="1" ht="12.75">
      <c r="B844" s="125"/>
      <c r="C844" s="126"/>
      <c r="D844" s="126"/>
      <c r="E844" s="126"/>
      <c r="F844" s="126"/>
      <c r="G844" s="126"/>
      <c r="H844" s="126"/>
      <c r="I844" s="126"/>
      <c r="J844" s="126"/>
      <c r="K844" s="127"/>
      <c r="L844" s="128"/>
      <c r="M844" s="129"/>
      <c r="N844" s="95"/>
      <c r="O844" s="95"/>
      <c r="P844" s="130"/>
    </row>
    <row r="845" spans="2:16" s="89" customFormat="1" ht="12.75">
      <c r="B845" s="125"/>
      <c r="C845" s="126"/>
      <c r="D845" s="126"/>
      <c r="E845" s="126"/>
      <c r="F845" s="126"/>
      <c r="G845" s="126"/>
      <c r="H845" s="126"/>
      <c r="I845" s="126"/>
      <c r="J845" s="126"/>
      <c r="K845" s="127"/>
      <c r="L845" s="128"/>
      <c r="M845" s="129"/>
      <c r="N845" s="95"/>
      <c r="O845" s="95"/>
      <c r="P845" s="130"/>
    </row>
    <row r="846" spans="2:16" s="89" customFormat="1" ht="12.75">
      <c r="B846" s="125"/>
      <c r="C846" s="126"/>
      <c r="D846" s="126"/>
      <c r="E846" s="126"/>
      <c r="F846" s="126"/>
      <c r="G846" s="126"/>
      <c r="H846" s="126"/>
      <c r="I846" s="126"/>
      <c r="J846" s="126"/>
      <c r="K846" s="127"/>
      <c r="L846" s="128"/>
      <c r="M846" s="129"/>
      <c r="N846" s="95"/>
      <c r="O846" s="95"/>
      <c r="P846" s="130"/>
    </row>
    <row r="847" spans="2:16" s="89" customFormat="1" ht="12.75">
      <c r="B847" s="125"/>
      <c r="C847" s="126"/>
      <c r="D847" s="126"/>
      <c r="E847" s="126"/>
      <c r="F847" s="126"/>
      <c r="G847" s="126"/>
      <c r="H847" s="126"/>
      <c r="I847" s="126"/>
      <c r="J847" s="126"/>
      <c r="K847" s="127"/>
      <c r="L847" s="128"/>
      <c r="M847" s="129"/>
      <c r="N847" s="95"/>
      <c r="O847" s="95"/>
      <c r="P847" s="130"/>
    </row>
    <row r="848" spans="2:16" s="89" customFormat="1" ht="12.75">
      <c r="B848" s="125"/>
      <c r="C848" s="126"/>
      <c r="D848" s="126"/>
      <c r="E848" s="126"/>
      <c r="F848" s="126"/>
      <c r="G848" s="126"/>
      <c r="H848" s="126"/>
      <c r="I848" s="126"/>
      <c r="J848" s="126"/>
      <c r="K848" s="127"/>
      <c r="L848" s="128"/>
      <c r="M848" s="129"/>
      <c r="N848" s="95"/>
      <c r="O848" s="95"/>
      <c r="P848" s="130"/>
    </row>
    <row r="849" spans="2:16" s="89" customFormat="1" ht="12.75">
      <c r="B849" s="125"/>
      <c r="C849" s="126"/>
      <c r="D849" s="126"/>
      <c r="E849" s="126"/>
      <c r="F849" s="126"/>
      <c r="G849" s="126"/>
      <c r="H849" s="126"/>
      <c r="I849" s="126"/>
      <c r="J849" s="126"/>
      <c r="K849" s="127"/>
      <c r="L849" s="128"/>
      <c r="M849" s="129"/>
      <c r="N849" s="95"/>
      <c r="O849" s="95"/>
      <c r="P849" s="130"/>
    </row>
    <row r="850" spans="2:16" s="89" customFormat="1" ht="12.75">
      <c r="B850" s="125"/>
      <c r="C850" s="126"/>
      <c r="D850" s="126"/>
      <c r="E850" s="126"/>
      <c r="F850" s="126"/>
      <c r="G850" s="126"/>
      <c r="H850" s="126"/>
      <c r="I850" s="126"/>
      <c r="J850" s="126"/>
      <c r="K850" s="127"/>
      <c r="L850" s="128"/>
      <c r="M850" s="129"/>
      <c r="N850" s="95"/>
      <c r="O850" s="95"/>
      <c r="P850" s="130"/>
    </row>
    <row r="851" spans="2:16" s="89" customFormat="1" ht="12.75">
      <c r="B851" s="125"/>
      <c r="C851" s="126"/>
      <c r="D851" s="126"/>
      <c r="E851" s="126"/>
      <c r="F851" s="126"/>
      <c r="G851" s="126"/>
      <c r="H851" s="126"/>
      <c r="I851" s="126"/>
      <c r="J851" s="126"/>
      <c r="K851" s="127"/>
      <c r="L851" s="128"/>
      <c r="M851" s="129"/>
      <c r="N851" s="95"/>
      <c r="O851" s="95"/>
      <c r="P851" s="130"/>
    </row>
    <row r="852" spans="2:16" s="89" customFormat="1" ht="12.75">
      <c r="B852" s="125"/>
      <c r="C852" s="126"/>
      <c r="D852" s="126"/>
      <c r="E852" s="126"/>
      <c r="F852" s="126"/>
      <c r="G852" s="126"/>
      <c r="H852" s="126"/>
      <c r="I852" s="126"/>
      <c r="J852" s="126"/>
      <c r="K852" s="127"/>
      <c r="L852" s="128"/>
      <c r="M852" s="129"/>
      <c r="N852" s="95"/>
      <c r="O852" s="95"/>
      <c r="P852" s="130"/>
    </row>
    <row r="853" spans="2:16" s="89" customFormat="1" ht="12.75">
      <c r="B853" s="125"/>
      <c r="C853" s="126"/>
      <c r="D853" s="126"/>
      <c r="E853" s="126"/>
      <c r="F853" s="126"/>
      <c r="G853" s="126"/>
      <c r="H853" s="126"/>
      <c r="I853" s="126"/>
      <c r="J853" s="126"/>
      <c r="K853" s="127"/>
      <c r="L853" s="128"/>
      <c r="M853" s="129"/>
      <c r="N853" s="95"/>
      <c r="O853" s="95"/>
      <c r="P853" s="130"/>
    </row>
    <row r="854" spans="2:16" s="89" customFormat="1" ht="12.75">
      <c r="B854" s="125"/>
      <c r="C854" s="126"/>
      <c r="D854" s="126"/>
      <c r="E854" s="126"/>
      <c r="F854" s="126"/>
      <c r="G854" s="126"/>
      <c r="H854" s="126"/>
      <c r="I854" s="126"/>
      <c r="J854" s="126"/>
      <c r="K854" s="127"/>
      <c r="L854" s="128"/>
      <c r="M854" s="129"/>
      <c r="N854" s="95"/>
      <c r="O854" s="95"/>
      <c r="P854" s="130"/>
    </row>
    <row r="855" spans="2:16" s="89" customFormat="1" ht="12.75">
      <c r="B855" s="125"/>
      <c r="C855" s="126"/>
      <c r="D855" s="126"/>
      <c r="E855" s="126"/>
      <c r="F855" s="126"/>
      <c r="G855" s="126"/>
      <c r="H855" s="126"/>
      <c r="I855" s="126"/>
      <c r="J855" s="126"/>
      <c r="K855" s="127"/>
      <c r="L855" s="128"/>
      <c r="M855" s="129"/>
      <c r="N855" s="95"/>
      <c r="O855" s="95"/>
      <c r="P855" s="130"/>
    </row>
    <row r="856" spans="2:16" s="89" customFormat="1" ht="12.75">
      <c r="B856" s="125"/>
      <c r="C856" s="126"/>
      <c r="D856" s="126"/>
      <c r="E856" s="126"/>
      <c r="F856" s="126"/>
      <c r="G856" s="126"/>
      <c r="H856" s="126"/>
      <c r="I856" s="126"/>
      <c r="J856" s="126"/>
      <c r="K856" s="127"/>
      <c r="L856" s="128"/>
      <c r="M856" s="129"/>
      <c r="N856" s="95"/>
      <c r="O856" s="95"/>
      <c r="P856" s="130"/>
    </row>
    <row r="857" spans="2:16" s="89" customFormat="1" ht="12.75">
      <c r="B857" s="125"/>
      <c r="C857" s="126"/>
      <c r="D857" s="126"/>
      <c r="E857" s="126"/>
      <c r="F857" s="126"/>
      <c r="G857" s="126"/>
      <c r="H857" s="126"/>
      <c r="I857" s="126"/>
      <c r="J857" s="126"/>
      <c r="K857" s="127"/>
      <c r="L857" s="128"/>
      <c r="M857" s="129"/>
      <c r="N857" s="95"/>
      <c r="O857" s="95"/>
      <c r="P857" s="130"/>
    </row>
    <row r="858" spans="2:16" s="89" customFormat="1" ht="12.75">
      <c r="B858" s="125"/>
      <c r="C858" s="126"/>
      <c r="D858" s="126"/>
      <c r="E858" s="126"/>
      <c r="F858" s="126"/>
      <c r="G858" s="126"/>
      <c r="H858" s="126"/>
      <c r="I858" s="126"/>
      <c r="J858" s="126"/>
      <c r="K858" s="127"/>
      <c r="L858" s="128"/>
      <c r="M858" s="129"/>
      <c r="N858" s="95"/>
      <c r="O858" s="95"/>
      <c r="P858" s="130"/>
    </row>
    <row r="859" spans="2:16" s="89" customFormat="1" ht="12.75">
      <c r="B859" s="125"/>
      <c r="C859" s="126"/>
      <c r="D859" s="126"/>
      <c r="E859" s="126"/>
      <c r="F859" s="126"/>
      <c r="G859" s="126"/>
      <c r="H859" s="126"/>
      <c r="I859" s="126"/>
      <c r="J859" s="126"/>
      <c r="K859" s="127"/>
      <c r="L859" s="128"/>
      <c r="M859" s="129"/>
      <c r="N859" s="95"/>
      <c r="O859" s="95"/>
      <c r="P859" s="130"/>
    </row>
    <row r="860" spans="2:16" s="89" customFormat="1" ht="12.75">
      <c r="B860" s="125"/>
      <c r="C860" s="126"/>
      <c r="D860" s="126"/>
      <c r="E860" s="126"/>
      <c r="F860" s="126"/>
      <c r="G860" s="126"/>
      <c r="H860" s="126"/>
      <c r="I860" s="126"/>
      <c r="J860" s="126"/>
      <c r="K860" s="127"/>
      <c r="L860" s="128"/>
      <c r="M860" s="129"/>
      <c r="N860" s="95"/>
      <c r="O860" s="95"/>
      <c r="P860" s="130"/>
    </row>
    <row r="861" spans="2:16" s="89" customFormat="1" ht="12.75">
      <c r="B861" s="125"/>
      <c r="C861" s="126"/>
      <c r="D861" s="126"/>
      <c r="E861" s="126"/>
      <c r="F861" s="126"/>
      <c r="G861" s="126"/>
      <c r="H861" s="126"/>
      <c r="I861" s="126"/>
      <c r="J861" s="126"/>
      <c r="K861" s="127"/>
      <c r="L861" s="128"/>
      <c r="M861" s="129"/>
      <c r="N861" s="95"/>
      <c r="O861" s="95"/>
      <c r="P861" s="130"/>
    </row>
    <row r="862" spans="2:16" s="89" customFormat="1" ht="12.75">
      <c r="B862" s="125"/>
      <c r="C862" s="126"/>
      <c r="D862" s="126"/>
      <c r="E862" s="126"/>
      <c r="F862" s="126"/>
      <c r="G862" s="126"/>
      <c r="H862" s="126"/>
      <c r="I862" s="126"/>
      <c r="J862" s="126"/>
      <c r="K862" s="127"/>
      <c r="L862" s="128"/>
      <c r="M862" s="129"/>
      <c r="N862" s="95"/>
      <c r="O862" s="95"/>
      <c r="P862" s="130"/>
    </row>
    <row r="863" spans="2:16" s="89" customFormat="1" ht="12.75">
      <c r="B863" s="125"/>
      <c r="C863" s="126"/>
      <c r="D863" s="126"/>
      <c r="E863" s="126"/>
      <c r="F863" s="126"/>
      <c r="G863" s="126"/>
      <c r="H863" s="126"/>
      <c r="I863" s="126"/>
      <c r="J863" s="126"/>
      <c r="K863" s="127"/>
      <c r="L863" s="128"/>
      <c r="M863" s="129"/>
      <c r="N863" s="95"/>
      <c r="O863" s="95"/>
      <c r="P863" s="130"/>
    </row>
    <row r="864" spans="2:16" s="89" customFormat="1" ht="12.75">
      <c r="B864" s="125"/>
      <c r="C864" s="126"/>
      <c r="D864" s="126"/>
      <c r="E864" s="126"/>
      <c r="F864" s="126"/>
      <c r="G864" s="126"/>
      <c r="H864" s="126"/>
      <c r="I864" s="126"/>
      <c r="J864" s="126"/>
      <c r="K864" s="127"/>
      <c r="L864" s="128"/>
      <c r="M864" s="129"/>
      <c r="N864" s="95"/>
      <c r="O864" s="95"/>
      <c r="P864" s="130"/>
    </row>
    <row r="865" spans="2:16" s="89" customFormat="1" ht="12.75">
      <c r="B865" s="125"/>
      <c r="C865" s="126"/>
      <c r="D865" s="126"/>
      <c r="E865" s="126"/>
      <c r="F865" s="126"/>
      <c r="G865" s="126"/>
      <c r="H865" s="126"/>
      <c r="I865" s="126"/>
      <c r="J865" s="126"/>
      <c r="K865" s="127"/>
      <c r="L865" s="128"/>
      <c r="M865" s="129"/>
      <c r="N865" s="95"/>
      <c r="O865" s="95"/>
      <c r="P865" s="130"/>
    </row>
    <row r="866" spans="2:16" s="89" customFormat="1" ht="12.75">
      <c r="B866" s="125"/>
      <c r="C866" s="126"/>
      <c r="D866" s="126"/>
      <c r="E866" s="126"/>
      <c r="F866" s="126"/>
      <c r="G866" s="126"/>
      <c r="H866" s="126"/>
      <c r="I866" s="126"/>
      <c r="J866" s="126"/>
      <c r="K866" s="127"/>
      <c r="L866" s="128"/>
      <c r="M866" s="129"/>
      <c r="N866" s="95"/>
      <c r="O866" s="95"/>
      <c r="P866" s="130"/>
    </row>
    <row r="867" spans="2:16" s="89" customFormat="1" ht="12.75">
      <c r="B867" s="125"/>
      <c r="C867" s="126"/>
      <c r="D867" s="126"/>
      <c r="E867" s="126"/>
      <c r="F867" s="126"/>
      <c r="G867" s="126"/>
      <c r="H867" s="126"/>
      <c r="I867" s="126"/>
      <c r="J867" s="126"/>
      <c r="K867" s="127"/>
      <c r="L867" s="128"/>
      <c r="M867" s="129"/>
      <c r="N867" s="95"/>
      <c r="O867" s="95"/>
      <c r="P867" s="130"/>
    </row>
    <row r="868" spans="2:16" s="89" customFormat="1" ht="12.75">
      <c r="B868" s="125"/>
      <c r="C868" s="126"/>
      <c r="D868" s="126"/>
      <c r="E868" s="126"/>
      <c r="F868" s="126"/>
      <c r="G868" s="126"/>
      <c r="H868" s="126"/>
      <c r="I868" s="126"/>
      <c r="J868" s="126"/>
      <c r="K868" s="127"/>
      <c r="L868" s="128"/>
      <c r="M868" s="129"/>
      <c r="N868" s="95"/>
      <c r="O868" s="95"/>
      <c r="P868" s="130"/>
    </row>
    <row r="869" spans="2:16" s="89" customFormat="1" ht="12.75">
      <c r="B869" s="125"/>
      <c r="C869" s="126"/>
      <c r="D869" s="126"/>
      <c r="E869" s="126"/>
      <c r="F869" s="126"/>
      <c r="G869" s="126"/>
      <c r="H869" s="126"/>
      <c r="I869" s="126"/>
      <c r="J869" s="126"/>
      <c r="K869" s="127"/>
      <c r="L869" s="128"/>
      <c r="M869" s="129"/>
      <c r="N869" s="95"/>
      <c r="O869" s="95"/>
      <c r="P869" s="130"/>
    </row>
    <row r="870" spans="2:16" s="89" customFormat="1" ht="12.75">
      <c r="B870" s="125"/>
      <c r="C870" s="126"/>
      <c r="D870" s="126"/>
      <c r="E870" s="126"/>
      <c r="F870" s="126"/>
      <c r="G870" s="126"/>
      <c r="H870" s="126"/>
      <c r="I870" s="126"/>
      <c r="J870" s="126"/>
      <c r="K870" s="127"/>
      <c r="L870" s="128"/>
      <c r="M870" s="129"/>
      <c r="N870" s="95"/>
      <c r="O870" s="95"/>
      <c r="P870" s="130"/>
    </row>
    <row r="871" spans="2:16" s="89" customFormat="1" ht="12.75">
      <c r="B871" s="125"/>
      <c r="C871" s="126"/>
      <c r="D871" s="126"/>
      <c r="E871" s="126"/>
      <c r="F871" s="126"/>
      <c r="G871" s="126"/>
      <c r="H871" s="126"/>
      <c r="I871" s="126"/>
      <c r="J871" s="126"/>
      <c r="K871" s="127"/>
      <c r="L871" s="128"/>
      <c r="M871" s="129"/>
      <c r="N871" s="95"/>
      <c r="O871" s="95"/>
      <c r="P871" s="130"/>
    </row>
    <row r="872" spans="2:16" s="89" customFormat="1" ht="12.75">
      <c r="B872" s="125"/>
      <c r="C872" s="126"/>
      <c r="D872" s="126"/>
      <c r="E872" s="126"/>
      <c r="F872" s="126"/>
      <c r="G872" s="126"/>
      <c r="H872" s="126"/>
      <c r="I872" s="126"/>
      <c r="J872" s="126"/>
      <c r="K872" s="127"/>
      <c r="L872" s="128"/>
      <c r="M872" s="129"/>
      <c r="N872" s="95"/>
      <c r="O872" s="95"/>
      <c r="P872" s="130"/>
    </row>
    <row r="873" spans="2:16" s="89" customFormat="1" ht="12.75">
      <c r="B873" s="125"/>
      <c r="C873" s="126"/>
      <c r="D873" s="126"/>
      <c r="E873" s="126"/>
      <c r="F873" s="126"/>
      <c r="G873" s="126"/>
      <c r="H873" s="126"/>
      <c r="I873" s="126"/>
      <c r="J873" s="126"/>
      <c r="K873" s="127"/>
      <c r="L873" s="128"/>
      <c r="M873" s="129"/>
      <c r="N873" s="95"/>
      <c r="O873" s="95"/>
      <c r="P873" s="130"/>
    </row>
    <row r="874" spans="2:16" s="89" customFormat="1" ht="12.75">
      <c r="B874" s="125"/>
      <c r="C874" s="126"/>
      <c r="D874" s="126"/>
      <c r="E874" s="126"/>
      <c r="F874" s="126"/>
      <c r="G874" s="126"/>
      <c r="H874" s="126"/>
      <c r="I874" s="126"/>
      <c r="J874" s="126"/>
      <c r="K874" s="127"/>
      <c r="L874" s="128"/>
      <c r="M874" s="129"/>
      <c r="N874" s="95"/>
      <c r="O874" s="95"/>
      <c r="P874" s="130"/>
    </row>
    <row r="875" spans="2:16" s="89" customFormat="1" ht="12.75">
      <c r="B875" s="125"/>
      <c r="C875" s="126"/>
      <c r="D875" s="126"/>
      <c r="E875" s="126"/>
      <c r="F875" s="126"/>
      <c r="G875" s="126"/>
      <c r="H875" s="126"/>
      <c r="I875" s="126"/>
      <c r="J875" s="126"/>
      <c r="K875" s="127"/>
      <c r="L875" s="128"/>
      <c r="M875" s="129"/>
      <c r="N875" s="95"/>
      <c r="O875" s="95"/>
      <c r="P875" s="130"/>
    </row>
    <row r="876" spans="2:16" s="89" customFormat="1" ht="12.75">
      <c r="B876" s="125"/>
      <c r="C876" s="126"/>
      <c r="D876" s="126"/>
      <c r="E876" s="126"/>
      <c r="F876" s="126"/>
      <c r="G876" s="126"/>
      <c r="H876" s="126"/>
      <c r="I876" s="126"/>
      <c r="J876" s="126"/>
      <c r="K876" s="127"/>
      <c r="L876" s="128"/>
      <c r="M876" s="129"/>
      <c r="N876" s="95"/>
      <c r="O876" s="95"/>
      <c r="P876" s="130"/>
    </row>
    <row r="877" spans="2:16" s="89" customFormat="1" ht="12.75">
      <c r="B877" s="125"/>
      <c r="C877" s="126"/>
      <c r="D877" s="126"/>
      <c r="E877" s="126"/>
      <c r="F877" s="126"/>
      <c r="G877" s="126"/>
      <c r="H877" s="126"/>
      <c r="I877" s="126"/>
      <c r="J877" s="126"/>
      <c r="K877" s="127"/>
      <c r="L877" s="128"/>
      <c r="M877" s="129"/>
      <c r="N877" s="95"/>
      <c r="O877" s="95"/>
      <c r="P877" s="130"/>
    </row>
    <row r="878" spans="2:16" s="89" customFormat="1" ht="12.75">
      <c r="B878" s="125"/>
      <c r="C878" s="126"/>
      <c r="D878" s="126"/>
      <c r="E878" s="126"/>
      <c r="F878" s="126"/>
      <c r="G878" s="126"/>
      <c r="H878" s="126"/>
      <c r="I878" s="126"/>
      <c r="J878" s="126"/>
      <c r="K878" s="127"/>
      <c r="L878" s="128"/>
      <c r="M878" s="129"/>
      <c r="N878" s="95"/>
      <c r="O878" s="95"/>
      <c r="P878" s="130"/>
    </row>
    <row r="879" spans="2:16" s="89" customFormat="1" ht="12.75">
      <c r="B879" s="125"/>
      <c r="C879" s="126"/>
      <c r="D879" s="126"/>
      <c r="E879" s="126"/>
      <c r="F879" s="126"/>
      <c r="G879" s="126"/>
      <c r="H879" s="126"/>
      <c r="I879" s="126"/>
      <c r="J879" s="126"/>
      <c r="K879" s="127"/>
      <c r="L879" s="128"/>
      <c r="M879" s="129"/>
      <c r="N879" s="95"/>
      <c r="O879" s="95"/>
      <c r="P879" s="130"/>
    </row>
    <row r="880" spans="2:16" s="89" customFormat="1" ht="12.75">
      <c r="B880" s="125"/>
      <c r="C880" s="126"/>
      <c r="D880" s="126"/>
      <c r="E880" s="126"/>
      <c r="F880" s="126"/>
      <c r="G880" s="126"/>
      <c r="H880" s="126"/>
      <c r="I880" s="126"/>
      <c r="J880" s="126"/>
      <c r="K880" s="127"/>
      <c r="L880" s="128"/>
      <c r="M880" s="129"/>
      <c r="N880" s="95"/>
      <c r="O880" s="95"/>
      <c r="P880" s="130"/>
    </row>
    <row r="881" spans="2:16" s="89" customFormat="1" ht="12.75">
      <c r="B881" s="125"/>
      <c r="C881" s="126"/>
      <c r="D881" s="126"/>
      <c r="E881" s="126"/>
      <c r="F881" s="126"/>
      <c r="G881" s="126"/>
      <c r="H881" s="126"/>
      <c r="I881" s="126"/>
      <c r="J881" s="126"/>
      <c r="K881" s="127"/>
      <c r="L881" s="128"/>
      <c r="M881" s="129"/>
      <c r="N881" s="95"/>
      <c r="O881" s="95"/>
      <c r="P881" s="130"/>
    </row>
    <row r="882" spans="2:16" s="89" customFormat="1" ht="12.75">
      <c r="B882" s="125"/>
      <c r="C882" s="126"/>
      <c r="D882" s="126"/>
      <c r="E882" s="126"/>
      <c r="F882" s="126"/>
      <c r="G882" s="126"/>
      <c r="H882" s="126"/>
      <c r="I882" s="126"/>
      <c r="J882" s="126"/>
      <c r="K882" s="127"/>
      <c r="L882" s="128"/>
      <c r="M882" s="129"/>
      <c r="N882" s="95"/>
      <c r="O882" s="95"/>
      <c r="P882" s="130"/>
    </row>
    <row r="883" spans="2:16" s="89" customFormat="1" ht="12.75">
      <c r="B883" s="125"/>
      <c r="C883" s="126"/>
      <c r="D883" s="126"/>
      <c r="E883" s="126"/>
      <c r="F883" s="126"/>
      <c r="G883" s="126"/>
      <c r="H883" s="126"/>
      <c r="I883" s="126"/>
      <c r="J883" s="126"/>
      <c r="K883" s="127"/>
      <c r="L883" s="128"/>
      <c r="M883" s="129"/>
      <c r="N883" s="95"/>
      <c r="O883" s="95"/>
      <c r="P883" s="130"/>
    </row>
    <row r="884" spans="2:16" s="89" customFormat="1" ht="12.75">
      <c r="B884" s="125"/>
      <c r="C884" s="126"/>
      <c r="D884" s="126"/>
      <c r="E884" s="126"/>
      <c r="F884" s="126"/>
      <c r="G884" s="126"/>
      <c r="H884" s="126"/>
      <c r="I884" s="126"/>
      <c r="J884" s="126"/>
      <c r="K884" s="127"/>
      <c r="L884" s="128"/>
      <c r="M884" s="129"/>
      <c r="N884" s="95"/>
      <c r="O884" s="95"/>
      <c r="P884" s="130"/>
    </row>
    <row r="885" spans="2:16" s="89" customFormat="1" ht="12.75">
      <c r="B885" s="125"/>
      <c r="C885" s="126"/>
      <c r="D885" s="126"/>
      <c r="E885" s="126"/>
      <c r="F885" s="126"/>
      <c r="G885" s="126"/>
      <c r="H885" s="126"/>
      <c r="I885" s="126"/>
      <c r="J885" s="126"/>
      <c r="K885" s="127"/>
      <c r="L885" s="128"/>
      <c r="M885" s="129"/>
      <c r="N885" s="95"/>
      <c r="O885" s="95"/>
      <c r="P885" s="130"/>
    </row>
    <row r="886" spans="2:16" s="89" customFormat="1" ht="12.75">
      <c r="B886" s="125"/>
      <c r="C886" s="126"/>
      <c r="D886" s="126"/>
      <c r="E886" s="126"/>
      <c r="F886" s="126"/>
      <c r="G886" s="126"/>
      <c r="H886" s="126"/>
      <c r="I886" s="126"/>
      <c r="J886" s="126"/>
      <c r="K886" s="127"/>
      <c r="L886" s="128"/>
      <c r="M886" s="129"/>
      <c r="N886" s="95"/>
      <c r="O886" s="95"/>
      <c r="P886" s="130"/>
    </row>
    <row r="887" spans="2:16" s="89" customFormat="1" ht="12.75">
      <c r="B887" s="125"/>
      <c r="C887" s="126"/>
      <c r="D887" s="126"/>
      <c r="E887" s="126"/>
      <c r="F887" s="126"/>
      <c r="G887" s="126"/>
      <c r="H887" s="126"/>
      <c r="I887" s="126"/>
      <c r="J887" s="126"/>
      <c r="K887" s="127"/>
      <c r="L887" s="128"/>
      <c r="M887" s="129"/>
      <c r="N887" s="95"/>
      <c r="O887" s="95"/>
      <c r="P887" s="130"/>
    </row>
    <row r="888" spans="2:16" s="89" customFormat="1" ht="12.75">
      <c r="B888" s="125"/>
      <c r="C888" s="126"/>
      <c r="D888" s="126"/>
      <c r="E888" s="126"/>
      <c r="F888" s="126"/>
      <c r="G888" s="126"/>
      <c r="H888" s="126"/>
      <c r="I888" s="126"/>
      <c r="J888" s="126"/>
      <c r="K888" s="127"/>
      <c r="L888" s="128"/>
      <c r="M888" s="129"/>
      <c r="N888" s="95"/>
      <c r="O888" s="95"/>
      <c r="P888" s="130"/>
    </row>
    <row r="889" spans="2:16" s="89" customFormat="1" ht="12.75">
      <c r="B889" s="125"/>
      <c r="C889" s="126"/>
      <c r="D889" s="126"/>
      <c r="E889" s="126"/>
      <c r="F889" s="126"/>
      <c r="G889" s="126"/>
      <c r="H889" s="126"/>
      <c r="I889" s="126"/>
      <c r="J889" s="126"/>
      <c r="K889" s="127"/>
      <c r="L889" s="128"/>
      <c r="M889" s="129"/>
      <c r="N889" s="95"/>
      <c r="O889" s="95"/>
      <c r="P889" s="130"/>
    </row>
    <row r="890" spans="2:16" s="89" customFormat="1" ht="12.75">
      <c r="B890" s="125"/>
      <c r="C890" s="126"/>
      <c r="D890" s="126"/>
      <c r="E890" s="126"/>
      <c r="F890" s="126"/>
      <c r="G890" s="126"/>
      <c r="H890" s="126"/>
      <c r="I890" s="126"/>
      <c r="J890" s="126"/>
      <c r="K890" s="127"/>
      <c r="L890" s="128"/>
      <c r="M890" s="129"/>
      <c r="N890" s="95"/>
      <c r="O890" s="95"/>
      <c r="P890" s="130"/>
    </row>
    <row r="891" spans="2:16" s="89" customFormat="1" ht="12.75">
      <c r="B891" s="125"/>
      <c r="C891" s="126"/>
      <c r="D891" s="126"/>
      <c r="E891" s="126"/>
      <c r="F891" s="126"/>
      <c r="G891" s="126"/>
      <c r="H891" s="126"/>
      <c r="I891" s="126"/>
      <c r="J891" s="126"/>
      <c r="K891" s="127"/>
      <c r="L891" s="128"/>
      <c r="M891" s="129"/>
      <c r="N891" s="95"/>
      <c r="O891" s="95"/>
      <c r="P891" s="130"/>
    </row>
    <row r="892" spans="2:16" s="89" customFormat="1" ht="12.75">
      <c r="B892" s="125"/>
      <c r="C892" s="126"/>
      <c r="D892" s="126"/>
      <c r="E892" s="126"/>
      <c r="F892" s="126"/>
      <c r="G892" s="126"/>
      <c r="H892" s="126"/>
      <c r="I892" s="126"/>
      <c r="J892" s="126"/>
      <c r="K892" s="127"/>
      <c r="L892" s="128"/>
      <c r="M892" s="129"/>
      <c r="N892" s="95"/>
      <c r="O892" s="95"/>
      <c r="P892" s="130"/>
    </row>
    <row r="893" spans="2:16" s="89" customFormat="1" ht="12.75">
      <c r="B893" s="125"/>
      <c r="C893" s="126"/>
      <c r="D893" s="126"/>
      <c r="E893" s="126"/>
      <c r="F893" s="126"/>
      <c r="G893" s="126"/>
      <c r="H893" s="126"/>
      <c r="I893" s="126"/>
      <c r="J893" s="126"/>
      <c r="K893" s="127"/>
      <c r="L893" s="128"/>
      <c r="M893" s="129"/>
      <c r="N893" s="95"/>
      <c r="O893" s="95"/>
      <c r="P893" s="130"/>
    </row>
    <row r="894" spans="2:16" s="89" customFormat="1" ht="12.75">
      <c r="B894" s="125"/>
      <c r="C894" s="126"/>
      <c r="D894" s="126"/>
      <c r="E894" s="126"/>
      <c r="F894" s="126"/>
      <c r="G894" s="126"/>
      <c r="H894" s="126"/>
      <c r="I894" s="126"/>
      <c r="J894" s="126"/>
      <c r="K894" s="127"/>
      <c r="L894" s="128"/>
      <c r="M894" s="129"/>
      <c r="N894" s="95"/>
      <c r="O894" s="95"/>
      <c r="P894" s="130"/>
    </row>
    <row r="895" spans="2:16" s="89" customFormat="1" ht="12.75">
      <c r="B895" s="125"/>
      <c r="C895" s="126"/>
      <c r="D895" s="126"/>
      <c r="E895" s="126"/>
      <c r="F895" s="126"/>
      <c r="G895" s="126"/>
      <c r="H895" s="126"/>
      <c r="I895" s="126"/>
      <c r="J895" s="126"/>
      <c r="K895" s="127"/>
      <c r="L895" s="128"/>
      <c r="M895" s="129"/>
      <c r="N895" s="95"/>
      <c r="O895" s="95"/>
      <c r="P895" s="130"/>
    </row>
    <row r="896" spans="2:16" s="89" customFormat="1" ht="12.75">
      <c r="B896" s="125"/>
      <c r="C896" s="126"/>
      <c r="D896" s="126"/>
      <c r="E896" s="126"/>
      <c r="F896" s="126"/>
      <c r="G896" s="126"/>
      <c r="H896" s="126"/>
      <c r="I896" s="126"/>
      <c r="J896" s="126"/>
      <c r="K896" s="127"/>
      <c r="L896" s="128"/>
      <c r="M896" s="129"/>
      <c r="N896" s="95"/>
      <c r="O896" s="95"/>
      <c r="P896" s="130"/>
    </row>
    <row r="897" spans="2:16" s="89" customFormat="1" ht="12.75">
      <c r="B897" s="125"/>
      <c r="C897" s="126"/>
      <c r="D897" s="126"/>
      <c r="E897" s="126"/>
      <c r="F897" s="126"/>
      <c r="G897" s="126"/>
      <c r="H897" s="126"/>
      <c r="I897" s="126"/>
      <c r="J897" s="126"/>
      <c r="K897" s="127"/>
      <c r="L897" s="128"/>
      <c r="M897" s="129"/>
      <c r="N897" s="95"/>
      <c r="O897" s="95"/>
      <c r="P897" s="130"/>
    </row>
    <row r="898" spans="2:16" s="89" customFormat="1" ht="12.75">
      <c r="B898" s="125"/>
      <c r="C898" s="126"/>
      <c r="D898" s="126"/>
      <c r="E898" s="126"/>
      <c r="F898" s="126"/>
      <c r="G898" s="126"/>
      <c r="H898" s="126"/>
      <c r="I898" s="126"/>
      <c r="J898" s="126"/>
      <c r="K898" s="127"/>
      <c r="L898" s="128"/>
      <c r="M898" s="129"/>
      <c r="N898" s="95"/>
      <c r="O898" s="95"/>
      <c r="P898" s="130"/>
    </row>
    <row r="899" spans="2:16" s="89" customFormat="1" ht="12.75">
      <c r="B899" s="125"/>
      <c r="C899" s="126"/>
      <c r="D899" s="126"/>
      <c r="E899" s="126"/>
      <c r="F899" s="126"/>
      <c r="G899" s="126"/>
      <c r="H899" s="126"/>
      <c r="I899" s="126"/>
      <c r="J899" s="126"/>
      <c r="K899" s="127"/>
      <c r="L899" s="128"/>
      <c r="M899" s="129"/>
      <c r="N899" s="95"/>
      <c r="O899" s="95"/>
      <c r="P899" s="130"/>
    </row>
    <row r="900" spans="2:16" s="89" customFormat="1" ht="12.75">
      <c r="B900" s="125"/>
      <c r="C900" s="126"/>
      <c r="D900" s="126"/>
      <c r="E900" s="126"/>
      <c r="F900" s="126"/>
      <c r="G900" s="126"/>
      <c r="H900" s="126"/>
      <c r="I900" s="126"/>
      <c r="J900" s="126"/>
      <c r="K900" s="127"/>
      <c r="L900" s="128"/>
      <c r="M900" s="129"/>
      <c r="N900" s="95"/>
      <c r="O900" s="95"/>
      <c r="P900" s="130"/>
    </row>
    <row r="901" spans="2:16" s="89" customFormat="1" ht="12.75">
      <c r="B901" s="125"/>
      <c r="C901" s="126"/>
      <c r="D901" s="126"/>
      <c r="E901" s="126"/>
      <c r="F901" s="126"/>
      <c r="G901" s="126"/>
      <c r="H901" s="126"/>
      <c r="I901" s="126"/>
      <c r="J901" s="126"/>
      <c r="K901" s="127"/>
      <c r="L901" s="128"/>
      <c r="M901" s="129"/>
      <c r="N901" s="95"/>
      <c r="O901" s="95"/>
      <c r="P901" s="130"/>
    </row>
    <row r="902" spans="2:16" s="89" customFormat="1" ht="12.75">
      <c r="B902" s="125"/>
      <c r="C902" s="126"/>
      <c r="D902" s="126"/>
      <c r="E902" s="126"/>
      <c r="F902" s="126"/>
      <c r="G902" s="126"/>
      <c r="H902" s="126"/>
      <c r="I902" s="126"/>
      <c r="J902" s="126"/>
      <c r="K902" s="127"/>
      <c r="L902" s="128"/>
      <c r="M902" s="129"/>
      <c r="N902" s="95"/>
      <c r="O902" s="95"/>
      <c r="P902" s="130"/>
    </row>
    <row r="903" spans="2:16" s="89" customFormat="1" ht="12.75">
      <c r="B903" s="125"/>
      <c r="C903" s="126"/>
      <c r="D903" s="126"/>
      <c r="E903" s="126"/>
      <c r="F903" s="126"/>
      <c r="G903" s="126"/>
      <c r="H903" s="126"/>
      <c r="I903" s="126"/>
      <c r="J903" s="126"/>
      <c r="K903" s="127"/>
      <c r="L903" s="128"/>
      <c r="M903" s="129"/>
      <c r="N903" s="95"/>
      <c r="O903" s="95"/>
      <c r="P903" s="130"/>
    </row>
    <row r="904" spans="2:16" s="89" customFormat="1" ht="12.75">
      <c r="B904" s="125"/>
      <c r="C904" s="126"/>
      <c r="D904" s="126"/>
      <c r="E904" s="126"/>
      <c r="F904" s="126"/>
      <c r="G904" s="126"/>
      <c r="H904" s="126"/>
      <c r="I904" s="126"/>
      <c r="J904" s="126"/>
      <c r="K904" s="127"/>
      <c r="L904" s="128"/>
      <c r="M904" s="129"/>
      <c r="N904" s="95"/>
      <c r="O904" s="95"/>
      <c r="P904" s="130"/>
    </row>
    <row r="905" spans="2:16" s="89" customFormat="1" ht="12.75">
      <c r="B905" s="125"/>
      <c r="C905" s="126"/>
      <c r="D905" s="126"/>
      <c r="E905" s="126"/>
      <c r="F905" s="126"/>
      <c r="G905" s="126"/>
      <c r="H905" s="126"/>
      <c r="I905" s="126"/>
      <c r="J905" s="126"/>
      <c r="K905" s="127"/>
      <c r="L905" s="128"/>
      <c r="M905" s="129"/>
      <c r="N905" s="95"/>
      <c r="O905" s="95"/>
      <c r="P905" s="130"/>
    </row>
    <row r="906" spans="2:16" s="89" customFormat="1" ht="12.75">
      <c r="B906" s="125"/>
      <c r="C906" s="126"/>
      <c r="D906" s="126"/>
      <c r="E906" s="126"/>
      <c r="F906" s="126"/>
      <c r="G906" s="126"/>
      <c r="H906" s="126"/>
      <c r="I906" s="126"/>
      <c r="J906" s="126"/>
      <c r="K906" s="127"/>
      <c r="L906" s="128"/>
      <c r="M906" s="129"/>
      <c r="N906" s="95"/>
      <c r="O906" s="95"/>
      <c r="P906" s="130"/>
    </row>
    <row r="907" spans="2:16" s="89" customFormat="1" ht="12.75">
      <c r="B907" s="125"/>
      <c r="C907" s="126"/>
      <c r="D907" s="126"/>
      <c r="E907" s="126"/>
      <c r="F907" s="126"/>
      <c r="G907" s="126"/>
      <c r="H907" s="126"/>
      <c r="I907" s="126"/>
      <c r="J907" s="126"/>
      <c r="K907" s="127"/>
      <c r="L907" s="128"/>
      <c r="M907" s="129"/>
      <c r="N907" s="95"/>
      <c r="O907" s="95"/>
      <c r="P907" s="130"/>
    </row>
    <row r="908" spans="2:16" s="89" customFormat="1" ht="12.75">
      <c r="B908" s="125"/>
      <c r="C908" s="126"/>
      <c r="D908" s="126"/>
      <c r="E908" s="126"/>
      <c r="F908" s="126"/>
      <c r="G908" s="126"/>
      <c r="H908" s="126"/>
      <c r="I908" s="126"/>
      <c r="J908" s="126"/>
      <c r="K908" s="127"/>
      <c r="L908" s="128"/>
      <c r="M908" s="129"/>
      <c r="N908" s="95"/>
      <c r="O908" s="95"/>
      <c r="P908" s="130"/>
    </row>
    <row r="909" spans="2:16" s="89" customFormat="1" ht="12.75">
      <c r="B909" s="125"/>
      <c r="C909" s="126"/>
      <c r="D909" s="126"/>
      <c r="E909" s="126"/>
      <c r="F909" s="126"/>
      <c r="G909" s="126"/>
      <c r="H909" s="126"/>
      <c r="I909" s="126"/>
      <c r="J909" s="126"/>
      <c r="K909" s="127"/>
      <c r="L909" s="128"/>
      <c r="M909" s="129"/>
      <c r="N909" s="95"/>
      <c r="O909" s="95"/>
      <c r="P909" s="130"/>
    </row>
    <row r="910" spans="2:16" s="89" customFormat="1" ht="12.75">
      <c r="B910" s="125"/>
      <c r="C910" s="126"/>
      <c r="D910" s="126"/>
      <c r="E910" s="126"/>
      <c r="F910" s="126"/>
      <c r="G910" s="126"/>
      <c r="H910" s="126"/>
      <c r="I910" s="126"/>
      <c r="J910" s="126"/>
      <c r="K910" s="127"/>
      <c r="L910" s="128"/>
      <c r="M910" s="129"/>
      <c r="N910" s="95"/>
      <c r="O910" s="95"/>
      <c r="P910" s="130"/>
    </row>
    <row r="911" spans="2:16" s="89" customFormat="1" ht="12.75">
      <c r="B911" s="125"/>
      <c r="C911" s="126"/>
      <c r="D911" s="126"/>
      <c r="E911" s="126"/>
      <c r="F911" s="126"/>
      <c r="G911" s="126"/>
      <c r="H911" s="126"/>
      <c r="I911" s="126"/>
      <c r="J911" s="126"/>
      <c r="K911" s="127"/>
      <c r="L911" s="128"/>
      <c r="M911" s="129"/>
      <c r="N911" s="95"/>
      <c r="O911" s="95"/>
      <c r="P911" s="130"/>
    </row>
    <row r="912" spans="2:16" s="89" customFormat="1" ht="12.75">
      <c r="B912" s="125"/>
      <c r="C912" s="126"/>
      <c r="D912" s="126"/>
      <c r="E912" s="126"/>
      <c r="F912" s="126"/>
      <c r="G912" s="126"/>
      <c r="H912" s="126"/>
      <c r="I912" s="126"/>
      <c r="J912" s="126"/>
      <c r="K912" s="127"/>
      <c r="L912" s="128"/>
      <c r="M912" s="129"/>
      <c r="N912" s="95"/>
      <c r="O912" s="95"/>
      <c r="P912" s="130"/>
    </row>
    <row r="913" spans="2:16" s="89" customFormat="1" ht="12.75">
      <c r="B913" s="125"/>
      <c r="C913" s="126"/>
      <c r="D913" s="126"/>
      <c r="E913" s="126"/>
      <c r="F913" s="126"/>
      <c r="G913" s="126"/>
      <c r="H913" s="126"/>
      <c r="I913" s="126"/>
      <c r="J913" s="126"/>
      <c r="K913" s="127"/>
      <c r="L913" s="128"/>
      <c r="M913" s="129"/>
      <c r="N913" s="95"/>
      <c r="O913" s="95"/>
      <c r="P913" s="130"/>
    </row>
    <row r="914" spans="2:16" s="89" customFormat="1" ht="12.75">
      <c r="B914" s="125"/>
      <c r="C914" s="126"/>
      <c r="D914" s="126"/>
      <c r="E914" s="126"/>
      <c r="F914" s="126"/>
      <c r="G914" s="126"/>
      <c r="H914" s="126"/>
      <c r="I914" s="126"/>
      <c r="J914" s="126"/>
      <c r="K914" s="127"/>
      <c r="L914" s="128"/>
      <c r="M914" s="129"/>
      <c r="N914" s="95"/>
      <c r="O914" s="95"/>
      <c r="P914" s="130"/>
    </row>
    <row r="915" spans="2:16" s="89" customFormat="1" ht="12.75">
      <c r="B915" s="125"/>
      <c r="C915" s="126"/>
      <c r="D915" s="126"/>
      <c r="E915" s="126"/>
      <c r="F915" s="126"/>
      <c r="G915" s="126"/>
      <c r="H915" s="126"/>
      <c r="I915" s="126"/>
      <c r="J915" s="126"/>
      <c r="K915" s="127"/>
      <c r="L915" s="128"/>
      <c r="M915" s="129"/>
      <c r="N915" s="95"/>
      <c r="O915" s="95"/>
      <c r="P915" s="130"/>
    </row>
    <row r="916" spans="2:16" s="89" customFormat="1" ht="12.75">
      <c r="B916" s="125"/>
      <c r="C916" s="126"/>
      <c r="D916" s="126"/>
      <c r="E916" s="126"/>
      <c r="F916" s="126"/>
      <c r="G916" s="126"/>
      <c r="H916" s="126"/>
      <c r="I916" s="126"/>
      <c r="J916" s="126"/>
      <c r="K916" s="127"/>
      <c r="L916" s="128"/>
      <c r="M916" s="129"/>
      <c r="N916" s="95"/>
      <c r="O916" s="95"/>
      <c r="P916" s="130"/>
    </row>
    <row r="917" spans="2:16" s="89" customFormat="1" ht="12.75">
      <c r="B917" s="125"/>
      <c r="C917" s="126"/>
      <c r="D917" s="126"/>
      <c r="E917" s="126"/>
      <c r="F917" s="126"/>
      <c r="G917" s="126"/>
      <c r="H917" s="126"/>
      <c r="I917" s="126"/>
      <c r="J917" s="126"/>
      <c r="K917" s="127"/>
      <c r="L917" s="128"/>
      <c r="M917" s="129"/>
      <c r="N917" s="95"/>
      <c r="O917" s="95"/>
      <c r="P917" s="130"/>
    </row>
    <row r="918" spans="2:16" s="89" customFormat="1" ht="12.75">
      <c r="B918" s="125"/>
      <c r="C918" s="126"/>
      <c r="D918" s="126"/>
      <c r="E918" s="126"/>
      <c r="F918" s="126"/>
      <c r="G918" s="126"/>
      <c r="H918" s="126"/>
      <c r="I918" s="126"/>
      <c r="J918" s="126"/>
      <c r="K918" s="127"/>
      <c r="L918" s="128"/>
      <c r="M918" s="129"/>
      <c r="N918" s="95"/>
      <c r="O918" s="95"/>
      <c r="P918" s="130"/>
    </row>
    <row r="919" spans="2:16" s="89" customFormat="1" ht="12.75">
      <c r="B919" s="125"/>
      <c r="C919" s="126"/>
      <c r="D919" s="126"/>
      <c r="E919" s="126"/>
      <c r="F919" s="126"/>
      <c r="G919" s="126"/>
      <c r="H919" s="126"/>
      <c r="I919" s="126"/>
      <c r="J919" s="126"/>
      <c r="K919" s="127"/>
      <c r="L919" s="128"/>
      <c r="M919" s="129"/>
      <c r="N919" s="95"/>
      <c r="O919" s="95"/>
      <c r="P919" s="130"/>
    </row>
    <row r="920" spans="2:16" s="89" customFormat="1" ht="12.75">
      <c r="B920" s="125"/>
      <c r="C920" s="126"/>
      <c r="D920" s="126"/>
      <c r="E920" s="126"/>
      <c r="F920" s="126"/>
      <c r="G920" s="126"/>
      <c r="H920" s="126"/>
      <c r="I920" s="126"/>
      <c r="J920" s="126"/>
      <c r="K920" s="127"/>
      <c r="L920" s="128"/>
      <c r="M920" s="129"/>
      <c r="N920" s="95"/>
      <c r="O920" s="95"/>
      <c r="P920" s="130"/>
    </row>
    <row r="921" spans="2:16" s="89" customFormat="1" ht="12.75">
      <c r="B921" s="125"/>
      <c r="C921" s="126"/>
      <c r="D921" s="126"/>
      <c r="E921" s="126"/>
      <c r="F921" s="126"/>
      <c r="G921" s="126"/>
      <c r="H921" s="126"/>
      <c r="I921" s="126"/>
      <c r="J921" s="126"/>
      <c r="K921" s="127"/>
      <c r="L921" s="128"/>
      <c r="M921" s="129"/>
      <c r="N921" s="95"/>
      <c r="O921" s="95"/>
      <c r="P921" s="130"/>
    </row>
    <row r="922" spans="2:16" s="89" customFormat="1" ht="12.75">
      <c r="B922" s="125"/>
      <c r="C922" s="126"/>
      <c r="D922" s="126"/>
      <c r="E922" s="126"/>
      <c r="F922" s="126"/>
      <c r="G922" s="126"/>
      <c r="H922" s="126"/>
      <c r="I922" s="126"/>
      <c r="J922" s="126"/>
      <c r="K922" s="127"/>
      <c r="L922" s="128"/>
      <c r="M922" s="129"/>
      <c r="N922" s="95"/>
      <c r="O922" s="95"/>
      <c r="P922" s="130"/>
    </row>
    <row r="923" spans="2:16" s="89" customFormat="1" ht="12.75">
      <c r="B923" s="125"/>
      <c r="C923" s="126"/>
      <c r="D923" s="126"/>
      <c r="E923" s="126"/>
      <c r="F923" s="126"/>
      <c r="G923" s="126"/>
      <c r="H923" s="126"/>
      <c r="I923" s="126"/>
      <c r="J923" s="126"/>
      <c r="K923" s="127"/>
      <c r="L923" s="128"/>
      <c r="M923" s="129"/>
      <c r="N923" s="95"/>
      <c r="O923" s="95"/>
      <c r="P923" s="130"/>
    </row>
    <row r="924" spans="2:16" s="89" customFormat="1" ht="12.75">
      <c r="B924" s="125"/>
      <c r="C924" s="126"/>
      <c r="D924" s="126"/>
      <c r="E924" s="126"/>
      <c r="F924" s="126"/>
      <c r="G924" s="126"/>
      <c r="H924" s="126"/>
      <c r="I924" s="126"/>
      <c r="J924" s="126"/>
      <c r="K924" s="127"/>
      <c r="L924" s="128"/>
      <c r="M924" s="129"/>
      <c r="N924" s="95"/>
      <c r="O924" s="95"/>
      <c r="P924" s="130"/>
    </row>
    <row r="925" spans="2:16" s="89" customFormat="1" ht="12.75">
      <c r="B925" s="125"/>
      <c r="C925" s="126"/>
      <c r="D925" s="126"/>
      <c r="E925" s="126"/>
      <c r="F925" s="126"/>
      <c r="G925" s="126"/>
      <c r="H925" s="126"/>
      <c r="I925" s="126"/>
      <c r="J925" s="126"/>
      <c r="K925" s="127"/>
      <c r="L925" s="128"/>
      <c r="M925" s="129"/>
      <c r="N925" s="95"/>
      <c r="O925" s="95"/>
      <c r="P925" s="130"/>
    </row>
    <row r="926" spans="2:16" s="89" customFormat="1" ht="12.75">
      <c r="B926" s="125"/>
      <c r="C926" s="126"/>
      <c r="D926" s="126"/>
      <c r="E926" s="126"/>
      <c r="F926" s="126"/>
      <c r="G926" s="126"/>
      <c r="H926" s="126"/>
      <c r="I926" s="126"/>
      <c r="J926" s="126"/>
      <c r="K926" s="127"/>
      <c r="L926" s="128"/>
      <c r="M926" s="129"/>
      <c r="N926" s="95"/>
      <c r="O926" s="95"/>
      <c r="P926" s="130"/>
    </row>
    <row r="927" spans="2:16" s="89" customFormat="1" ht="12.75">
      <c r="B927" s="125"/>
      <c r="C927" s="126"/>
      <c r="D927" s="126"/>
      <c r="E927" s="126"/>
      <c r="F927" s="126"/>
      <c r="G927" s="126"/>
      <c r="H927" s="126"/>
      <c r="I927" s="126"/>
      <c r="J927" s="126"/>
      <c r="K927" s="127"/>
      <c r="L927" s="128"/>
      <c r="M927" s="129"/>
      <c r="N927" s="95"/>
      <c r="O927" s="95"/>
      <c r="P927" s="130"/>
    </row>
    <row r="928" spans="2:16" s="89" customFormat="1" ht="12.75">
      <c r="B928" s="125"/>
      <c r="C928" s="126"/>
      <c r="D928" s="126"/>
      <c r="E928" s="126"/>
      <c r="F928" s="126"/>
      <c r="G928" s="126"/>
      <c r="H928" s="126"/>
      <c r="I928" s="126"/>
      <c r="J928" s="126"/>
      <c r="K928" s="127"/>
      <c r="L928" s="128"/>
      <c r="M928" s="129"/>
      <c r="N928" s="95"/>
      <c r="O928" s="95"/>
      <c r="P928" s="130"/>
    </row>
    <row r="929" spans="2:16" s="89" customFormat="1" ht="12.75">
      <c r="B929" s="125"/>
      <c r="C929" s="126"/>
      <c r="D929" s="126"/>
      <c r="E929" s="126"/>
      <c r="F929" s="126"/>
      <c r="G929" s="126"/>
      <c r="H929" s="126"/>
      <c r="I929" s="126"/>
      <c r="J929" s="126"/>
      <c r="K929" s="127"/>
      <c r="L929" s="128"/>
      <c r="M929" s="129"/>
      <c r="N929" s="95"/>
      <c r="O929" s="95"/>
      <c r="P929" s="130"/>
    </row>
    <row r="930" spans="2:16" s="89" customFormat="1" ht="12.75">
      <c r="B930" s="125"/>
      <c r="C930" s="126"/>
      <c r="D930" s="126"/>
      <c r="E930" s="126"/>
      <c r="F930" s="126"/>
      <c r="G930" s="126"/>
      <c r="H930" s="126"/>
      <c r="I930" s="126"/>
      <c r="J930" s="126"/>
      <c r="K930" s="127"/>
      <c r="L930" s="128"/>
      <c r="M930" s="129"/>
      <c r="N930" s="95"/>
      <c r="O930" s="95"/>
      <c r="P930" s="130"/>
    </row>
    <row r="931" spans="2:16" s="89" customFormat="1" ht="12.75">
      <c r="B931" s="125"/>
      <c r="C931" s="126"/>
      <c r="D931" s="126"/>
      <c r="E931" s="126"/>
      <c r="F931" s="126"/>
      <c r="G931" s="126"/>
      <c r="H931" s="126"/>
      <c r="I931" s="126"/>
      <c r="J931" s="126"/>
      <c r="K931" s="127"/>
      <c r="L931" s="128"/>
      <c r="M931" s="129"/>
      <c r="N931" s="95"/>
      <c r="O931" s="95"/>
      <c r="P931" s="130"/>
    </row>
    <row r="932" spans="2:16" s="89" customFormat="1" ht="12.75">
      <c r="B932" s="125"/>
      <c r="C932" s="126"/>
      <c r="D932" s="126"/>
      <c r="E932" s="126"/>
      <c r="F932" s="126"/>
      <c r="G932" s="126"/>
      <c r="H932" s="126"/>
      <c r="I932" s="126"/>
      <c r="J932" s="126"/>
      <c r="K932" s="127"/>
      <c r="L932" s="128"/>
      <c r="M932" s="129"/>
      <c r="N932" s="95"/>
      <c r="O932" s="95"/>
      <c r="P932" s="130"/>
    </row>
    <row r="933" spans="2:16" s="89" customFormat="1" ht="12.75">
      <c r="B933" s="125"/>
      <c r="C933" s="126"/>
      <c r="D933" s="126"/>
      <c r="E933" s="126"/>
      <c r="F933" s="126"/>
      <c r="G933" s="126"/>
      <c r="H933" s="126"/>
      <c r="I933" s="126"/>
      <c r="J933" s="126"/>
      <c r="K933" s="127"/>
      <c r="L933" s="128"/>
      <c r="M933" s="129"/>
      <c r="N933" s="95"/>
      <c r="O933" s="95"/>
      <c r="P933" s="130"/>
    </row>
    <row r="934" spans="2:16" s="89" customFormat="1" ht="12.75">
      <c r="B934" s="125"/>
      <c r="C934" s="126"/>
      <c r="D934" s="126"/>
      <c r="E934" s="126"/>
      <c r="F934" s="126"/>
      <c r="G934" s="126"/>
      <c r="H934" s="126"/>
      <c r="I934" s="126"/>
      <c r="J934" s="126"/>
      <c r="K934" s="127"/>
      <c r="L934" s="128"/>
      <c r="M934" s="129"/>
      <c r="N934" s="95"/>
      <c r="O934" s="95"/>
      <c r="P934" s="130"/>
    </row>
    <row r="935" spans="2:16" s="89" customFormat="1" ht="12.75">
      <c r="B935" s="125"/>
      <c r="C935" s="126"/>
      <c r="D935" s="126"/>
      <c r="E935" s="126"/>
      <c r="F935" s="126"/>
      <c r="G935" s="126"/>
      <c r="H935" s="126"/>
      <c r="I935" s="126"/>
      <c r="J935" s="126"/>
      <c r="K935" s="127"/>
      <c r="L935" s="128"/>
      <c r="M935" s="129"/>
      <c r="N935" s="95"/>
      <c r="O935" s="95"/>
      <c r="P935" s="130"/>
    </row>
    <row r="936" spans="2:16" s="89" customFormat="1" ht="12.75">
      <c r="B936" s="125"/>
      <c r="C936" s="126"/>
      <c r="D936" s="126"/>
      <c r="E936" s="126"/>
      <c r="F936" s="126"/>
      <c r="G936" s="126"/>
      <c r="H936" s="126"/>
      <c r="I936" s="126"/>
      <c r="J936" s="126"/>
      <c r="K936" s="127"/>
      <c r="L936" s="128"/>
      <c r="M936" s="129"/>
      <c r="N936" s="95"/>
      <c r="O936" s="95"/>
      <c r="P936" s="130"/>
    </row>
    <row r="937" spans="2:16" s="89" customFormat="1" ht="12.75">
      <c r="B937" s="125"/>
      <c r="C937" s="126"/>
      <c r="D937" s="126"/>
      <c r="E937" s="126"/>
      <c r="F937" s="126"/>
      <c r="G937" s="126"/>
      <c r="H937" s="126"/>
      <c r="I937" s="126"/>
      <c r="J937" s="126"/>
      <c r="K937" s="127"/>
      <c r="L937" s="128"/>
      <c r="M937" s="129"/>
      <c r="N937" s="95"/>
      <c r="O937" s="95"/>
      <c r="P937" s="130"/>
    </row>
    <row r="938" spans="2:16" s="89" customFormat="1" ht="12.75">
      <c r="B938" s="125"/>
      <c r="C938" s="126"/>
      <c r="D938" s="126"/>
      <c r="E938" s="126"/>
      <c r="F938" s="126"/>
      <c r="G938" s="126"/>
      <c r="H938" s="126"/>
      <c r="I938" s="126"/>
      <c r="J938" s="126"/>
      <c r="K938" s="127"/>
      <c r="L938" s="128"/>
      <c r="M938" s="129"/>
      <c r="N938" s="95"/>
      <c r="O938" s="95"/>
      <c r="P938" s="130"/>
    </row>
    <row r="939" spans="2:16" s="89" customFormat="1" ht="12.75">
      <c r="B939" s="125"/>
      <c r="C939" s="126"/>
      <c r="D939" s="126"/>
      <c r="E939" s="126"/>
      <c r="F939" s="126"/>
      <c r="G939" s="126"/>
      <c r="H939" s="126"/>
      <c r="I939" s="126"/>
      <c r="J939" s="126"/>
      <c r="K939" s="127"/>
      <c r="L939" s="128"/>
      <c r="M939" s="129"/>
      <c r="N939" s="95"/>
      <c r="O939" s="95"/>
      <c r="P939" s="130"/>
    </row>
    <row r="940" spans="2:16" s="89" customFormat="1" ht="12.75">
      <c r="B940" s="125"/>
      <c r="C940" s="126"/>
      <c r="D940" s="126"/>
      <c r="E940" s="126"/>
      <c r="F940" s="126"/>
      <c r="G940" s="126"/>
      <c r="H940" s="126"/>
      <c r="I940" s="126"/>
      <c r="J940" s="126"/>
      <c r="K940" s="127"/>
      <c r="L940" s="128"/>
      <c r="M940" s="129"/>
      <c r="N940" s="95"/>
      <c r="O940" s="95"/>
      <c r="P940" s="130"/>
    </row>
    <row r="941" spans="2:16" s="89" customFormat="1" ht="12.75">
      <c r="B941" s="125"/>
      <c r="C941" s="126"/>
      <c r="D941" s="126"/>
      <c r="E941" s="126"/>
      <c r="F941" s="126"/>
      <c r="G941" s="126"/>
      <c r="H941" s="126"/>
      <c r="I941" s="126"/>
      <c r="J941" s="126"/>
      <c r="K941" s="127"/>
      <c r="L941" s="128"/>
      <c r="M941" s="129"/>
      <c r="N941" s="95"/>
      <c r="O941" s="95"/>
      <c r="P941" s="130"/>
    </row>
    <row r="942" spans="2:16" s="89" customFormat="1" ht="12.75">
      <c r="B942" s="125"/>
      <c r="C942" s="126"/>
      <c r="D942" s="126"/>
      <c r="E942" s="126"/>
      <c r="F942" s="126"/>
      <c r="G942" s="126"/>
      <c r="H942" s="126"/>
      <c r="I942" s="126"/>
      <c r="J942" s="126"/>
      <c r="K942" s="127"/>
      <c r="L942" s="128"/>
      <c r="M942" s="129"/>
      <c r="N942" s="95"/>
      <c r="O942" s="95"/>
      <c r="P942" s="130"/>
    </row>
    <row r="943" spans="2:16" s="89" customFormat="1" ht="12.75">
      <c r="B943" s="125"/>
      <c r="C943" s="126"/>
      <c r="D943" s="126"/>
      <c r="E943" s="126"/>
      <c r="F943" s="126"/>
      <c r="G943" s="126"/>
      <c r="H943" s="126"/>
      <c r="I943" s="126"/>
      <c r="J943" s="126"/>
      <c r="K943" s="127"/>
      <c r="L943" s="128"/>
      <c r="M943" s="129"/>
      <c r="N943" s="95"/>
      <c r="O943" s="95"/>
      <c r="P943" s="130"/>
    </row>
    <row r="944" spans="2:16" s="89" customFormat="1" ht="12.75">
      <c r="B944" s="125"/>
      <c r="C944" s="126"/>
      <c r="D944" s="126"/>
      <c r="E944" s="126"/>
      <c r="F944" s="126"/>
      <c r="G944" s="126"/>
      <c r="H944" s="126"/>
      <c r="I944" s="126"/>
      <c r="J944" s="126"/>
      <c r="K944" s="127"/>
      <c r="L944" s="128"/>
      <c r="M944" s="129"/>
      <c r="N944" s="95"/>
      <c r="O944" s="95"/>
      <c r="P944" s="130"/>
    </row>
    <row r="945" spans="2:16" s="89" customFormat="1" ht="12.75">
      <c r="B945" s="125"/>
      <c r="C945" s="126"/>
      <c r="D945" s="126"/>
      <c r="E945" s="126"/>
      <c r="F945" s="126"/>
      <c r="G945" s="126"/>
      <c r="H945" s="126"/>
      <c r="I945" s="126"/>
      <c r="J945" s="126"/>
      <c r="K945" s="127"/>
      <c r="L945" s="128"/>
      <c r="M945" s="129"/>
      <c r="N945" s="95"/>
      <c r="O945" s="95"/>
      <c r="P945" s="130"/>
    </row>
    <row r="946" spans="2:16" s="89" customFormat="1" ht="12.75">
      <c r="B946" s="125"/>
      <c r="C946" s="126"/>
      <c r="D946" s="126"/>
      <c r="E946" s="126"/>
      <c r="F946" s="126"/>
      <c r="G946" s="126"/>
      <c r="H946" s="126"/>
      <c r="I946" s="126"/>
      <c r="J946" s="126"/>
      <c r="K946" s="127"/>
      <c r="L946" s="128"/>
      <c r="M946" s="129"/>
      <c r="N946" s="95"/>
      <c r="O946" s="95"/>
      <c r="P946" s="130"/>
    </row>
    <row r="947" spans="2:16" s="89" customFormat="1" ht="12.75">
      <c r="B947" s="125"/>
      <c r="C947" s="126"/>
      <c r="D947" s="126"/>
      <c r="E947" s="126"/>
      <c r="F947" s="126"/>
      <c r="G947" s="126"/>
      <c r="H947" s="126"/>
      <c r="I947" s="126"/>
      <c r="J947" s="126"/>
      <c r="K947" s="127"/>
      <c r="L947" s="128"/>
      <c r="M947" s="129"/>
      <c r="N947" s="95"/>
      <c r="O947" s="95"/>
      <c r="P947" s="130"/>
    </row>
    <row r="948" spans="2:16" s="89" customFormat="1" ht="12.75">
      <c r="B948" s="125"/>
      <c r="C948" s="126"/>
      <c r="D948" s="126"/>
      <c r="E948" s="126"/>
      <c r="F948" s="126"/>
      <c r="G948" s="126"/>
      <c r="H948" s="126"/>
      <c r="I948" s="126"/>
      <c r="J948" s="126"/>
      <c r="K948" s="127"/>
      <c r="L948" s="128"/>
      <c r="M948" s="129"/>
      <c r="N948" s="95"/>
      <c r="O948" s="95"/>
      <c r="P948" s="130"/>
    </row>
    <row r="949" spans="2:16" s="89" customFormat="1" ht="12.75">
      <c r="B949" s="125"/>
      <c r="C949" s="126"/>
      <c r="D949" s="126"/>
      <c r="E949" s="126"/>
      <c r="F949" s="126"/>
      <c r="G949" s="126"/>
      <c r="H949" s="126"/>
      <c r="I949" s="126"/>
      <c r="J949" s="126"/>
      <c r="K949" s="127"/>
      <c r="L949" s="128"/>
      <c r="M949" s="129"/>
      <c r="N949" s="95"/>
      <c r="O949" s="95"/>
      <c r="P949" s="130"/>
    </row>
    <row r="950" spans="2:16" s="89" customFormat="1" ht="12.75">
      <c r="B950" s="125"/>
      <c r="C950" s="126"/>
      <c r="D950" s="126"/>
      <c r="E950" s="126"/>
      <c r="F950" s="126"/>
      <c r="G950" s="126"/>
      <c r="H950" s="126"/>
      <c r="I950" s="126"/>
      <c r="J950" s="126"/>
      <c r="K950" s="127"/>
      <c r="L950" s="128"/>
      <c r="M950" s="129"/>
      <c r="N950" s="95"/>
      <c r="O950" s="95"/>
      <c r="P950" s="130"/>
    </row>
    <row r="951" spans="2:16" s="89" customFormat="1" ht="12.75">
      <c r="B951" s="125"/>
      <c r="C951" s="126"/>
      <c r="D951" s="126"/>
      <c r="E951" s="126"/>
      <c r="F951" s="126"/>
      <c r="G951" s="126"/>
      <c r="H951" s="126"/>
      <c r="I951" s="126"/>
      <c r="J951" s="126"/>
      <c r="K951" s="127"/>
      <c r="L951" s="128"/>
      <c r="M951" s="129"/>
      <c r="N951" s="95"/>
      <c r="O951" s="95"/>
      <c r="P951" s="130"/>
    </row>
    <row r="952" spans="2:16" s="89" customFormat="1" ht="12.75">
      <c r="B952" s="125"/>
      <c r="C952" s="126"/>
      <c r="D952" s="126"/>
      <c r="E952" s="126"/>
      <c r="F952" s="126"/>
      <c r="G952" s="126"/>
      <c r="H952" s="126"/>
      <c r="I952" s="126"/>
      <c r="J952" s="126"/>
      <c r="K952" s="127"/>
      <c r="L952" s="128"/>
      <c r="M952" s="129"/>
      <c r="N952" s="95"/>
      <c r="O952" s="95"/>
      <c r="P952" s="130"/>
    </row>
    <row r="953" spans="2:16" s="89" customFormat="1" ht="12.75">
      <c r="B953" s="125"/>
      <c r="C953" s="126"/>
      <c r="D953" s="126"/>
      <c r="E953" s="126"/>
      <c r="F953" s="126"/>
      <c r="G953" s="126"/>
      <c r="H953" s="126"/>
      <c r="I953" s="126"/>
      <c r="J953" s="126"/>
      <c r="K953" s="127"/>
      <c r="L953" s="128"/>
      <c r="M953" s="129"/>
      <c r="N953" s="95"/>
      <c r="O953" s="95"/>
      <c r="P953" s="130"/>
    </row>
    <row r="954" spans="2:16" s="89" customFormat="1" ht="12.75">
      <c r="B954" s="125"/>
      <c r="C954" s="126"/>
      <c r="D954" s="126"/>
      <c r="E954" s="126"/>
      <c r="F954" s="126"/>
      <c r="G954" s="126"/>
      <c r="H954" s="126"/>
      <c r="I954" s="126"/>
      <c r="J954" s="126"/>
      <c r="K954" s="127"/>
      <c r="L954" s="128"/>
      <c r="M954" s="129"/>
      <c r="N954" s="95"/>
      <c r="O954" s="95"/>
      <c r="P954" s="130"/>
    </row>
    <row r="955" spans="2:16" s="89" customFormat="1" ht="12.75">
      <c r="B955" s="125"/>
      <c r="C955" s="126"/>
      <c r="D955" s="126"/>
      <c r="E955" s="126"/>
      <c r="F955" s="126"/>
      <c r="G955" s="126"/>
      <c r="H955" s="126"/>
      <c r="I955" s="126"/>
      <c r="J955" s="126"/>
      <c r="K955" s="127"/>
      <c r="L955" s="128"/>
      <c r="M955" s="129"/>
      <c r="N955" s="95"/>
      <c r="O955" s="95"/>
      <c r="P955" s="130"/>
    </row>
    <row r="956" spans="2:16" s="89" customFormat="1" ht="12.75">
      <c r="B956" s="125"/>
      <c r="C956" s="126"/>
      <c r="D956" s="126"/>
      <c r="E956" s="126"/>
      <c r="F956" s="126"/>
      <c r="G956" s="126"/>
      <c r="H956" s="126"/>
      <c r="I956" s="126"/>
      <c r="J956" s="126"/>
      <c r="K956" s="127"/>
      <c r="L956" s="128"/>
      <c r="M956" s="129"/>
      <c r="N956" s="95"/>
      <c r="O956" s="95"/>
      <c r="P956" s="130"/>
    </row>
    <row r="957" spans="2:16" s="89" customFormat="1" ht="12.75">
      <c r="B957" s="125"/>
      <c r="C957" s="126"/>
      <c r="D957" s="126"/>
      <c r="E957" s="126"/>
      <c r="F957" s="126"/>
      <c r="G957" s="126"/>
      <c r="H957" s="126"/>
      <c r="I957" s="126"/>
      <c r="J957" s="126"/>
      <c r="K957" s="127"/>
      <c r="L957" s="128"/>
      <c r="M957" s="129"/>
      <c r="N957" s="95"/>
      <c r="O957" s="95"/>
      <c r="P957" s="130"/>
    </row>
    <row r="958" spans="2:16" s="89" customFormat="1" ht="12.75">
      <c r="B958" s="125"/>
      <c r="C958" s="126"/>
      <c r="D958" s="126"/>
      <c r="E958" s="126"/>
      <c r="F958" s="126"/>
      <c r="G958" s="126"/>
      <c r="H958" s="126"/>
      <c r="I958" s="126"/>
      <c r="J958" s="126"/>
      <c r="K958" s="127"/>
      <c r="L958" s="128"/>
      <c r="M958" s="129"/>
      <c r="N958" s="95"/>
      <c r="O958" s="95"/>
      <c r="P958" s="130"/>
    </row>
    <row r="959" spans="2:16" s="89" customFormat="1" ht="12.75">
      <c r="B959" s="125"/>
      <c r="C959" s="126"/>
      <c r="D959" s="126"/>
      <c r="E959" s="126"/>
      <c r="F959" s="126"/>
      <c r="G959" s="126"/>
      <c r="H959" s="126"/>
      <c r="I959" s="126"/>
      <c r="J959" s="126"/>
      <c r="K959" s="127"/>
      <c r="L959" s="128"/>
      <c r="M959" s="129"/>
      <c r="N959" s="95"/>
      <c r="O959" s="95"/>
      <c r="P959" s="130"/>
    </row>
    <row r="960" spans="2:16" s="89" customFormat="1" ht="12.75">
      <c r="B960" s="125"/>
      <c r="C960" s="126"/>
      <c r="D960" s="126"/>
      <c r="E960" s="126"/>
      <c r="F960" s="126"/>
      <c r="G960" s="126"/>
      <c r="H960" s="126"/>
      <c r="I960" s="126"/>
      <c r="J960" s="126"/>
      <c r="K960" s="127"/>
      <c r="L960" s="128"/>
      <c r="M960" s="129"/>
      <c r="N960" s="95"/>
      <c r="O960" s="95"/>
      <c r="P960" s="130"/>
    </row>
    <row r="961" spans="2:16" s="89" customFormat="1" ht="12.75">
      <c r="B961" s="125"/>
      <c r="C961" s="126"/>
      <c r="D961" s="126"/>
      <c r="E961" s="126"/>
      <c r="F961" s="126"/>
      <c r="G961" s="126"/>
      <c r="H961" s="126"/>
      <c r="I961" s="126"/>
      <c r="J961" s="126"/>
      <c r="K961" s="127"/>
      <c r="L961" s="128"/>
      <c r="M961" s="129"/>
      <c r="N961" s="95"/>
      <c r="O961" s="95"/>
      <c r="P961" s="130"/>
    </row>
    <row r="962" spans="2:16" s="89" customFormat="1" ht="12.75">
      <c r="B962" s="125"/>
      <c r="C962" s="126"/>
      <c r="D962" s="126"/>
      <c r="E962" s="126"/>
      <c r="F962" s="126"/>
      <c r="G962" s="126"/>
      <c r="H962" s="126"/>
      <c r="I962" s="126"/>
      <c r="J962" s="126"/>
      <c r="K962" s="127"/>
      <c r="L962" s="128"/>
      <c r="M962" s="129"/>
      <c r="N962" s="95"/>
      <c r="O962" s="95"/>
      <c r="P962" s="130"/>
    </row>
    <row r="963" spans="2:16" s="89" customFormat="1" ht="12.75">
      <c r="B963" s="125"/>
      <c r="C963" s="126"/>
      <c r="D963" s="126"/>
      <c r="E963" s="126"/>
      <c r="F963" s="126"/>
      <c r="G963" s="126"/>
      <c r="H963" s="126"/>
      <c r="I963" s="126"/>
      <c r="J963" s="126"/>
      <c r="K963" s="127"/>
      <c r="L963" s="128"/>
      <c r="M963" s="129"/>
      <c r="N963" s="95"/>
      <c r="O963" s="95"/>
      <c r="P963" s="130"/>
    </row>
    <row r="964" spans="2:16" s="89" customFormat="1" ht="12.75">
      <c r="B964" s="125"/>
      <c r="C964" s="126"/>
      <c r="D964" s="126"/>
      <c r="E964" s="126"/>
      <c r="F964" s="126"/>
      <c r="G964" s="126"/>
      <c r="H964" s="126"/>
      <c r="I964" s="126"/>
      <c r="J964" s="126"/>
      <c r="K964" s="127"/>
      <c r="L964" s="128"/>
      <c r="M964" s="129"/>
      <c r="N964" s="95"/>
      <c r="O964" s="95"/>
      <c r="P964" s="130"/>
    </row>
    <row r="965" spans="2:16" s="89" customFormat="1" ht="12.75">
      <c r="B965" s="125"/>
      <c r="C965" s="126"/>
      <c r="D965" s="126"/>
      <c r="E965" s="126"/>
      <c r="F965" s="126"/>
      <c r="G965" s="126"/>
      <c r="H965" s="126"/>
      <c r="I965" s="126"/>
      <c r="J965" s="126"/>
      <c r="K965" s="127"/>
      <c r="L965" s="128"/>
      <c r="M965" s="129"/>
      <c r="N965" s="95"/>
      <c r="O965" s="95"/>
      <c r="P965" s="130"/>
    </row>
    <row r="966" spans="2:16" s="89" customFormat="1" ht="12.75">
      <c r="B966" s="125"/>
      <c r="C966" s="126"/>
      <c r="D966" s="126"/>
      <c r="E966" s="126"/>
      <c r="F966" s="126"/>
      <c r="G966" s="126"/>
      <c r="H966" s="126"/>
      <c r="I966" s="126"/>
      <c r="J966" s="126"/>
      <c r="K966" s="127"/>
      <c r="L966" s="128"/>
      <c r="M966" s="129"/>
      <c r="N966" s="95"/>
      <c r="O966" s="95"/>
      <c r="P966" s="130"/>
    </row>
    <row r="967" spans="2:16" s="89" customFormat="1" ht="12.75">
      <c r="B967" s="125"/>
      <c r="C967" s="126"/>
      <c r="D967" s="126"/>
      <c r="E967" s="126"/>
      <c r="F967" s="126"/>
      <c r="G967" s="126"/>
      <c r="H967" s="126"/>
      <c r="I967" s="126"/>
      <c r="J967" s="126"/>
      <c r="K967" s="127"/>
      <c r="L967" s="128"/>
      <c r="M967" s="129"/>
      <c r="N967" s="95"/>
      <c r="O967" s="95"/>
      <c r="P967" s="130"/>
    </row>
    <row r="968" spans="2:16" s="89" customFormat="1" ht="12.75">
      <c r="B968" s="125"/>
      <c r="C968" s="126"/>
      <c r="D968" s="126"/>
      <c r="E968" s="126"/>
      <c r="F968" s="126"/>
      <c r="G968" s="126"/>
      <c r="H968" s="126"/>
      <c r="I968" s="126"/>
      <c r="J968" s="126"/>
      <c r="K968" s="127"/>
      <c r="L968" s="128"/>
      <c r="M968" s="129"/>
      <c r="N968" s="95"/>
      <c r="O968" s="95"/>
      <c r="P968" s="130"/>
    </row>
    <row r="969" spans="2:16" s="89" customFormat="1" ht="12.75">
      <c r="B969" s="125"/>
      <c r="C969" s="126"/>
      <c r="D969" s="126"/>
      <c r="E969" s="126"/>
      <c r="F969" s="126"/>
      <c r="G969" s="126"/>
      <c r="H969" s="126"/>
      <c r="I969" s="126"/>
      <c r="J969" s="126"/>
      <c r="K969" s="127"/>
      <c r="L969" s="128"/>
      <c r="M969" s="129"/>
      <c r="N969" s="95"/>
      <c r="O969" s="95"/>
      <c r="P969" s="130"/>
    </row>
    <row r="970" spans="2:16" s="89" customFormat="1" ht="12.75">
      <c r="B970" s="125"/>
      <c r="C970" s="126"/>
      <c r="D970" s="126"/>
      <c r="E970" s="126"/>
      <c r="F970" s="126"/>
      <c r="G970" s="126"/>
      <c r="H970" s="126"/>
      <c r="I970" s="126"/>
      <c r="J970" s="126"/>
      <c r="K970" s="127"/>
      <c r="L970" s="128"/>
      <c r="M970" s="129"/>
      <c r="N970" s="95"/>
      <c r="O970" s="95"/>
      <c r="P970" s="130"/>
    </row>
    <row r="971" spans="2:16" s="89" customFormat="1" ht="12.75">
      <c r="B971" s="125"/>
      <c r="C971" s="126"/>
      <c r="D971" s="126"/>
      <c r="E971" s="126"/>
      <c r="F971" s="126"/>
      <c r="G971" s="126"/>
      <c r="H971" s="126"/>
      <c r="I971" s="126"/>
      <c r="J971" s="126"/>
      <c r="K971" s="127"/>
      <c r="L971" s="128"/>
      <c r="M971" s="129"/>
      <c r="N971" s="95"/>
      <c r="O971" s="95"/>
      <c r="P971" s="130"/>
    </row>
    <row r="972" spans="2:16" s="89" customFormat="1" ht="12.75">
      <c r="B972" s="125"/>
      <c r="C972" s="126"/>
      <c r="D972" s="126"/>
      <c r="E972" s="126"/>
      <c r="F972" s="126"/>
      <c r="G972" s="126"/>
      <c r="H972" s="126"/>
      <c r="I972" s="126"/>
      <c r="J972" s="126"/>
      <c r="K972" s="127"/>
      <c r="L972" s="128"/>
      <c r="M972" s="129"/>
      <c r="N972" s="95"/>
      <c r="O972" s="95"/>
      <c r="P972" s="130"/>
    </row>
    <row r="973" spans="2:16" s="89" customFormat="1" ht="12.75">
      <c r="B973" s="125"/>
      <c r="C973" s="126"/>
      <c r="D973" s="126"/>
      <c r="E973" s="126"/>
      <c r="F973" s="126"/>
      <c r="G973" s="126"/>
      <c r="H973" s="126"/>
      <c r="I973" s="126"/>
      <c r="J973" s="126"/>
      <c r="K973" s="127"/>
      <c r="L973" s="128"/>
      <c r="M973" s="129"/>
      <c r="N973" s="95"/>
      <c r="O973" s="95"/>
      <c r="P973" s="130"/>
    </row>
    <row r="974" spans="2:16" s="89" customFormat="1" ht="12.75">
      <c r="B974" s="125"/>
      <c r="C974" s="126"/>
      <c r="D974" s="126"/>
      <c r="E974" s="126"/>
      <c r="F974" s="126"/>
      <c r="G974" s="126"/>
      <c r="H974" s="126"/>
      <c r="I974" s="126"/>
      <c r="J974" s="126"/>
      <c r="K974" s="127"/>
      <c r="L974" s="128"/>
      <c r="M974" s="129"/>
      <c r="N974" s="95"/>
      <c r="O974" s="95"/>
      <c r="P974" s="130"/>
    </row>
    <row r="975" spans="2:16" s="89" customFormat="1" ht="12.75">
      <c r="B975" s="125"/>
      <c r="C975" s="126"/>
      <c r="D975" s="126"/>
      <c r="E975" s="126"/>
      <c r="F975" s="126"/>
      <c r="G975" s="126"/>
      <c r="H975" s="126"/>
      <c r="I975" s="126"/>
      <c r="J975" s="126"/>
      <c r="K975" s="127"/>
      <c r="L975" s="128"/>
      <c r="M975" s="129"/>
      <c r="N975" s="95"/>
      <c r="O975" s="95"/>
      <c r="P975" s="130"/>
    </row>
    <row r="976" spans="2:16" s="89" customFormat="1" ht="12.75">
      <c r="B976" s="125"/>
      <c r="C976" s="126"/>
      <c r="D976" s="126"/>
      <c r="E976" s="126"/>
      <c r="F976" s="126"/>
      <c r="G976" s="126"/>
      <c r="H976" s="126"/>
      <c r="I976" s="126"/>
      <c r="J976" s="126"/>
      <c r="K976" s="127"/>
      <c r="L976" s="128"/>
      <c r="M976" s="129"/>
      <c r="N976" s="95"/>
      <c r="O976" s="95"/>
      <c r="P976" s="130"/>
    </row>
    <row r="977" spans="2:16" s="89" customFormat="1" ht="12.75">
      <c r="B977" s="125"/>
      <c r="C977" s="126"/>
      <c r="D977" s="126"/>
      <c r="E977" s="126"/>
      <c r="F977" s="126"/>
      <c r="G977" s="126"/>
      <c r="H977" s="126"/>
      <c r="I977" s="126"/>
      <c r="J977" s="126"/>
      <c r="K977" s="127"/>
      <c r="L977" s="128"/>
      <c r="M977" s="129"/>
      <c r="N977" s="95"/>
      <c r="O977" s="95"/>
      <c r="P977" s="130"/>
    </row>
    <row r="978" spans="2:16" s="89" customFormat="1" ht="12.75">
      <c r="B978" s="125"/>
      <c r="C978" s="126"/>
      <c r="D978" s="126"/>
      <c r="E978" s="126"/>
      <c r="F978" s="126"/>
      <c r="G978" s="126"/>
      <c r="H978" s="126"/>
      <c r="I978" s="126"/>
      <c r="J978" s="126"/>
      <c r="K978" s="127"/>
      <c r="L978" s="128"/>
      <c r="M978" s="129"/>
      <c r="N978" s="95"/>
      <c r="O978" s="95"/>
      <c r="P978" s="130"/>
    </row>
    <row r="979" spans="2:16" s="89" customFormat="1" ht="12.75">
      <c r="B979" s="125"/>
      <c r="C979" s="126"/>
      <c r="D979" s="126"/>
      <c r="E979" s="126"/>
      <c r="F979" s="126"/>
      <c r="G979" s="126"/>
      <c r="H979" s="126"/>
      <c r="I979" s="126"/>
      <c r="J979" s="126"/>
      <c r="K979" s="127"/>
      <c r="L979" s="128"/>
      <c r="M979" s="129"/>
      <c r="N979" s="95"/>
      <c r="O979" s="95"/>
      <c r="P979" s="130"/>
    </row>
    <row r="980" spans="2:16" s="89" customFormat="1" ht="12.75">
      <c r="B980" s="125"/>
      <c r="C980" s="126"/>
      <c r="D980" s="126"/>
      <c r="E980" s="126"/>
      <c r="F980" s="126"/>
      <c r="G980" s="126"/>
      <c r="H980" s="126"/>
      <c r="I980" s="126"/>
      <c r="J980" s="126"/>
      <c r="K980" s="127"/>
      <c r="L980" s="128"/>
      <c r="M980" s="129"/>
      <c r="N980" s="95"/>
      <c r="O980" s="95"/>
      <c r="P980" s="130"/>
    </row>
    <row r="981" spans="2:16" s="89" customFormat="1" ht="12.75">
      <c r="B981" s="125"/>
      <c r="C981" s="126"/>
      <c r="D981" s="126"/>
      <c r="E981" s="126"/>
      <c r="F981" s="126"/>
      <c r="G981" s="126"/>
      <c r="H981" s="126"/>
      <c r="I981" s="126"/>
      <c r="J981" s="126"/>
      <c r="K981" s="127"/>
      <c r="L981" s="128"/>
      <c r="M981" s="129"/>
      <c r="N981" s="95"/>
      <c r="O981" s="95"/>
      <c r="P981" s="130"/>
    </row>
    <row r="982" spans="2:16" s="89" customFormat="1" ht="12.75">
      <c r="B982" s="125"/>
      <c r="C982" s="126"/>
      <c r="D982" s="126"/>
      <c r="E982" s="126"/>
      <c r="F982" s="126"/>
      <c r="G982" s="126"/>
      <c r="H982" s="126"/>
      <c r="I982" s="126"/>
      <c r="J982" s="126"/>
      <c r="K982" s="127"/>
      <c r="L982" s="128"/>
      <c r="M982" s="129"/>
      <c r="N982" s="95"/>
      <c r="O982" s="95"/>
      <c r="P982" s="130"/>
    </row>
    <row r="983" spans="2:16" s="89" customFormat="1" ht="12.75">
      <c r="B983" s="125"/>
      <c r="C983" s="126"/>
      <c r="D983" s="126"/>
      <c r="E983" s="126"/>
      <c r="F983" s="126"/>
      <c r="G983" s="126"/>
      <c r="H983" s="126"/>
      <c r="I983" s="126"/>
      <c r="J983" s="126"/>
      <c r="K983" s="127"/>
      <c r="L983" s="128"/>
      <c r="M983" s="129"/>
      <c r="N983" s="95"/>
      <c r="O983" s="95"/>
      <c r="P983" s="130"/>
    </row>
    <row r="984" spans="2:16" s="89" customFormat="1" ht="12.75">
      <c r="B984" s="125"/>
      <c r="C984" s="126"/>
      <c r="D984" s="126"/>
      <c r="E984" s="126"/>
      <c r="F984" s="126"/>
      <c r="G984" s="126"/>
      <c r="H984" s="126"/>
      <c r="I984" s="126"/>
      <c r="J984" s="126"/>
      <c r="K984" s="127"/>
      <c r="L984" s="128"/>
      <c r="M984" s="129"/>
      <c r="N984" s="95"/>
      <c r="O984" s="95"/>
      <c r="P984" s="130"/>
    </row>
    <row r="985" spans="2:16" s="89" customFormat="1" ht="12.75">
      <c r="B985" s="125"/>
      <c r="C985" s="126"/>
      <c r="D985" s="126"/>
      <c r="E985" s="126"/>
      <c r="F985" s="126"/>
      <c r="G985" s="126"/>
      <c r="H985" s="126"/>
      <c r="I985" s="126"/>
      <c r="J985" s="126"/>
      <c r="K985" s="127"/>
      <c r="L985" s="128"/>
      <c r="M985" s="129"/>
      <c r="N985" s="95"/>
      <c r="O985" s="95"/>
      <c r="P985" s="130"/>
    </row>
    <row r="986" spans="2:16" s="89" customFormat="1" ht="12.75">
      <c r="B986" s="125"/>
      <c r="C986" s="126"/>
      <c r="D986" s="126"/>
      <c r="E986" s="126"/>
      <c r="F986" s="126"/>
      <c r="G986" s="126"/>
      <c r="H986" s="126"/>
      <c r="I986" s="126"/>
      <c r="J986" s="126"/>
      <c r="K986" s="127"/>
      <c r="L986" s="128"/>
      <c r="M986" s="129"/>
      <c r="N986" s="95"/>
      <c r="O986" s="95"/>
      <c r="P986" s="130"/>
    </row>
    <row r="987" spans="2:16" s="89" customFormat="1" ht="12.75">
      <c r="B987" s="125"/>
      <c r="C987" s="126"/>
      <c r="D987" s="126"/>
      <c r="E987" s="126"/>
      <c r="F987" s="126"/>
      <c r="G987" s="126"/>
      <c r="H987" s="126"/>
      <c r="I987" s="126"/>
      <c r="J987" s="126"/>
      <c r="K987" s="127"/>
      <c r="L987" s="128"/>
      <c r="M987" s="129"/>
      <c r="N987" s="95"/>
      <c r="O987" s="95"/>
      <c r="P987" s="130"/>
    </row>
    <row r="988" spans="2:16" s="89" customFormat="1" ht="12.75">
      <c r="B988" s="125"/>
      <c r="C988" s="126"/>
      <c r="D988" s="126"/>
      <c r="E988" s="126"/>
      <c r="F988" s="126"/>
      <c r="G988" s="126"/>
      <c r="H988" s="126"/>
      <c r="I988" s="126"/>
      <c r="J988" s="126"/>
      <c r="K988" s="127"/>
      <c r="L988" s="128"/>
      <c r="M988" s="129"/>
      <c r="N988" s="95"/>
      <c r="O988" s="95"/>
      <c r="P988" s="130"/>
    </row>
    <row r="989" spans="2:16" s="89" customFormat="1" ht="12.75">
      <c r="B989" s="125"/>
      <c r="C989" s="126"/>
      <c r="D989" s="126"/>
      <c r="E989" s="126"/>
      <c r="F989" s="126"/>
      <c r="G989" s="126"/>
      <c r="H989" s="126"/>
      <c r="I989" s="126"/>
      <c r="J989" s="126"/>
      <c r="K989" s="127"/>
      <c r="L989" s="128"/>
      <c r="M989" s="129"/>
      <c r="N989" s="95"/>
      <c r="O989" s="95"/>
      <c r="P989" s="130"/>
    </row>
    <row r="990" spans="2:16" s="89" customFormat="1" ht="12.75">
      <c r="B990" s="125"/>
      <c r="C990" s="126"/>
      <c r="D990" s="126"/>
      <c r="E990" s="126"/>
      <c r="F990" s="126"/>
      <c r="G990" s="126"/>
      <c r="H990" s="126"/>
      <c r="I990" s="126"/>
      <c r="J990" s="126"/>
      <c r="K990" s="127"/>
      <c r="L990" s="128"/>
      <c r="M990" s="129"/>
      <c r="N990" s="95"/>
      <c r="O990" s="95"/>
      <c r="P990" s="130"/>
    </row>
    <row r="991" spans="2:16" s="89" customFormat="1" ht="12.75">
      <c r="B991" s="125"/>
      <c r="C991" s="126"/>
      <c r="D991" s="126"/>
      <c r="E991" s="126"/>
      <c r="F991" s="126"/>
      <c r="G991" s="126"/>
      <c r="H991" s="126"/>
      <c r="I991" s="126"/>
      <c r="J991" s="126"/>
      <c r="K991" s="127"/>
      <c r="L991" s="128"/>
      <c r="M991" s="129"/>
      <c r="N991" s="95"/>
      <c r="O991" s="95"/>
      <c r="P991" s="130"/>
    </row>
    <row r="992" spans="2:16" s="89" customFormat="1" ht="12.75">
      <c r="B992" s="125"/>
      <c r="C992" s="126"/>
      <c r="D992" s="126"/>
      <c r="E992" s="126"/>
      <c r="F992" s="126"/>
      <c r="G992" s="126"/>
      <c r="H992" s="126"/>
      <c r="I992" s="126"/>
      <c r="J992" s="126"/>
      <c r="K992" s="127"/>
      <c r="L992" s="128"/>
      <c r="M992" s="129"/>
      <c r="N992" s="95"/>
      <c r="O992" s="95"/>
      <c r="P992" s="130"/>
    </row>
    <row r="993" spans="2:16" s="89" customFormat="1" ht="12.75">
      <c r="B993" s="125"/>
      <c r="C993" s="126"/>
      <c r="D993" s="126"/>
      <c r="E993" s="126"/>
      <c r="F993" s="126"/>
      <c r="G993" s="126"/>
      <c r="H993" s="126"/>
      <c r="I993" s="126"/>
      <c r="J993" s="126"/>
      <c r="K993" s="127"/>
      <c r="L993" s="128"/>
      <c r="M993" s="129"/>
      <c r="N993" s="95"/>
      <c r="O993" s="95"/>
      <c r="P993" s="130"/>
    </row>
    <row r="994" spans="2:16" s="89" customFormat="1" ht="12.75">
      <c r="B994" s="125"/>
      <c r="C994" s="126"/>
      <c r="D994" s="126"/>
      <c r="E994" s="126"/>
      <c r="F994" s="126"/>
      <c r="G994" s="126"/>
      <c r="H994" s="126"/>
      <c r="I994" s="126"/>
      <c r="J994" s="126"/>
      <c r="K994" s="127"/>
      <c r="L994" s="128"/>
      <c r="M994" s="129"/>
      <c r="N994" s="95"/>
      <c r="O994" s="95"/>
      <c r="P994" s="130"/>
    </row>
    <row r="995" spans="2:16" s="89" customFormat="1" ht="12.75">
      <c r="B995" s="125"/>
      <c r="C995" s="126"/>
      <c r="D995" s="126"/>
      <c r="E995" s="126"/>
      <c r="F995" s="126"/>
      <c r="G995" s="126"/>
      <c r="H995" s="126"/>
      <c r="I995" s="126"/>
      <c r="J995" s="126"/>
      <c r="K995" s="127"/>
      <c r="L995" s="128"/>
      <c r="M995" s="129"/>
      <c r="N995" s="95"/>
      <c r="O995" s="95"/>
      <c r="P995" s="130"/>
    </row>
    <row r="996" spans="2:16" s="89" customFormat="1" ht="12.75">
      <c r="B996" s="125"/>
      <c r="C996" s="126"/>
      <c r="D996" s="126"/>
      <c r="E996" s="126"/>
      <c r="F996" s="126"/>
      <c r="G996" s="126"/>
      <c r="H996" s="126"/>
      <c r="I996" s="126"/>
      <c r="J996" s="126"/>
      <c r="K996" s="127"/>
      <c r="L996" s="128"/>
      <c r="M996" s="129"/>
      <c r="N996" s="95"/>
      <c r="O996" s="95"/>
      <c r="P996" s="130"/>
    </row>
    <row r="997" spans="2:16" s="89" customFormat="1" ht="12.75">
      <c r="B997" s="125"/>
      <c r="C997" s="126"/>
      <c r="D997" s="126"/>
      <c r="E997" s="126"/>
      <c r="F997" s="126"/>
      <c r="G997" s="126"/>
      <c r="H997" s="126"/>
      <c r="I997" s="126"/>
      <c r="J997" s="126"/>
      <c r="K997" s="127"/>
      <c r="L997" s="128"/>
      <c r="M997" s="129"/>
      <c r="N997" s="95"/>
      <c r="O997" s="95"/>
      <c r="P997" s="130"/>
    </row>
    <row r="998" spans="2:16" s="89" customFormat="1" ht="12.75">
      <c r="B998" s="125"/>
      <c r="C998" s="126"/>
      <c r="D998" s="126"/>
      <c r="E998" s="126"/>
      <c r="F998" s="126"/>
      <c r="G998" s="126"/>
      <c r="H998" s="126"/>
      <c r="I998" s="126"/>
      <c r="J998" s="126"/>
      <c r="K998" s="127"/>
      <c r="L998" s="128"/>
      <c r="M998" s="129"/>
      <c r="N998" s="95"/>
      <c r="O998" s="95"/>
      <c r="P998" s="130"/>
    </row>
    <row r="999" spans="2:16" s="89" customFormat="1" ht="12.75">
      <c r="B999" s="125"/>
      <c r="C999" s="126"/>
      <c r="D999" s="126"/>
      <c r="E999" s="126"/>
      <c r="F999" s="126"/>
      <c r="G999" s="126"/>
      <c r="H999" s="126"/>
      <c r="I999" s="126"/>
      <c r="J999" s="126"/>
      <c r="K999" s="127"/>
      <c r="L999" s="128"/>
      <c r="M999" s="129"/>
      <c r="N999" s="95"/>
      <c r="O999" s="95"/>
      <c r="P999" s="130"/>
    </row>
    <row r="1000" spans="2:16" s="89" customFormat="1" ht="12.75">
      <c r="B1000" s="125"/>
      <c r="C1000" s="126"/>
      <c r="D1000" s="126"/>
      <c r="E1000" s="126"/>
      <c r="F1000" s="126"/>
      <c r="G1000" s="126"/>
      <c r="H1000" s="126"/>
      <c r="I1000" s="126"/>
      <c r="J1000" s="126"/>
      <c r="K1000" s="127"/>
      <c r="L1000" s="128"/>
      <c r="M1000" s="129"/>
      <c r="N1000" s="95"/>
      <c r="O1000" s="95"/>
      <c r="P1000" s="130"/>
    </row>
    <row r="1001" spans="2:16" s="89" customFormat="1" ht="12.75">
      <c r="B1001" s="125"/>
      <c r="C1001" s="126"/>
      <c r="D1001" s="126"/>
      <c r="E1001" s="126"/>
      <c r="F1001" s="126"/>
      <c r="G1001" s="126"/>
      <c r="H1001" s="126"/>
      <c r="I1001" s="126"/>
      <c r="J1001" s="126"/>
      <c r="K1001" s="127"/>
      <c r="L1001" s="128"/>
      <c r="M1001" s="129"/>
      <c r="N1001" s="95"/>
      <c r="O1001" s="95"/>
      <c r="P1001" s="130"/>
    </row>
    <row r="1002" spans="2:16" s="89" customFormat="1" ht="12.75">
      <c r="B1002" s="125"/>
      <c r="C1002" s="126"/>
      <c r="D1002" s="126"/>
      <c r="E1002" s="126"/>
      <c r="F1002" s="126"/>
      <c r="G1002" s="126"/>
      <c r="H1002" s="126"/>
      <c r="I1002" s="126"/>
      <c r="J1002" s="126"/>
      <c r="K1002" s="127"/>
      <c r="L1002" s="128"/>
      <c r="M1002" s="129"/>
      <c r="N1002" s="95"/>
      <c r="O1002" s="95"/>
      <c r="P1002" s="130"/>
    </row>
    <row r="1003" spans="2:16" s="89" customFormat="1" ht="12.75">
      <c r="B1003" s="125"/>
      <c r="C1003" s="126"/>
      <c r="D1003" s="126"/>
      <c r="E1003" s="126"/>
      <c r="F1003" s="126"/>
      <c r="G1003" s="126"/>
      <c r="H1003" s="126"/>
      <c r="I1003" s="126"/>
      <c r="J1003" s="126"/>
      <c r="K1003" s="127"/>
      <c r="L1003" s="128"/>
      <c r="M1003" s="129"/>
      <c r="N1003" s="95"/>
      <c r="O1003" s="95"/>
      <c r="P1003" s="130"/>
    </row>
    <row r="1004" spans="2:16" s="89" customFormat="1" ht="12.75">
      <c r="B1004" s="125"/>
      <c r="C1004" s="126"/>
      <c r="D1004" s="126"/>
      <c r="E1004" s="126"/>
      <c r="F1004" s="126"/>
      <c r="G1004" s="126"/>
      <c r="H1004" s="126"/>
      <c r="I1004" s="126"/>
      <c r="J1004" s="126"/>
      <c r="K1004" s="127"/>
      <c r="L1004" s="128"/>
      <c r="M1004" s="129"/>
      <c r="N1004" s="95"/>
      <c r="O1004" s="95"/>
      <c r="P1004" s="130"/>
    </row>
    <row r="1005" spans="2:16" s="89" customFormat="1" ht="12.75">
      <c r="B1005" s="125"/>
      <c r="C1005" s="126"/>
      <c r="D1005" s="126"/>
      <c r="E1005" s="126"/>
      <c r="F1005" s="126"/>
      <c r="G1005" s="126"/>
      <c r="H1005" s="126"/>
      <c r="I1005" s="126"/>
      <c r="J1005" s="126"/>
      <c r="K1005" s="127"/>
      <c r="L1005" s="128"/>
      <c r="M1005" s="129"/>
      <c r="N1005" s="95"/>
      <c r="O1005" s="95"/>
      <c r="P1005" s="130"/>
    </row>
    <row r="1006" spans="2:16" s="89" customFormat="1" ht="12.75">
      <c r="B1006" s="125"/>
      <c r="C1006" s="126"/>
      <c r="D1006" s="126"/>
      <c r="E1006" s="126"/>
      <c r="F1006" s="126"/>
      <c r="G1006" s="126"/>
      <c r="H1006" s="126"/>
      <c r="I1006" s="126"/>
      <c r="J1006" s="126"/>
      <c r="K1006" s="127"/>
      <c r="L1006" s="128"/>
      <c r="M1006" s="129"/>
      <c r="N1006" s="95"/>
      <c r="O1006" s="95"/>
      <c r="P1006" s="130"/>
    </row>
    <row r="1007" spans="2:16" s="89" customFormat="1" ht="12.75">
      <c r="B1007" s="125"/>
      <c r="C1007" s="126"/>
      <c r="D1007" s="126"/>
      <c r="E1007" s="126"/>
      <c r="F1007" s="126"/>
      <c r="G1007" s="126"/>
      <c r="H1007" s="126"/>
      <c r="I1007" s="126"/>
      <c r="J1007" s="126"/>
      <c r="K1007" s="127"/>
      <c r="L1007" s="128"/>
      <c r="M1007" s="129"/>
      <c r="N1007" s="95"/>
      <c r="O1007" s="95"/>
      <c r="P1007" s="130"/>
    </row>
    <row r="1008" spans="2:16" s="89" customFormat="1" ht="12.75">
      <c r="B1008" s="125"/>
      <c r="C1008" s="126"/>
      <c r="D1008" s="126"/>
      <c r="E1008" s="126"/>
      <c r="F1008" s="126"/>
      <c r="G1008" s="126"/>
      <c r="H1008" s="126"/>
      <c r="I1008" s="126"/>
      <c r="J1008" s="126"/>
      <c r="K1008" s="127"/>
      <c r="L1008" s="128"/>
      <c r="M1008" s="129"/>
      <c r="N1008" s="95"/>
      <c r="O1008" s="95"/>
      <c r="P1008" s="130"/>
    </row>
    <row r="1009" spans="2:16" s="89" customFormat="1" ht="12.75">
      <c r="B1009" s="125"/>
      <c r="C1009" s="126"/>
      <c r="D1009" s="126"/>
      <c r="E1009" s="126"/>
      <c r="F1009" s="126"/>
      <c r="G1009" s="126"/>
      <c r="H1009" s="126"/>
      <c r="I1009" s="126"/>
      <c r="J1009" s="126"/>
      <c r="K1009" s="127"/>
      <c r="L1009" s="128"/>
      <c r="M1009" s="129"/>
      <c r="N1009" s="95"/>
      <c r="O1009" s="95"/>
      <c r="P1009" s="130"/>
    </row>
    <row r="1010" spans="2:16" s="89" customFormat="1" ht="12.75">
      <c r="B1010" s="125"/>
      <c r="C1010" s="126"/>
      <c r="D1010" s="126"/>
      <c r="E1010" s="126"/>
      <c r="F1010" s="126"/>
      <c r="G1010" s="126"/>
      <c r="H1010" s="126"/>
      <c r="I1010" s="126"/>
      <c r="J1010" s="126"/>
      <c r="K1010" s="127"/>
      <c r="L1010" s="128"/>
      <c r="M1010" s="129"/>
      <c r="N1010" s="95"/>
      <c r="O1010" s="95"/>
      <c r="P1010" s="130"/>
    </row>
    <row r="1011" spans="2:16" s="89" customFormat="1" ht="12.75">
      <c r="B1011" s="125"/>
      <c r="C1011" s="126"/>
      <c r="D1011" s="126"/>
      <c r="E1011" s="126"/>
      <c r="F1011" s="126"/>
      <c r="G1011" s="126"/>
      <c r="H1011" s="126"/>
      <c r="I1011" s="126"/>
      <c r="J1011" s="126"/>
      <c r="K1011" s="127"/>
      <c r="L1011" s="128"/>
      <c r="M1011" s="129"/>
      <c r="N1011" s="95"/>
      <c r="O1011" s="95"/>
      <c r="P1011" s="130"/>
    </row>
    <row r="1012" spans="2:16" s="89" customFormat="1" ht="12.75">
      <c r="B1012" s="125"/>
      <c r="C1012" s="126"/>
      <c r="D1012" s="126"/>
      <c r="E1012" s="126"/>
      <c r="F1012" s="126"/>
      <c r="G1012" s="126"/>
      <c r="H1012" s="126"/>
      <c r="I1012" s="126"/>
      <c r="J1012" s="126"/>
      <c r="K1012" s="127"/>
      <c r="L1012" s="128"/>
      <c r="M1012" s="129"/>
      <c r="N1012" s="95"/>
      <c r="O1012" s="95"/>
      <c r="P1012" s="130"/>
    </row>
    <row r="1013" spans="2:16" s="89" customFormat="1" ht="12.75">
      <c r="B1013" s="125"/>
      <c r="C1013" s="126"/>
      <c r="D1013" s="126"/>
      <c r="E1013" s="126"/>
      <c r="F1013" s="126"/>
      <c r="G1013" s="126"/>
      <c r="H1013" s="126"/>
      <c r="I1013" s="126"/>
      <c r="J1013" s="126"/>
      <c r="K1013" s="127"/>
      <c r="L1013" s="128"/>
      <c r="M1013" s="129"/>
      <c r="N1013" s="95"/>
      <c r="O1013" s="95"/>
      <c r="P1013" s="130"/>
    </row>
    <row r="1014" spans="2:16" s="89" customFormat="1" ht="12.75">
      <c r="B1014" s="125"/>
      <c r="C1014" s="126"/>
      <c r="D1014" s="126"/>
      <c r="E1014" s="126"/>
      <c r="F1014" s="126"/>
      <c r="G1014" s="126"/>
      <c r="H1014" s="126"/>
      <c r="I1014" s="126"/>
      <c r="J1014" s="126"/>
      <c r="K1014" s="127"/>
      <c r="L1014" s="128"/>
      <c r="M1014" s="129"/>
      <c r="N1014" s="95"/>
      <c r="O1014" s="95"/>
      <c r="P1014" s="130"/>
    </row>
    <row r="1015" spans="2:16" s="89" customFormat="1" ht="12.75">
      <c r="B1015" s="125"/>
      <c r="C1015" s="126"/>
      <c r="D1015" s="126"/>
      <c r="E1015" s="126"/>
      <c r="F1015" s="126"/>
      <c r="G1015" s="126"/>
      <c r="H1015" s="126"/>
      <c r="I1015" s="126"/>
      <c r="J1015" s="126"/>
      <c r="K1015" s="127"/>
      <c r="L1015" s="128"/>
      <c r="M1015" s="129"/>
      <c r="N1015" s="95"/>
      <c r="O1015" s="95"/>
      <c r="P1015" s="130"/>
    </row>
    <row r="1016" spans="2:16" s="89" customFormat="1" ht="12.75">
      <c r="B1016" s="125"/>
      <c r="C1016" s="126"/>
      <c r="D1016" s="126"/>
      <c r="E1016" s="126"/>
      <c r="F1016" s="126"/>
      <c r="G1016" s="126"/>
      <c r="H1016" s="126"/>
      <c r="I1016" s="126"/>
      <c r="J1016" s="126"/>
      <c r="K1016" s="127"/>
      <c r="L1016" s="128"/>
      <c r="M1016" s="129"/>
      <c r="N1016" s="95"/>
      <c r="O1016" s="95"/>
      <c r="P1016" s="130"/>
    </row>
    <row r="1017" spans="2:16" s="89" customFormat="1" ht="12.75">
      <c r="B1017" s="125"/>
      <c r="C1017" s="126"/>
      <c r="D1017" s="126"/>
      <c r="E1017" s="126"/>
      <c r="F1017" s="126"/>
      <c r="G1017" s="126"/>
      <c r="H1017" s="126"/>
      <c r="I1017" s="126"/>
      <c r="J1017" s="126"/>
      <c r="K1017" s="127"/>
      <c r="L1017" s="128"/>
      <c r="M1017" s="129"/>
      <c r="N1017" s="95"/>
      <c r="O1017" s="95"/>
      <c r="P1017" s="130"/>
    </row>
    <row r="1018" spans="2:16" s="89" customFormat="1" ht="12.75">
      <c r="B1018" s="125"/>
      <c r="C1018" s="126"/>
      <c r="D1018" s="126"/>
      <c r="E1018" s="126"/>
      <c r="F1018" s="126"/>
      <c r="G1018" s="126"/>
      <c r="H1018" s="126"/>
      <c r="I1018" s="126"/>
      <c r="J1018" s="126"/>
      <c r="K1018" s="127"/>
      <c r="L1018" s="128"/>
      <c r="M1018" s="129"/>
      <c r="N1018" s="95"/>
      <c r="O1018" s="95"/>
      <c r="P1018" s="130"/>
    </row>
    <row r="1019" spans="2:16" s="89" customFormat="1" ht="12.75">
      <c r="B1019" s="125"/>
      <c r="C1019" s="126"/>
      <c r="D1019" s="126"/>
      <c r="E1019" s="126"/>
      <c r="F1019" s="126"/>
      <c r="G1019" s="126"/>
      <c r="H1019" s="126"/>
      <c r="I1019" s="126"/>
      <c r="J1019" s="126"/>
      <c r="K1019" s="127"/>
      <c r="L1019" s="128"/>
      <c r="M1019" s="129"/>
      <c r="N1019" s="95"/>
      <c r="O1019" s="95"/>
      <c r="P1019" s="130"/>
    </row>
    <row r="1020" spans="2:16" s="89" customFormat="1" ht="12.75">
      <c r="B1020" s="125"/>
      <c r="C1020" s="126"/>
      <c r="D1020" s="126"/>
      <c r="E1020" s="126"/>
      <c r="F1020" s="126"/>
      <c r="G1020" s="126"/>
      <c r="H1020" s="126"/>
      <c r="I1020" s="126"/>
      <c r="J1020" s="126"/>
      <c r="K1020" s="127"/>
      <c r="L1020" s="128"/>
      <c r="M1020" s="129"/>
      <c r="N1020" s="95"/>
      <c r="O1020" s="95"/>
      <c r="P1020" s="130"/>
    </row>
    <row r="1021" spans="2:16" s="89" customFormat="1" ht="12.75">
      <c r="B1021" s="125"/>
      <c r="C1021" s="126"/>
      <c r="D1021" s="126"/>
      <c r="E1021" s="126"/>
      <c r="F1021" s="126"/>
      <c r="G1021" s="126"/>
      <c r="H1021" s="126"/>
      <c r="I1021" s="126"/>
      <c r="J1021" s="126"/>
      <c r="K1021" s="127"/>
      <c r="L1021" s="128"/>
      <c r="M1021" s="129"/>
      <c r="N1021" s="95"/>
      <c r="O1021" s="95"/>
      <c r="P1021" s="130"/>
    </row>
    <row r="1022" spans="2:16" s="89" customFormat="1" ht="12.75">
      <c r="B1022" s="125"/>
      <c r="C1022" s="126"/>
      <c r="D1022" s="126"/>
      <c r="E1022" s="126"/>
      <c r="F1022" s="126"/>
      <c r="G1022" s="126"/>
      <c r="H1022" s="126"/>
      <c r="I1022" s="126"/>
      <c r="J1022" s="126"/>
      <c r="K1022" s="127"/>
      <c r="L1022" s="128"/>
      <c r="M1022" s="129"/>
      <c r="N1022" s="95"/>
      <c r="O1022" s="95"/>
      <c r="P1022" s="130"/>
    </row>
    <row r="1023" spans="2:16" s="89" customFormat="1" ht="12.75">
      <c r="B1023" s="125"/>
      <c r="C1023" s="126"/>
      <c r="D1023" s="126"/>
      <c r="E1023" s="126"/>
      <c r="F1023" s="126"/>
      <c r="G1023" s="126"/>
      <c r="H1023" s="126"/>
      <c r="I1023" s="126"/>
      <c r="J1023" s="126"/>
      <c r="K1023" s="127"/>
      <c r="L1023" s="128"/>
      <c r="M1023" s="129"/>
      <c r="N1023" s="95"/>
      <c r="O1023" s="95"/>
      <c r="P1023" s="130"/>
    </row>
    <row r="1024" spans="2:16" s="89" customFormat="1" ht="12.75">
      <c r="B1024" s="125"/>
      <c r="C1024" s="126"/>
      <c r="D1024" s="126"/>
      <c r="E1024" s="126"/>
      <c r="F1024" s="126"/>
      <c r="G1024" s="126"/>
      <c r="H1024" s="126"/>
      <c r="I1024" s="126"/>
      <c r="J1024" s="126"/>
      <c r="K1024" s="127"/>
      <c r="L1024" s="128"/>
      <c r="M1024" s="129"/>
      <c r="N1024" s="95"/>
      <c r="O1024" s="95"/>
      <c r="P1024" s="130"/>
    </row>
    <row r="1025" spans="2:16" s="89" customFormat="1" ht="12.75">
      <c r="B1025" s="125"/>
      <c r="C1025" s="126"/>
      <c r="D1025" s="126"/>
      <c r="E1025" s="126"/>
      <c r="F1025" s="126"/>
      <c r="G1025" s="126"/>
      <c r="H1025" s="126"/>
      <c r="I1025" s="126"/>
      <c r="J1025" s="126"/>
      <c r="K1025" s="127"/>
      <c r="L1025" s="128"/>
      <c r="M1025" s="129"/>
      <c r="N1025" s="95"/>
      <c r="O1025" s="95"/>
      <c r="P1025" s="130"/>
    </row>
    <row r="1026" spans="2:16" s="89" customFormat="1" ht="12.75">
      <c r="B1026" s="125"/>
      <c r="C1026" s="126"/>
      <c r="D1026" s="126"/>
      <c r="E1026" s="126"/>
      <c r="F1026" s="126"/>
      <c r="G1026" s="126"/>
      <c r="H1026" s="126"/>
      <c r="I1026" s="126"/>
      <c r="J1026" s="126"/>
      <c r="K1026" s="127"/>
      <c r="L1026" s="128"/>
      <c r="M1026" s="129"/>
      <c r="N1026" s="95"/>
      <c r="O1026" s="95"/>
      <c r="P1026" s="130"/>
    </row>
    <row r="1027" spans="2:16" s="89" customFormat="1" ht="12.75">
      <c r="B1027" s="125"/>
      <c r="C1027" s="126"/>
      <c r="D1027" s="126"/>
      <c r="E1027" s="126"/>
      <c r="F1027" s="126"/>
      <c r="G1027" s="126"/>
      <c r="H1027" s="126"/>
      <c r="I1027" s="126"/>
      <c r="J1027" s="126"/>
      <c r="K1027" s="127"/>
      <c r="L1027" s="128"/>
      <c r="M1027" s="129"/>
      <c r="N1027" s="95"/>
      <c r="O1027" s="95"/>
      <c r="P1027" s="130"/>
    </row>
    <row r="1028" spans="2:16" s="89" customFormat="1" ht="12.75">
      <c r="B1028" s="125"/>
      <c r="C1028" s="126"/>
      <c r="D1028" s="126"/>
      <c r="E1028" s="126"/>
      <c r="F1028" s="126"/>
      <c r="G1028" s="126"/>
      <c r="H1028" s="126"/>
      <c r="I1028" s="126"/>
      <c r="J1028" s="126"/>
      <c r="K1028" s="127"/>
      <c r="L1028" s="128"/>
      <c r="M1028" s="129"/>
      <c r="N1028" s="95"/>
      <c r="O1028" s="95"/>
      <c r="P1028" s="130"/>
    </row>
    <row r="1029" spans="2:16" s="89" customFormat="1" ht="12.75">
      <c r="B1029" s="125"/>
      <c r="C1029" s="126"/>
      <c r="D1029" s="126"/>
      <c r="E1029" s="126"/>
      <c r="F1029" s="126"/>
      <c r="G1029" s="126"/>
      <c r="H1029" s="126"/>
      <c r="I1029" s="126"/>
      <c r="J1029" s="126"/>
      <c r="K1029" s="127"/>
      <c r="L1029" s="128"/>
      <c r="M1029" s="129"/>
      <c r="N1029" s="95"/>
      <c r="O1029" s="95"/>
      <c r="P1029" s="130"/>
    </row>
    <row r="1030" spans="2:16" s="89" customFormat="1" ht="12.75">
      <c r="B1030" s="125"/>
      <c r="C1030" s="126"/>
      <c r="D1030" s="126"/>
      <c r="E1030" s="126"/>
      <c r="F1030" s="126"/>
      <c r="G1030" s="126"/>
      <c r="H1030" s="126"/>
      <c r="I1030" s="126"/>
      <c r="J1030" s="126"/>
      <c r="K1030" s="127"/>
      <c r="L1030" s="128"/>
      <c r="M1030" s="129"/>
      <c r="N1030" s="95"/>
      <c r="O1030" s="95"/>
      <c r="P1030" s="130"/>
    </row>
    <row r="1031" spans="2:16" s="89" customFormat="1" ht="12.75">
      <c r="B1031" s="125"/>
      <c r="C1031" s="126"/>
      <c r="D1031" s="126"/>
      <c r="E1031" s="126"/>
      <c r="F1031" s="126"/>
      <c r="G1031" s="126"/>
      <c r="H1031" s="126"/>
      <c r="I1031" s="126"/>
      <c r="J1031" s="126"/>
      <c r="K1031" s="127"/>
      <c r="L1031" s="128"/>
      <c r="M1031" s="129"/>
      <c r="N1031" s="95"/>
      <c r="O1031" s="95"/>
      <c r="P1031" s="130"/>
    </row>
    <row r="1032" spans="2:16" s="89" customFormat="1" ht="12.75">
      <c r="B1032" s="125"/>
      <c r="C1032" s="126"/>
      <c r="D1032" s="126"/>
      <c r="E1032" s="126"/>
      <c r="F1032" s="126"/>
      <c r="G1032" s="126"/>
      <c r="H1032" s="126"/>
      <c r="I1032" s="126"/>
      <c r="J1032" s="126"/>
      <c r="K1032" s="127"/>
      <c r="L1032" s="128"/>
      <c r="M1032" s="129"/>
      <c r="N1032" s="95"/>
      <c r="O1032" s="95"/>
      <c r="P1032" s="130"/>
    </row>
    <row r="1033" spans="2:16" s="89" customFormat="1" ht="12.75">
      <c r="B1033" s="125"/>
      <c r="C1033" s="126"/>
      <c r="D1033" s="126"/>
      <c r="E1033" s="126"/>
      <c r="F1033" s="126"/>
      <c r="G1033" s="126"/>
      <c r="H1033" s="126"/>
      <c r="I1033" s="126"/>
      <c r="J1033" s="126"/>
      <c r="K1033" s="127"/>
      <c r="L1033" s="128"/>
      <c r="M1033" s="129"/>
      <c r="N1033" s="95"/>
      <c r="O1033" s="95"/>
      <c r="P1033" s="130"/>
    </row>
    <row r="1034" spans="2:16" s="89" customFormat="1" ht="12.75">
      <c r="B1034" s="125"/>
      <c r="C1034" s="126"/>
      <c r="D1034" s="126"/>
      <c r="E1034" s="126"/>
      <c r="F1034" s="126"/>
      <c r="G1034" s="126"/>
      <c r="H1034" s="126"/>
      <c r="I1034" s="126"/>
      <c r="J1034" s="126"/>
      <c r="K1034" s="127"/>
      <c r="L1034" s="128"/>
      <c r="M1034" s="129"/>
      <c r="N1034" s="95"/>
      <c r="O1034" s="95"/>
      <c r="P1034" s="130"/>
    </row>
    <row r="1035" spans="2:16" s="89" customFormat="1" ht="12.75">
      <c r="B1035" s="125"/>
      <c r="C1035" s="126"/>
      <c r="D1035" s="126"/>
      <c r="E1035" s="126"/>
      <c r="F1035" s="126"/>
      <c r="G1035" s="126"/>
      <c r="H1035" s="126"/>
      <c r="I1035" s="126"/>
      <c r="J1035" s="126"/>
      <c r="K1035" s="127"/>
      <c r="L1035" s="128"/>
      <c r="M1035" s="129"/>
      <c r="N1035" s="95"/>
      <c r="O1035" s="95"/>
      <c r="P1035" s="130"/>
    </row>
    <row r="1036" spans="2:16" s="89" customFormat="1" ht="12.75">
      <c r="B1036" s="125"/>
      <c r="C1036" s="126"/>
      <c r="D1036" s="126"/>
      <c r="E1036" s="126"/>
      <c r="F1036" s="126"/>
      <c r="G1036" s="126"/>
      <c r="H1036" s="126"/>
      <c r="I1036" s="126"/>
      <c r="J1036" s="126"/>
      <c r="K1036" s="127"/>
      <c r="L1036" s="128"/>
      <c r="M1036" s="129"/>
      <c r="N1036" s="95"/>
      <c r="O1036" s="95"/>
      <c r="P1036" s="130"/>
    </row>
    <row r="1037" spans="2:16" s="89" customFormat="1" ht="12.75">
      <c r="B1037" s="125"/>
      <c r="C1037" s="126"/>
      <c r="D1037" s="126"/>
      <c r="E1037" s="126"/>
      <c r="F1037" s="126"/>
      <c r="G1037" s="126"/>
      <c r="H1037" s="126"/>
      <c r="I1037" s="126"/>
      <c r="J1037" s="126"/>
      <c r="K1037" s="127"/>
      <c r="L1037" s="128"/>
      <c r="M1037" s="129"/>
      <c r="N1037" s="95"/>
      <c r="O1037" s="95"/>
      <c r="P1037" s="130"/>
    </row>
    <row r="1038" spans="2:16" s="89" customFormat="1" ht="12.75">
      <c r="B1038" s="125"/>
      <c r="C1038" s="126"/>
      <c r="D1038" s="126"/>
      <c r="E1038" s="126"/>
      <c r="F1038" s="126"/>
      <c r="G1038" s="126"/>
      <c r="H1038" s="126"/>
      <c r="I1038" s="126"/>
      <c r="J1038" s="126"/>
      <c r="K1038" s="127"/>
      <c r="L1038" s="128"/>
      <c r="M1038" s="129"/>
      <c r="N1038" s="95"/>
      <c r="O1038" s="95"/>
      <c r="P1038" s="130"/>
    </row>
    <row r="1039" spans="2:16" s="89" customFormat="1" ht="12.75">
      <c r="B1039" s="125"/>
      <c r="C1039" s="126"/>
      <c r="D1039" s="126"/>
      <c r="E1039" s="126"/>
      <c r="F1039" s="126"/>
      <c r="G1039" s="126"/>
      <c r="H1039" s="126"/>
      <c r="I1039" s="126"/>
      <c r="J1039" s="126"/>
      <c r="K1039" s="127"/>
      <c r="L1039" s="128"/>
      <c r="M1039" s="129"/>
      <c r="N1039" s="95"/>
      <c r="O1039" s="95"/>
      <c r="P1039" s="130"/>
    </row>
    <row r="1040" spans="2:16" s="89" customFormat="1" ht="12.75">
      <c r="B1040" s="125"/>
      <c r="C1040" s="126"/>
      <c r="D1040" s="126"/>
      <c r="E1040" s="126"/>
      <c r="F1040" s="126"/>
      <c r="G1040" s="126"/>
      <c r="H1040" s="126"/>
      <c r="I1040" s="126"/>
      <c r="J1040" s="126"/>
      <c r="K1040" s="127"/>
      <c r="L1040" s="128"/>
      <c r="M1040" s="129"/>
      <c r="N1040" s="95"/>
      <c r="O1040" s="95"/>
      <c r="P1040" s="130"/>
    </row>
    <row r="1041" spans="2:16" s="89" customFormat="1" ht="12.75">
      <c r="B1041" s="125"/>
      <c r="C1041" s="126"/>
      <c r="D1041" s="126"/>
      <c r="E1041" s="126"/>
      <c r="F1041" s="126"/>
      <c r="G1041" s="126"/>
      <c r="H1041" s="126"/>
      <c r="I1041" s="126"/>
      <c r="J1041" s="126"/>
      <c r="K1041" s="127"/>
      <c r="L1041" s="128"/>
      <c r="M1041" s="129"/>
      <c r="N1041" s="95"/>
      <c r="O1041" s="95"/>
      <c r="P1041" s="130"/>
    </row>
    <row r="1042" spans="2:16" s="89" customFormat="1" ht="12.75">
      <c r="B1042" s="125"/>
      <c r="C1042" s="126"/>
      <c r="D1042" s="126"/>
      <c r="E1042" s="126"/>
      <c r="F1042" s="126"/>
      <c r="G1042" s="126"/>
      <c r="H1042" s="126"/>
      <c r="I1042" s="126"/>
      <c r="J1042" s="126"/>
      <c r="K1042" s="127"/>
      <c r="L1042" s="128"/>
      <c r="M1042" s="129"/>
      <c r="N1042" s="95"/>
      <c r="O1042" s="95"/>
      <c r="P1042" s="130"/>
    </row>
    <row r="1043" spans="2:16" s="89" customFormat="1" ht="12.75">
      <c r="B1043" s="125"/>
      <c r="C1043" s="126"/>
      <c r="D1043" s="126"/>
      <c r="E1043" s="126"/>
      <c r="F1043" s="126"/>
      <c r="G1043" s="126"/>
      <c r="H1043" s="126"/>
      <c r="I1043" s="126"/>
      <c r="J1043" s="126"/>
      <c r="K1043" s="127"/>
      <c r="L1043" s="128"/>
      <c r="M1043" s="129"/>
      <c r="N1043" s="95"/>
      <c r="O1043" s="95"/>
      <c r="P1043" s="130"/>
    </row>
    <row r="1044" spans="2:16" s="89" customFormat="1" ht="12.75">
      <c r="B1044" s="125"/>
      <c r="C1044" s="126"/>
      <c r="D1044" s="126"/>
      <c r="E1044" s="126"/>
      <c r="F1044" s="126"/>
      <c r="G1044" s="126"/>
      <c r="H1044" s="126"/>
      <c r="I1044" s="126"/>
      <c r="J1044" s="126"/>
      <c r="K1044" s="127"/>
      <c r="L1044" s="128"/>
      <c r="M1044" s="129"/>
      <c r="N1044" s="95"/>
      <c r="O1044" s="95"/>
      <c r="P1044" s="130"/>
    </row>
    <row r="1045" spans="2:16" s="89" customFormat="1" ht="12.75">
      <c r="B1045" s="125"/>
      <c r="C1045" s="126"/>
      <c r="D1045" s="126"/>
      <c r="E1045" s="126"/>
      <c r="F1045" s="126"/>
      <c r="G1045" s="126"/>
      <c r="H1045" s="126"/>
      <c r="I1045" s="126"/>
      <c r="J1045" s="126"/>
      <c r="K1045" s="127"/>
      <c r="L1045" s="128"/>
      <c r="M1045" s="129"/>
      <c r="N1045" s="95"/>
      <c r="O1045" s="95"/>
      <c r="P1045" s="130"/>
    </row>
    <row r="1046" spans="2:16" s="89" customFormat="1" ht="12.75">
      <c r="B1046" s="125"/>
      <c r="C1046" s="126"/>
      <c r="D1046" s="126"/>
      <c r="E1046" s="126"/>
      <c r="F1046" s="126"/>
      <c r="G1046" s="126"/>
      <c r="H1046" s="126"/>
      <c r="I1046" s="126"/>
      <c r="J1046" s="126"/>
      <c r="K1046" s="127"/>
      <c r="L1046" s="128"/>
      <c r="M1046" s="129"/>
      <c r="N1046" s="95"/>
      <c r="O1046" s="95"/>
      <c r="P1046" s="130"/>
    </row>
    <row r="1047" spans="2:16" s="89" customFormat="1" ht="12.75">
      <c r="B1047" s="125"/>
      <c r="C1047" s="126"/>
      <c r="D1047" s="126"/>
      <c r="E1047" s="126"/>
      <c r="F1047" s="126"/>
      <c r="G1047" s="126"/>
      <c r="H1047" s="126"/>
      <c r="I1047" s="126"/>
      <c r="J1047" s="126"/>
      <c r="K1047" s="127"/>
      <c r="L1047" s="128"/>
      <c r="M1047" s="129"/>
      <c r="N1047" s="95"/>
      <c r="O1047" s="95"/>
      <c r="P1047" s="130"/>
    </row>
    <row r="1048" spans="2:16" s="89" customFormat="1" ht="12.75">
      <c r="B1048" s="125"/>
      <c r="C1048" s="126"/>
      <c r="D1048" s="126"/>
      <c r="E1048" s="126"/>
      <c r="F1048" s="126"/>
      <c r="G1048" s="126"/>
      <c r="H1048" s="126"/>
      <c r="I1048" s="126"/>
      <c r="J1048" s="126"/>
      <c r="K1048" s="127"/>
      <c r="L1048" s="128"/>
      <c r="M1048" s="129"/>
      <c r="N1048" s="95"/>
      <c r="O1048" s="95"/>
      <c r="P1048" s="130"/>
    </row>
    <row r="1049" spans="2:16" s="89" customFormat="1" ht="12.75">
      <c r="B1049" s="125"/>
      <c r="C1049" s="126"/>
      <c r="D1049" s="126"/>
      <c r="E1049" s="126"/>
      <c r="F1049" s="126"/>
      <c r="G1049" s="126"/>
      <c r="H1049" s="126"/>
      <c r="I1049" s="126"/>
      <c r="J1049" s="126"/>
      <c r="K1049" s="127"/>
      <c r="L1049" s="128"/>
      <c r="M1049" s="129"/>
      <c r="N1049" s="95"/>
      <c r="O1049" s="95"/>
      <c r="P1049" s="130"/>
    </row>
    <row r="1050" spans="2:16" s="89" customFormat="1" ht="12.75">
      <c r="B1050" s="125"/>
      <c r="C1050" s="126"/>
      <c r="D1050" s="126"/>
      <c r="E1050" s="126"/>
      <c r="F1050" s="126"/>
      <c r="G1050" s="126"/>
      <c r="H1050" s="126"/>
      <c r="I1050" s="126"/>
      <c r="J1050" s="126"/>
      <c r="K1050" s="127"/>
      <c r="L1050" s="128"/>
      <c r="M1050" s="129"/>
      <c r="N1050" s="95"/>
      <c r="O1050" s="95"/>
      <c r="P1050" s="130"/>
    </row>
    <row r="1051" spans="2:16" s="89" customFormat="1" ht="12.75">
      <c r="B1051" s="125"/>
      <c r="C1051" s="126"/>
      <c r="D1051" s="126"/>
      <c r="E1051" s="126"/>
      <c r="F1051" s="126"/>
      <c r="G1051" s="126"/>
      <c r="H1051" s="126"/>
      <c r="I1051" s="126"/>
      <c r="J1051" s="126"/>
      <c r="K1051" s="127"/>
      <c r="L1051" s="128"/>
      <c r="M1051" s="129"/>
      <c r="N1051" s="95"/>
      <c r="O1051" s="95"/>
      <c r="P1051" s="130"/>
    </row>
    <row r="1052" spans="2:16" s="89" customFormat="1" ht="12.75">
      <c r="B1052" s="125"/>
      <c r="C1052" s="126"/>
      <c r="D1052" s="126"/>
      <c r="E1052" s="126"/>
      <c r="F1052" s="126"/>
      <c r="G1052" s="126"/>
      <c r="H1052" s="126"/>
      <c r="I1052" s="126"/>
      <c r="J1052" s="126"/>
      <c r="K1052" s="127"/>
      <c r="L1052" s="128"/>
      <c r="M1052" s="129"/>
      <c r="N1052" s="95"/>
      <c r="O1052" s="95"/>
      <c r="P1052" s="130"/>
    </row>
    <row r="1053" spans="2:16" s="89" customFormat="1" ht="12.75">
      <c r="B1053" s="125"/>
      <c r="C1053" s="126"/>
      <c r="D1053" s="126"/>
      <c r="E1053" s="126"/>
      <c r="F1053" s="126"/>
      <c r="G1053" s="126"/>
      <c r="H1053" s="126"/>
      <c r="I1053" s="126"/>
      <c r="J1053" s="126"/>
      <c r="K1053" s="127"/>
      <c r="L1053" s="128"/>
      <c r="M1053" s="129"/>
      <c r="N1053" s="95"/>
      <c r="O1053" s="95"/>
      <c r="P1053" s="130"/>
    </row>
    <row r="1054" spans="2:16" s="89" customFormat="1" ht="12.75">
      <c r="B1054" s="125"/>
      <c r="C1054" s="126"/>
      <c r="D1054" s="126"/>
      <c r="E1054" s="126"/>
      <c r="F1054" s="126"/>
      <c r="G1054" s="126"/>
      <c r="H1054" s="126"/>
      <c r="I1054" s="126"/>
      <c r="J1054" s="126"/>
      <c r="K1054" s="127"/>
      <c r="L1054" s="128"/>
      <c r="M1054" s="129"/>
      <c r="N1054" s="95"/>
      <c r="O1054" s="95"/>
      <c r="P1054" s="130"/>
    </row>
    <row r="1055" spans="2:16" s="89" customFormat="1" ht="12.75">
      <c r="B1055" s="125"/>
      <c r="C1055" s="126"/>
      <c r="D1055" s="126"/>
      <c r="E1055" s="126"/>
      <c r="F1055" s="126"/>
      <c r="G1055" s="126"/>
      <c r="H1055" s="126"/>
      <c r="I1055" s="126"/>
      <c r="J1055" s="126"/>
      <c r="K1055" s="127"/>
      <c r="L1055" s="128"/>
      <c r="M1055" s="129"/>
      <c r="N1055" s="95"/>
      <c r="O1055" s="95"/>
      <c r="P1055" s="130"/>
    </row>
    <row r="1056" spans="2:16" s="89" customFormat="1" ht="12.75">
      <c r="B1056" s="125"/>
      <c r="C1056" s="126"/>
      <c r="D1056" s="126"/>
      <c r="E1056" s="126"/>
      <c r="F1056" s="126"/>
      <c r="G1056" s="126"/>
      <c r="H1056" s="126"/>
      <c r="I1056" s="126"/>
      <c r="J1056" s="126"/>
      <c r="K1056" s="127"/>
      <c r="L1056" s="128"/>
      <c r="M1056" s="129"/>
      <c r="N1056" s="95"/>
      <c r="O1056" s="95"/>
      <c r="P1056" s="130"/>
    </row>
    <row r="1057" spans="2:16" s="89" customFormat="1" ht="12.75">
      <c r="B1057" s="125"/>
      <c r="C1057" s="126"/>
      <c r="D1057" s="126"/>
      <c r="E1057" s="126"/>
      <c r="F1057" s="126"/>
      <c r="G1057" s="126"/>
      <c r="H1057" s="126"/>
      <c r="I1057" s="126"/>
      <c r="J1057" s="126"/>
      <c r="K1057" s="127"/>
      <c r="L1057" s="128"/>
      <c r="M1057" s="129"/>
      <c r="N1057" s="95"/>
      <c r="O1057" s="95"/>
      <c r="P1057" s="130"/>
    </row>
    <row r="1058" spans="2:16" s="89" customFormat="1" ht="12.75">
      <c r="B1058" s="125"/>
      <c r="C1058" s="126"/>
      <c r="D1058" s="126"/>
      <c r="E1058" s="126"/>
      <c r="F1058" s="126"/>
      <c r="G1058" s="126"/>
      <c r="H1058" s="126"/>
      <c r="I1058" s="126"/>
      <c r="J1058" s="126"/>
      <c r="K1058" s="127"/>
      <c r="L1058" s="128"/>
      <c r="M1058" s="129"/>
      <c r="N1058" s="95"/>
      <c r="O1058" s="95"/>
      <c r="P1058" s="130"/>
    </row>
    <row r="1059" spans="2:16" s="89" customFormat="1" ht="12.75">
      <c r="B1059" s="125"/>
      <c r="C1059" s="126"/>
      <c r="D1059" s="126"/>
      <c r="E1059" s="126"/>
      <c r="F1059" s="126"/>
      <c r="G1059" s="126"/>
      <c r="H1059" s="126"/>
      <c r="I1059" s="126"/>
      <c r="J1059" s="126"/>
      <c r="K1059" s="127"/>
      <c r="L1059" s="128"/>
      <c r="M1059" s="129"/>
      <c r="N1059" s="95"/>
      <c r="O1059" s="95"/>
      <c r="P1059" s="130"/>
    </row>
    <row r="1060" spans="2:16" s="89" customFormat="1" ht="12.75">
      <c r="B1060" s="125"/>
      <c r="C1060" s="126"/>
      <c r="D1060" s="126"/>
      <c r="E1060" s="126"/>
      <c r="F1060" s="126"/>
      <c r="G1060" s="126"/>
      <c r="H1060" s="126"/>
      <c r="I1060" s="126"/>
      <c r="J1060" s="126"/>
      <c r="K1060" s="127"/>
      <c r="L1060" s="128"/>
      <c r="M1060" s="129"/>
      <c r="N1060" s="95"/>
      <c r="O1060" s="95"/>
      <c r="P1060" s="130"/>
    </row>
    <row r="1061" spans="2:16" s="89" customFormat="1" ht="12.75">
      <c r="B1061" s="125"/>
      <c r="C1061" s="126"/>
      <c r="D1061" s="126"/>
      <c r="E1061" s="126"/>
      <c r="F1061" s="126"/>
      <c r="G1061" s="126"/>
      <c r="H1061" s="126"/>
      <c r="I1061" s="126"/>
      <c r="J1061" s="126"/>
      <c r="K1061" s="127"/>
      <c r="L1061" s="128"/>
      <c r="M1061" s="129"/>
      <c r="N1061" s="95"/>
      <c r="O1061" s="95"/>
      <c r="P1061" s="130"/>
    </row>
    <row r="1062" spans="2:16" s="89" customFormat="1" ht="12.75">
      <c r="B1062" s="125"/>
      <c r="C1062" s="126"/>
      <c r="D1062" s="126"/>
      <c r="E1062" s="126"/>
      <c r="F1062" s="126"/>
      <c r="G1062" s="126"/>
      <c r="H1062" s="126"/>
      <c r="I1062" s="126"/>
      <c r="J1062" s="126"/>
      <c r="K1062" s="127"/>
      <c r="L1062" s="128"/>
      <c r="M1062" s="129"/>
      <c r="N1062" s="95"/>
      <c r="O1062" s="95"/>
      <c r="P1062" s="130"/>
    </row>
    <row r="1063" spans="2:16" s="89" customFormat="1" ht="12.75">
      <c r="B1063" s="125"/>
      <c r="C1063" s="126"/>
      <c r="D1063" s="126"/>
      <c r="E1063" s="126"/>
      <c r="F1063" s="126"/>
      <c r="G1063" s="126"/>
      <c r="H1063" s="126"/>
      <c r="I1063" s="126"/>
      <c r="J1063" s="126"/>
      <c r="K1063" s="127"/>
      <c r="L1063" s="128"/>
      <c r="M1063" s="129"/>
      <c r="N1063" s="95"/>
      <c r="O1063" s="95"/>
      <c r="P1063" s="130"/>
    </row>
    <row r="1064" spans="2:16" s="89" customFormat="1" ht="12.75">
      <c r="B1064" s="125"/>
      <c r="C1064" s="126"/>
      <c r="D1064" s="126"/>
      <c r="E1064" s="126"/>
      <c r="F1064" s="126"/>
      <c r="G1064" s="126"/>
      <c r="H1064" s="126"/>
      <c r="I1064" s="126"/>
      <c r="J1064" s="126"/>
      <c r="K1064" s="127"/>
      <c r="L1064" s="128"/>
      <c r="M1064" s="129"/>
      <c r="N1064" s="95"/>
      <c r="O1064" s="95"/>
      <c r="P1064" s="130"/>
    </row>
    <row r="1065" spans="2:16" s="89" customFormat="1" ht="12.75">
      <c r="B1065" s="125"/>
      <c r="C1065" s="126"/>
      <c r="D1065" s="126"/>
      <c r="E1065" s="126"/>
      <c r="F1065" s="126"/>
      <c r="G1065" s="126"/>
      <c r="H1065" s="126"/>
      <c r="I1065" s="126"/>
      <c r="J1065" s="126"/>
      <c r="K1065" s="127"/>
      <c r="L1065" s="128"/>
      <c r="M1065" s="129"/>
      <c r="N1065" s="95"/>
      <c r="O1065" s="95"/>
      <c r="P1065" s="130"/>
    </row>
    <row r="1066" spans="2:16" s="89" customFormat="1" ht="12.75">
      <c r="B1066" s="125"/>
      <c r="C1066" s="126"/>
      <c r="D1066" s="126"/>
      <c r="E1066" s="126"/>
      <c r="F1066" s="126"/>
      <c r="G1066" s="126"/>
      <c r="H1066" s="126"/>
      <c r="I1066" s="126"/>
      <c r="J1066" s="126"/>
      <c r="K1066" s="127"/>
      <c r="L1066" s="128"/>
      <c r="M1066" s="129"/>
      <c r="N1066" s="95"/>
      <c r="O1066" s="95"/>
      <c r="P1066" s="130"/>
    </row>
    <row r="1067" spans="2:16" s="89" customFormat="1" ht="12.75">
      <c r="B1067" s="125"/>
      <c r="C1067" s="126"/>
      <c r="D1067" s="126"/>
      <c r="E1067" s="126"/>
      <c r="F1067" s="126"/>
      <c r="G1067" s="126"/>
      <c r="H1067" s="126"/>
      <c r="I1067" s="126"/>
      <c r="J1067" s="126"/>
      <c r="K1067" s="127"/>
      <c r="L1067" s="128"/>
      <c r="M1067" s="129"/>
      <c r="N1067" s="95"/>
      <c r="O1067" s="95"/>
      <c r="P1067" s="130"/>
    </row>
    <row r="1068" spans="2:16" s="89" customFormat="1" ht="12.75">
      <c r="B1068" s="125"/>
      <c r="C1068" s="126"/>
      <c r="D1068" s="126"/>
      <c r="E1068" s="126"/>
      <c r="F1068" s="126"/>
      <c r="G1068" s="126"/>
      <c r="H1068" s="126"/>
      <c r="I1068" s="126"/>
      <c r="J1068" s="126"/>
      <c r="K1068" s="127"/>
      <c r="L1068" s="128"/>
      <c r="M1068" s="129"/>
      <c r="N1068" s="95"/>
      <c r="O1068" s="95"/>
      <c r="P1068" s="130"/>
    </row>
    <row r="1069" spans="2:16" s="89" customFormat="1" ht="12.75">
      <c r="B1069" s="125"/>
      <c r="C1069" s="126"/>
      <c r="D1069" s="126"/>
      <c r="E1069" s="126"/>
      <c r="F1069" s="126"/>
      <c r="G1069" s="126"/>
      <c r="H1069" s="126"/>
      <c r="I1069" s="126"/>
      <c r="J1069" s="126"/>
      <c r="K1069" s="127"/>
      <c r="L1069" s="128"/>
      <c r="M1069" s="129"/>
      <c r="N1069" s="95"/>
      <c r="O1069" s="95"/>
      <c r="P1069" s="130"/>
    </row>
    <row r="1070" spans="2:16" s="89" customFormat="1" ht="12.75">
      <c r="B1070" s="125"/>
      <c r="C1070" s="126"/>
      <c r="D1070" s="126"/>
      <c r="E1070" s="126"/>
      <c r="F1070" s="126"/>
      <c r="G1070" s="126"/>
      <c r="H1070" s="126"/>
      <c r="I1070" s="126"/>
      <c r="J1070" s="126"/>
      <c r="K1070" s="127"/>
      <c r="L1070" s="128"/>
      <c r="M1070" s="129"/>
      <c r="N1070" s="95"/>
      <c r="O1070" s="95"/>
      <c r="P1070" s="130"/>
    </row>
    <row r="1071" spans="2:16" s="89" customFormat="1" ht="12.75">
      <c r="B1071" s="125"/>
      <c r="C1071" s="126"/>
      <c r="D1071" s="126"/>
      <c r="E1071" s="126"/>
      <c r="F1071" s="126"/>
      <c r="G1071" s="126"/>
      <c r="H1071" s="126"/>
      <c r="I1071" s="126"/>
      <c r="J1071" s="126"/>
      <c r="K1071" s="127"/>
      <c r="L1071" s="128"/>
      <c r="M1071" s="129"/>
      <c r="N1071" s="95"/>
      <c r="O1071" s="95"/>
      <c r="P1071" s="130"/>
    </row>
    <row r="1072" spans="2:16" s="89" customFormat="1" ht="12.75">
      <c r="B1072" s="125"/>
      <c r="C1072" s="126"/>
      <c r="D1072" s="126"/>
      <c r="E1072" s="126"/>
      <c r="F1072" s="126"/>
      <c r="G1072" s="126"/>
      <c r="H1072" s="126"/>
      <c r="I1072" s="126"/>
      <c r="J1072" s="126"/>
      <c r="K1072" s="127"/>
      <c r="L1072" s="128"/>
      <c r="M1072" s="129"/>
      <c r="N1072" s="95"/>
      <c r="O1072" s="95"/>
      <c r="P1072" s="130"/>
    </row>
    <row r="1073" spans="2:16" s="89" customFormat="1" ht="12.75">
      <c r="B1073" s="125"/>
      <c r="C1073" s="126"/>
      <c r="D1073" s="126"/>
      <c r="E1073" s="126"/>
      <c r="F1073" s="126"/>
      <c r="G1073" s="126"/>
      <c r="H1073" s="126"/>
      <c r="I1073" s="126"/>
      <c r="J1073" s="126"/>
      <c r="K1073" s="127"/>
      <c r="L1073" s="128"/>
      <c r="M1073" s="129"/>
      <c r="N1073" s="95"/>
      <c r="O1073" s="95"/>
      <c r="P1073" s="130"/>
    </row>
    <row r="1074" spans="2:16" s="89" customFormat="1" ht="12.75">
      <c r="B1074" s="125"/>
      <c r="C1074" s="126"/>
      <c r="D1074" s="126"/>
      <c r="E1074" s="126"/>
      <c r="F1074" s="126"/>
      <c r="G1074" s="126"/>
      <c r="H1074" s="126"/>
      <c r="I1074" s="126"/>
      <c r="J1074" s="126"/>
      <c r="K1074" s="127"/>
      <c r="L1074" s="128"/>
      <c r="M1074" s="129"/>
      <c r="N1074" s="95"/>
      <c r="O1074" s="95"/>
      <c r="P1074" s="130"/>
    </row>
    <row r="1075" spans="2:16" s="89" customFormat="1" ht="12.75">
      <c r="B1075" s="125"/>
      <c r="C1075" s="126"/>
      <c r="D1075" s="126"/>
      <c r="E1075" s="126"/>
      <c r="F1075" s="126"/>
      <c r="G1075" s="126"/>
      <c r="H1075" s="126"/>
      <c r="I1075" s="126"/>
      <c r="J1075" s="126"/>
      <c r="K1075" s="127"/>
      <c r="L1075" s="128"/>
      <c r="M1075" s="129"/>
      <c r="N1075" s="95"/>
      <c r="O1075" s="95"/>
      <c r="P1075" s="130"/>
    </row>
    <row r="1076" spans="2:16" s="89" customFormat="1" ht="12.75">
      <c r="B1076" s="125"/>
      <c r="C1076" s="126"/>
      <c r="D1076" s="126"/>
      <c r="E1076" s="126"/>
      <c r="F1076" s="126"/>
      <c r="G1076" s="126"/>
      <c r="H1076" s="126"/>
      <c r="I1076" s="126"/>
      <c r="J1076" s="126"/>
      <c r="K1076" s="127"/>
      <c r="L1076" s="128"/>
      <c r="M1076" s="129"/>
      <c r="N1076" s="95"/>
      <c r="O1076" s="95"/>
      <c r="P1076" s="130"/>
    </row>
    <row r="1077" spans="2:16" s="89" customFormat="1" ht="12.75">
      <c r="B1077" s="125"/>
      <c r="C1077" s="126"/>
      <c r="D1077" s="126"/>
      <c r="E1077" s="126"/>
      <c r="F1077" s="126"/>
      <c r="G1077" s="126"/>
      <c r="H1077" s="126"/>
      <c r="I1077" s="126"/>
      <c r="J1077" s="126"/>
      <c r="K1077" s="127"/>
      <c r="L1077" s="128"/>
      <c r="M1077" s="129"/>
      <c r="N1077" s="95"/>
      <c r="O1077" s="95"/>
      <c r="P1077" s="130"/>
    </row>
    <row r="1078" spans="2:16" s="89" customFormat="1" ht="12.75">
      <c r="B1078" s="125"/>
      <c r="C1078" s="126"/>
      <c r="D1078" s="126"/>
      <c r="E1078" s="126"/>
      <c r="F1078" s="126"/>
      <c r="G1078" s="126"/>
      <c r="H1078" s="126"/>
      <c r="I1078" s="126"/>
      <c r="J1078" s="126"/>
      <c r="K1078" s="127"/>
      <c r="L1078" s="128"/>
      <c r="M1078" s="129"/>
      <c r="N1078" s="95"/>
      <c r="O1078" s="95"/>
      <c r="P1078" s="130"/>
    </row>
    <row r="1079" spans="2:16" s="89" customFormat="1" ht="12.75">
      <c r="B1079" s="125"/>
      <c r="C1079" s="126"/>
      <c r="D1079" s="126"/>
      <c r="E1079" s="126"/>
      <c r="F1079" s="126"/>
      <c r="G1079" s="126"/>
      <c r="H1079" s="126"/>
      <c r="I1079" s="126"/>
      <c r="J1079" s="126"/>
      <c r="K1079" s="127"/>
      <c r="L1079" s="128"/>
      <c r="M1079" s="129"/>
      <c r="N1079" s="95"/>
      <c r="O1079" s="95"/>
      <c r="P1079" s="130"/>
    </row>
    <row r="1080" spans="2:16" s="89" customFormat="1" ht="12.75">
      <c r="B1080" s="125"/>
      <c r="C1080" s="126"/>
      <c r="D1080" s="126"/>
      <c r="E1080" s="126"/>
      <c r="F1080" s="126"/>
      <c r="G1080" s="126"/>
      <c r="H1080" s="126"/>
      <c r="I1080" s="126"/>
      <c r="J1080" s="126"/>
      <c r="K1080" s="127"/>
      <c r="L1080" s="128"/>
      <c r="M1080" s="129"/>
      <c r="N1080" s="95"/>
      <c r="O1080" s="95"/>
      <c r="P1080" s="130"/>
    </row>
    <row r="1081" spans="2:16" s="89" customFormat="1" ht="12.75">
      <c r="B1081" s="125"/>
      <c r="C1081" s="126"/>
      <c r="D1081" s="126"/>
      <c r="E1081" s="126"/>
      <c r="F1081" s="126"/>
      <c r="G1081" s="126"/>
      <c r="H1081" s="126"/>
      <c r="I1081" s="126"/>
      <c r="J1081" s="126"/>
      <c r="K1081" s="127"/>
      <c r="L1081" s="128"/>
      <c r="M1081" s="129"/>
      <c r="N1081" s="95"/>
      <c r="O1081" s="95"/>
      <c r="P1081" s="130"/>
    </row>
    <row r="1082" spans="2:16" s="89" customFormat="1" ht="12.75">
      <c r="B1082" s="125"/>
      <c r="C1082" s="126"/>
      <c r="D1082" s="126"/>
      <c r="E1082" s="126"/>
      <c r="F1082" s="126"/>
      <c r="G1082" s="126"/>
      <c r="H1082" s="126"/>
      <c r="I1082" s="126"/>
      <c r="J1082" s="126"/>
      <c r="K1082" s="127"/>
      <c r="L1082" s="128"/>
      <c r="M1082" s="129"/>
      <c r="N1082" s="95"/>
      <c r="O1082" s="95"/>
      <c r="P1082" s="130"/>
    </row>
    <row r="1083" spans="2:16" s="89" customFormat="1" ht="12.75">
      <c r="B1083" s="125"/>
      <c r="C1083" s="126"/>
      <c r="D1083" s="126"/>
      <c r="E1083" s="126"/>
      <c r="F1083" s="126"/>
      <c r="G1083" s="126"/>
      <c r="H1083" s="126"/>
      <c r="I1083" s="126"/>
      <c r="J1083" s="126"/>
      <c r="K1083" s="127"/>
      <c r="L1083" s="128"/>
      <c r="M1083" s="129"/>
      <c r="N1083" s="95"/>
      <c r="O1083" s="95"/>
      <c r="P1083" s="130"/>
    </row>
    <row r="1084" spans="2:16" s="89" customFormat="1" ht="12.75">
      <c r="B1084" s="125"/>
      <c r="C1084" s="126"/>
      <c r="D1084" s="126"/>
      <c r="E1084" s="126"/>
      <c r="F1084" s="126"/>
      <c r="G1084" s="126"/>
      <c r="H1084" s="126"/>
      <c r="I1084" s="126"/>
      <c r="J1084" s="126"/>
      <c r="K1084" s="127"/>
      <c r="L1084" s="128"/>
      <c r="M1084" s="129"/>
      <c r="N1084" s="95"/>
      <c r="O1084" s="95"/>
      <c r="P1084" s="130"/>
    </row>
    <row r="1085" spans="2:16" s="89" customFormat="1" ht="12.75">
      <c r="B1085" s="125"/>
      <c r="C1085" s="126"/>
      <c r="D1085" s="126"/>
      <c r="E1085" s="126"/>
      <c r="F1085" s="126"/>
      <c r="G1085" s="126"/>
      <c r="H1085" s="126"/>
      <c r="I1085" s="126"/>
      <c r="J1085" s="126"/>
      <c r="K1085" s="127"/>
      <c r="L1085" s="128"/>
      <c r="M1085" s="129"/>
      <c r="N1085" s="95"/>
      <c r="O1085" s="95"/>
      <c r="P1085" s="130"/>
    </row>
    <row r="1086" spans="2:16" s="89" customFormat="1" ht="12.75">
      <c r="B1086" s="125"/>
      <c r="C1086" s="126"/>
      <c r="D1086" s="126"/>
      <c r="E1086" s="126"/>
      <c r="F1086" s="126"/>
      <c r="G1086" s="126"/>
      <c r="H1086" s="126"/>
      <c r="I1086" s="126"/>
      <c r="J1086" s="126"/>
      <c r="K1086" s="127"/>
      <c r="L1086" s="128"/>
      <c r="M1086" s="129"/>
      <c r="N1086" s="95"/>
      <c r="O1086" s="95"/>
      <c r="P1086" s="130"/>
    </row>
    <row r="1087" spans="2:16" s="89" customFormat="1" ht="12.75">
      <c r="B1087" s="125"/>
      <c r="C1087" s="126"/>
      <c r="D1087" s="126"/>
      <c r="E1087" s="126"/>
      <c r="F1087" s="126"/>
      <c r="G1087" s="126"/>
      <c r="H1087" s="126"/>
      <c r="I1087" s="126"/>
      <c r="J1087" s="126"/>
      <c r="K1087" s="127"/>
      <c r="L1087" s="128"/>
      <c r="M1087" s="129"/>
      <c r="N1087" s="95"/>
      <c r="O1087" s="95"/>
      <c r="P1087" s="130"/>
    </row>
    <row r="1088" spans="2:16" s="89" customFormat="1" ht="12.75">
      <c r="B1088" s="125"/>
      <c r="C1088" s="126"/>
      <c r="D1088" s="126"/>
      <c r="E1088" s="126"/>
      <c r="F1088" s="126"/>
      <c r="G1088" s="126"/>
      <c r="H1088" s="126"/>
      <c r="I1088" s="126"/>
      <c r="J1088" s="126"/>
      <c r="K1088" s="127"/>
      <c r="L1088" s="128"/>
      <c r="M1088" s="129"/>
      <c r="N1088" s="95"/>
      <c r="O1088" s="95"/>
      <c r="P1088" s="130"/>
    </row>
    <row r="1089" spans="2:16" s="89" customFormat="1" ht="12.75">
      <c r="B1089" s="125"/>
      <c r="C1089" s="126"/>
      <c r="D1089" s="126"/>
      <c r="E1089" s="126"/>
      <c r="F1089" s="126"/>
      <c r="G1089" s="126"/>
      <c r="H1089" s="126"/>
      <c r="I1089" s="126"/>
      <c r="J1089" s="126"/>
      <c r="K1089" s="127"/>
      <c r="L1089" s="128"/>
      <c r="M1089" s="129"/>
      <c r="N1089" s="95"/>
      <c r="O1089" s="95"/>
      <c r="P1089" s="130"/>
    </row>
    <row r="1090" spans="2:16" s="89" customFormat="1" ht="12.75">
      <c r="B1090" s="125"/>
      <c r="C1090" s="126"/>
      <c r="D1090" s="126"/>
      <c r="E1090" s="126"/>
      <c r="F1090" s="126"/>
      <c r="G1090" s="126"/>
      <c r="H1090" s="126"/>
      <c r="I1090" s="126"/>
      <c r="J1090" s="126"/>
      <c r="K1090" s="127"/>
      <c r="L1090" s="128"/>
      <c r="M1090" s="129"/>
      <c r="N1090" s="95"/>
      <c r="O1090" s="95"/>
      <c r="P1090" s="130"/>
    </row>
    <row r="1091" spans="2:16" s="89" customFormat="1" ht="12.75">
      <c r="B1091" s="125"/>
      <c r="C1091" s="126"/>
      <c r="D1091" s="126"/>
      <c r="E1091" s="126"/>
      <c r="F1091" s="126"/>
      <c r="G1091" s="126"/>
      <c r="H1091" s="126"/>
      <c r="I1091" s="126"/>
      <c r="J1091" s="126"/>
      <c r="K1091" s="127"/>
      <c r="L1091" s="128"/>
      <c r="M1091" s="129"/>
      <c r="N1091" s="95"/>
      <c r="O1091" s="95"/>
      <c r="P1091" s="130"/>
    </row>
    <row r="1092" spans="2:16" s="89" customFormat="1" ht="12.75">
      <c r="B1092" s="125"/>
      <c r="C1092" s="126"/>
      <c r="D1092" s="126"/>
      <c r="E1092" s="126"/>
      <c r="F1092" s="126"/>
      <c r="G1092" s="126"/>
      <c r="H1092" s="126"/>
      <c r="I1092" s="126"/>
      <c r="J1092" s="126"/>
      <c r="K1092" s="127"/>
      <c r="L1092" s="128"/>
      <c r="M1092" s="129"/>
      <c r="N1092" s="95"/>
      <c r="O1092" s="95"/>
      <c r="P1092" s="130"/>
    </row>
    <row r="1093" spans="2:16" s="89" customFormat="1" ht="12.75">
      <c r="B1093" s="125"/>
      <c r="C1093" s="126"/>
      <c r="D1093" s="126"/>
      <c r="E1093" s="126"/>
      <c r="F1093" s="126"/>
      <c r="G1093" s="126"/>
      <c r="H1093" s="126"/>
      <c r="I1093" s="126"/>
      <c r="J1093" s="126"/>
      <c r="K1093" s="127"/>
      <c r="L1093" s="128"/>
      <c r="M1093" s="129"/>
      <c r="N1093" s="95"/>
      <c r="O1093" s="95"/>
      <c r="P1093" s="130"/>
    </row>
    <row r="1094" spans="2:16" s="89" customFormat="1" ht="12.75">
      <c r="B1094" s="125"/>
      <c r="C1094" s="126"/>
      <c r="D1094" s="126"/>
      <c r="E1094" s="126"/>
      <c r="F1094" s="126"/>
      <c r="G1094" s="126"/>
      <c r="H1094" s="126"/>
      <c r="I1094" s="126"/>
      <c r="J1094" s="126"/>
      <c r="K1094" s="127"/>
      <c r="L1094" s="128"/>
      <c r="M1094" s="129"/>
      <c r="N1094" s="95"/>
      <c r="O1094" s="95"/>
      <c r="P1094" s="130"/>
    </row>
    <row r="1095" spans="2:16" s="89" customFormat="1" ht="12.75">
      <c r="B1095" s="125"/>
      <c r="C1095" s="126"/>
      <c r="D1095" s="126"/>
      <c r="E1095" s="126"/>
      <c r="F1095" s="126"/>
      <c r="G1095" s="126"/>
      <c r="H1095" s="126"/>
      <c r="I1095" s="126"/>
      <c r="J1095" s="126"/>
      <c r="K1095" s="127"/>
      <c r="L1095" s="128"/>
      <c r="M1095" s="129"/>
      <c r="N1095" s="95"/>
      <c r="O1095" s="95"/>
      <c r="P1095" s="130"/>
    </row>
    <row r="1096" spans="2:16" s="89" customFormat="1" ht="12.75">
      <c r="B1096" s="125"/>
      <c r="C1096" s="126"/>
      <c r="D1096" s="126"/>
      <c r="E1096" s="126"/>
      <c r="F1096" s="126"/>
      <c r="G1096" s="126"/>
      <c r="H1096" s="126"/>
      <c r="I1096" s="126"/>
      <c r="J1096" s="126"/>
      <c r="K1096" s="127"/>
      <c r="L1096" s="128"/>
      <c r="M1096" s="129"/>
      <c r="N1096" s="95"/>
      <c r="O1096" s="95"/>
      <c r="P1096" s="130"/>
    </row>
    <row r="1097" spans="2:16" s="89" customFormat="1" ht="12.75">
      <c r="B1097" s="125"/>
      <c r="C1097" s="126"/>
      <c r="D1097" s="126"/>
      <c r="E1097" s="126"/>
      <c r="F1097" s="126"/>
      <c r="G1097" s="126"/>
      <c r="H1097" s="126"/>
      <c r="I1097" s="126"/>
      <c r="J1097" s="126"/>
      <c r="K1097" s="127"/>
      <c r="L1097" s="128"/>
      <c r="M1097" s="129"/>
      <c r="N1097" s="95"/>
      <c r="O1097" s="95"/>
      <c r="P1097" s="130"/>
    </row>
    <row r="1098" spans="2:16" s="89" customFormat="1" ht="12.75">
      <c r="B1098" s="125"/>
      <c r="C1098" s="126"/>
      <c r="D1098" s="126"/>
      <c r="E1098" s="126"/>
      <c r="F1098" s="126"/>
      <c r="G1098" s="126"/>
      <c r="H1098" s="126"/>
      <c r="I1098" s="126"/>
      <c r="J1098" s="126"/>
      <c r="K1098" s="127"/>
      <c r="L1098" s="128"/>
      <c r="M1098" s="129"/>
      <c r="N1098" s="95"/>
      <c r="O1098" s="95"/>
      <c r="P1098" s="130"/>
    </row>
    <row r="1099" spans="2:16" s="89" customFormat="1" ht="12.75">
      <c r="B1099" s="125"/>
      <c r="C1099" s="126"/>
      <c r="D1099" s="126"/>
      <c r="E1099" s="126"/>
      <c r="F1099" s="126"/>
      <c r="G1099" s="126"/>
      <c r="H1099" s="126"/>
      <c r="I1099" s="126"/>
      <c r="J1099" s="126"/>
      <c r="K1099" s="127"/>
      <c r="L1099" s="128"/>
      <c r="M1099" s="129"/>
      <c r="N1099" s="95"/>
      <c r="O1099" s="95"/>
      <c r="P1099" s="130"/>
    </row>
    <row r="1100" spans="2:16" s="89" customFormat="1" ht="12.75">
      <c r="B1100" s="125"/>
      <c r="C1100" s="126"/>
      <c r="D1100" s="126"/>
      <c r="E1100" s="126"/>
      <c r="F1100" s="126"/>
      <c r="G1100" s="126"/>
      <c r="H1100" s="126"/>
      <c r="I1100" s="126"/>
      <c r="J1100" s="126"/>
      <c r="K1100" s="127"/>
      <c r="L1100" s="128"/>
      <c r="M1100" s="129"/>
      <c r="N1100" s="95"/>
      <c r="O1100" s="95"/>
      <c r="P1100" s="130"/>
    </row>
    <row r="1101" spans="2:16" s="89" customFormat="1" ht="12.75">
      <c r="B1101" s="125"/>
      <c r="C1101" s="126"/>
      <c r="D1101" s="126"/>
      <c r="E1101" s="126"/>
      <c r="F1101" s="126"/>
      <c r="G1101" s="126"/>
      <c r="H1101" s="126"/>
      <c r="I1101" s="126"/>
      <c r="J1101" s="126"/>
      <c r="K1101" s="127"/>
      <c r="L1101" s="128"/>
      <c r="M1101" s="129"/>
      <c r="N1101" s="95"/>
      <c r="O1101" s="95"/>
      <c r="P1101" s="130"/>
    </row>
    <row r="1102" spans="2:16" s="89" customFormat="1" ht="12.75">
      <c r="B1102" s="125"/>
      <c r="C1102" s="126"/>
      <c r="D1102" s="126"/>
      <c r="E1102" s="126"/>
      <c r="F1102" s="126"/>
      <c r="G1102" s="126"/>
      <c r="H1102" s="126"/>
      <c r="I1102" s="126"/>
      <c r="J1102" s="126"/>
      <c r="K1102" s="127"/>
      <c r="L1102" s="128"/>
      <c r="M1102" s="129"/>
      <c r="N1102" s="95"/>
      <c r="O1102" s="95"/>
      <c r="P1102" s="130"/>
    </row>
    <row r="1103" spans="2:16" s="89" customFormat="1" ht="12.75">
      <c r="B1103" s="125"/>
      <c r="C1103" s="126"/>
      <c r="D1103" s="126"/>
      <c r="E1103" s="126"/>
      <c r="F1103" s="126"/>
      <c r="G1103" s="126"/>
      <c r="H1103" s="126"/>
      <c r="I1103" s="126"/>
      <c r="J1103" s="126"/>
      <c r="K1103" s="127"/>
      <c r="L1103" s="128"/>
      <c r="M1103" s="129"/>
      <c r="N1103" s="95"/>
      <c r="O1103" s="95"/>
      <c r="P1103" s="130"/>
    </row>
    <row r="1104" spans="2:16" s="89" customFormat="1" ht="12.75">
      <c r="B1104" s="125"/>
      <c r="C1104" s="126"/>
      <c r="D1104" s="126"/>
      <c r="E1104" s="126"/>
      <c r="F1104" s="126"/>
      <c r="G1104" s="126"/>
      <c r="H1104" s="126"/>
      <c r="I1104" s="126"/>
      <c r="J1104" s="126"/>
      <c r="K1104" s="127"/>
      <c r="L1104" s="128"/>
      <c r="M1104" s="129"/>
      <c r="N1104" s="95"/>
      <c r="O1104" s="95"/>
      <c r="P1104" s="130"/>
    </row>
    <row r="1105" spans="2:16" s="89" customFormat="1" ht="12.75">
      <c r="B1105" s="125"/>
      <c r="C1105" s="126"/>
      <c r="D1105" s="126"/>
      <c r="E1105" s="126"/>
      <c r="F1105" s="126"/>
      <c r="G1105" s="126"/>
      <c r="H1105" s="126"/>
      <c r="I1105" s="126"/>
      <c r="J1105" s="126"/>
      <c r="K1105" s="127"/>
      <c r="L1105" s="128"/>
      <c r="M1105" s="129"/>
      <c r="N1105" s="95"/>
      <c r="O1105" s="95"/>
      <c r="P1105" s="130"/>
    </row>
    <row r="1106" spans="2:16" s="89" customFormat="1" ht="12.75">
      <c r="B1106" s="125"/>
      <c r="C1106" s="126"/>
      <c r="D1106" s="126"/>
      <c r="E1106" s="126"/>
      <c r="F1106" s="126"/>
      <c r="G1106" s="126"/>
      <c r="H1106" s="126"/>
      <c r="I1106" s="126"/>
      <c r="J1106" s="126"/>
      <c r="K1106" s="127"/>
      <c r="L1106" s="128"/>
      <c r="M1106" s="129"/>
      <c r="N1106" s="95"/>
      <c r="O1106" s="95"/>
      <c r="P1106" s="130"/>
    </row>
    <row r="1107" spans="2:16" s="89" customFormat="1" ht="12.75">
      <c r="B1107" s="125"/>
      <c r="C1107" s="126"/>
      <c r="D1107" s="126"/>
      <c r="E1107" s="126"/>
      <c r="F1107" s="126"/>
      <c r="G1107" s="126"/>
      <c r="H1107" s="126"/>
      <c r="I1107" s="126"/>
      <c r="J1107" s="126"/>
      <c r="K1107" s="127"/>
      <c r="L1107" s="128"/>
      <c r="M1107" s="129"/>
      <c r="N1107" s="95"/>
      <c r="O1107" s="95"/>
      <c r="P1107" s="130"/>
    </row>
    <row r="1108" spans="2:16" s="89" customFormat="1" ht="12.75">
      <c r="B1108" s="125"/>
      <c r="C1108" s="126"/>
      <c r="D1108" s="126"/>
      <c r="E1108" s="126"/>
      <c r="F1108" s="126"/>
      <c r="G1108" s="126"/>
      <c r="H1108" s="126"/>
      <c r="I1108" s="126"/>
      <c r="J1108" s="126"/>
      <c r="K1108" s="127"/>
      <c r="L1108" s="128"/>
      <c r="M1108" s="129"/>
      <c r="N1108" s="95"/>
      <c r="O1108" s="95"/>
      <c r="P1108" s="130"/>
    </row>
    <row r="1109" spans="2:16" s="89" customFormat="1" ht="12.75">
      <c r="B1109" s="125"/>
      <c r="C1109" s="126"/>
      <c r="D1109" s="126"/>
      <c r="E1109" s="126"/>
      <c r="F1109" s="126"/>
      <c r="G1109" s="126"/>
      <c r="H1109" s="126"/>
      <c r="I1109" s="126"/>
      <c r="J1109" s="126"/>
      <c r="K1109" s="127"/>
      <c r="L1109" s="128"/>
      <c r="M1109" s="129"/>
      <c r="N1109" s="95"/>
      <c r="O1109" s="95"/>
      <c r="P1109" s="130"/>
    </row>
    <row r="1110" spans="2:16" s="89" customFormat="1" ht="12.75">
      <c r="B1110" s="125"/>
      <c r="C1110" s="126"/>
      <c r="D1110" s="126"/>
      <c r="E1110" s="126"/>
      <c r="F1110" s="126"/>
      <c r="G1110" s="126"/>
      <c r="H1110" s="126"/>
      <c r="I1110" s="126"/>
      <c r="J1110" s="126"/>
      <c r="K1110" s="127"/>
      <c r="L1110" s="128"/>
      <c r="M1110" s="129"/>
      <c r="N1110" s="95"/>
      <c r="O1110" s="95"/>
      <c r="P1110" s="130"/>
    </row>
    <row r="1111" spans="2:16" s="89" customFormat="1" ht="12.75">
      <c r="B1111" s="125"/>
      <c r="C1111" s="126"/>
      <c r="D1111" s="126"/>
      <c r="E1111" s="126"/>
      <c r="F1111" s="126"/>
      <c r="G1111" s="126"/>
      <c r="H1111" s="126"/>
      <c r="I1111" s="126"/>
      <c r="J1111" s="126"/>
      <c r="K1111" s="127"/>
      <c r="L1111" s="128"/>
      <c r="M1111" s="129"/>
      <c r="N1111" s="95"/>
      <c r="O1111" s="95"/>
      <c r="P1111" s="130"/>
    </row>
    <row r="1112" spans="2:16" s="89" customFormat="1" ht="12.75">
      <c r="B1112" s="125"/>
      <c r="C1112" s="126"/>
      <c r="D1112" s="126"/>
      <c r="E1112" s="126"/>
      <c r="F1112" s="126"/>
      <c r="G1112" s="126"/>
      <c r="H1112" s="126"/>
      <c r="I1112" s="126"/>
      <c r="J1112" s="126"/>
      <c r="K1112" s="127"/>
      <c r="L1112" s="128"/>
      <c r="M1112" s="129"/>
      <c r="N1112" s="95"/>
      <c r="O1112" s="95"/>
      <c r="P1112" s="130"/>
    </row>
    <row r="1113" spans="2:16" s="89" customFormat="1" ht="12.75">
      <c r="B1113" s="125"/>
      <c r="C1113" s="126"/>
      <c r="D1113" s="126"/>
      <c r="E1113" s="126"/>
      <c r="F1113" s="126"/>
      <c r="G1113" s="126"/>
      <c r="H1113" s="126"/>
      <c r="I1113" s="126"/>
      <c r="J1113" s="126"/>
      <c r="K1113" s="127"/>
      <c r="L1113" s="128"/>
      <c r="M1113" s="129"/>
      <c r="N1113" s="95"/>
      <c r="O1113" s="95"/>
      <c r="P1113" s="130"/>
    </row>
    <row r="1114" spans="2:16" s="89" customFormat="1" ht="12.75">
      <c r="B1114" s="125"/>
      <c r="C1114" s="126"/>
      <c r="D1114" s="126"/>
      <c r="E1114" s="126"/>
      <c r="F1114" s="126"/>
      <c r="G1114" s="126"/>
      <c r="H1114" s="126"/>
      <c r="I1114" s="126"/>
      <c r="J1114" s="126"/>
      <c r="K1114" s="127"/>
      <c r="L1114" s="128"/>
      <c r="M1114" s="129"/>
      <c r="N1114" s="95"/>
      <c r="O1114" s="95"/>
      <c r="P1114" s="130"/>
    </row>
    <row r="1115" spans="2:16" s="89" customFormat="1" ht="12.75">
      <c r="B1115" s="125"/>
      <c r="C1115" s="126"/>
      <c r="D1115" s="126"/>
      <c r="E1115" s="126"/>
      <c r="F1115" s="126"/>
      <c r="G1115" s="126"/>
      <c r="H1115" s="126"/>
      <c r="I1115" s="126"/>
      <c r="J1115" s="126"/>
      <c r="K1115" s="127"/>
      <c r="L1115" s="128"/>
      <c r="M1115" s="129"/>
      <c r="N1115" s="95"/>
      <c r="O1115" s="95"/>
      <c r="P1115" s="130"/>
    </row>
    <row r="1116" spans="2:16" s="89" customFormat="1" ht="12.75">
      <c r="B1116" s="125"/>
      <c r="C1116" s="126"/>
      <c r="D1116" s="126"/>
      <c r="E1116" s="126"/>
      <c r="F1116" s="126"/>
      <c r="G1116" s="126"/>
      <c r="H1116" s="126"/>
      <c r="I1116" s="126"/>
      <c r="J1116" s="126"/>
      <c r="K1116" s="127"/>
      <c r="L1116" s="128"/>
      <c r="M1116" s="129"/>
      <c r="N1116" s="95"/>
      <c r="O1116" s="95"/>
      <c r="P1116" s="130"/>
    </row>
    <row r="1117" spans="2:16" s="89" customFormat="1" ht="12.75">
      <c r="B1117" s="125"/>
      <c r="C1117" s="126"/>
      <c r="D1117" s="126"/>
      <c r="E1117" s="126"/>
      <c r="F1117" s="126"/>
      <c r="G1117" s="126"/>
      <c r="H1117" s="126"/>
      <c r="I1117" s="126"/>
      <c r="J1117" s="126"/>
      <c r="K1117" s="127"/>
      <c r="L1117" s="128"/>
      <c r="M1117" s="129"/>
      <c r="N1117" s="95"/>
      <c r="O1117" s="95"/>
      <c r="P1117" s="130"/>
    </row>
    <row r="1118" spans="2:16" s="89" customFormat="1" ht="12.75">
      <c r="B1118" s="125"/>
      <c r="C1118" s="126"/>
      <c r="D1118" s="126"/>
      <c r="E1118" s="126"/>
      <c r="F1118" s="126"/>
      <c r="G1118" s="126"/>
      <c r="H1118" s="126"/>
      <c r="I1118" s="126"/>
      <c r="J1118" s="126"/>
      <c r="K1118" s="127"/>
      <c r="L1118" s="128"/>
      <c r="M1118" s="129"/>
      <c r="N1118" s="95"/>
      <c r="O1118" s="95"/>
      <c r="P1118" s="130"/>
    </row>
    <row r="1119" spans="2:16" s="89" customFormat="1" ht="12.75">
      <c r="B1119" s="125"/>
      <c r="C1119" s="126"/>
      <c r="D1119" s="126"/>
      <c r="E1119" s="126"/>
      <c r="F1119" s="126"/>
      <c r="G1119" s="126"/>
      <c r="H1119" s="126"/>
      <c r="I1119" s="126"/>
      <c r="J1119" s="126"/>
      <c r="K1119" s="127"/>
      <c r="L1119" s="128"/>
      <c r="M1119" s="129"/>
      <c r="N1119" s="95"/>
      <c r="O1119" s="95"/>
      <c r="P1119" s="130"/>
    </row>
    <row r="1120" spans="2:16" s="89" customFormat="1" ht="12.75">
      <c r="B1120" s="125"/>
      <c r="C1120" s="126"/>
      <c r="D1120" s="126"/>
      <c r="E1120" s="126"/>
      <c r="F1120" s="126"/>
      <c r="G1120" s="126"/>
      <c r="H1120" s="126"/>
      <c r="I1120" s="126"/>
      <c r="J1120" s="126"/>
      <c r="K1120" s="127"/>
      <c r="L1120" s="128"/>
      <c r="M1120" s="129"/>
      <c r="N1120" s="95"/>
      <c r="O1120" s="95"/>
      <c r="P1120" s="130"/>
    </row>
    <row r="1121" spans="2:16" s="89" customFormat="1" ht="12.75">
      <c r="B1121" s="125"/>
      <c r="C1121" s="126"/>
      <c r="D1121" s="126"/>
      <c r="E1121" s="126"/>
      <c r="F1121" s="126"/>
      <c r="G1121" s="126"/>
      <c r="H1121" s="126"/>
      <c r="I1121" s="126"/>
      <c r="J1121" s="126"/>
      <c r="K1121" s="127"/>
      <c r="L1121" s="128"/>
      <c r="M1121" s="129"/>
      <c r="N1121" s="95"/>
      <c r="O1121" s="95"/>
      <c r="P1121" s="130"/>
    </row>
    <row r="1122" spans="2:16" s="89" customFormat="1" ht="12.75">
      <c r="B1122" s="125"/>
      <c r="C1122" s="126"/>
      <c r="D1122" s="126"/>
      <c r="E1122" s="126"/>
      <c r="F1122" s="126"/>
      <c r="G1122" s="126"/>
      <c r="H1122" s="126"/>
      <c r="I1122" s="126"/>
      <c r="J1122" s="126"/>
      <c r="K1122" s="127"/>
      <c r="L1122" s="128"/>
      <c r="M1122" s="129"/>
      <c r="N1122" s="95"/>
      <c r="O1122" s="95"/>
      <c r="P1122" s="130"/>
    </row>
    <row r="1123" spans="2:16" s="89" customFormat="1" ht="12.75">
      <c r="B1123" s="125"/>
      <c r="C1123" s="126"/>
      <c r="D1123" s="126"/>
      <c r="E1123" s="126"/>
      <c r="F1123" s="126"/>
      <c r="G1123" s="126"/>
      <c r="H1123" s="126"/>
      <c r="I1123" s="126"/>
      <c r="J1123" s="126"/>
      <c r="K1123" s="127"/>
      <c r="L1123" s="128"/>
      <c r="M1123" s="129"/>
      <c r="N1123" s="95"/>
      <c r="O1123" s="95"/>
      <c r="P1123" s="130"/>
    </row>
    <row r="1124" spans="2:16" s="89" customFormat="1" ht="12.75">
      <c r="B1124" s="125"/>
      <c r="C1124" s="126"/>
      <c r="D1124" s="126"/>
      <c r="E1124" s="126"/>
      <c r="F1124" s="126"/>
      <c r="G1124" s="126"/>
      <c r="H1124" s="126"/>
      <c r="I1124" s="126"/>
      <c r="J1124" s="126"/>
      <c r="K1124" s="127"/>
      <c r="L1124" s="128"/>
      <c r="M1124" s="129"/>
      <c r="N1124" s="95"/>
      <c r="O1124" s="95"/>
      <c r="P1124" s="130"/>
    </row>
    <row r="1125" spans="2:16" s="89" customFormat="1" ht="12.75">
      <c r="B1125" s="125"/>
      <c r="C1125" s="126"/>
      <c r="D1125" s="126"/>
      <c r="E1125" s="126"/>
      <c r="F1125" s="126"/>
      <c r="G1125" s="126"/>
      <c r="H1125" s="126"/>
      <c r="I1125" s="126"/>
      <c r="J1125" s="126"/>
      <c r="K1125" s="127"/>
      <c r="L1125" s="128"/>
      <c r="M1125" s="129"/>
      <c r="N1125" s="95"/>
      <c r="O1125" s="95"/>
      <c r="P1125" s="130"/>
    </row>
    <row r="1126" spans="2:16" s="89" customFormat="1" ht="12.75">
      <c r="B1126" s="125"/>
      <c r="C1126" s="126"/>
      <c r="D1126" s="126"/>
      <c r="E1126" s="126"/>
      <c r="F1126" s="126"/>
      <c r="G1126" s="126"/>
      <c r="H1126" s="126"/>
      <c r="I1126" s="126"/>
      <c r="J1126" s="126"/>
      <c r="K1126" s="127"/>
      <c r="L1126" s="128"/>
      <c r="M1126" s="129"/>
      <c r="N1126" s="95"/>
      <c r="O1126" s="95"/>
      <c r="P1126" s="130"/>
    </row>
    <row r="1127" spans="2:16" s="89" customFormat="1" ht="12.75">
      <c r="B1127" s="125"/>
      <c r="C1127" s="126"/>
      <c r="D1127" s="126"/>
      <c r="E1127" s="126"/>
      <c r="F1127" s="126"/>
      <c r="G1127" s="126"/>
      <c r="H1127" s="126"/>
      <c r="I1127" s="126"/>
      <c r="J1127" s="126"/>
      <c r="K1127" s="127"/>
      <c r="L1127" s="128"/>
      <c r="M1127" s="129"/>
      <c r="N1127" s="95"/>
      <c r="O1127" s="95"/>
      <c r="P1127" s="130"/>
    </row>
    <row r="1128" spans="2:16" s="89" customFormat="1" ht="12.75">
      <c r="B1128" s="125"/>
      <c r="C1128" s="126"/>
      <c r="D1128" s="126"/>
      <c r="E1128" s="126"/>
      <c r="F1128" s="126"/>
      <c r="G1128" s="126"/>
      <c r="H1128" s="126"/>
      <c r="I1128" s="126"/>
      <c r="J1128" s="126"/>
      <c r="K1128" s="127"/>
      <c r="L1128" s="128"/>
      <c r="M1128" s="129"/>
      <c r="N1128" s="95"/>
      <c r="O1128" s="95"/>
      <c r="P1128" s="130"/>
    </row>
    <row r="1129" spans="2:16" s="89" customFormat="1" ht="12.75">
      <c r="B1129" s="125"/>
      <c r="C1129" s="126"/>
      <c r="D1129" s="126"/>
      <c r="E1129" s="126"/>
      <c r="F1129" s="126"/>
      <c r="G1129" s="126"/>
      <c r="H1129" s="126"/>
      <c r="I1129" s="126"/>
      <c r="J1129" s="126"/>
      <c r="K1129" s="127"/>
      <c r="L1129" s="128"/>
      <c r="M1129" s="129"/>
      <c r="N1129" s="95"/>
      <c r="O1129" s="95"/>
      <c r="P1129" s="130"/>
    </row>
    <row r="1130" spans="2:16" s="89" customFormat="1" ht="12.75">
      <c r="B1130" s="125"/>
      <c r="C1130" s="126"/>
      <c r="D1130" s="126"/>
      <c r="E1130" s="126"/>
      <c r="F1130" s="126"/>
      <c r="G1130" s="126"/>
      <c r="H1130" s="126"/>
      <c r="I1130" s="126"/>
      <c r="J1130" s="126"/>
      <c r="K1130" s="127"/>
      <c r="L1130" s="128"/>
      <c r="M1130" s="129"/>
      <c r="N1130" s="95"/>
      <c r="O1130" s="95"/>
      <c r="P1130" s="130"/>
    </row>
    <row r="1131" spans="2:16" s="89" customFormat="1" ht="12.75">
      <c r="B1131" s="125"/>
      <c r="C1131" s="126"/>
      <c r="D1131" s="126"/>
      <c r="E1131" s="126"/>
      <c r="F1131" s="126"/>
      <c r="G1131" s="126"/>
      <c r="H1131" s="126"/>
      <c r="I1131" s="126"/>
      <c r="J1131" s="126"/>
      <c r="K1131" s="127"/>
      <c r="L1131" s="128"/>
      <c r="M1131" s="129"/>
      <c r="N1131" s="95"/>
      <c r="O1131" s="95"/>
      <c r="P1131" s="130"/>
    </row>
    <row r="1132" spans="2:16" s="89" customFormat="1" ht="12.75">
      <c r="B1132" s="125"/>
      <c r="C1132" s="126"/>
      <c r="D1132" s="126"/>
      <c r="E1132" s="126"/>
      <c r="F1132" s="126"/>
      <c r="G1132" s="126"/>
      <c r="H1132" s="126"/>
      <c r="I1132" s="126"/>
      <c r="J1132" s="126"/>
      <c r="K1132" s="127"/>
      <c r="L1132" s="128"/>
      <c r="M1132" s="129"/>
      <c r="N1132" s="95"/>
      <c r="O1132" s="95"/>
      <c r="P1132" s="130"/>
    </row>
    <row r="1133" spans="2:16" s="89" customFormat="1" ht="12.75">
      <c r="B1133" s="125"/>
      <c r="C1133" s="126"/>
      <c r="D1133" s="126"/>
      <c r="E1133" s="126"/>
      <c r="F1133" s="126"/>
      <c r="G1133" s="126"/>
      <c r="H1133" s="126"/>
      <c r="I1133" s="126"/>
      <c r="J1133" s="126"/>
      <c r="K1133" s="127"/>
      <c r="L1133" s="128"/>
      <c r="M1133" s="129"/>
      <c r="N1133" s="95"/>
      <c r="O1133" s="95"/>
      <c r="P1133" s="130"/>
    </row>
    <row r="1134" spans="2:16" s="89" customFormat="1" ht="12.75">
      <c r="B1134" s="125"/>
      <c r="C1134" s="126"/>
      <c r="D1134" s="126"/>
      <c r="E1134" s="126"/>
      <c r="F1134" s="126"/>
      <c r="G1134" s="126"/>
      <c r="H1134" s="126"/>
      <c r="I1134" s="126"/>
      <c r="J1134" s="126"/>
      <c r="K1134" s="127"/>
      <c r="L1134" s="128"/>
      <c r="M1134" s="129"/>
      <c r="N1134" s="95"/>
      <c r="O1134" s="95"/>
      <c r="P1134" s="130"/>
    </row>
    <row r="1135" spans="2:16" s="89" customFormat="1" ht="12.75">
      <c r="B1135" s="125"/>
      <c r="C1135" s="126"/>
      <c r="D1135" s="126"/>
      <c r="E1135" s="126"/>
      <c r="F1135" s="126"/>
      <c r="G1135" s="126"/>
      <c r="H1135" s="126"/>
      <c r="I1135" s="126"/>
      <c r="J1135" s="126"/>
      <c r="K1135" s="127"/>
      <c r="L1135" s="128"/>
      <c r="M1135" s="129"/>
      <c r="N1135" s="95"/>
      <c r="O1135" s="95"/>
      <c r="P1135" s="130"/>
    </row>
    <row r="1136" spans="2:16" s="89" customFormat="1" ht="12.75">
      <c r="B1136" s="125"/>
      <c r="C1136" s="126"/>
      <c r="D1136" s="126"/>
      <c r="E1136" s="126"/>
      <c r="F1136" s="126"/>
      <c r="G1136" s="126"/>
      <c r="H1136" s="126"/>
      <c r="I1136" s="126"/>
      <c r="J1136" s="126"/>
      <c r="K1136" s="127"/>
      <c r="L1136" s="128"/>
      <c r="M1136" s="129"/>
      <c r="N1136" s="95"/>
      <c r="O1136" s="95"/>
      <c r="P1136" s="130"/>
    </row>
    <row r="1137" spans="2:16" s="89" customFormat="1" ht="12.75">
      <c r="B1137" s="125"/>
      <c r="C1137" s="126"/>
      <c r="D1137" s="126"/>
      <c r="E1137" s="126"/>
      <c r="F1137" s="126"/>
      <c r="G1137" s="126"/>
      <c r="H1137" s="126"/>
      <c r="I1137" s="126"/>
      <c r="J1137" s="126"/>
      <c r="K1137" s="127"/>
      <c r="L1137" s="128"/>
      <c r="M1137" s="129"/>
      <c r="N1137" s="95"/>
      <c r="O1137" s="95"/>
      <c r="P1137" s="130"/>
    </row>
    <row r="1138" spans="2:16" s="89" customFormat="1" ht="12.75">
      <c r="B1138" s="125"/>
      <c r="C1138" s="126"/>
      <c r="D1138" s="126"/>
      <c r="E1138" s="126"/>
      <c r="F1138" s="126"/>
      <c r="G1138" s="126"/>
      <c r="H1138" s="126"/>
      <c r="I1138" s="126"/>
      <c r="J1138" s="126"/>
      <c r="K1138" s="127"/>
      <c r="L1138" s="128"/>
      <c r="M1138" s="129"/>
      <c r="N1138" s="95"/>
      <c r="O1138" s="95"/>
      <c r="P1138" s="130"/>
    </row>
    <row r="1139" spans="2:16" s="89" customFormat="1" ht="12.75">
      <c r="B1139" s="125"/>
      <c r="C1139" s="126"/>
      <c r="D1139" s="126"/>
      <c r="E1139" s="126"/>
      <c r="F1139" s="126"/>
      <c r="G1139" s="126"/>
      <c r="H1139" s="126"/>
      <c r="I1139" s="126"/>
      <c r="J1139" s="126"/>
      <c r="K1139" s="127"/>
      <c r="L1139" s="128"/>
      <c r="M1139" s="129"/>
      <c r="N1139" s="95"/>
      <c r="O1139" s="95"/>
      <c r="P1139" s="130"/>
    </row>
    <row r="1140" spans="2:16" s="89" customFormat="1" ht="12.75">
      <c r="B1140" s="125"/>
      <c r="C1140" s="126"/>
      <c r="D1140" s="126"/>
      <c r="E1140" s="126"/>
      <c r="F1140" s="126"/>
      <c r="G1140" s="126"/>
      <c r="H1140" s="126"/>
      <c r="I1140" s="126"/>
      <c r="J1140" s="126"/>
      <c r="K1140" s="127"/>
      <c r="L1140" s="128"/>
      <c r="M1140" s="129"/>
      <c r="N1140" s="95"/>
      <c r="O1140" s="95"/>
      <c r="P1140" s="130"/>
    </row>
    <row r="1141" spans="2:16" s="89" customFormat="1" ht="12.75">
      <c r="B1141" s="125"/>
      <c r="C1141" s="126"/>
      <c r="D1141" s="126"/>
      <c r="E1141" s="126"/>
      <c r="F1141" s="126"/>
      <c r="G1141" s="126"/>
      <c r="H1141" s="126"/>
      <c r="I1141" s="126"/>
      <c r="J1141" s="126"/>
      <c r="K1141" s="127"/>
      <c r="L1141" s="128"/>
      <c r="M1141" s="129"/>
      <c r="N1141" s="95"/>
      <c r="O1141" s="95"/>
      <c r="P1141" s="130"/>
    </row>
    <row r="1142" spans="2:16" s="89" customFormat="1" ht="12.75">
      <c r="B1142" s="125"/>
      <c r="C1142" s="126"/>
      <c r="D1142" s="126"/>
      <c r="E1142" s="126"/>
      <c r="F1142" s="126"/>
      <c r="G1142" s="126"/>
      <c r="H1142" s="126"/>
      <c r="I1142" s="126"/>
      <c r="J1142" s="126"/>
      <c r="K1142" s="127"/>
      <c r="L1142" s="128"/>
      <c r="M1142" s="129"/>
      <c r="N1142" s="95"/>
      <c r="O1142" s="95"/>
      <c r="P1142" s="130"/>
    </row>
    <row r="1143" spans="2:16" s="89" customFormat="1" ht="12.75">
      <c r="B1143" s="125"/>
      <c r="C1143" s="126"/>
      <c r="D1143" s="126"/>
      <c r="E1143" s="126"/>
      <c r="F1143" s="126"/>
      <c r="G1143" s="126"/>
      <c r="H1143" s="126"/>
      <c r="I1143" s="126"/>
      <c r="J1143" s="126"/>
      <c r="K1143" s="127"/>
      <c r="L1143" s="128"/>
      <c r="M1143" s="129"/>
      <c r="N1143" s="95"/>
      <c r="O1143" s="95"/>
      <c r="P1143" s="130"/>
    </row>
    <row r="1144" spans="2:16" s="89" customFormat="1" ht="12.75">
      <c r="B1144" s="125"/>
      <c r="C1144" s="126"/>
      <c r="D1144" s="126"/>
      <c r="E1144" s="126"/>
      <c r="F1144" s="126"/>
      <c r="G1144" s="126"/>
      <c r="H1144" s="126"/>
      <c r="I1144" s="126"/>
      <c r="J1144" s="126"/>
      <c r="K1144" s="127"/>
      <c r="L1144" s="128"/>
      <c r="M1144" s="129"/>
      <c r="N1144" s="95"/>
      <c r="O1144" s="95"/>
      <c r="P1144" s="130"/>
    </row>
    <row r="1145" spans="2:16" s="89" customFormat="1" ht="12.75">
      <c r="B1145" s="125"/>
      <c r="C1145" s="126"/>
      <c r="D1145" s="126"/>
      <c r="E1145" s="126"/>
      <c r="F1145" s="126"/>
      <c r="G1145" s="126"/>
      <c r="H1145" s="126"/>
      <c r="I1145" s="126"/>
      <c r="J1145" s="126"/>
      <c r="K1145" s="127"/>
      <c r="L1145" s="128"/>
      <c r="M1145" s="129"/>
      <c r="N1145" s="95"/>
      <c r="O1145" s="95"/>
      <c r="P1145" s="130"/>
    </row>
    <row r="1146" spans="2:16" s="89" customFormat="1" ht="12.75">
      <c r="B1146" s="125"/>
      <c r="C1146" s="126"/>
      <c r="D1146" s="126"/>
      <c r="E1146" s="126"/>
      <c r="F1146" s="126"/>
      <c r="G1146" s="126"/>
      <c r="H1146" s="126"/>
      <c r="I1146" s="126"/>
      <c r="J1146" s="126"/>
      <c r="K1146" s="127"/>
      <c r="L1146" s="128"/>
      <c r="M1146" s="129"/>
      <c r="N1146" s="95"/>
      <c r="O1146" s="95"/>
      <c r="P1146" s="130"/>
    </row>
    <row r="1147" spans="2:16" s="89" customFormat="1" ht="12.75">
      <c r="B1147" s="125"/>
      <c r="C1147" s="126"/>
      <c r="D1147" s="126"/>
      <c r="E1147" s="126"/>
      <c r="F1147" s="126"/>
      <c r="G1147" s="126"/>
      <c r="H1147" s="126"/>
      <c r="I1147" s="126"/>
      <c r="J1147" s="126"/>
      <c r="K1147" s="127"/>
      <c r="L1147" s="128"/>
      <c r="M1147" s="129"/>
      <c r="N1147" s="95"/>
      <c r="O1147" s="95"/>
      <c r="P1147" s="130"/>
    </row>
    <row r="1148" spans="2:16" s="89" customFormat="1" ht="12.75">
      <c r="B1148" s="125"/>
      <c r="C1148" s="126"/>
      <c r="D1148" s="126"/>
      <c r="E1148" s="126"/>
      <c r="F1148" s="126"/>
      <c r="G1148" s="126"/>
      <c r="H1148" s="126"/>
      <c r="I1148" s="126"/>
      <c r="J1148" s="126"/>
      <c r="K1148" s="127"/>
      <c r="L1148" s="128"/>
      <c r="M1148" s="129"/>
      <c r="N1148" s="95"/>
      <c r="O1148" s="95"/>
      <c r="P1148" s="130"/>
    </row>
    <row r="1149" spans="2:16" s="89" customFormat="1" ht="12.75">
      <c r="B1149" s="125"/>
      <c r="C1149" s="126"/>
      <c r="D1149" s="126"/>
      <c r="E1149" s="126"/>
      <c r="F1149" s="126"/>
      <c r="G1149" s="126"/>
      <c r="H1149" s="126"/>
      <c r="I1149" s="126"/>
      <c r="J1149" s="126"/>
      <c r="K1149" s="127"/>
      <c r="L1149" s="128"/>
      <c r="M1149" s="129"/>
      <c r="N1149" s="95"/>
      <c r="O1149" s="95"/>
      <c r="P1149" s="130"/>
    </row>
    <row r="1150" spans="2:16" s="89" customFormat="1" ht="12.75">
      <c r="B1150" s="125"/>
      <c r="C1150" s="126"/>
      <c r="D1150" s="126"/>
      <c r="E1150" s="126"/>
      <c r="F1150" s="126"/>
      <c r="G1150" s="126"/>
      <c r="H1150" s="126"/>
      <c r="I1150" s="126"/>
      <c r="J1150" s="126"/>
      <c r="K1150" s="127"/>
      <c r="L1150" s="128"/>
      <c r="M1150" s="129"/>
      <c r="N1150" s="95"/>
      <c r="O1150" s="95"/>
      <c r="P1150" s="130"/>
    </row>
    <row r="1151" spans="2:16" s="89" customFormat="1" ht="12.75">
      <c r="B1151" s="125"/>
      <c r="C1151" s="126"/>
      <c r="D1151" s="126"/>
      <c r="E1151" s="126"/>
      <c r="F1151" s="126"/>
      <c r="G1151" s="126"/>
      <c r="H1151" s="126"/>
      <c r="I1151" s="126"/>
      <c r="J1151" s="126"/>
      <c r="K1151" s="127"/>
      <c r="L1151" s="128"/>
      <c r="M1151" s="129"/>
      <c r="N1151" s="95"/>
      <c r="O1151" s="95"/>
      <c r="P1151" s="130"/>
    </row>
    <row r="1152" spans="2:16" s="89" customFormat="1" ht="12.75">
      <c r="B1152" s="125"/>
      <c r="C1152" s="126"/>
      <c r="D1152" s="126"/>
      <c r="E1152" s="126"/>
      <c r="F1152" s="126"/>
      <c r="G1152" s="126"/>
      <c r="H1152" s="126"/>
      <c r="I1152" s="126"/>
      <c r="J1152" s="126"/>
      <c r="K1152" s="127"/>
      <c r="L1152" s="128"/>
      <c r="M1152" s="129"/>
      <c r="N1152" s="95"/>
      <c r="O1152" s="95"/>
      <c r="P1152" s="130"/>
    </row>
    <row r="1153" spans="2:16" s="89" customFormat="1" ht="12.75">
      <c r="B1153" s="125"/>
      <c r="C1153" s="126"/>
      <c r="D1153" s="126"/>
      <c r="E1153" s="126"/>
      <c r="F1153" s="126"/>
      <c r="G1153" s="126"/>
      <c r="H1153" s="126"/>
      <c r="I1153" s="126"/>
      <c r="J1153" s="126"/>
      <c r="K1153" s="127"/>
      <c r="L1153" s="128"/>
      <c r="M1153" s="129"/>
      <c r="N1153" s="95"/>
      <c r="O1153" s="95"/>
      <c r="P1153" s="130"/>
    </row>
    <row r="1154" spans="2:16" s="89" customFormat="1" ht="12.75">
      <c r="B1154" s="125"/>
      <c r="C1154" s="126"/>
      <c r="D1154" s="126"/>
      <c r="E1154" s="126"/>
      <c r="F1154" s="126"/>
      <c r="G1154" s="126"/>
      <c r="H1154" s="126"/>
      <c r="I1154" s="126"/>
      <c r="J1154" s="126"/>
      <c r="K1154" s="127"/>
      <c r="L1154" s="128"/>
      <c r="M1154" s="129"/>
      <c r="N1154" s="95"/>
      <c r="O1154" s="95"/>
      <c r="P1154" s="130"/>
    </row>
    <row r="1155" spans="2:16" s="89" customFormat="1" ht="12.75">
      <c r="B1155" s="125"/>
      <c r="C1155" s="126"/>
      <c r="D1155" s="126"/>
      <c r="E1155" s="126"/>
      <c r="F1155" s="126"/>
      <c r="G1155" s="126"/>
      <c r="H1155" s="126"/>
      <c r="I1155" s="126"/>
      <c r="J1155" s="126"/>
      <c r="K1155" s="127"/>
      <c r="L1155" s="128"/>
      <c r="M1155" s="129"/>
      <c r="N1155" s="95"/>
      <c r="O1155" s="95"/>
      <c r="P1155" s="130"/>
    </row>
    <row r="1156" spans="2:16" s="89" customFormat="1" ht="12.75">
      <c r="B1156" s="125"/>
      <c r="C1156" s="126"/>
      <c r="D1156" s="126"/>
      <c r="E1156" s="126"/>
      <c r="F1156" s="126"/>
      <c r="G1156" s="126"/>
      <c r="H1156" s="126"/>
      <c r="I1156" s="126"/>
      <c r="J1156" s="126"/>
      <c r="K1156" s="127"/>
      <c r="L1156" s="128"/>
      <c r="M1156" s="129"/>
      <c r="N1156" s="95"/>
      <c r="O1156" s="95"/>
      <c r="P1156" s="130"/>
    </row>
    <row r="1157" spans="2:16" s="89" customFormat="1" ht="12.75">
      <c r="B1157" s="125"/>
      <c r="C1157" s="126"/>
      <c r="D1157" s="126"/>
      <c r="E1157" s="126"/>
      <c r="F1157" s="126"/>
      <c r="G1157" s="126"/>
      <c r="H1157" s="126"/>
      <c r="I1157" s="126"/>
      <c r="J1157" s="126"/>
      <c r="K1157" s="127"/>
      <c r="L1157" s="128"/>
      <c r="M1157" s="129"/>
      <c r="N1157" s="95"/>
      <c r="O1157" s="95"/>
      <c r="P1157" s="130"/>
    </row>
    <row r="1158" spans="2:16" s="89" customFormat="1" ht="12.75">
      <c r="B1158" s="125"/>
      <c r="C1158" s="126"/>
      <c r="D1158" s="126"/>
      <c r="E1158" s="126"/>
      <c r="F1158" s="126"/>
      <c r="G1158" s="126"/>
      <c r="H1158" s="126"/>
      <c r="I1158" s="126"/>
      <c r="J1158" s="126"/>
      <c r="K1158" s="127"/>
      <c r="L1158" s="128"/>
      <c r="M1158" s="129"/>
      <c r="N1158" s="95"/>
      <c r="O1158" s="95"/>
      <c r="P1158" s="130"/>
    </row>
    <row r="1159" spans="2:16" s="89" customFormat="1" ht="12.75">
      <c r="B1159" s="125"/>
      <c r="C1159" s="126"/>
      <c r="D1159" s="126"/>
      <c r="E1159" s="126"/>
      <c r="F1159" s="126"/>
      <c r="G1159" s="126"/>
      <c r="H1159" s="126"/>
      <c r="I1159" s="126"/>
      <c r="J1159" s="126"/>
      <c r="K1159" s="127"/>
      <c r="L1159" s="128"/>
      <c r="M1159" s="129"/>
      <c r="N1159" s="95"/>
      <c r="O1159" s="95"/>
      <c r="P1159" s="130"/>
    </row>
    <row r="1160" spans="2:16" s="89" customFormat="1" ht="12.75">
      <c r="B1160" s="125"/>
      <c r="C1160" s="126"/>
      <c r="D1160" s="126"/>
      <c r="E1160" s="126"/>
      <c r="F1160" s="126"/>
      <c r="G1160" s="126"/>
      <c r="H1160" s="126"/>
      <c r="I1160" s="126"/>
      <c r="J1160" s="126"/>
      <c r="K1160" s="127"/>
      <c r="L1160" s="128"/>
      <c r="M1160" s="129"/>
      <c r="N1160" s="95"/>
      <c r="O1160" s="95"/>
      <c r="P1160" s="130"/>
    </row>
    <row r="1161" spans="2:16" s="89" customFormat="1" ht="12.75">
      <c r="B1161" s="125"/>
      <c r="C1161" s="126"/>
      <c r="D1161" s="126"/>
      <c r="E1161" s="126"/>
      <c r="F1161" s="126"/>
      <c r="G1161" s="126"/>
      <c r="H1161" s="126"/>
      <c r="I1161" s="126"/>
      <c r="J1161" s="126"/>
      <c r="K1161" s="127"/>
      <c r="L1161" s="128"/>
      <c r="M1161" s="129"/>
      <c r="N1161" s="95"/>
      <c r="O1161" s="95"/>
      <c r="P1161" s="130"/>
    </row>
    <row r="1162" spans="2:16" s="89" customFormat="1" ht="12.75">
      <c r="B1162" s="125"/>
      <c r="C1162" s="126"/>
      <c r="D1162" s="126"/>
      <c r="E1162" s="126"/>
      <c r="F1162" s="126"/>
      <c r="G1162" s="126"/>
      <c r="H1162" s="126"/>
      <c r="I1162" s="126"/>
      <c r="J1162" s="126"/>
      <c r="K1162" s="127"/>
      <c r="L1162" s="128"/>
      <c r="M1162" s="129"/>
      <c r="N1162" s="95"/>
      <c r="O1162" s="95"/>
      <c r="P1162" s="130"/>
    </row>
    <row r="1163" spans="2:16" s="89" customFormat="1" ht="12.75">
      <c r="B1163" s="125"/>
      <c r="C1163" s="126"/>
      <c r="D1163" s="126"/>
      <c r="E1163" s="126"/>
      <c r="F1163" s="126"/>
      <c r="G1163" s="126"/>
      <c r="H1163" s="126"/>
      <c r="I1163" s="126"/>
      <c r="J1163" s="126"/>
      <c r="K1163" s="127"/>
      <c r="L1163" s="128"/>
      <c r="M1163" s="129"/>
      <c r="N1163" s="95"/>
      <c r="O1163" s="95"/>
      <c r="P1163" s="130"/>
    </row>
    <row r="1164" spans="2:16" s="89" customFormat="1" ht="12.75">
      <c r="B1164" s="125"/>
      <c r="C1164" s="126"/>
      <c r="D1164" s="126"/>
      <c r="E1164" s="126"/>
      <c r="F1164" s="126"/>
      <c r="G1164" s="126"/>
      <c r="H1164" s="126"/>
      <c r="I1164" s="126"/>
      <c r="J1164" s="126"/>
      <c r="K1164" s="127"/>
      <c r="L1164" s="128"/>
      <c r="M1164" s="129"/>
      <c r="N1164" s="95"/>
      <c r="O1164" s="95"/>
      <c r="P1164" s="130"/>
    </row>
    <row r="1165" spans="2:16" s="89" customFormat="1" ht="12.75">
      <c r="B1165" s="125"/>
      <c r="C1165" s="126"/>
      <c r="D1165" s="126"/>
      <c r="E1165" s="126"/>
      <c r="F1165" s="126"/>
      <c r="G1165" s="126"/>
      <c r="H1165" s="126"/>
      <c r="I1165" s="126"/>
      <c r="J1165" s="126"/>
      <c r="K1165" s="127"/>
      <c r="L1165" s="128"/>
      <c r="M1165" s="129"/>
      <c r="N1165" s="95"/>
      <c r="O1165" s="95"/>
      <c r="P1165" s="130"/>
    </row>
    <row r="1166" spans="2:16" s="89" customFormat="1" ht="12.75">
      <c r="B1166" s="125"/>
      <c r="C1166" s="126"/>
      <c r="D1166" s="126"/>
      <c r="E1166" s="126"/>
      <c r="F1166" s="126"/>
      <c r="G1166" s="126"/>
      <c r="H1166" s="126"/>
      <c r="I1166" s="126"/>
      <c r="J1166" s="126"/>
      <c r="K1166" s="127"/>
      <c r="L1166" s="128"/>
      <c r="M1166" s="129"/>
      <c r="N1166" s="95"/>
      <c r="O1166" s="95"/>
      <c r="P1166" s="130"/>
    </row>
    <row r="1167" spans="2:16" s="89" customFormat="1" ht="12.75">
      <c r="B1167" s="125"/>
      <c r="C1167" s="126"/>
      <c r="D1167" s="126"/>
      <c r="E1167" s="126"/>
      <c r="F1167" s="126"/>
      <c r="G1167" s="126"/>
      <c r="H1167" s="126"/>
      <c r="I1167" s="126"/>
      <c r="J1167" s="126"/>
      <c r="K1167" s="127"/>
      <c r="L1167" s="128"/>
      <c r="M1167" s="129"/>
      <c r="N1167" s="95"/>
      <c r="O1167" s="95"/>
      <c r="P1167" s="130"/>
    </row>
    <row r="1168" spans="2:16" s="89" customFormat="1" ht="12.75">
      <c r="B1168" s="125"/>
      <c r="C1168" s="126"/>
      <c r="D1168" s="126"/>
      <c r="E1168" s="126"/>
      <c r="F1168" s="126"/>
      <c r="G1168" s="126"/>
      <c r="H1168" s="126"/>
      <c r="I1168" s="126"/>
      <c r="J1168" s="126"/>
      <c r="K1168" s="127"/>
      <c r="L1168" s="128"/>
      <c r="M1168" s="129"/>
      <c r="N1168" s="95"/>
      <c r="O1168" s="95"/>
      <c r="P1168" s="130"/>
    </row>
    <row r="1169" spans="2:16" s="89" customFormat="1" ht="12.75">
      <c r="B1169" s="125"/>
      <c r="C1169" s="126"/>
      <c r="D1169" s="126"/>
      <c r="E1169" s="126"/>
      <c r="F1169" s="126"/>
      <c r="G1169" s="126"/>
      <c r="H1169" s="126"/>
      <c r="I1169" s="126"/>
      <c r="J1169" s="126"/>
      <c r="K1169" s="127"/>
      <c r="L1169" s="128"/>
      <c r="M1169" s="129"/>
      <c r="N1169" s="95"/>
      <c r="O1169" s="95"/>
      <c r="P1169" s="130"/>
    </row>
    <row r="1170" spans="2:16" s="89" customFormat="1" ht="12.75">
      <c r="B1170" s="125"/>
      <c r="C1170" s="126"/>
      <c r="D1170" s="126"/>
      <c r="E1170" s="126"/>
      <c r="F1170" s="126"/>
      <c r="G1170" s="126"/>
      <c r="H1170" s="126"/>
      <c r="I1170" s="126"/>
      <c r="J1170" s="126"/>
      <c r="K1170" s="127"/>
      <c r="L1170" s="128"/>
      <c r="M1170" s="129"/>
      <c r="N1170" s="95"/>
      <c r="O1170" s="95"/>
      <c r="P1170" s="130"/>
    </row>
    <row r="1171" spans="2:16" s="89" customFormat="1" ht="12.75">
      <c r="B1171" s="125"/>
      <c r="C1171" s="126"/>
      <c r="D1171" s="126"/>
      <c r="E1171" s="126"/>
      <c r="F1171" s="126"/>
      <c r="G1171" s="126"/>
      <c r="H1171" s="126"/>
      <c r="I1171" s="126"/>
      <c r="J1171" s="126"/>
      <c r="K1171" s="127"/>
      <c r="L1171" s="128"/>
      <c r="M1171" s="129"/>
      <c r="N1171" s="95"/>
      <c r="O1171" s="95"/>
      <c r="P1171" s="130"/>
    </row>
    <row r="1172" spans="2:16" s="89" customFormat="1" ht="12.75">
      <c r="B1172" s="125"/>
      <c r="C1172" s="126"/>
      <c r="D1172" s="126"/>
      <c r="E1172" s="126"/>
      <c r="F1172" s="126"/>
      <c r="G1172" s="126"/>
      <c r="H1172" s="126"/>
      <c r="I1172" s="126"/>
      <c r="J1172" s="126"/>
      <c r="K1172" s="127"/>
      <c r="L1172" s="128"/>
      <c r="M1172" s="129"/>
      <c r="N1172" s="95"/>
      <c r="O1172" s="95"/>
      <c r="P1172" s="130"/>
    </row>
    <row r="1173" spans="2:16" s="89" customFormat="1" ht="12.75">
      <c r="B1173" s="125"/>
      <c r="C1173" s="126"/>
      <c r="D1173" s="126"/>
      <c r="E1173" s="126"/>
      <c r="F1173" s="126"/>
      <c r="G1173" s="126"/>
      <c r="H1173" s="126"/>
      <c r="I1173" s="126"/>
      <c r="J1173" s="126"/>
      <c r="K1173" s="127"/>
      <c r="L1173" s="128"/>
      <c r="M1173" s="129"/>
      <c r="N1173" s="95"/>
      <c r="O1173" s="95"/>
      <c r="P1173" s="130"/>
    </row>
    <row r="1174" spans="2:16" s="89" customFormat="1" ht="12.75">
      <c r="B1174" s="125"/>
      <c r="C1174" s="126"/>
      <c r="D1174" s="126"/>
      <c r="E1174" s="126"/>
      <c r="F1174" s="126"/>
      <c r="G1174" s="126"/>
      <c r="H1174" s="126"/>
      <c r="I1174" s="126"/>
      <c r="J1174" s="126"/>
      <c r="K1174" s="127"/>
      <c r="L1174" s="128"/>
      <c r="M1174" s="129"/>
      <c r="N1174" s="95"/>
      <c r="O1174" s="95"/>
      <c r="P1174" s="130"/>
    </row>
    <row r="1175" spans="2:16" s="89" customFormat="1" ht="12.75">
      <c r="B1175" s="125"/>
      <c r="C1175" s="126"/>
      <c r="D1175" s="126"/>
      <c r="E1175" s="126"/>
      <c r="F1175" s="126"/>
      <c r="G1175" s="126"/>
      <c r="H1175" s="126"/>
      <c r="I1175" s="126"/>
      <c r="J1175" s="126"/>
      <c r="K1175" s="127"/>
      <c r="L1175" s="128"/>
      <c r="M1175" s="129"/>
      <c r="N1175" s="95"/>
      <c r="O1175" s="95"/>
      <c r="P1175" s="130"/>
    </row>
    <row r="1176" spans="2:16" s="89" customFormat="1" ht="12.75">
      <c r="B1176" s="125"/>
      <c r="C1176" s="126"/>
      <c r="D1176" s="126"/>
      <c r="E1176" s="126"/>
      <c r="F1176" s="126"/>
      <c r="G1176" s="126"/>
      <c r="H1176" s="126"/>
      <c r="I1176" s="126"/>
      <c r="J1176" s="126"/>
      <c r="K1176" s="127"/>
      <c r="L1176" s="128"/>
      <c r="M1176" s="129"/>
      <c r="N1176" s="95"/>
      <c r="O1176" s="95"/>
      <c r="P1176" s="130"/>
    </row>
    <row r="1177" spans="2:16" s="89" customFormat="1" ht="12.75">
      <c r="B1177" s="125"/>
      <c r="C1177" s="126"/>
      <c r="D1177" s="126"/>
      <c r="E1177" s="126"/>
      <c r="F1177" s="126"/>
      <c r="G1177" s="126"/>
      <c r="H1177" s="126"/>
      <c r="I1177" s="126"/>
      <c r="J1177" s="126"/>
      <c r="K1177" s="127"/>
      <c r="L1177" s="128"/>
      <c r="M1177" s="129"/>
      <c r="N1177" s="95"/>
      <c r="O1177" s="95"/>
      <c r="P1177" s="130"/>
    </row>
    <row r="1178" spans="2:16" s="89" customFormat="1" ht="12.75">
      <c r="B1178" s="125"/>
      <c r="C1178" s="126"/>
      <c r="D1178" s="126"/>
      <c r="E1178" s="126"/>
      <c r="F1178" s="126"/>
      <c r="G1178" s="126"/>
      <c r="H1178" s="126"/>
      <c r="I1178" s="126"/>
      <c r="J1178" s="126"/>
      <c r="K1178" s="127"/>
      <c r="L1178" s="128"/>
      <c r="M1178" s="129"/>
      <c r="N1178" s="95"/>
      <c r="O1178" s="95"/>
      <c r="P1178" s="130"/>
    </row>
    <row r="1179" spans="2:16" s="89" customFormat="1" ht="12.75">
      <c r="B1179" s="125"/>
      <c r="C1179" s="126"/>
      <c r="D1179" s="126"/>
      <c r="E1179" s="126"/>
      <c r="F1179" s="126"/>
      <c r="G1179" s="126"/>
      <c r="H1179" s="126"/>
      <c r="I1179" s="126"/>
      <c r="J1179" s="126"/>
      <c r="K1179" s="127"/>
      <c r="L1179" s="128"/>
      <c r="M1179" s="129"/>
      <c r="N1179" s="95"/>
      <c r="O1179" s="95"/>
      <c r="P1179" s="130"/>
    </row>
    <row r="1180" spans="2:16" s="89" customFormat="1" ht="12.75">
      <c r="B1180" s="125"/>
      <c r="C1180" s="126"/>
      <c r="D1180" s="126"/>
      <c r="E1180" s="126"/>
      <c r="F1180" s="126"/>
      <c r="G1180" s="126"/>
      <c r="H1180" s="126"/>
      <c r="I1180" s="126"/>
      <c r="J1180" s="126"/>
      <c r="K1180" s="127"/>
      <c r="L1180" s="128"/>
      <c r="M1180" s="129"/>
      <c r="N1180" s="95"/>
      <c r="O1180" s="95"/>
      <c r="P1180" s="130"/>
    </row>
    <row r="1181" spans="2:16" s="89" customFormat="1" ht="12.75">
      <c r="B1181" s="125"/>
      <c r="C1181" s="126"/>
      <c r="D1181" s="126"/>
      <c r="E1181" s="126"/>
      <c r="F1181" s="126"/>
      <c r="G1181" s="126"/>
      <c r="H1181" s="126"/>
      <c r="I1181" s="126"/>
      <c r="J1181" s="126"/>
      <c r="K1181" s="127"/>
      <c r="L1181" s="128"/>
      <c r="M1181" s="129"/>
      <c r="N1181" s="95"/>
      <c r="O1181" s="95"/>
      <c r="P1181" s="130"/>
    </row>
    <row r="1182" spans="2:16" s="89" customFormat="1" ht="12.75">
      <c r="B1182" s="125"/>
      <c r="C1182" s="126"/>
      <c r="D1182" s="126"/>
      <c r="E1182" s="126"/>
      <c r="F1182" s="126"/>
      <c r="G1182" s="126"/>
      <c r="H1182" s="126"/>
      <c r="I1182" s="126"/>
      <c r="J1182" s="126"/>
      <c r="K1182" s="127"/>
      <c r="L1182" s="128"/>
      <c r="M1182" s="129"/>
      <c r="N1182" s="95"/>
      <c r="O1182" s="95"/>
      <c r="P1182" s="130"/>
    </row>
    <row r="1183" spans="2:16" s="89" customFormat="1" ht="12.75">
      <c r="B1183" s="125"/>
      <c r="C1183" s="126"/>
      <c r="D1183" s="126"/>
      <c r="E1183" s="126"/>
      <c r="F1183" s="126"/>
      <c r="G1183" s="126"/>
      <c r="H1183" s="126"/>
      <c r="I1183" s="126"/>
      <c r="J1183" s="126"/>
      <c r="K1183" s="127"/>
      <c r="L1183" s="128"/>
      <c r="M1183" s="129"/>
      <c r="N1183" s="95"/>
      <c r="O1183" s="95"/>
      <c r="P1183" s="130"/>
    </row>
    <row r="1184" spans="2:16" s="89" customFormat="1" ht="12.75">
      <c r="B1184" s="125"/>
      <c r="C1184" s="126"/>
      <c r="D1184" s="126"/>
      <c r="E1184" s="126"/>
      <c r="F1184" s="126"/>
      <c r="G1184" s="126"/>
      <c r="H1184" s="126"/>
      <c r="I1184" s="126"/>
      <c r="J1184" s="126"/>
      <c r="K1184" s="127"/>
      <c r="L1184" s="128"/>
      <c r="M1184" s="129"/>
      <c r="N1184" s="95"/>
      <c r="O1184" s="95"/>
      <c r="P1184" s="130"/>
    </row>
    <row r="1185" spans="2:16" s="89" customFormat="1" ht="12.75">
      <c r="B1185" s="125"/>
      <c r="C1185" s="126"/>
      <c r="D1185" s="126"/>
      <c r="E1185" s="126"/>
      <c r="F1185" s="126"/>
      <c r="G1185" s="126"/>
      <c r="H1185" s="126"/>
      <c r="I1185" s="126"/>
      <c r="J1185" s="126"/>
      <c r="K1185" s="127"/>
      <c r="L1185" s="128"/>
      <c r="M1185" s="129"/>
      <c r="N1185" s="95"/>
      <c r="O1185" s="95"/>
      <c r="P1185" s="130"/>
    </row>
    <row r="1186" spans="2:16" s="89" customFormat="1" ht="12.75">
      <c r="B1186" s="125"/>
      <c r="C1186" s="126"/>
      <c r="D1186" s="126"/>
      <c r="E1186" s="126"/>
      <c r="F1186" s="126"/>
      <c r="G1186" s="126"/>
      <c r="H1186" s="126"/>
      <c r="I1186" s="126"/>
      <c r="J1186" s="126"/>
      <c r="K1186" s="127"/>
      <c r="L1186" s="128"/>
      <c r="M1186" s="129"/>
      <c r="N1186" s="95"/>
      <c r="O1186" s="95"/>
      <c r="P1186" s="130"/>
    </row>
    <row r="1187" spans="2:16" s="89" customFormat="1" ht="12.75">
      <c r="B1187" s="125"/>
      <c r="C1187" s="126"/>
      <c r="D1187" s="126"/>
      <c r="E1187" s="126"/>
      <c r="F1187" s="126"/>
      <c r="G1187" s="126"/>
      <c r="H1187" s="126"/>
      <c r="I1187" s="126"/>
      <c r="J1187" s="126"/>
      <c r="K1187" s="127"/>
      <c r="L1187" s="128"/>
      <c r="M1187" s="129"/>
      <c r="N1187" s="95"/>
      <c r="O1187" s="95"/>
      <c r="P1187" s="130"/>
    </row>
    <row r="1188" spans="2:16" s="89" customFormat="1" ht="12.75">
      <c r="B1188" s="125"/>
      <c r="C1188" s="126"/>
      <c r="D1188" s="126"/>
      <c r="E1188" s="126"/>
      <c r="F1188" s="126"/>
      <c r="G1188" s="126"/>
      <c r="H1188" s="126"/>
      <c r="I1188" s="126"/>
      <c r="J1188" s="126"/>
      <c r="K1188" s="127"/>
      <c r="L1188" s="128"/>
      <c r="M1188" s="129"/>
      <c r="N1188" s="95"/>
      <c r="O1188" s="95"/>
      <c r="P1188" s="130"/>
    </row>
    <row r="1189" spans="2:16" s="89" customFormat="1" ht="12.75">
      <c r="B1189" s="125"/>
      <c r="C1189" s="126"/>
      <c r="D1189" s="126"/>
      <c r="E1189" s="126"/>
      <c r="F1189" s="126"/>
      <c r="G1189" s="126"/>
      <c r="H1189" s="126"/>
      <c r="I1189" s="126"/>
      <c r="J1189" s="126"/>
      <c r="K1189" s="127"/>
      <c r="L1189" s="128"/>
      <c r="M1189" s="129"/>
      <c r="N1189" s="95"/>
      <c r="O1189" s="95"/>
      <c r="P1189" s="130"/>
    </row>
    <row r="1190" spans="2:16" s="89" customFormat="1" ht="12.75">
      <c r="B1190" s="125"/>
      <c r="C1190" s="126"/>
      <c r="D1190" s="126"/>
      <c r="E1190" s="126"/>
      <c r="F1190" s="126"/>
      <c r="G1190" s="126"/>
      <c r="H1190" s="126"/>
      <c r="I1190" s="126"/>
      <c r="J1190" s="126"/>
      <c r="K1190" s="127"/>
      <c r="L1190" s="128"/>
      <c r="M1190" s="129"/>
      <c r="N1190" s="95"/>
      <c r="O1190" s="95"/>
      <c r="P1190" s="130"/>
    </row>
    <row r="1191" spans="2:16" s="89" customFormat="1" ht="12.75">
      <c r="B1191" s="125"/>
      <c r="C1191" s="126"/>
      <c r="D1191" s="126"/>
      <c r="E1191" s="126"/>
      <c r="F1191" s="126"/>
      <c r="G1191" s="126"/>
      <c r="H1191" s="126"/>
      <c r="I1191" s="126"/>
      <c r="J1191" s="126"/>
      <c r="K1191" s="127"/>
      <c r="L1191" s="128"/>
      <c r="M1191" s="129"/>
      <c r="N1191" s="95"/>
      <c r="O1191" s="95"/>
      <c r="P1191" s="130"/>
    </row>
    <row r="1192" spans="2:16" s="89" customFormat="1" ht="12.75">
      <c r="B1192" s="125"/>
      <c r="C1192" s="126"/>
      <c r="D1192" s="126"/>
      <c r="E1192" s="126"/>
      <c r="F1192" s="126"/>
      <c r="G1192" s="126"/>
      <c r="H1192" s="126"/>
      <c r="I1192" s="126"/>
      <c r="J1192" s="126"/>
      <c r="K1192" s="127"/>
      <c r="L1192" s="128"/>
      <c r="M1192" s="129"/>
      <c r="N1192" s="95"/>
      <c r="O1192" s="95"/>
      <c r="P1192" s="130"/>
    </row>
    <row r="1193" spans="2:16" s="89" customFormat="1" ht="12.75">
      <c r="B1193" s="125"/>
      <c r="C1193" s="126"/>
      <c r="D1193" s="126"/>
      <c r="E1193" s="126"/>
      <c r="F1193" s="126"/>
      <c r="G1193" s="126"/>
      <c r="H1193" s="126"/>
      <c r="I1193" s="126"/>
      <c r="J1193" s="126"/>
      <c r="K1193" s="127"/>
      <c r="L1193" s="128"/>
      <c r="M1193" s="129"/>
      <c r="N1193" s="95"/>
      <c r="O1193" s="95"/>
      <c r="P1193" s="130"/>
    </row>
    <row r="1194" spans="2:16" s="89" customFormat="1" ht="12.75">
      <c r="B1194" s="125"/>
      <c r="C1194" s="126"/>
      <c r="D1194" s="126"/>
      <c r="E1194" s="126"/>
      <c r="F1194" s="126"/>
      <c r="G1194" s="126"/>
      <c r="H1194" s="126"/>
      <c r="I1194" s="126"/>
      <c r="J1194" s="126"/>
      <c r="K1194" s="127"/>
      <c r="L1194" s="128"/>
      <c r="M1194" s="129"/>
      <c r="N1194" s="95"/>
      <c r="O1194" s="95"/>
      <c r="P1194" s="130"/>
    </row>
    <row r="1195" spans="2:16" s="89" customFormat="1" ht="12.75">
      <c r="B1195" s="125"/>
      <c r="C1195" s="126"/>
      <c r="D1195" s="126"/>
      <c r="E1195" s="126"/>
      <c r="F1195" s="126"/>
      <c r="G1195" s="126"/>
      <c r="H1195" s="126"/>
      <c r="I1195" s="126"/>
      <c r="J1195" s="126"/>
      <c r="K1195" s="127"/>
      <c r="L1195" s="128"/>
      <c r="M1195" s="129"/>
      <c r="N1195" s="95"/>
      <c r="O1195" s="95"/>
      <c r="P1195" s="130"/>
    </row>
    <row r="1196" spans="2:16" s="89" customFormat="1" ht="12.75">
      <c r="B1196" s="125"/>
      <c r="C1196" s="126"/>
      <c r="D1196" s="126"/>
      <c r="E1196" s="126"/>
      <c r="F1196" s="126"/>
      <c r="G1196" s="126"/>
      <c r="H1196" s="126"/>
      <c r="I1196" s="126"/>
      <c r="J1196" s="126"/>
      <c r="K1196" s="127"/>
      <c r="L1196" s="128"/>
      <c r="M1196" s="129"/>
      <c r="N1196" s="95"/>
      <c r="O1196" s="95"/>
      <c r="P1196" s="130"/>
    </row>
    <row r="1197" spans="2:16" s="89" customFormat="1" ht="12.75">
      <c r="B1197" s="125"/>
      <c r="C1197" s="126"/>
      <c r="D1197" s="126"/>
      <c r="E1197" s="126"/>
      <c r="F1197" s="126"/>
      <c r="G1197" s="126"/>
      <c r="H1197" s="126"/>
      <c r="I1197" s="126"/>
      <c r="J1197" s="126"/>
      <c r="K1197" s="127"/>
      <c r="L1197" s="128"/>
      <c r="M1197" s="129"/>
      <c r="N1197" s="95"/>
      <c r="O1197" s="95"/>
      <c r="P1197" s="130"/>
    </row>
    <row r="1198" spans="2:16" s="89" customFormat="1" ht="12.75">
      <c r="B1198" s="125"/>
      <c r="C1198" s="126"/>
      <c r="D1198" s="126"/>
      <c r="E1198" s="126"/>
      <c r="F1198" s="126"/>
      <c r="G1198" s="126"/>
      <c r="H1198" s="126"/>
      <c r="I1198" s="126"/>
      <c r="J1198" s="126"/>
      <c r="K1198" s="127"/>
      <c r="L1198" s="128"/>
      <c r="M1198" s="129"/>
      <c r="N1198" s="95"/>
      <c r="O1198" s="95"/>
      <c r="P1198" s="130"/>
    </row>
    <row r="1199" spans="2:16" s="89" customFormat="1" ht="12.75">
      <c r="B1199" s="125"/>
      <c r="C1199" s="126"/>
      <c r="D1199" s="126"/>
      <c r="E1199" s="126"/>
      <c r="F1199" s="126"/>
      <c r="G1199" s="126"/>
      <c r="H1199" s="126"/>
      <c r="I1199" s="126"/>
      <c r="J1199" s="126"/>
      <c r="K1199" s="127"/>
      <c r="L1199" s="128"/>
      <c r="M1199" s="129"/>
      <c r="N1199" s="95"/>
      <c r="O1199" s="95"/>
      <c r="P1199" s="130"/>
    </row>
    <row r="1200" spans="2:16" s="89" customFormat="1" ht="12.75">
      <c r="B1200" s="125"/>
      <c r="C1200" s="126"/>
      <c r="D1200" s="126"/>
      <c r="E1200" s="126"/>
      <c r="F1200" s="126"/>
      <c r="G1200" s="126"/>
      <c r="H1200" s="126"/>
      <c r="I1200" s="126"/>
      <c r="J1200" s="126"/>
      <c r="K1200" s="127"/>
      <c r="L1200" s="128"/>
      <c r="M1200" s="129"/>
      <c r="N1200" s="95"/>
      <c r="O1200" s="95"/>
      <c r="P1200" s="130"/>
    </row>
    <row r="1201" spans="2:16" s="89" customFormat="1" ht="12.75">
      <c r="B1201" s="125"/>
      <c r="C1201" s="126"/>
      <c r="D1201" s="126"/>
      <c r="E1201" s="126"/>
      <c r="F1201" s="126"/>
      <c r="G1201" s="126"/>
      <c r="H1201" s="126"/>
      <c r="I1201" s="126"/>
      <c r="J1201" s="126"/>
      <c r="K1201" s="127"/>
      <c r="L1201" s="128"/>
      <c r="M1201" s="129"/>
      <c r="N1201" s="95"/>
      <c r="O1201" s="95"/>
      <c r="P1201" s="130"/>
    </row>
    <row r="1202" spans="2:16" s="89" customFormat="1" ht="12.75">
      <c r="B1202" s="125"/>
      <c r="C1202" s="126"/>
      <c r="D1202" s="126"/>
      <c r="E1202" s="126"/>
      <c r="F1202" s="126"/>
      <c r="G1202" s="126"/>
      <c r="H1202" s="126"/>
      <c r="I1202" s="126"/>
      <c r="J1202" s="126"/>
      <c r="K1202" s="127"/>
      <c r="L1202" s="128"/>
      <c r="M1202" s="129"/>
      <c r="N1202" s="95"/>
      <c r="O1202" s="95"/>
      <c r="P1202" s="130"/>
    </row>
    <row r="1203" spans="2:16" s="89" customFormat="1" ht="12.75">
      <c r="B1203" s="125"/>
      <c r="C1203" s="126"/>
      <c r="D1203" s="126"/>
      <c r="E1203" s="126"/>
      <c r="F1203" s="126"/>
      <c r="G1203" s="126"/>
      <c r="H1203" s="126"/>
      <c r="I1203" s="126"/>
      <c r="J1203" s="126"/>
      <c r="K1203" s="127"/>
      <c r="L1203" s="128"/>
      <c r="M1203" s="129"/>
      <c r="N1203" s="95"/>
      <c r="O1203" s="95"/>
      <c r="P1203" s="130"/>
    </row>
    <row r="1204" spans="2:16" s="89" customFormat="1" ht="12.75">
      <c r="B1204" s="125"/>
      <c r="C1204" s="126"/>
      <c r="D1204" s="126"/>
      <c r="E1204" s="126"/>
      <c r="F1204" s="126"/>
      <c r="G1204" s="126"/>
      <c r="H1204" s="126"/>
      <c r="I1204" s="126"/>
      <c r="J1204" s="126"/>
      <c r="K1204" s="127"/>
      <c r="L1204" s="128"/>
      <c r="M1204" s="129"/>
      <c r="N1204" s="95"/>
      <c r="O1204" s="95"/>
      <c r="P1204" s="130"/>
    </row>
    <row r="1205" spans="2:16" s="89" customFormat="1" ht="12.75">
      <c r="B1205" s="125"/>
      <c r="C1205" s="126"/>
      <c r="D1205" s="126"/>
      <c r="E1205" s="126"/>
      <c r="F1205" s="126"/>
      <c r="G1205" s="126"/>
      <c r="H1205" s="126"/>
      <c r="I1205" s="126"/>
      <c r="J1205" s="126"/>
      <c r="K1205" s="127"/>
      <c r="L1205" s="128"/>
      <c r="M1205" s="129"/>
      <c r="N1205" s="95"/>
      <c r="O1205" s="95"/>
      <c r="P1205" s="130"/>
    </row>
    <row r="1206" spans="2:16" s="89" customFormat="1" ht="12.75">
      <c r="B1206" s="125"/>
      <c r="C1206" s="126"/>
      <c r="D1206" s="126"/>
      <c r="E1206" s="126"/>
      <c r="F1206" s="126"/>
      <c r="G1206" s="126"/>
      <c r="H1206" s="126"/>
      <c r="I1206" s="126"/>
      <c r="J1206" s="126"/>
      <c r="K1206" s="127"/>
      <c r="L1206" s="128"/>
      <c r="M1206" s="129"/>
      <c r="N1206" s="95"/>
      <c r="O1206" s="95"/>
      <c r="P1206" s="130"/>
    </row>
    <row r="1207" spans="2:16" s="89" customFormat="1" ht="12.75">
      <c r="B1207" s="125"/>
      <c r="C1207" s="126"/>
      <c r="D1207" s="126"/>
      <c r="E1207" s="126"/>
      <c r="F1207" s="126"/>
      <c r="G1207" s="126"/>
      <c r="H1207" s="126"/>
      <c r="I1207" s="126"/>
      <c r="J1207" s="126"/>
      <c r="K1207" s="127"/>
      <c r="L1207" s="128"/>
      <c r="M1207" s="129"/>
      <c r="N1207" s="95"/>
      <c r="O1207" s="95"/>
      <c r="P1207" s="130"/>
    </row>
    <row r="1208" spans="2:16" s="89" customFormat="1" ht="12.75">
      <c r="B1208" s="125"/>
      <c r="C1208" s="126"/>
      <c r="D1208" s="126"/>
      <c r="E1208" s="126"/>
      <c r="F1208" s="126"/>
      <c r="G1208" s="126"/>
      <c r="H1208" s="126"/>
      <c r="I1208" s="126"/>
      <c r="J1208" s="126"/>
      <c r="K1208" s="127"/>
      <c r="L1208" s="128"/>
      <c r="M1208" s="129"/>
      <c r="N1208" s="95"/>
      <c r="O1208" s="95"/>
      <c r="P1208" s="130"/>
    </row>
    <row r="1209" spans="2:16" s="89" customFormat="1" ht="12.75">
      <c r="B1209" s="125"/>
      <c r="C1209" s="126"/>
      <c r="D1209" s="126"/>
      <c r="E1209" s="126"/>
      <c r="F1209" s="126"/>
      <c r="G1209" s="126"/>
      <c r="H1209" s="126"/>
      <c r="I1209" s="126"/>
      <c r="J1209" s="126"/>
      <c r="K1209" s="127"/>
      <c r="L1209" s="128"/>
      <c r="M1209" s="129"/>
      <c r="N1209" s="95"/>
      <c r="O1209" s="95"/>
      <c r="P1209" s="130"/>
    </row>
    <row r="1210" spans="2:16" s="89" customFormat="1" ht="12.75">
      <c r="B1210" s="125"/>
      <c r="C1210" s="126"/>
      <c r="D1210" s="126"/>
      <c r="E1210" s="126"/>
      <c r="F1210" s="126"/>
      <c r="G1210" s="126"/>
      <c r="H1210" s="126"/>
      <c r="I1210" s="126"/>
      <c r="J1210" s="126"/>
      <c r="K1210" s="127"/>
      <c r="L1210" s="128"/>
      <c r="M1210" s="129"/>
      <c r="N1210" s="95"/>
      <c r="O1210" s="95"/>
      <c r="P1210" s="130"/>
    </row>
    <row r="1211" spans="2:16" s="89" customFormat="1" ht="12.75">
      <c r="B1211" s="125"/>
      <c r="C1211" s="126"/>
      <c r="D1211" s="126"/>
      <c r="E1211" s="126"/>
      <c r="F1211" s="126"/>
      <c r="G1211" s="126"/>
      <c r="H1211" s="126"/>
      <c r="I1211" s="126"/>
      <c r="J1211" s="126"/>
      <c r="K1211" s="127"/>
      <c r="L1211" s="128"/>
      <c r="M1211" s="129"/>
      <c r="N1211" s="95"/>
      <c r="O1211" s="95"/>
      <c r="P1211" s="130"/>
    </row>
    <row r="1212" spans="2:16" s="89" customFormat="1" ht="12.75">
      <c r="B1212" s="125"/>
      <c r="C1212" s="126"/>
      <c r="D1212" s="126"/>
      <c r="E1212" s="126"/>
      <c r="F1212" s="126"/>
      <c r="G1212" s="126"/>
      <c r="H1212" s="126"/>
      <c r="I1212" s="126"/>
      <c r="J1212" s="126"/>
      <c r="K1212" s="127"/>
      <c r="L1212" s="128"/>
      <c r="M1212" s="129"/>
      <c r="N1212" s="95"/>
      <c r="O1212" s="95"/>
      <c r="P1212" s="130"/>
    </row>
    <row r="1213" spans="2:16" s="89" customFormat="1" ht="12.75">
      <c r="B1213" s="125"/>
      <c r="C1213" s="126"/>
      <c r="D1213" s="126"/>
      <c r="E1213" s="126"/>
      <c r="F1213" s="126"/>
      <c r="G1213" s="126"/>
      <c r="H1213" s="126"/>
      <c r="I1213" s="126"/>
      <c r="J1213" s="126"/>
      <c r="K1213" s="127"/>
      <c r="L1213" s="128"/>
      <c r="M1213" s="129"/>
      <c r="N1213" s="95"/>
      <c r="O1213" s="95"/>
      <c r="P1213" s="130"/>
    </row>
    <row r="1214" spans="2:16" s="89" customFormat="1" ht="12.75">
      <c r="B1214" s="125"/>
      <c r="C1214" s="126"/>
      <c r="D1214" s="126"/>
      <c r="E1214" s="126"/>
      <c r="F1214" s="126"/>
      <c r="G1214" s="126"/>
      <c r="H1214" s="126"/>
      <c r="I1214" s="126"/>
      <c r="J1214" s="126"/>
      <c r="K1214" s="127"/>
      <c r="L1214" s="128"/>
      <c r="M1214" s="129"/>
      <c r="N1214" s="95"/>
      <c r="O1214" s="95"/>
      <c r="P1214" s="130"/>
    </row>
    <row r="1215" spans="2:16" s="89" customFormat="1" ht="12.75">
      <c r="B1215" s="125"/>
      <c r="C1215" s="126"/>
      <c r="D1215" s="126"/>
      <c r="E1215" s="126"/>
      <c r="F1215" s="126"/>
      <c r="G1215" s="126"/>
      <c r="H1215" s="126"/>
      <c r="I1215" s="126"/>
      <c r="J1215" s="126"/>
      <c r="K1215" s="127"/>
      <c r="L1215" s="128"/>
      <c r="M1215" s="129"/>
      <c r="N1215" s="95"/>
      <c r="O1215" s="95"/>
      <c r="P1215" s="130"/>
    </row>
    <row r="1216" spans="2:16" s="89" customFormat="1" ht="12.75">
      <c r="B1216" s="125"/>
      <c r="C1216" s="126"/>
      <c r="D1216" s="126"/>
      <c r="E1216" s="126"/>
      <c r="F1216" s="126"/>
      <c r="G1216" s="126"/>
      <c r="H1216" s="126"/>
      <c r="I1216" s="126"/>
      <c r="J1216" s="126"/>
      <c r="K1216" s="127"/>
      <c r="L1216" s="128"/>
      <c r="M1216" s="129"/>
      <c r="N1216" s="95"/>
      <c r="O1216" s="95"/>
      <c r="P1216" s="130"/>
    </row>
    <row r="1217" spans="2:16" s="89" customFormat="1" ht="12.75">
      <c r="B1217" s="125"/>
      <c r="C1217" s="126"/>
      <c r="D1217" s="126"/>
      <c r="E1217" s="126"/>
      <c r="F1217" s="126"/>
      <c r="G1217" s="126"/>
      <c r="H1217" s="126"/>
      <c r="I1217" s="126"/>
      <c r="J1217" s="126"/>
      <c r="K1217" s="127"/>
      <c r="L1217" s="128"/>
      <c r="M1217" s="129"/>
      <c r="N1217" s="95"/>
      <c r="O1217" s="95"/>
      <c r="P1217" s="130"/>
    </row>
    <row r="1218" spans="2:16" s="89" customFormat="1" ht="12.75">
      <c r="B1218" s="125"/>
      <c r="C1218" s="126"/>
      <c r="D1218" s="126"/>
      <c r="E1218" s="126"/>
      <c r="F1218" s="126"/>
      <c r="G1218" s="126"/>
      <c r="H1218" s="126"/>
      <c r="I1218" s="126"/>
      <c r="J1218" s="126"/>
      <c r="K1218" s="127"/>
      <c r="L1218" s="128"/>
      <c r="M1218" s="129"/>
      <c r="N1218" s="95"/>
      <c r="O1218" s="95"/>
      <c r="P1218" s="130"/>
    </row>
    <row r="1219" spans="2:16" s="89" customFormat="1" ht="12.75">
      <c r="B1219" s="125"/>
      <c r="C1219" s="126"/>
      <c r="D1219" s="126"/>
      <c r="E1219" s="126"/>
      <c r="F1219" s="126"/>
      <c r="G1219" s="126"/>
      <c r="H1219" s="126"/>
      <c r="I1219" s="126"/>
      <c r="J1219" s="126"/>
      <c r="K1219" s="127"/>
      <c r="L1219" s="128"/>
      <c r="M1219" s="129"/>
      <c r="N1219" s="95"/>
      <c r="O1219" s="95"/>
      <c r="P1219" s="130"/>
    </row>
    <row r="1220" spans="2:16" s="89" customFormat="1" ht="12.75">
      <c r="B1220" s="125"/>
      <c r="C1220" s="126"/>
      <c r="D1220" s="126"/>
      <c r="E1220" s="126"/>
      <c r="F1220" s="126"/>
      <c r="G1220" s="126"/>
      <c r="H1220" s="126"/>
      <c r="I1220" s="126"/>
      <c r="J1220" s="126"/>
      <c r="K1220" s="127"/>
      <c r="L1220" s="128"/>
      <c r="M1220" s="129"/>
      <c r="N1220" s="95"/>
      <c r="O1220" s="95"/>
      <c r="P1220" s="130"/>
    </row>
    <row r="1221" spans="2:16" s="89" customFormat="1" ht="12.75">
      <c r="B1221" s="125"/>
      <c r="C1221" s="126"/>
      <c r="D1221" s="126"/>
      <c r="E1221" s="126"/>
      <c r="F1221" s="126"/>
      <c r="G1221" s="126"/>
      <c r="H1221" s="126"/>
      <c r="I1221" s="126"/>
      <c r="J1221" s="126"/>
      <c r="K1221" s="127"/>
      <c r="L1221" s="128"/>
      <c r="M1221" s="129"/>
      <c r="N1221" s="95"/>
      <c r="O1221" s="95"/>
      <c r="P1221" s="130"/>
    </row>
    <row r="1222" spans="2:16" s="89" customFormat="1" ht="12.75">
      <c r="B1222" s="125"/>
      <c r="C1222" s="126"/>
      <c r="D1222" s="126"/>
      <c r="E1222" s="126"/>
      <c r="F1222" s="126"/>
      <c r="G1222" s="126"/>
      <c r="H1222" s="126"/>
      <c r="I1222" s="126"/>
      <c r="J1222" s="126"/>
      <c r="K1222" s="127"/>
      <c r="L1222" s="128"/>
      <c r="M1222" s="129"/>
      <c r="N1222" s="95"/>
      <c r="O1222" s="95"/>
      <c r="P1222" s="130"/>
    </row>
    <row r="1223" spans="2:16" s="89" customFormat="1" ht="12.75">
      <c r="B1223" s="125"/>
      <c r="C1223" s="126"/>
      <c r="D1223" s="126"/>
      <c r="E1223" s="126"/>
      <c r="F1223" s="126"/>
      <c r="G1223" s="126"/>
      <c r="H1223" s="126"/>
      <c r="I1223" s="126"/>
      <c r="J1223" s="126"/>
      <c r="K1223" s="127"/>
      <c r="L1223" s="128"/>
      <c r="M1223" s="129"/>
      <c r="N1223" s="95"/>
      <c r="O1223" s="95"/>
      <c r="P1223" s="130"/>
    </row>
    <row r="1224" spans="2:16" s="89" customFormat="1" ht="12.75">
      <c r="B1224" s="125"/>
      <c r="C1224" s="126"/>
      <c r="D1224" s="126"/>
      <c r="E1224" s="126"/>
      <c r="F1224" s="126"/>
      <c r="G1224" s="126"/>
      <c r="H1224" s="126"/>
      <c r="I1224" s="126"/>
      <c r="J1224" s="126"/>
      <c r="K1224" s="127"/>
      <c r="L1224" s="128"/>
      <c r="M1224" s="129"/>
      <c r="N1224" s="95"/>
      <c r="O1224" s="95"/>
      <c r="P1224" s="130"/>
    </row>
    <row r="1225" spans="2:16" s="89" customFormat="1" ht="12.75">
      <c r="B1225" s="125"/>
      <c r="C1225" s="126"/>
      <c r="D1225" s="126"/>
      <c r="E1225" s="126"/>
      <c r="F1225" s="126"/>
      <c r="G1225" s="126"/>
      <c r="H1225" s="126"/>
      <c r="I1225" s="126"/>
      <c r="J1225" s="126"/>
      <c r="K1225" s="127"/>
      <c r="L1225" s="128"/>
      <c r="M1225" s="129"/>
      <c r="N1225" s="95"/>
      <c r="O1225" s="95"/>
      <c r="P1225" s="130"/>
    </row>
    <row r="1226" spans="2:16" s="89" customFormat="1" ht="12.75">
      <c r="B1226" s="125"/>
      <c r="C1226" s="126"/>
      <c r="D1226" s="126"/>
      <c r="E1226" s="126"/>
      <c r="F1226" s="126"/>
      <c r="G1226" s="126"/>
      <c r="H1226" s="126"/>
      <c r="I1226" s="126"/>
      <c r="J1226" s="126"/>
      <c r="K1226" s="127"/>
      <c r="L1226" s="128"/>
      <c r="M1226" s="129"/>
      <c r="N1226" s="95"/>
      <c r="O1226" s="95"/>
      <c r="P1226" s="130"/>
    </row>
    <row r="1227" spans="2:16" s="89" customFormat="1" ht="12.75">
      <c r="B1227" s="125"/>
      <c r="C1227" s="126"/>
      <c r="D1227" s="126"/>
      <c r="E1227" s="126"/>
      <c r="F1227" s="126"/>
      <c r="G1227" s="126"/>
      <c r="H1227" s="126"/>
      <c r="I1227" s="126"/>
      <c r="J1227" s="126"/>
      <c r="K1227" s="127"/>
      <c r="L1227" s="128"/>
      <c r="M1227" s="129"/>
      <c r="N1227" s="95"/>
      <c r="O1227" s="95"/>
      <c r="P1227" s="130"/>
    </row>
    <row r="1228" spans="2:16" s="89" customFormat="1" ht="12.75">
      <c r="B1228" s="125"/>
      <c r="C1228" s="126"/>
      <c r="D1228" s="126"/>
      <c r="E1228" s="126"/>
      <c r="F1228" s="126"/>
      <c r="G1228" s="126"/>
      <c r="H1228" s="126"/>
      <c r="I1228" s="126"/>
      <c r="J1228" s="126"/>
      <c r="K1228" s="127"/>
      <c r="L1228" s="128"/>
      <c r="M1228" s="129"/>
      <c r="N1228" s="95"/>
      <c r="O1228" s="95"/>
      <c r="P1228" s="130"/>
    </row>
    <row r="1229" spans="2:16" s="89" customFormat="1" ht="12.75">
      <c r="B1229" s="125"/>
      <c r="C1229" s="126"/>
      <c r="D1229" s="126"/>
      <c r="E1229" s="126"/>
      <c r="F1229" s="126"/>
      <c r="G1229" s="126"/>
      <c r="H1229" s="126"/>
      <c r="I1229" s="126"/>
      <c r="J1229" s="126"/>
      <c r="K1229" s="127"/>
      <c r="L1229" s="128"/>
      <c r="M1229" s="129"/>
      <c r="N1229" s="95"/>
      <c r="O1229" s="95"/>
      <c r="P1229" s="130"/>
    </row>
    <row r="1230" spans="2:16" s="89" customFormat="1" ht="12.75">
      <c r="B1230" s="125"/>
      <c r="C1230" s="126"/>
      <c r="D1230" s="126"/>
      <c r="E1230" s="126"/>
      <c r="F1230" s="126"/>
      <c r="G1230" s="126"/>
      <c r="H1230" s="126"/>
      <c r="I1230" s="126"/>
      <c r="J1230" s="126"/>
      <c r="K1230" s="127"/>
      <c r="L1230" s="128"/>
      <c r="M1230" s="129"/>
      <c r="N1230" s="95"/>
      <c r="O1230" s="95"/>
      <c r="P1230" s="130"/>
    </row>
    <row r="1231" spans="2:16" s="89" customFormat="1" ht="12.75">
      <c r="B1231" s="125"/>
      <c r="C1231" s="126"/>
      <c r="D1231" s="126"/>
      <c r="E1231" s="126"/>
      <c r="F1231" s="126"/>
      <c r="G1231" s="126"/>
      <c r="H1231" s="126"/>
      <c r="I1231" s="126"/>
      <c r="J1231" s="126"/>
      <c r="K1231" s="127"/>
      <c r="L1231" s="128"/>
      <c r="M1231" s="129"/>
      <c r="N1231" s="95"/>
      <c r="O1231" s="95"/>
      <c r="P1231" s="130"/>
    </row>
    <row r="1232" spans="2:16" s="89" customFormat="1" ht="12.75">
      <c r="B1232" s="125"/>
      <c r="C1232" s="126"/>
      <c r="D1232" s="126"/>
      <c r="E1232" s="126"/>
      <c r="F1232" s="126"/>
      <c r="G1232" s="126"/>
      <c r="H1232" s="126"/>
      <c r="I1232" s="126"/>
      <c r="J1232" s="126"/>
      <c r="K1232" s="127"/>
      <c r="L1232" s="128"/>
      <c r="M1232" s="129"/>
      <c r="N1232" s="95"/>
      <c r="O1232" s="95"/>
      <c r="P1232" s="130"/>
    </row>
    <row r="1233" spans="2:16" s="89" customFormat="1" ht="12.75">
      <c r="B1233" s="125"/>
      <c r="C1233" s="126"/>
      <c r="D1233" s="126"/>
      <c r="E1233" s="126"/>
      <c r="F1233" s="126"/>
      <c r="G1233" s="126"/>
      <c r="H1233" s="126"/>
      <c r="I1233" s="126"/>
      <c r="J1233" s="126"/>
      <c r="K1233" s="127"/>
      <c r="L1233" s="128"/>
      <c r="M1233" s="129"/>
      <c r="N1233" s="95"/>
      <c r="O1233" s="95"/>
      <c r="P1233" s="130"/>
    </row>
    <row r="1234" spans="2:16" s="89" customFormat="1" ht="12.75">
      <c r="B1234" s="125"/>
      <c r="C1234" s="126"/>
      <c r="D1234" s="126"/>
      <c r="E1234" s="126"/>
      <c r="F1234" s="126"/>
      <c r="G1234" s="126"/>
      <c r="H1234" s="126"/>
      <c r="I1234" s="126"/>
      <c r="J1234" s="126"/>
      <c r="K1234" s="127"/>
      <c r="L1234" s="128"/>
      <c r="M1234" s="129"/>
      <c r="N1234" s="95"/>
      <c r="O1234" s="95"/>
      <c r="P1234" s="130"/>
    </row>
    <row r="1235" spans="2:16" s="89" customFormat="1" ht="12.75">
      <c r="B1235" s="125"/>
      <c r="C1235" s="126"/>
      <c r="D1235" s="126"/>
      <c r="E1235" s="126"/>
      <c r="F1235" s="126"/>
      <c r="G1235" s="126"/>
      <c r="H1235" s="126"/>
      <c r="I1235" s="126"/>
      <c r="J1235" s="126"/>
      <c r="K1235" s="127"/>
      <c r="L1235" s="128"/>
      <c r="M1235" s="129"/>
      <c r="N1235" s="95"/>
      <c r="O1235" s="95"/>
      <c r="P1235" s="130"/>
    </row>
    <row r="1236" spans="2:16" s="89" customFormat="1" ht="12.75">
      <c r="B1236" s="125"/>
      <c r="C1236" s="126"/>
      <c r="D1236" s="126"/>
      <c r="E1236" s="126"/>
      <c r="F1236" s="126"/>
      <c r="G1236" s="126"/>
      <c r="H1236" s="126"/>
      <c r="I1236" s="126"/>
      <c r="J1236" s="126"/>
      <c r="K1236" s="127"/>
      <c r="L1236" s="128"/>
      <c r="M1236" s="129"/>
      <c r="N1236" s="95"/>
      <c r="O1236" s="95"/>
      <c r="P1236" s="130"/>
    </row>
    <row r="1237" spans="2:16" s="89" customFormat="1" ht="12.75">
      <c r="B1237" s="125"/>
      <c r="C1237" s="126"/>
      <c r="D1237" s="126"/>
      <c r="E1237" s="126"/>
      <c r="F1237" s="126"/>
      <c r="G1237" s="126"/>
      <c r="H1237" s="126"/>
      <c r="I1237" s="126"/>
      <c r="J1237" s="126"/>
      <c r="K1237" s="127"/>
      <c r="L1237" s="128"/>
      <c r="M1237" s="129"/>
      <c r="N1237" s="95"/>
      <c r="O1237" s="95"/>
      <c r="P1237" s="130"/>
    </row>
    <row r="1238" spans="2:16" s="89" customFormat="1" ht="12.75">
      <c r="B1238" s="125"/>
      <c r="C1238" s="126"/>
      <c r="D1238" s="126"/>
      <c r="E1238" s="126"/>
      <c r="F1238" s="126"/>
      <c r="G1238" s="126"/>
      <c r="H1238" s="126"/>
      <c r="I1238" s="126"/>
      <c r="J1238" s="126"/>
      <c r="K1238" s="127"/>
      <c r="L1238" s="128"/>
      <c r="M1238" s="129"/>
      <c r="N1238" s="95"/>
      <c r="O1238" s="95"/>
      <c r="P1238" s="130"/>
    </row>
    <row r="1239" spans="2:16" s="89" customFormat="1" ht="12.75">
      <c r="B1239" s="125"/>
      <c r="C1239" s="126"/>
      <c r="D1239" s="126"/>
      <c r="E1239" s="126"/>
      <c r="F1239" s="126"/>
      <c r="G1239" s="126"/>
      <c r="H1239" s="126"/>
      <c r="I1239" s="126"/>
      <c r="J1239" s="126"/>
      <c r="K1239" s="127"/>
      <c r="L1239" s="128"/>
      <c r="M1239" s="129"/>
      <c r="N1239" s="95"/>
      <c r="O1239" s="95"/>
      <c r="P1239" s="130"/>
    </row>
    <row r="1240" spans="2:16" s="89" customFormat="1" ht="12.75">
      <c r="B1240" s="125"/>
      <c r="C1240" s="126"/>
      <c r="D1240" s="126"/>
      <c r="E1240" s="126"/>
      <c r="F1240" s="126"/>
      <c r="G1240" s="126"/>
      <c r="H1240" s="126"/>
      <c r="I1240" s="126"/>
      <c r="J1240" s="126"/>
      <c r="K1240" s="127"/>
      <c r="L1240" s="128"/>
      <c r="M1240" s="129"/>
      <c r="N1240" s="95"/>
      <c r="O1240" s="95"/>
      <c r="P1240" s="130"/>
    </row>
    <row r="1241" spans="2:16" s="89" customFormat="1" ht="12.75">
      <c r="B1241" s="125"/>
      <c r="C1241" s="126"/>
      <c r="D1241" s="126"/>
      <c r="E1241" s="126"/>
      <c r="F1241" s="126"/>
      <c r="G1241" s="126"/>
      <c r="H1241" s="126"/>
      <c r="I1241" s="126"/>
      <c r="J1241" s="126"/>
      <c r="K1241" s="127"/>
      <c r="L1241" s="128"/>
      <c r="M1241" s="129"/>
      <c r="N1241" s="95"/>
      <c r="O1241" s="95"/>
      <c r="P1241" s="130"/>
    </row>
    <row r="1242" spans="2:16" s="89" customFormat="1" ht="12.75">
      <c r="B1242" s="125"/>
      <c r="C1242" s="126"/>
      <c r="D1242" s="126"/>
      <c r="E1242" s="126"/>
      <c r="F1242" s="126"/>
      <c r="G1242" s="126"/>
      <c r="H1242" s="126"/>
      <c r="I1242" s="126"/>
      <c r="J1242" s="126"/>
      <c r="K1242" s="127"/>
      <c r="L1242" s="128"/>
      <c r="M1242" s="129"/>
      <c r="N1242" s="95"/>
      <c r="O1242" s="95"/>
      <c r="P1242" s="130"/>
    </row>
    <row r="1243" spans="2:16" s="89" customFormat="1" ht="12.75">
      <c r="B1243" s="125"/>
      <c r="C1243" s="126"/>
      <c r="D1243" s="126"/>
      <c r="E1243" s="126"/>
      <c r="F1243" s="126"/>
      <c r="G1243" s="126"/>
      <c r="H1243" s="126"/>
      <c r="I1243" s="126"/>
      <c r="J1243" s="126"/>
      <c r="K1243" s="127"/>
      <c r="L1243" s="128"/>
      <c r="M1243" s="129"/>
      <c r="N1243" s="95"/>
      <c r="O1243" s="95"/>
      <c r="P1243" s="130"/>
    </row>
    <row r="1244" spans="2:16" s="89" customFormat="1" ht="12.75">
      <c r="B1244" s="125"/>
      <c r="C1244" s="126"/>
      <c r="D1244" s="126"/>
      <c r="E1244" s="126"/>
      <c r="F1244" s="126"/>
      <c r="G1244" s="126"/>
      <c r="H1244" s="126"/>
      <c r="I1244" s="126"/>
      <c r="J1244" s="126"/>
      <c r="K1244" s="127"/>
      <c r="L1244" s="128"/>
      <c r="M1244" s="129"/>
      <c r="N1244" s="95"/>
      <c r="O1244" s="95"/>
      <c r="P1244" s="130"/>
    </row>
    <row r="1245" spans="2:16" s="89" customFormat="1" ht="12.75">
      <c r="B1245" s="125"/>
      <c r="C1245" s="126"/>
      <c r="D1245" s="126"/>
      <c r="E1245" s="126"/>
      <c r="F1245" s="126"/>
      <c r="G1245" s="126"/>
      <c r="H1245" s="126"/>
      <c r="I1245" s="126"/>
      <c r="J1245" s="126"/>
      <c r="K1245" s="127"/>
      <c r="L1245" s="128"/>
      <c r="M1245" s="129"/>
      <c r="N1245" s="95"/>
      <c r="O1245" s="95"/>
      <c r="P1245" s="130"/>
    </row>
    <row r="1246" spans="2:16" s="89" customFormat="1" ht="12.75">
      <c r="B1246" s="125"/>
      <c r="C1246" s="126"/>
      <c r="D1246" s="126"/>
      <c r="E1246" s="126"/>
      <c r="F1246" s="126"/>
      <c r="G1246" s="126"/>
      <c r="H1246" s="126"/>
      <c r="I1246" s="126"/>
      <c r="J1246" s="126"/>
      <c r="K1246" s="127"/>
      <c r="L1246" s="128"/>
      <c r="M1246" s="129"/>
      <c r="N1246" s="95"/>
      <c r="O1246" s="95"/>
      <c r="P1246" s="130"/>
    </row>
    <row r="1247" spans="2:16" s="89" customFormat="1" ht="12.75">
      <c r="B1247" s="125"/>
      <c r="C1247" s="126"/>
      <c r="D1247" s="126"/>
      <c r="E1247" s="126"/>
      <c r="F1247" s="126"/>
      <c r="G1247" s="126"/>
      <c r="H1247" s="126"/>
      <c r="I1247" s="126"/>
      <c r="J1247" s="126"/>
      <c r="K1247" s="127"/>
      <c r="L1247" s="128"/>
      <c r="M1247" s="129"/>
      <c r="N1247" s="95"/>
      <c r="O1247" s="95"/>
      <c r="P1247" s="130"/>
    </row>
    <row r="1248" spans="2:16" s="89" customFormat="1" ht="12.75">
      <c r="B1248" s="125"/>
      <c r="C1248" s="126"/>
      <c r="D1248" s="126"/>
      <c r="E1248" s="126"/>
      <c r="F1248" s="126"/>
      <c r="G1248" s="126"/>
      <c r="H1248" s="126"/>
      <c r="I1248" s="126"/>
      <c r="J1248" s="126"/>
      <c r="K1248" s="127"/>
      <c r="L1248" s="128"/>
      <c r="M1248" s="129"/>
      <c r="N1248" s="95"/>
      <c r="O1248" s="95"/>
      <c r="P1248" s="130"/>
    </row>
    <row r="1249" spans="2:16" s="89" customFormat="1" ht="12.75">
      <c r="B1249" s="125"/>
      <c r="C1249" s="126"/>
      <c r="D1249" s="126"/>
      <c r="E1249" s="126"/>
      <c r="F1249" s="126"/>
      <c r="G1249" s="126"/>
      <c r="H1249" s="126"/>
      <c r="I1249" s="126"/>
      <c r="J1249" s="126"/>
      <c r="K1249" s="127"/>
      <c r="L1249" s="128"/>
      <c r="M1249" s="129"/>
      <c r="N1249" s="95"/>
      <c r="O1249" s="95"/>
      <c r="P1249" s="130"/>
    </row>
    <row r="1250" spans="2:16" s="89" customFormat="1" ht="12.75">
      <c r="B1250" s="125"/>
      <c r="C1250" s="126"/>
      <c r="D1250" s="126"/>
      <c r="E1250" s="126"/>
      <c r="F1250" s="126"/>
      <c r="G1250" s="126"/>
      <c r="H1250" s="126"/>
      <c r="I1250" s="126"/>
      <c r="J1250" s="126"/>
      <c r="K1250" s="127"/>
      <c r="L1250" s="128"/>
      <c r="M1250" s="129"/>
      <c r="N1250" s="95"/>
      <c r="O1250" s="95"/>
      <c r="P1250" s="130"/>
    </row>
    <row r="1251" spans="2:16" s="89" customFormat="1" ht="12.75">
      <c r="B1251" s="125"/>
      <c r="C1251" s="126"/>
      <c r="D1251" s="126"/>
      <c r="E1251" s="126"/>
      <c r="F1251" s="126"/>
      <c r="G1251" s="126"/>
      <c r="H1251" s="126"/>
      <c r="I1251" s="126"/>
      <c r="J1251" s="126"/>
      <c r="K1251" s="127"/>
      <c r="L1251" s="128"/>
      <c r="M1251" s="129"/>
      <c r="N1251" s="95"/>
      <c r="O1251" s="95"/>
      <c r="P1251" s="130"/>
    </row>
    <row r="1252" spans="2:16" s="89" customFormat="1" ht="12.75">
      <c r="B1252" s="125"/>
      <c r="C1252" s="126"/>
      <c r="D1252" s="126"/>
      <c r="E1252" s="126"/>
      <c r="F1252" s="126"/>
      <c r="G1252" s="126"/>
      <c r="H1252" s="126"/>
      <c r="I1252" s="126"/>
      <c r="J1252" s="126"/>
      <c r="K1252" s="127"/>
      <c r="L1252" s="128"/>
      <c r="M1252" s="129"/>
      <c r="N1252" s="95"/>
      <c r="O1252" s="95"/>
      <c r="P1252" s="130"/>
    </row>
    <row r="1253" spans="2:16" s="89" customFormat="1" ht="12.75">
      <c r="B1253" s="125"/>
      <c r="C1253" s="126"/>
      <c r="D1253" s="126"/>
      <c r="E1253" s="126"/>
      <c r="F1253" s="126"/>
      <c r="G1253" s="126"/>
      <c r="H1253" s="126"/>
      <c r="I1253" s="126"/>
      <c r="J1253" s="126"/>
      <c r="K1253" s="127"/>
      <c r="L1253" s="128"/>
      <c r="M1253" s="129"/>
      <c r="N1253" s="95"/>
      <c r="O1253" s="95"/>
      <c r="P1253" s="130"/>
    </row>
    <row r="1254" spans="2:16" s="89" customFormat="1" ht="12.75">
      <c r="B1254" s="125"/>
      <c r="C1254" s="126"/>
      <c r="D1254" s="126"/>
      <c r="E1254" s="126"/>
      <c r="F1254" s="126"/>
      <c r="G1254" s="126"/>
      <c r="H1254" s="126"/>
      <c r="I1254" s="126"/>
      <c r="J1254" s="126"/>
      <c r="K1254" s="127"/>
      <c r="L1254" s="128"/>
      <c r="M1254" s="129"/>
      <c r="N1254" s="95"/>
      <c r="O1254" s="95"/>
      <c r="P1254" s="130"/>
    </row>
    <row r="1255" spans="2:16" s="89" customFormat="1" ht="12.75">
      <c r="B1255" s="125"/>
      <c r="C1255" s="126"/>
      <c r="D1255" s="126"/>
      <c r="E1255" s="126"/>
      <c r="F1255" s="126"/>
      <c r="G1255" s="126"/>
      <c r="H1255" s="126"/>
      <c r="I1255" s="126"/>
      <c r="J1255" s="126"/>
      <c r="K1255" s="127"/>
      <c r="L1255" s="128"/>
      <c r="M1255" s="129"/>
      <c r="N1255" s="95"/>
      <c r="O1255" s="95"/>
      <c r="P1255" s="130"/>
    </row>
    <row r="1256" spans="2:16" s="89" customFormat="1" ht="12.75">
      <c r="B1256" s="125"/>
      <c r="C1256" s="126"/>
      <c r="D1256" s="126"/>
      <c r="E1256" s="126"/>
      <c r="F1256" s="126"/>
      <c r="G1256" s="126"/>
      <c r="H1256" s="126"/>
      <c r="I1256" s="126"/>
      <c r="J1256" s="126"/>
      <c r="K1256" s="127"/>
      <c r="L1256" s="128"/>
      <c r="M1256" s="129"/>
      <c r="N1256" s="95"/>
      <c r="O1256" s="95"/>
      <c r="P1256" s="130"/>
    </row>
    <row r="1257" spans="2:16" s="89" customFormat="1" ht="12.75">
      <c r="B1257" s="125"/>
      <c r="C1257" s="126"/>
      <c r="D1257" s="126"/>
      <c r="E1257" s="126"/>
      <c r="F1257" s="126"/>
      <c r="G1257" s="126"/>
      <c r="H1257" s="126"/>
      <c r="I1257" s="126"/>
      <c r="J1257" s="126"/>
      <c r="K1257" s="127"/>
      <c r="L1257" s="128"/>
      <c r="M1257" s="129"/>
      <c r="N1257" s="95"/>
      <c r="O1257" s="95"/>
      <c r="P1257" s="130"/>
    </row>
    <row r="1258" spans="2:16" s="89" customFormat="1" ht="12.75">
      <c r="B1258" s="125"/>
      <c r="C1258" s="126"/>
      <c r="D1258" s="126"/>
      <c r="E1258" s="126"/>
      <c r="F1258" s="126"/>
      <c r="G1258" s="126"/>
      <c r="H1258" s="126"/>
      <c r="I1258" s="126"/>
      <c r="J1258" s="126"/>
      <c r="K1258" s="127"/>
      <c r="L1258" s="128"/>
      <c r="M1258" s="129"/>
      <c r="N1258" s="95"/>
      <c r="O1258" s="95"/>
      <c r="P1258" s="130"/>
    </row>
    <row r="1259" spans="2:16" s="89" customFormat="1" ht="12.75">
      <c r="B1259" s="125"/>
      <c r="C1259" s="126"/>
      <c r="D1259" s="126"/>
      <c r="E1259" s="126"/>
      <c r="F1259" s="126"/>
      <c r="G1259" s="126"/>
      <c r="H1259" s="126"/>
      <c r="I1259" s="126"/>
      <c r="J1259" s="126"/>
      <c r="K1259" s="127"/>
      <c r="L1259" s="128"/>
      <c r="M1259" s="129"/>
      <c r="N1259" s="95"/>
      <c r="O1259" s="95"/>
      <c r="P1259" s="130"/>
    </row>
    <row r="1260" spans="2:16" s="89" customFormat="1" ht="12.75">
      <c r="B1260" s="125"/>
      <c r="C1260" s="126"/>
      <c r="D1260" s="126"/>
      <c r="E1260" s="126"/>
      <c r="F1260" s="126"/>
      <c r="G1260" s="126"/>
      <c r="H1260" s="126"/>
      <c r="I1260" s="126"/>
      <c r="J1260" s="126"/>
      <c r="K1260" s="127"/>
      <c r="L1260" s="128"/>
      <c r="M1260" s="129"/>
      <c r="N1260" s="95"/>
      <c r="O1260" s="95"/>
      <c r="P1260" s="130"/>
    </row>
    <row r="1261" spans="2:16" s="89" customFormat="1" ht="12.75">
      <c r="B1261" s="125"/>
      <c r="C1261" s="126"/>
      <c r="D1261" s="126"/>
      <c r="E1261" s="126"/>
      <c r="F1261" s="126"/>
      <c r="G1261" s="126"/>
      <c r="H1261" s="126"/>
      <c r="I1261" s="126"/>
      <c r="J1261" s="126"/>
      <c r="K1261" s="127"/>
      <c r="L1261" s="128"/>
      <c r="M1261" s="129"/>
      <c r="N1261" s="95"/>
      <c r="O1261" s="95"/>
      <c r="P1261" s="130"/>
    </row>
    <row r="1262" spans="2:16" s="89" customFormat="1" ht="12.75">
      <c r="B1262" s="125"/>
      <c r="C1262" s="126"/>
      <c r="D1262" s="126"/>
      <c r="E1262" s="126"/>
      <c r="F1262" s="126"/>
      <c r="G1262" s="126"/>
      <c r="H1262" s="126"/>
      <c r="I1262" s="126"/>
      <c r="J1262" s="126"/>
      <c r="K1262" s="127"/>
      <c r="L1262" s="128"/>
      <c r="M1262" s="129"/>
      <c r="N1262" s="95"/>
      <c r="O1262" s="95"/>
      <c r="P1262" s="130"/>
    </row>
    <row r="1263" spans="2:16" s="89" customFormat="1" ht="12.75">
      <c r="B1263" s="125"/>
      <c r="C1263" s="126"/>
      <c r="D1263" s="126"/>
      <c r="E1263" s="126"/>
      <c r="F1263" s="126"/>
      <c r="G1263" s="126"/>
      <c r="H1263" s="126"/>
      <c r="I1263" s="126"/>
      <c r="J1263" s="126"/>
      <c r="K1263" s="127"/>
      <c r="L1263" s="128"/>
      <c r="M1263" s="129"/>
      <c r="N1263" s="95"/>
      <c r="O1263" s="95"/>
      <c r="P1263" s="130"/>
    </row>
    <row r="1264" spans="2:16" s="89" customFormat="1" ht="12.75">
      <c r="B1264" s="125"/>
      <c r="C1264" s="126"/>
      <c r="D1264" s="126"/>
      <c r="E1264" s="126"/>
      <c r="F1264" s="126"/>
      <c r="G1264" s="126"/>
      <c r="H1264" s="126"/>
      <c r="I1264" s="126"/>
      <c r="J1264" s="126"/>
      <c r="K1264" s="127"/>
      <c r="L1264" s="128"/>
      <c r="M1264" s="129"/>
      <c r="N1264" s="95"/>
      <c r="O1264" s="95"/>
      <c r="P1264" s="130"/>
    </row>
    <row r="1265" spans="2:16" s="89" customFormat="1" ht="12.75">
      <c r="B1265" s="125"/>
      <c r="C1265" s="126"/>
      <c r="D1265" s="126"/>
      <c r="E1265" s="126"/>
      <c r="F1265" s="126"/>
      <c r="G1265" s="126"/>
      <c r="H1265" s="126"/>
      <c r="I1265" s="126"/>
      <c r="J1265" s="126"/>
      <c r="K1265" s="127"/>
      <c r="L1265" s="128"/>
      <c r="M1265" s="129"/>
      <c r="N1265" s="95"/>
      <c r="O1265" s="95"/>
      <c r="P1265" s="130"/>
    </row>
    <row r="1266" spans="2:16" s="89" customFormat="1" ht="12.75">
      <c r="B1266" s="125"/>
      <c r="C1266" s="126"/>
      <c r="D1266" s="126"/>
      <c r="E1266" s="126"/>
      <c r="F1266" s="126"/>
      <c r="G1266" s="126"/>
      <c r="H1266" s="126"/>
      <c r="I1266" s="126"/>
      <c r="J1266" s="126"/>
      <c r="K1266" s="127"/>
      <c r="L1266" s="128"/>
      <c r="M1266" s="129"/>
      <c r="N1266" s="95"/>
      <c r="O1266" s="95"/>
      <c r="P1266" s="130"/>
    </row>
    <row r="1267" spans="2:16" s="89" customFormat="1" ht="12.75">
      <c r="B1267" s="125"/>
      <c r="C1267" s="126"/>
      <c r="D1267" s="126"/>
      <c r="E1267" s="126"/>
      <c r="F1267" s="126"/>
      <c r="G1267" s="126"/>
      <c r="H1267" s="126"/>
      <c r="I1267" s="126"/>
      <c r="J1267" s="126"/>
      <c r="K1267" s="127"/>
      <c r="L1267" s="128"/>
      <c r="M1267" s="129"/>
      <c r="N1267" s="95"/>
      <c r="O1267" s="95"/>
      <c r="P1267" s="130"/>
    </row>
    <row r="1268" spans="2:16" s="89" customFormat="1" ht="12.75">
      <c r="B1268" s="125"/>
      <c r="C1268" s="126"/>
      <c r="D1268" s="126"/>
      <c r="E1268" s="126"/>
      <c r="F1268" s="126"/>
      <c r="G1268" s="126"/>
      <c r="H1268" s="126"/>
      <c r="I1268" s="126"/>
      <c r="J1268" s="126"/>
      <c r="K1268" s="127"/>
      <c r="L1268" s="128"/>
      <c r="M1268" s="129"/>
      <c r="N1268" s="95"/>
      <c r="O1268" s="95"/>
      <c r="P1268" s="130"/>
    </row>
    <row r="1269" spans="2:16" s="89" customFormat="1" ht="12.75">
      <c r="B1269" s="125"/>
      <c r="C1269" s="126"/>
      <c r="D1269" s="126"/>
      <c r="E1269" s="126"/>
      <c r="F1269" s="126"/>
      <c r="G1269" s="126"/>
      <c r="H1269" s="126"/>
      <c r="I1269" s="126"/>
      <c r="J1269" s="126"/>
      <c r="K1269" s="127"/>
      <c r="L1269" s="128"/>
      <c r="M1269" s="129"/>
      <c r="N1269" s="95"/>
      <c r="O1269" s="95"/>
      <c r="P1269" s="130"/>
    </row>
    <row r="1270" spans="2:16" s="89" customFormat="1" ht="12.75">
      <c r="B1270" s="125"/>
      <c r="C1270" s="126"/>
      <c r="D1270" s="126"/>
      <c r="E1270" s="126"/>
      <c r="F1270" s="126"/>
      <c r="G1270" s="126"/>
      <c r="H1270" s="126"/>
      <c r="I1270" s="126"/>
      <c r="J1270" s="126"/>
      <c r="K1270" s="127"/>
      <c r="L1270" s="128"/>
      <c r="M1270" s="129"/>
      <c r="N1270" s="95"/>
      <c r="O1270" s="95"/>
      <c r="P1270" s="130"/>
    </row>
    <row r="1271" spans="2:16" s="89" customFormat="1" ht="12.75">
      <c r="B1271" s="125"/>
      <c r="C1271" s="126"/>
      <c r="D1271" s="126"/>
      <c r="E1271" s="126"/>
      <c r="F1271" s="126"/>
      <c r="G1271" s="126"/>
      <c r="H1271" s="126"/>
      <c r="I1271" s="126"/>
      <c r="J1271" s="126"/>
      <c r="K1271" s="127"/>
      <c r="L1271" s="128"/>
      <c r="M1271" s="129"/>
      <c r="N1271" s="95"/>
      <c r="O1271" s="95"/>
      <c r="P1271" s="130"/>
    </row>
    <row r="1272" spans="2:16" s="89" customFormat="1" ht="12.75">
      <c r="B1272" s="125"/>
      <c r="C1272" s="126"/>
      <c r="D1272" s="126"/>
      <c r="E1272" s="126"/>
      <c r="F1272" s="126"/>
      <c r="G1272" s="126"/>
      <c r="H1272" s="126"/>
      <c r="I1272" s="126"/>
      <c r="J1272" s="126"/>
      <c r="K1272" s="127"/>
      <c r="L1272" s="128"/>
      <c r="M1272" s="129"/>
      <c r="N1272" s="95"/>
      <c r="O1272" s="95"/>
      <c r="P1272" s="130"/>
    </row>
    <row r="1273" spans="2:16" s="89" customFormat="1" ht="12.75">
      <c r="B1273" s="125"/>
      <c r="C1273" s="126"/>
      <c r="D1273" s="126"/>
      <c r="E1273" s="126"/>
      <c r="F1273" s="126"/>
      <c r="G1273" s="126"/>
      <c r="H1273" s="126"/>
      <c r="I1273" s="126"/>
      <c r="J1273" s="126"/>
      <c r="K1273" s="127"/>
      <c r="L1273" s="128"/>
      <c r="M1273" s="129"/>
      <c r="N1273" s="95"/>
      <c r="O1273" s="95"/>
      <c r="P1273" s="130"/>
    </row>
    <row r="1274" spans="2:16" s="89" customFormat="1" ht="12.75">
      <c r="B1274" s="125"/>
      <c r="C1274" s="126"/>
      <c r="D1274" s="126"/>
      <c r="E1274" s="126"/>
      <c r="F1274" s="126"/>
      <c r="G1274" s="126"/>
      <c r="H1274" s="126"/>
      <c r="I1274" s="126"/>
      <c r="J1274" s="126"/>
      <c r="K1274" s="127"/>
      <c r="L1274" s="128"/>
      <c r="M1274" s="129"/>
      <c r="N1274" s="95"/>
      <c r="O1274" s="95"/>
      <c r="P1274" s="130"/>
    </row>
    <row r="1275" spans="2:16" s="89" customFormat="1" ht="12.75">
      <c r="B1275" s="125"/>
      <c r="C1275" s="126"/>
      <c r="D1275" s="126"/>
      <c r="E1275" s="126"/>
      <c r="F1275" s="126"/>
      <c r="G1275" s="126"/>
      <c r="H1275" s="126"/>
      <c r="I1275" s="126"/>
      <c r="J1275" s="126"/>
      <c r="K1275" s="127"/>
      <c r="L1275" s="128"/>
      <c r="M1275" s="129"/>
      <c r="N1275" s="95"/>
      <c r="O1275" s="95"/>
      <c r="P1275" s="130"/>
    </row>
    <row r="1276" spans="2:16" s="89" customFormat="1" ht="12.75">
      <c r="B1276" s="125"/>
      <c r="C1276" s="126"/>
      <c r="D1276" s="126"/>
      <c r="E1276" s="126"/>
      <c r="F1276" s="126"/>
      <c r="G1276" s="126"/>
      <c r="H1276" s="126"/>
      <c r="I1276" s="126"/>
      <c r="J1276" s="126"/>
      <c r="K1276" s="127"/>
      <c r="L1276" s="128"/>
      <c r="M1276" s="129"/>
      <c r="N1276" s="95"/>
      <c r="O1276" s="95"/>
      <c r="P1276" s="130"/>
    </row>
    <row r="1277" spans="2:16" s="89" customFormat="1" ht="12.75">
      <c r="B1277" s="125"/>
      <c r="C1277" s="126"/>
      <c r="D1277" s="126"/>
      <c r="E1277" s="126"/>
      <c r="F1277" s="126"/>
      <c r="G1277" s="126"/>
      <c r="H1277" s="126"/>
      <c r="I1277" s="126"/>
      <c r="J1277" s="126"/>
      <c r="K1277" s="127"/>
      <c r="L1277" s="128"/>
      <c r="M1277" s="129"/>
      <c r="N1277" s="95"/>
      <c r="O1277" s="95"/>
      <c r="P1277" s="130"/>
    </row>
    <row r="1278" spans="2:16" s="89" customFormat="1" ht="12.75">
      <c r="B1278" s="125"/>
      <c r="C1278" s="126"/>
      <c r="D1278" s="126"/>
      <c r="E1278" s="126"/>
      <c r="F1278" s="126"/>
      <c r="G1278" s="126"/>
      <c r="H1278" s="126"/>
      <c r="I1278" s="126"/>
      <c r="J1278" s="126"/>
      <c r="K1278" s="127"/>
      <c r="L1278" s="128"/>
      <c r="M1278" s="129"/>
      <c r="N1278" s="95"/>
      <c r="O1278" s="95"/>
      <c r="P1278" s="130"/>
    </row>
    <row r="1279" spans="2:16" s="89" customFormat="1" ht="12.75">
      <c r="B1279" s="125"/>
      <c r="C1279" s="126"/>
      <c r="D1279" s="126"/>
      <c r="E1279" s="126"/>
      <c r="F1279" s="126"/>
      <c r="G1279" s="126"/>
      <c r="H1279" s="126"/>
      <c r="I1279" s="126"/>
      <c r="J1279" s="126"/>
      <c r="K1279" s="127"/>
      <c r="L1279" s="128"/>
      <c r="M1279" s="129"/>
      <c r="N1279" s="95"/>
      <c r="O1279" s="95"/>
      <c r="P1279" s="130"/>
    </row>
    <row r="1280" spans="2:16" s="89" customFormat="1" ht="12.75">
      <c r="B1280" s="125"/>
      <c r="C1280" s="126"/>
      <c r="D1280" s="126"/>
      <c r="E1280" s="126"/>
      <c r="F1280" s="126"/>
      <c r="G1280" s="126"/>
      <c r="H1280" s="126"/>
      <c r="I1280" s="126"/>
      <c r="J1280" s="126"/>
      <c r="K1280" s="127"/>
      <c r="L1280" s="128"/>
      <c r="M1280" s="129"/>
      <c r="N1280" s="95"/>
      <c r="O1280" s="95"/>
      <c r="P1280" s="130"/>
    </row>
    <row r="1281" spans="2:16" s="89" customFormat="1" ht="12.75">
      <c r="B1281" s="125"/>
      <c r="C1281" s="126"/>
      <c r="D1281" s="126"/>
      <c r="E1281" s="126"/>
      <c r="F1281" s="126"/>
      <c r="G1281" s="126"/>
      <c r="H1281" s="126"/>
      <c r="I1281" s="126"/>
      <c r="J1281" s="126"/>
      <c r="K1281" s="127"/>
      <c r="L1281" s="128"/>
      <c r="M1281" s="129"/>
      <c r="N1281" s="95"/>
      <c r="O1281" s="95"/>
      <c r="P1281" s="130"/>
    </row>
    <row r="1282" spans="2:16" s="89" customFormat="1" ht="12.75">
      <c r="B1282" s="125"/>
      <c r="C1282" s="126"/>
      <c r="D1282" s="126"/>
      <c r="E1282" s="126"/>
      <c r="F1282" s="126"/>
      <c r="G1282" s="126"/>
      <c r="H1282" s="126"/>
      <c r="I1282" s="126"/>
      <c r="J1282" s="126"/>
      <c r="K1282" s="127"/>
      <c r="L1282" s="128"/>
      <c r="M1282" s="129"/>
      <c r="N1282" s="95"/>
      <c r="O1282" s="95"/>
      <c r="P1282" s="130"/>
    </row>
    <row r="1283" spans="2:16" s="89" customFormat="1" ht="12.75">
      <c r="B1283" s="125"/>
      <c r="C1283" s="126"/>
      <c r="D1283" s="126"/>
      <c r="E1283" s="126"/>
      <c r="F1283" s="126"/>
      <c r="G1283" s="126"/>
      <c r="H1283" s="126"/>
      <c r="I1283" s="126"/>
      <c r="J1283" s="126"/>
      <c r="K1283" s="127"/>
      <c r="L1283" s="128"/>
      <c r="M1283" s="129"/>
      <c r="N1283" s="95"/>
      <c r="O1283" s="95"/>
      <c r="P1283" s="130"/>
    </row>
    <row r="1284" spans="2:16" s="89" customFormat="1" ht="12.75">
      <c r="B1284" s="125"/>
      <c r="C1284" s="126"/>
      <c r="D1284" s="126"/>
      <c r="E1284" s="126"/>
      <c r="F1284" s="126"/>
      <c r="G1284" s="126"/>
      <c r="H1284" s="126"/>
      <c r="I1284" s="126"/>
      <c r="J1284" s="126"/>
      <c r="K1284" s="127"/>
      <c r="L1284" s="128"/>
      <c r="M1284" s="129"/>
      <c r="N1284" s="95"/>
      <c r="O1284" s="95"/>
      <c r="P1284" s="130"/>
    </row>
    <row r="1285" spans="2:16" s="89" customFormat="1" ht="12.75">
      <c r="B1285" s="125"/>
      <c r="C1285" s="126"/>
      <c r="D1285" s="126"/>
      <c r="E1285" s="126"/>
      <c r="F1285" s="126"/>
      <c r="G1285" s="126"/>
      <c r="H1285" s="126"/>
      <c r="I1285" s="126"/>
      <c r="J1285" s="126"/>
      <c r="K1285" s="127"/>
      <c r="L1285" s="128"/>
      <c r="M1285" s="129"/>
      <c r="N1285" s="95"/>
      <c r="O1285" s="95"/>
      <c r="P1285" s="130"/>
    </row>
    <row r="1286" spans="2:16" s="89" customFormat="1" ht="12.75">
      <c r="B1286" s="125"/>
      <c r="C1286" s="126"/>
      <c r="D1286" s="126"/>
      <c r="E1286" s="126"/>
      <c r="F1286" s="126"/>
      <c r="G1286" s="126"/>
      <c r="H1286" s="126"/>
      <c r="I1286" s="126"/>
      <c r="J1286" s="126"/>
      <c r="K1286" s="127"/>
      <c r="L1286" s="128"/>
      <c r="M1286" s="129"/>
      <c r="N1286" s="95"/>
      <c r="O1286" s="95"/>
      <c r="P1286" s="130"/>
    </row>
    <row r="1287" spans="2:16" s="89" customFormat="1" ht="12.75">
      <c r="B1287" s="125"/>
      <c r="C1287" s="126"/>
      <c r="D1287" s="126"/>
      <c r="E1287" s="126"/>
      <c r="F1287" s="126"/>
      <c r="G1287" s="126"/>
      <c r="H1287" s="126"/>
      <c r="I1287" s="126"/>
      <c r="J1287" s="126"/>
      <c r="K1287" s="127"/>
      <c r="L1287" s="128"/>
      <c r="M1287" s="129"/>
      <c r="N1287" s="95"/>
      <c r="O1287" s="95"/>
      <c r="P1287" s="130"/>
    </row>
    <row r="1288" spans="2:16" s="89" customFormat="1" ht="12.75">
      <c r="B1288" s="125"/>
      <c r="C1288" s="126"/>
      <c r="D1288" s="126"/>
      <c r="E1288" s="126"/>
      <c r="F1288" s="126"/>
      <c r="G1288" s="126"/>
      <c r="H1288" s="126"/>
      <c r="I1288" s="126"/>
      <c r="J1288" s="126"/>
      <c r="K1288" s="127"/>
      <c r="L1288" s="128"/>
      <c r="M1288" s="129"/>
      <c r="N1288" s="95"/>
      <c r="O1288" s="95"/>
      <c r="P1288" s="130"/>
    </row>
    <row r="1289" spans="2:16" s="89" customFormat="1" ht="12.75">
      <c r="B1289" s="125"/>
      <c r="C1289" s="126"/>
      <c r="D1289" s="126"/>
      <c r="E1289" s="126"/>
      <c r="F1289" s="126"/>
      <c r="G1289" s="126"/>
      <c r="H1289" s="126"/>
      <c r="I1289" s="126"/>
      <c r="J1289" s="126"/>
      <c r="K1289" s="127"/>
      <c r="L1289" s="128"/>
      <c r="M1289" s="129"/>
      <c r="N1289" s="95"/>
      <c r="O1289" s="95"/>
      <c r="P1289" s="130"/>
    </row>
    <row r="1290" spans="2:16" s="89" customFormat="1" ht="12.75">
      <c r="B1290" s="125"/>
      <c r="C1290" s="126"/>
      <c r="D1290" s="126"/>
      <c r="E1290" s="126"/>
      <c r="F1290" s="126"/>
      <c r="G1290" s="126"/>
      <c r="H1290" s="126"/>
      <c r="I1290" s="126"/>
      <c r="J1290" s="126"/>
      <c r="K1290" s="127"/>
      <c r="L1290" s="128"/>
      <c r="M1290" s="129"/>
      <c r="N1290" s="95"/>
      <c r="O1290" s="95"/>
      <c r="P1290" s="130"/>
    </row>
    <row r="1291" spans="2:16" s="89" customFormat="1" ht="12.75">
      <c r="B1291" s="125"/>
      <c r="C1291" s="126"/>
      <c r="D1291" s="126"/>
      <c r="E1291" s="126"/>
      <c r="F1291" s="126"/>
      <c r="G1291" s="126"/>
      <c r="H1291" s="126"/>
      <c r="I1291" s="126"/>
      <c r="J1291" s="126"/>
      <c r="K1291" s="127"/>
      <c r="L1291" s="128"/>
      <c r="M1291" s="129"/>
      <c r="N1291" s="95"/>
      <c r="O1291" s="95"/>
      <c r="P1291" s="130"/>
    </row>
    <row r="1292" spans="2:16" s="89" customFormat="1" ht="12.75">
      <c r="B1292" s="125"/>
      <c r="C1292" s="126"/>
      <c r="D1292" s="126"/>
      <c r="E1292" s="126"/>
      <c r="F1292" s="126"/>
      <c r="G1292" s="126"/>
      <c r="H1292" s="126"/>
      <c r="I1292" s="126"/>
      <c r="J1292" s="126"/>
      <c r="K1292" s="127"/>
      <c r="L1292" s="128"/>
      <c r="M1292" s="129"/>
      <c r="N1292" s="95"/>
      <c r="O1292" s="95"/>
      <c r="P1292" s="130"/>
    </row>
    <row r="1293" spans="2:16" s="89" customFormat="1" ht="12.75">
      <c r="B1293" s="125"/>
      <c r="C1293" s="126"/>
      <c r="D1293" s="126"/>
      <c r="E1293" s="126"/>
      <c r="F1293" s="126"/>
      <c r="G1293" s="126"/>
      <c r="H1293" s="126"/>
      <c r="I1293" s="126"/>
      <c r="J1293" s="126"/>
      <c r="K1293" s="127"/>
      <c r="L1293" s="128"/>
      <c r="M1293" s="129"/>
      <c r="N1293" s="95"/>
      <c r="O1293" s="95"/>
      <c r="P1293" s="130"/>
    </row>
    <row r="1294" spans="2:16" s="89" customFormat="1" ht="12.75">
      <c r="B1294" s="125"/>
      <c r="C1294" s="126"/>
      <c r="D1294" s="126"/>
      <c r="E1294" s="126"/>
      <c r="F1294" s="126"/>
      <c r="G1294" s="126"/>
      <c r="H1294" s="126"/>
      <c r="I1294" s="126"/>
      <c r="J1294" s="126"/>
      <c r="K1294" s="127"/>
      <c r="L1294" s="128"/>
      <c r="M1294" s="129"/>
      <c r="N1294" s="95"/>
      <c r="O1294" s="95"/>
      <c r="P1294" s="130"/>
    </row>
    <row r="1295" spans="2:16" s="89" customFormat="1" ht="12.75">
      <c r="B1295" s="125"/>
      <c r="C1295" s="126"/>
      <c r="D1295" s="126"/>
      <c r="E1295" s="126"/>
      <c r="F1295" s="126"/>
      <c r="G1295" s="126"/>
      <c r="H1295" s="126"/>
      <c r="I1295" s="126"/>
      <c r="J1295" s="126"/>
      <c r="K1295" s="127"/>
      <c r="L1295" s="128"/>
      <c r="M1295" s="129"/>
      <c r="N1295" s="95"/>
      <c r="O1295" s="95"/>
      <c r="P1295" s="130"/>
    </row>
    <row r="1296" spans="2:16" s="89" customFormat="1" ht="12.75">
      <c r="B1296" s="125"/>
      <c r="C1296" s="126"/>
      <c r="D1296" s="126"/>
      <c r="E1296" s="126"/>
      <c r="F1296" s="126"/>
      <c r="G1296" s="126"/>
      <c r="H1296" s="126"/>
      <c r="I1296" s="126"/>
      <c r="J1296" s="126"/>
      <c r="K1296" s="127"/>
      <c r="L1296" s="128"/>
      <c r="M1296" s="129"/>
      <c r="N1296" s="95"/>
      <c r="O1296" s="95"/>
      <c r="P1296" s="130"/>
    </row>
    <row r="1297" spans="2:16" s="89" customFormat="1" ht="12.75">
      <c r="B1297" s="125"/>
      <c r="C1297" s="126"/>
      <c r="D1297" s="126"/>
      <c r="E1297" s="126"/>
      <c r="F1297" s="126"/>
      <c r="G1297" s="126"/>
      <c r="H1297" s="126"/>
      <c r="I1297" s="126"/>
      <c r="J1297" s="126"/>
      <c r="K1297" s="127"/>
      <c r="L1297" s="128"/>
      <c r="M1297" s="129"/>
      <c r="N1297" s="95"/>
      <c r="O1297" s="95"/>
      <c r="P1297" s="130"/>
    </row>
    <row r="1298" spans="2:16" s="89" customFormat="1" ht="12.75">
      <c r="B1298" s="125"/>
      <c r="C1298" s="126"/>
      <c r="D1298" s="126"/>
      <c r="E1298" s="126"/>
      <c r="F1298" s="126"/>
      <c r="G1298" s="126"/>
      <c r="H1298" s="126"/>
      <c r="I1298" s="126"/>
      <c r="J1298" s="126"/>
      <c r="K1298" s="127"/>
      <c r="L1298" s="128"/>
      <c r="M1298" s="129"/>
      <c r="N1298" s="95"/>
      <c r="O1298" s="95"/>
      <c r="P1298" s="130"/>
    </row>
    <row r="1299" spans="2:16" s="89" customFormat="1" ht="12.75">
      <c r="B1299" s="125"/>
      <c r="C1299" s="126"/>
      <c r="D1299" s="126"/>
      <c r="E1299" s="126"/>
      <c r="F1299" s="126"/>
      <c r="G1299" s="126"/>
      <c r="H1299" s="126"/>
      <c r="I1299" s="126"/>
      <c r="J1299" s="126"/>
      <c r="K1299" s="127"/>
      <c r="L1299" s="128"/>
      <c r="M1299" s="129"/>
      <c r="N1299" s="95"/>
      <c r="O1299" s="95"/>
      <c r="P1299" s="130"/>
    </row>
    <row r="1300" spans="2:16" s="89" customFormat="1" ht="12.75">
      <c r="B1300" s="125"/>
      <c r="C1300" s="126"/>
      <c r="D1300" s="126"/>
      <c r="E1300" s="126"/>
      <c r="F1300" s="126"/>
      <c r="G1300" s="126"/>
      <c r="H1300" s="126"/>
      <c r="I1300" s="126"/>
      <c r="J1300" s="126"/>
      <c r="K1300" s="127"/>
      <c r="L1300" s="128"/>
      <c r="M1300" s="129"/>
      <c r="N1300" s="95"/>
      <c r="O1300" s="95"/>
      <c r="P1300" s="130"/>
    </row>
    <row r="1301" spans="2:16" s="89" customFormat="1" ht="12.75">
      <c r="B1301" s="125"/>
      <c r="C1301" s="126"/>
      <c r="D1301" s="126"/>
      <c r="E1301" s="126"/>
      <c r="F1301" s="126"/>
      <c r="G1301" s="126"/>
      <c r="H1301" s="126"/>
      <c r="I1301" s="126"/>
      <c r="J1301" s="126"/>
      <c r="K1301" s="127"/>
      <c r="L1301" s="128"/>
      <c r="M1301" s="129"/>
      <c r="N1301" s="95"/>
      <c r="O1301" s="95"/>
      <c r="P1301" s="130"/>
    </row>
    <row r="1302" spans="2:16" s="89" customFormat="1" ht="12.75">
      <c r="B1302" s="125"/>
      <c r="C1302" s="126"/>
      <c r="D1302" s="126"/>
      <c r="E1302" s="126"/>
      <c r="F1302" s="126"/>
      <c r="G1302" s="126"/>
      <c r="H1302" s="126"/>
      <c r="I1302" s="126"/>
      <c r="J1302" s="126"/>
      <c r="K1302" s="127"/>
      <c r="L1302" s="128"/>
      <c r="M1302" s="129"/>
      <c r="N1302" s="95"/>
      <c r="O1302" s="95"/>
      <c r="P1302" s="130"/>
    </row>
    <row r="1303" spans="2:16" s="89" customFormat="1" ht="12.75">
      <c r="B1303" s="125"/>
      <c r="C1303" s="126"/>
      <c r="D1303" s="126"/>
      <c r="E1303" s="126"/>
      <c r="F1303" s="126"/>
      <c r="G1303" s="126"/>
      <c r="H1303" s="126"/>
      <c r="I1303" s="126"/>
      <c r="J1303" s="126"/>
      <c r="K1303" s="127"/>
      <c r="L1303" s="128"/>
      <c r="M1303" s="129"/>
      <c r="N1303" s="95"/>
      <c r="O1303" s="95"/>
      <c r="P1303" s="130"/>
    </row>
    <row r="1304" spans="2:16" s="89" customFormat="1" ht="12.75">
      <c r="B1304" s="125"/>
      <c r="C1304" s="126"/>
      <c r="D1304" s="126"/>
      <c r="E1304" s="126"/>
      <c r="F1304" s="126"/>
      <c r="G1304" s="126"/>
      <c r="H1304" s="126"/>
      <c r="I1304" s="126"/>
      <c r="J1304" s="126"/>
      <c r="K1304" s="127"/>
      <c r="L1304" s="128"/>
      <c r="M1304" s="129"/>
      <c r="N1304" s="95"/>
      <c r="O1304" s="95"/>
      <c r="P1304" s="130"/>
    </row>
    <row r="1305" spans="2:16" s="89" customFormat="1" ht="12.75">
      <c r="B1305" s="125"/>
      <c r="C1305" s="126"/>
      <c r="D1305" s="126"/>
      <c r="E1305" s="126"/>
      <c r="F1305" s="126"/>
      <c r="G1305" s="126"/>
      <c r="H1305" s="126"/>
      <c r="I1305" s="126"/>
      <c r="J1305" s="126"/>
      <c r="K1305" s="127"/>
      <c r="L1305" s="128"/>
      <c r="M1305" s="129"/>
      <c r="N1305" s="95"/>
      <c r="O1305" s="95"/>
      <c r="P1305" s="130"/>
    </row>
    <row r="1306" spans="2:16" s="89" customFormat="1" ht="12.75">
      <c r="B1306" s="125"/>
      <c r="C1306" s="126"/>
      <c r="D1306" s="126"/>
      <c r="E1306" s="126"/>
      <c r="F1306" s="126"/>
      <c r="G1306" s="126"/>
      <c r="H1306" s="126"/>
      <c r="I1306" s="126"/>
      <c r="J1306" s="126"/>
      <c r="K1306" s="127"/>
      <c r="L1306" s="128"/>
      <c r="M1306" s="129"/>
      <c r="N1306" s="95"/>
      <c r="O1306" s="95"/>
      <c r="P1306" s="130"/>
    </row>
    <row r="1307" spans="2:16" s="89" customFormat="1" ht="12.75">
      <c r="B1307" s="125"/>
      <c r="C1307" s="126"/>
      <c r="D1307" s="126"/>
      <c r="E1307" s="126"/>
      <c r="F1307" s="126"/>
      <c r="G1307" s="126"/>
      <c r="H1307" s="126"/>
      <c r="I1307" s="126"/>
      <c r="J1307" s="126"/>
      <c r="K1307" s="127"/>
      <c r="L1307" s="128"/>
      <c r="M1307" s="129"/>
      <c r="N1307" s="95"/>
      <c r="O1307" s="95"/>
      <c r="P1307" s="130"/>
    </row>
    <row r="1308" spans="2:16" s="89" customFormat="1" ht="12.75">
      <c r="B1308" s="125"/>
      <c r="C1308" s="126"/>
      <c r="D1308" s="126"/>
      <c r="E1308" s="126"/>
      <c r="F1308" s="126"/>
      <c r="G1308" s="126"/>
      <c r="H1308" s="126"/>
      <c r="I1308" s="126"/>
      <c r="J1308" s="126"/>
      <c r="K1308" s="127"/>
      <c r="L1308" s="128"/>
      <c r="M1308" s="129"/>
      <c r="N1308" s="95"/>
      <c r="O1308" s="95"/>
      <c r="P1308" s="130"/>
    </row>
    <row r="1309" spans="2:16" s="89" customFormat="1" ht="12.75">
      <c r="B1309" s="125"/>
      <c r="C1309" s="126"/>
      <c r="D1309" s="126"/>
      <c r="E1309" s="126"/>
      <c r="F1309" s="126"/>
      <c r="G1309" s="126"/>
      <c r="H1309" s="126"/>
      <c r="I1309" s="126"/>
      <c r="J1309" s="126"/>
      <c r="K1309" s="127"/>
      <c r="L1309" s="128"/>
      <c r="M1309" s="129"/>
      <c r="N1309" s="95"/>
      <c r="O1309" s="95"/>
      <c r="P1309" s="130"/>
    </row>
    <row r="1310" spans="2:16" s="89" customFormat="1" ht="12.75">
      <c r="B1310" s="125"/>
      <c r="C1310" s="126"/>
      <c r="D1310" s="126"/>
      <c r="E1310" s="126"/>
      <c r="F1310" s="126"/>
      <c r="G1310" s="126"/>
      <c r="H1310" s="126"/>
      <c r="I1310" s="126"/>
      <c r="J1310" s="126"/>
      <c r="K1310" s="127"/>
      <c r="L1310" s="128"/>
      <c r="M1310" s="129"/>
      <c r="N1310" s="95"/>
      <c r="O1310" s="95"/>
      <c r="P1310" s="130"/>
    </row>
    <row r="1311" spans="2:16" s="89" customFormat="1" ht="12.75">
      <c r="B1311" s="125"/>
      <c r="C1311" s="126"/>
      <c r="D1311" s="126"/>
      <c r="E1311" s="126"/>
      <c r="F1311" s="126"/>
      <c r="G1311" s="126"/>
      <c r="H1311" s="126"/>
      <c r="I1311" s="126"/>
      <c r="J1311" s="126"/>
      <c r="K1311" s="127"/>
      <c r="L1311" s="128"/>
      <c r="M1311" s="129"/>
      <c r="N1311" s="95"/>
      <c r="O1311" s="95"/>
      <c r="P1311" s="130"/>
    </row>
    <row r="1312" spans="2:16" s="89" customFormat="1" ht="12.75">
      <c r="B1312" s="125"/>
      <c r="C1312" s="126"/>
      <c r="D1312" s="126"/>
      <c r="E1312" s="126"/>
      <c r="F1312" s="126"/>
      <c r="G1312" s="126"/>
      <c r="H1312" s="126"/>
      <c r="I1312" s="126"/>
      <c r="J1312" s="126"/>
      <c r="K1312" s="127"/>
      <c r="L1312" s="128"/>
      <c r="M1312" s="129"/>
      <c r="N1312" s="95"/>
      <c r="O1312" s="95"/>
      <c r="P1312" s="130"/>
    </row>
    <row r="1313" spans="2:16" s="89" customFormat="1" ht="12.75">
      <c r="B1313" s="125"/>
      <c r="C1313" s="126"/>
      <c r="D1313" s="126"/>
      <c r="E1313" s="126"/>
      <c r="F1313" s="126"/>
      <c r="G1313" s="126"/>
      <c r="H1313" s="126"/>
      <c r="I1313" s="126"/>
      <c r="J1313" s="126"/>
      <c r="K1313" s="127"/>
      <c r="L1313" s="128"/>
      <c r="M1313" s="129"/>
      <c r="N1313" s="95"/>
      <c r="O1313" s="95"/>
      <c r="P1313" s="130"/>
    </row>
    <row r="1314" spans="2:16" s="89" customFormat="1" ht="12.75">
      <c r="B1314" s="125"/>
      <c r="C1314" s="126"/>
      <c r="D1314" s="126"/>
      <c r="E1314" s="126"/>
      <c r="F1314" s="126"/>
      <c r="G1314" s="126"/>
      <c r="H1314" s="126"/>
      <c r="I1314" s="126"/>
      <c r="J1314" s="126"/>
      <c r="K1314" s="127"/>
      <c r="L1314" s="128"/>
      <c r="M1314" s="129"/>
      <c r="N1314" s="95"/>
      <c r="O1314" s="95"/>
      <c r="P1314" s="130"/>
    </row>
    <row r="1315" spans="2:16" s="89" customFormat="1" ht="12.75">
      <c r="B1315" s="125"/>
      <c r="C1315" s="126"/>
      <c r="D1315" s="126"/>
      <c r="E1315" s="126"/>
      <c r="F1315" s="126"/>
      <c r="G1315" s="126"/>
      <c r="H1315" s="126"/>
      <c r="I1315" s="126"/>
      <c r="J1315" s="126"/>
      <c r="K1315" s="127"/>
      <c r="L1315" s="128"/>
      <c r="M1315" s="129"/>
      <c r="N1315" s="95"/>
      <c r="O1315" s="95"/>
      <c r="P1315" s="130"/>
    </row>
    <row r="1316" spans="2:16" s="89" customFormat="1" ht="12.75">
      <c r="B1316" s="125"/>
      <c r="C1316" s="126"/>
      <c r="D1316" s="126"/>
      <c r="E1316" s="126"/>
      <c r="F1316" s="126"/>
      <c r="G1316" s="126"/>
      <c r="H1316" s="126"/>
      <c r="I1316" s="126"/>
      <c r="J1316" s="126"/>
      <c r="K1316" s="127"/>
      <c r="L1316" s="128"/>
      <c r="M1316" s="129"/>
      <c r="N1316" s="95"/>
      <c r="O1316" s="95"/>
      <c r="P1316" s="130"/>
    </row>
    <row r="1317" spans="2:16" s="89" customFormat="1" ht="12.75">
      <c r="B1317" s="125"/>
      <c r="C1317" s="126"/>
      <c r="D1317" s="126"/>
      <c r="E1317" s="126"/>
      <c r="F1317" s="126"/>
      <c r="G1317" s="126"/>
      <c r="H1317" s="126"/>
      <c r="I1317" s="126"/>
      <c r="J1317" s="126"/>
      <c r="K1317" s="127"/>
      <c r="L1317" s="128"/>
      <c r="M1317" s="129"/>
      <c r="N1317" s="95"/>
      <c r="O1317" s="95"/>
      <c r="P1317" s="130"/>
    </row>
    <row r="1318" spans="2:16" s="89" customFormat="1" ht="12.75">
      <c r="B1318" s="125"/>
      <c r="C1318" s="126"/>
      <c r="D1318" s="126"/>
      <c r="E1318" s="126"/>
      <c r="F1318" s="126"/>
      <c r="G1318" s="126"/>
      <c r="H1318" s="126"/>
      <c r="I1318" s="126"/>
      <c r="J1318" s="126"/>
      <c r="K1318" s="127"/>
      <c r="L1318" s="128"/>
      <c r="M1318" s="129"/>
      <c r="N1318" s="95"/>
      <c r="O1318" s="95"/>
      <c r="P1318" s="130"/>
    </row>
    <row r="1319" spans="2:16" s="89" customFormat="1" ht="12.75">
      <c r="B1319" s="125"/>
      <c r="C1319" s="126"/>
      <c r="D1319" s="126"/>
      <c r="E1319" s="126"/>
      <c r="F1319" s="126"/>
      <c r="G1319" s="126"/>
      <c r="H1319" s="126"/>
      <c r="I1319" s="126"/>
      <c r="J1319" s="126"/>
      <c r="K1319" s="127"/>
      <c r="L1319" s="128"/>
      <c r="M1319" s="129"/>
      <c r="N1319" s="95"/>
      <c r="O1319" s="95"/>
      <c r="P1319" s="130"/>
    </row>
    <row r="1320" spans="2:16" s="89" customFormat="1" ht="12.75">
      <c r="B1320" s="125"/>
      <c r="C1320" s="126"/>
      <c r="D1320" s="126"/>
      <c r="E1320" s="126"/>
      <c r="F1320" s="126"/>
      <c r="G1320" s="126"/>
      <c r="H1320" s="126"/>
      <c r="I1320" s="126"/>
      <c r="J1320" s="126"/>
      <c r="K1320" s="127"/>
      <c r="L1320" s="128"/>
      <c r="M1320" s="129"/>
      <c r="N1320" s="95"/>
      <c r="O1320" s="95"/>
      <c r="P1320" s="130"/>
    </row>
    <row r="1321" spans="2:16" s="89" customFormat="1" ht="12.75">
      <c r="B1321" s="125"/>
      <c r="C1321" s="126"/>
      <c r="D1321" s="126"/>
      <c r="E1321" s="126"/>
      <c r="F1321" s="126"/>
      <c r="G1321" s="126"/>
      <c r="H1321" s="126"/>
      <c r="I1321" s="126"/>
      <c r="J1321" s="126"/>
      <c r="K1321" s="127"/>
      <c r="L1321" s="128"/>
      <c r="M1321" s="129"/>
      <c r="N1321" s="95"/>
      <c r="O1321" s="95"/>
      <c r="P1321" s="130"/>
    </row>
    <row r="1322" spans="2:16" s="89" customFormat="1" ht="12.75">
      <c r="B1322" s="125"/>
      <c r="C1322" s="126"/>
      <c r="D1322" s="126"/>
      <c r="E1322" s="126"/>
      <c r="F1322" s="126"/>
      <c r="G1322" s="126"/>
      <c r="H1322" s="126"/>
      <c r="I1322" s="126"/>
      <c r="J1322" s="126"/>
      <c r="K1322" s="127"/>
      <c r="L1322" s="128"/>
      <c r="M1322" s="129"/>
      <c r="N1322" s="95"/>
      <c r="O1322" s="95"/>
      <c r="P1322" s="130"/>
    </row>
    <row r="1323" spans="2:16" s="89" customFormat="1" ht="12.75">
      <c r="B1323" s="125"/>
      <c r="C1323" s="126"/>
      <c r="D1323" s="126"/>
      <c r="E1323" s="126"/>
      <c r="F1323" s="126"/>
      <c r="G1323" s="126"/>
      <c r="H1323" s="126"/>
      <c r="I1323" s="126"/>
      <c r="J1323" s="126"/>
      <c r="K1323" s="127"/>
      <c r="L1323" s="128"/>
      <c r="M1323" s="129"/>
      <c r="N1323" s="95"/>
      <c r="O1323" s="95"/>
      <c r="P1323" s="130"/>
    </row>
    <row r="1324" spans="2:16" s="89" customFormat="1" ht="12.75">
      <c r="B1324" s="125"/>
      <c r="C1324" s="126"/>
      <c r="D1324" s="126"/>
      <c r="E1324" s="126"/>
      <c r="F1324" s="126"/>
      <c r="G1324" s="126"/>
      <c r="H1324" s="126"/>
      <c r="I1324" s="126"/>
      <c r="J1324" s="126"/>
      <c r="K1324" s="127"/>
      <c r="L1324" s="128"/>
      <c r="M1324" s="129"/>
      <c r="N1324" s="95"/>
      <c r="O1324" s="95"/>
      <c r="P1324" s="130"/>
    </row>
    <row r="1325" spans="2:16" s="89" customFormat="1" ht="12.75">
      <c r="B1325" s="125"/>
      <c r="C1325" s="126"/>
      <c r="D1325" s="126"/>
      <c r="E1325" s="126"/>
      <c r="F1325" s="126"/>
      <c r="G1325" s="126"/>
      <c r="H1325" s="126"/>
      <c r="I1325" s="126"/>
      <c r="J1325" s="126"/>
      <c r="K1325" s="127"/>
      <c r="L1325" s="128"/>
      <c r="M1325" s="129"/>
      <c r="N1325" s="95"/>
      <c r="O1325" s="95"/>
      <c r="P1325" s="130"/>
    </row>
    <row r="1326" spans="2:16" s="89" customFormat="1" ht="12.75">
      <c r="B1326" s="125"/>
      <c r="C1326" s="126"/>
      <c r="D1326" s="126"/>
      <c r="E1326" s="126"/>
      <c r="F1326" s="126"/>
      <c r="G1326" s="126"/>
      <c r="H1326" s="126"/>
      <c r="I1326" s="126"/>
      <c r="J1326" s="126"/>
      <c r="K1326" s="127"/>
      <c r="L1326" s="128"/>
      <c r="M1326" s="129"/>
      <c r="N1326" s="95"/>
      <c r="O1326" s="95"/>
      <c r="P1326" s="130"/>
    </row>
    <row r="1327" spans="2:16" s="89" customFormat="1" ht="12.75">
      <c r="B1327" s="125"/>
      <c r="C1327" s="126"/>
      <c r="D1327" s="126"/>
      <c r="E1327" s="126"/>
      <c r="F1327" s="126"/>
      <c r="G1327" s="126"/>
      <c r="H1327" s="126"/>
      <c r="I1327" s="126"/>
      <c r="J1327" s="126"/>
      <c r="K1327" s="127"/>
      <c r="L1327" s="128"/>
      <c r="M1327" s="129"/>
      <c r="N1327" s="95"/>
      <c r="O1327" s="95"/>
      <c r="P1327" s="130"/>
    </row>
    <row r="1328" spans="2:16" s="89" customFormat="1" ht="12.75">
      <c r="B1328" s="125"/>
      <c r="C1328" s="126"/>
      <c r="D1328" s="126"/>
      <c r="E1328" s="126"/>
      <c r="F1328" s="126"/>
      <c r="G1328" s="126"/>
      <c r="H1328" s="126"/>
      <c r="I1328" s="126"/>
      <c r="J1328" s="126"/>
      <c r="K1328" s="127"/>
      <c r="L1328" s="128"/>
      <c r="M1328" s="129"/>
      <c r="N1328" s="95"/>
      <c r="O1328" s="95"/>
      <c r="P1328" s="130"/>
    </row>
  </sheetData>
  <autoFilter ref="A14:R223"/>
  <mergeCells count="33">
    <mergeCell ref="N10:P10"/>
    <mergeCell ref="C2:P2"/>
    <mergeCell ref="B3:B4"/>
    <mergeCell ref="C3:P3"/>
    <mergeCell ref="C4:P4"/>
    <mergeCell ref="C5:P5"/>
    <mergeCell ref="A6:P6"/>
    <mergeCell ref="A7:L7"/>
    <mergeCell ref="A8:L8"/>
    <mergeCell ref="A9:L9"/>
    <mergeCell ref="A10:B10"/>
    <mergeCell ref="C10:L10"/>
    <mergeCell ref="P11:P13"/>
    <mergeCell ref="A11:A13"/>
    <mergeCell ref="B11:B13"/>
    <mergeCell ref="C11:C13"/>
    <mergeCell ref="D11:D13"/>
    <mergeCell ref="E11:H11"/>
    <mergeCell ref="I11:I13"/>
    <mergeCell ref="E13:F13"/>
    <mergeCell ref="G13:H13"/>
    <mergeCell ref="J11:J13"/>
    <mergeCell ref="K11:K13"/>
    <mergeCell ref="L11:L13"/>
    <mergeCell ref="M11:M13"/>
    <mergeCell ref="O11:O13"/>
    <mergeCell ref="L242:O242"/>
    <mergeCell ref="A226:M226"/>
    <mergeCell ref="A227:M227"/>
    <mergeCell ref="A228:M228"/>
    <mergeCell ref="N231:O231"/>
    <mergeCell ref="L240:O240"/>
    <mergeCell ref="L241:O24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28"/>
  <sheetViews>
    <sheetView zoomScale="80" zoomScaleNormal="80" zoomScaleSheetLayoutView="100" workbookViewId="0">
      <selection activeCell="P20" sqref="P20"/>
    </sheetView>
  </sheetViews>
  <sheetFormatPr defaultColWidth="8.140625" defaultRowHeight="15"/>
  <cols>
    <col min="1" max="1" width="4.42578125" customWidth="1"/>
    <col min="2" max="2" width="31" style="131" customWidth="1"/>
    <col min="3" max="3" width="15.140625" style="132" customWidth="1"/>
    <col min="4" max="4" width="10.140625" style="132" customWidth="1"/>
    <col min="5" max="5" width="6" style="132" customWidth="1"/>
    <col min="6" max="6" width="5.85546875" style="132" customWidth="1"/>
    <col min="7" max="7" width="6.140625" style="132" customWidth="1"/>
    <col min="8" max="9" width="6" style="132" customWidth="1"/>
    <col min="10" max="10" width="4.28515625" style="132" customWidth="1"/>
    <col min="11" max="11" width="5.28515625" style="133" customWidth="1"/>
    <col min="12" max="12" width="4.85546875" style="134" customWidth="1"/>
    <col min="13" max="13" width="8.42578125" style="135" customWidth="1"/>
    <col min="14" max="14" width="13.85546875" style="136" customWidth="1"/>
    <col min="15" max="15" width="14.85546875" style="137" customWidth="1"/>
    <col min="16" max="16" width="37.42578125" style="138" customWidth="1"/>
    <col min="17" max="17" width="15" customWidth="1"/>
    <col min="18" max="18" width="14.42578125" customWidth="1"/>
  </cols>
  <sheetData>
    <row r="1" spans="1:17" ht="6.75" customHeight="1">
      <c r="A1" s="31"/>
      <c r="B1" s="32"/>
      <c r="C1" s="33"/>
      <c r="D1" s="33"/>
      <c r="E1" s="33"/>
      <c r="F1" s="33"/>
      <c r="G1" s="33"/>
      <c r="H1" s="33"/>
      <c r="I1" s="33"/>
      <c r="J1" s="33"/>
      <c r="K1" s="34"/>
      <c r="L1" s="35"/>
      <c r="M1" s="36"/>
      <c r="N1" s="37"/>
      <c r="O1" s="38"/>
      <c r="P1" s="39"/>
    </row>
    <row r="2" spans="1:17">
      <c r="A2" s="31"/>
      <c r="B2" s="40"/>
      <c r="C2" s="184" t="s">
        <v>232</v>
      </c>
      <c r="D2" s="184"/>
      <c r="E2" s="184"/>
      <c r="F2" s="184"/>
      <c r="G2" s="184"/>
      <c r="H2" s="184"/>
      <c r="I2" s="184"/>
      <c r="J2" s="184"/>
      <c r="K2" s="184"/>
      <c r="L2" s="184"/>
      <c r="M2" s="184"/>
      <c r="N2" s="184"/>
      <c r="O2" s="184"/>
      <c r="P2" s="184"/>
    </row>
    <row r="3" spans="1:17">
      <c r="A3" s="31"/>
      <c r="B3" s="185"/>
      <c r="C3" s="186" t="s">
        <v>233</v>
      </c>
      <c r="D3" s="186"/>
      <c r="E3" s="186"/>
      <c r="F3" s="186"/>
      <c r="G3" s="186"/>
      <c r="H3" s="186"/>
      <c r="I3" s="186"/>
      <c r="J3" s="186"/>
      <c r="K3" s="186"/>
      <c r="L3" s="186"/>
      <c r="M3" s="186"/>
      <c r="N3" s="186"/>
      <c r="O3" s="186"/>
      <c r="P3" s="186"/>
    </row>
    <row r="4" spans="1:17">
      <c r="A4" s="31"/>
      <c r="B4" s="185"/>
      <c r="C4" s="186" t="s">
        <v>234</v>
      </c>
      <c r="D4" s="186"/>
      <c r="E4" s="186"/>
      <c r="F4" s="186"/>
      <c r="G4" s="186"/>
      <c r="H4" s="186"/>
      <c r="I4" s="186"/>
      <c r="J4" s="186"/>
      <c r="K4" s="186"/>
      <c r="L4" s="186"/>
      <c r="M4" s="186"/>
      <c r="N4" s="186"/>
      <c r="O4" s="186"/>
      <c r="P4" s="186"/>
    </row>
    <row r="5" spans="1:17">
      <c r="A5" s="41"/>
      <c r="B5" s="42"/>
      <c r="C5" s="187" t="s">
        <v>235</v>
      </c>
      <c r="D5" s="187"/>
      <c r="E5" s="187"/>
      <c r="F5" s="187"/>
      <c r="G5" s="187"/>
      <c r="H5" s="187"/>
      <c r="I5" s="187"/>
      <c r="J5" s="187"/>
      <c r="K5" s="187"/>
      <c r="L5" s="187"/>
      <c r="M5" s="187"/>
      <c r="N5" s="187"/>
      <c r="O5" s="187"/>
      <c r="P5" s="187"/>
    </row>
    <row r="6" spans="1:17" s="43" customFormat="1" ht="30" customHeight="1">
      <c r="A6" s="188" t="s">
        <v>236</v>
      </c>
      <c r="B6" s="188"/>
      <c r="C6" s="188"/>
      <c r="D6" s="188"/>
      <c r="E6" s="188"/>
      <c r="F6" s="188"/>
      <c r="G6" s="188"/>
      <c r="H6" s="188"/>
      <c r="I6" s="188"/>
      <c r="J6" s="188"/>
      <c r="K6" s="188"/>
      <c r="L6" s="188"/>
      <c r="M6" s="188"/>
      <c r="N6" s="188"/>
      <c r="O6" s="188"/>
      <c r="P6" s="188"/>
    </row>
    <row r="7" spans="1:17" s="43" customFormat="1" ht="39" customHeight="1">
      <c r="A7" s="179" t="s">
        <v>237</v>
      </c>
      <c r="B7" s="180"/>
      <c r="C7" s="180"/>
      <c r="D7" s="180"/>
      <c r="E7" s="180"/>
      <c r="F7" s="180"/>
      <c r="G7" s="180"/>
      <c r="H7" s="180"/>
      <c r="I7" s="180"/>
      <c r="J7" s="180"/>
      <c r="K7" s="180"/>
      <c r="L7" s="181"/>
      <c r="M7" s="44" t="s">
        <v>238</v>
      </c>
      <c r="N7" s="45"/>
      <c r="O7" s="46"/>
      <c r="P7" s="47"/>
    </row>
    <row r="8" spans="1:17" s="43" customFormat="1" ht="18.75" customHeight="1">
      <c r="A8" s="179" t="s">
        <v>239</v>
      </c>
      <c r="B8" s="180"/>
      <c r="C8" s="180"/>
      <c r="D8" s="180"/>
      <c r="E8" s="180"/>
      <c r="F8" s="180"/>
      <c r="G8" s="180"/>
      <c r="H8" s="180"/>
      <c r="I8" s="180"/>
      <c r="J8" s="180"/>
      <c r="K8" s="180"/>
      <c r="L8" s="181"/>
      <c r="M8" s="44" t="s">
        <v>240</v>
      </c>
      <c r="N8" s="48"/>
      <c r="O8" s="48"/>
      <c r="P8" s="49" t="s">
        <v>241</v>
      </c>
    </row>
    <row r="9" spans="1:17" s="43" customFormat="1" ht="18.75" customHeight="1">
      <c r="A9" s="179" t="s">
        <v>242</v>
      </c>
      <c r="B9" s="180"/>
      <c r="C9" s="180"/>
      <c r="D9" s="180"/>
      <c r="E9" s="180"/>
      <c r="F9" s="180"/>
      <c r="G9" s="180"/>
      <c r="H9" s="180"/>
      <c r="I9" s="180"/>
      <c r="J9" s="180"/>
      <c r="K9" s="180"/>
      <c r="L9" s="181"/>
      <c r="M9" s="44" t="s">
        <v>243</v>
      </c>
      <c r="N9" s="45"/>
      <c r="O9" s="46"/>
      <c r="P9" s="50" t="s">
        <v>244</v>
      </c>
    </row>
    <row r="10" spans="1:17" s="43" customFormat="1" ht="28.5" customHeight="1">
      <c r="A10" s="179" t="s">
        <v>245</v>
      </c>
      <c r="B10" s="180"/>
      <c r="C10" s="179" t="s">
        <v>246</v>
      </c>
      <c r="D10" s="180"/>
      <c r="E10" s="180"/>
      <c r="F10" s="180"/>
      <c r="G10" s="180"/>
      <c r="H10" s="180"/>
      <c r="I10" s="180"/>
      <c r="J10" s="180"/>
      <c r="K10" s="180"/>
      <c r="L10" s="181"/>
      <c r="M10" s="51" t="s">
        <v>247</v>
      </c>
      <c r="N10" s="182"/>
      <c r="O10" s="182"/>
      <c r="P10" s="183"/>
    </row>
    <row r="11" spans="1:17" s="43" customFormat="1" ht="12.75" customHeight="1">
      <c r="A11" s="165" t="s">
        <v>248</v>
      </c>
      <c r="B11" s="165" t="s">
        <v>249</v>
      </c>
      <c r="C11" s="166" t="s">
        <v>250</v>
      </c>
      <c r="D11" s="166" t="s">
        <v>251</v>
      </c>
      <c r="E11" s="177" t="s">
        <v>252</v>
      </c>
      <c r="F11" s="177"/>
      <c r="G11" s="177"/>
      <c r="H11" s="177"/>
      <c r="I11" s="164" t="s">
        <v>253</v>
      </c>
      <c r="J11" s="164" t="s">
        <v>254</v>
      </c>
      <c r="K11" s="166" t="s">
        <v>255</v>
      </c>
      <c r="L11" s="168" t="s">
        <v>256</v>
      </c>
      <c r="M11" s="170" t="s">
        <v>257</v>
      </c>
      <c r="N11" s="52"/>
      <c r="O11" s="172" t="s">
        <v>283</v>
      </c>
      <c r="P11" s="174" t="s">
        <v>258</v>
      </c>
    </row>
    <row r="12" spans="1:17" s="43" customFormat="1" ht="27" customHeight="1">
      <c r="A12" s="176"/>
      <c r="B12" s="176"/>
      <c r="C12" s="167"/>
      <c r="D12" s="167" t="s">
        <v>251</v>
      </c>
      <c r="E12" s="53" t="s">
        <v>16</v>
      </c>
      <c r="F12" s="53" t="s">
        <v>59</v>
      </c>
      <c r="G12" s="53" t="s">
        <v>202</v>
      </c>
      <c r="H12" s="53" t="s">
        <v>259</v>
      </c>
      <c r="I12" s="164"/>
      <c r="J12" s="164"/>
      <c r="K12" s="167"/>
      <c r="L12" s="169"/>
      <c r="M12" s="171"/>
      <c r="N12" s="54" t="s">
        <v>282</v>
      </c>
      <c r="O12" s="173"/>
      <c r="P12" s="175"/>
    </row>
    <row r="13" spans="1:17" s="43" customFormat="1" ht="12.75">
      <c r="A13" s="176"/>
      <c r="B13" s="176"/>
      <c r="C13" s="167"/>
      <c r="D13" s="167"/>
      <c r="E13" s="178" t="s">
        <v>260</v>
      </c>
      <c r="F13" s="178"/>
      <c r="G13" s="178" t="s">
        <v>261</v>
      </c>
      <c r="H13" s="178"/>
      <c r="I13" s="165"/>
      <c r="J13" s="165"/>
      <c r="K13" s="167"/>
      <c r="L13" s="169"/>
      <c r="M13" s="171"/>
      <c r="N13" s="55"/>
      <c r="O13" s="173"/>
      <c r="P13" s="175"/>
    </row>
    <row r="14" spans="1:17" s="43" customFormat="1" ht="12.75">
      <c r="A14" s="56"/>
      <c r="B14" s="56"/>
      <c r="C14" s="57"/>
      <c r="D14" s="57"/>
      <c r="E14" s="58"/>
      <c r="F14" s="58"/>
      <c r="G14" s="58"/>
      <c r="H14" s="58"/>
      <c r="I14" s="56"/>
      <c r="J14" s="56"/>
      <c r="K14" s="57"/>
      <c r="L14" s="59"/>
      <c r="M14" s="60"/>
      <c r="N14" s="61"/>
      <c r="O14" s="61"/>
      <c r="P14" s="62"/>
    </row>
    <row r="15" spans="1:17" s="67" customFormat="1" ht="12.75">
      <c r="A15" s="63"/>
      <c r="B15" s="64" t="s">
        <v>15</v>
      </c>
      <c r="C15" s="63"/>
      <c r="D15" s="63"/>
      <c r="E15" s="63"/>
      <c r="F15" s="63"/>
      <c r="G15" s="63"/>
      <c r="H15" s="63"/>
      <c r="I15" s="63"/>
      <c r="J15" s="63"/>
      <c r="K15" s="63"/>
      <c r="L15" s="63"/>
      <c r="M15" s="63"/>
      <c r="N15" s="65"/>
      <c r="O15" s="65"/>
      <c r="P15" s="63"/>
      <c r="Q15" s="66"/>
    </row>
    <row r="16" spans="1:17" s="67" customFormat="1" ht="25.5">
      <c r="A16" s="63"/>
      <c r="B16" s="64" t="s">
        <v>17</v>
      </c>
      <c r="C16" s="63"/>
      <c r="D16" s="63"/>
      <c r="E16" s="63"/>
      <c r="F16" s="63"/>
      <c r="G16" s="63"/>
      <c r="H16" s="63"/>
      <c r="I16" s="63"/>
      <c r="J16" s="63"/>
      <c r="K16" s="63"/>
      <c r="L16" s="63"/>
      <c r="M16" s="63"/>
      <c r="N16" s="65"/>
      <c r="O16" s="65"/>
      <c r="P16" s="63"/>
      <c r="Q16" s="66"/>
    </row>
    <row r="17" spans="1:17" s="67" customFormat="1" ht="25.5">
      <c r="A17" s="63"/>
      <c r="B17" s="64" t="s">
        <v>18</v>
      </c>
      <c r="C17" s="63" t="s">
        <v>19</v>
      </c>
      <c r="D17" s="63" t="s">
        <v>284</v>
      </c>
      <c r="E17" s="63">
        <v>1250</v>
      </c>
      <c r="F17" s="63">
        <v>1250</v>
      </c>
      <c r="G17" s="63"/>
      <c r="H17" s="63"/>
      <c r="I17" s="63"/>
      <c r="J17" s="63">
        <v>200</v>
      </c>
      <c r="K17" s="63">
        <v>1.1499999999999999</v>
      </c>
      <c r="L17" s="63" t="s">
        <v>22</v>
      </c>
      <c r="M17" s="63">
        <v>6</v>
      </c>
      <c r="N17" s="65">
        <v>2756250</v>
      </c>
      <c r="O17" s="65">
        <f>N17*M17</f>
        <v>16537500</v>
      </c>
      <c r="P17" s="63" t="s">
        <v>285</v>
      </c>
      <c r="Q17" s="66"/>
    </row>
    <row r="18" spans="1:17" s="67" customFormat="1" ht="25.5">
      <c r="A18" s="63"/>
      <c r="B18" s="64" t="s">
        <v>23</v>
      </c>
      <c r="C18" s="63" t="s">
        <v>19</v>
      </c>
      <c r="D18" s="63" t="s">
        <v>284</v>
      </c>
      <c r="E18" s="63">
        <v>1700</v>
      </c>
      <c r="F18" s="63">
        <v>600</v>
      </c>
      <c r="G18" s="63"/>
      <c r="H18" s="63"/>
      <c r="I18" s="63"/>
      <c r="J18" s="63">
        <v>200</v>
      </c>
      <c r="K18" s="63">
        <v>1.1499999999999999</v>
      </c>
      <c r="L18" s="63" t="s">
        <v>22</v>
      </c>
      <c r="M18" s="63">
        <v>2</v>
      </c>
      <c r="N18" s="65">
        <v>2239250</v>
      </c>
      <c r="O18" s="65">
        <f>N18*M18</f>
        <v>4478500</v>
      </c>
      <c r="P18" s="63" t="s">
        <v>285</v>
      </c>
      <c r="Q18" s="66"/>
    </row>
    <row r="19" spans="1:17" s="67" customFormat="1" ht="25.5">
      <c r="A19" s="63"/>
      <c r="B19" s="64" t="s">
        <v>24</v>
      </c>
      <c r="C19" s="63" t="s">
        <v>19</v>
      </c>
      <c r="D19" s="63" t="s">
        <v>284</v>
      </c>
      <c r="E19" s="63">
        <v>1250</v>
      </c>
      <c r="F19" s="63">
        <v>350</v>
      </c>
      <c r="G19" s="63"/>
      <c r="H19" s="63"/>
      <c r="I19" s="63"/>
      <c r="J19" s="63">
        <v>200</v>
      </c>
      <c r="K19" s="63">
        <v>1.1499999999999999</v>
      </c>
      <c r="L19" s="63" t="s">
        <v>22</v>
      </c>
      <c r="M19" s="63">
        <v>1</v>
      </c>
      <c r="N19" s="65">
        <v>1454700</v>
      </c>
      <c r="O19" s="65">
        <f>N19*M19</f>
        <v>1454700</v>
      </c>
      <c r="P19" s="63" t="s">
        <v>285</v>
      </c>
      <c r="Q19" s="66"/>
    </row>
    <row r="20" spans="1:17" s="67" customFormat="1" ht="156" customHeight="1">
      <c r="A20" s="63"/>
      <c r="B20" s="64" t="s">
        <v>25</v>
      </c>
      <c r="C20" s="63" t="s">
        <v>313</v>
      </c>
      <c r="D20" s="63" t="s">
        <v>284</v>
      </c>
      <c r="E20" s="63">
        <v>1250</v>
      </c>
      <c r="F20" s="63">
        <v>1250</v>
      </c>
      <c r="G20" s="63">
        <v>1250</v>
      </c>
      <c r="H20" s="63">
        <f>F20/2</f>
        <v>625</v>
      </c>
      <c r="I20" s="63">
        <v>2</v>
      </c>
      <c r="J20" s="63">
        <v>200</v>
      </c>
      <c r="K20" s="63">
        <v>1.1499999999999999</v>
      </c>
      <c r="L20" s="63" t="s">
        <v>22</v>
      </c>
      <c r="M20" s="63">
        <v>6</v>
      </c>
      <c r="N20" s="65">
        <v>22530951.275167786</v>
      </c>
      <c r="O20" s="65">
        <f>N20*M20</f>
        <v>135185707.6510067</v>
      </c>
      <c r="P20" s="63" t="s">
        <v>314</v>
      </c>
      <c r="Q20" s="66"/>
    </row>
    <row r="21" spans="1:17" s="67" customFormat="1" ht="89.25">
      <c r="A21" s="63"/>
      <c r="B21" s="64" t="s">
        <v>28</v>
      </c>
      <c r="C21" s="63" t="s">
        <v>313</v>
      </c>
      <c r="D21" s="63" t="s">
        <v>284</v>
      </c>
      <c r="E21" s="63">
        <v>1700</v>
      </c>
      <c r="F21" s="63">
        <v>600</v>
      </c>
      <c r="G21" s="63">
        <f>E21/2</f>
        <v>850</v>
      </c>
      <c r="H21" s="63">
        <v>600</v>
      </c>
      <c r="I21" s="63">
        <v>2</v>
      </c>
      <c r="J21" s="63">
        <v>200</v>
      </c>
      <c r="K21" s="63">
        <v>1.1499999999999999</v>
      </c>
      <c r="L21" s="63" t="s">
        <v>22</v>
      </c>
      <c r="M21" s="63">
        <v>2</v>
      </c>
      <c r="N21" s="65">
        <v>13339928.053691277</v>
      </c>
      <c r="O21" s="65">
        <f>N21*M21</f>
        <v>26679856.107382555</v>
      </c>
      <c r="P21" s="63" t="s">
        <v>314</v>
      </c>
      <c r="Q21" s="66"/>
    </row>
    <row r="22" spans="1:17" s="67" customFormat="1" ht="76.5">
      <c r="A22" s="63"/>
      <c r="B22" s="64" t="s">
        <v>29</v>
      </c>
      <c r="C22" s="63" t="s">
        <v>313</v>
      </c>
      <c r="D22" s="63" t="s">
        <v>284</v>
      </c>
      <c r="E22" s="63">
        <v>1200</v>
      </c>
      <c r="F22" s="63">
        <v>350</v>
      </c>
      <c r="G22" s="63"/>
      <c r="H22" s="63"/>
      <c r="I22" s="63"/>
      <c r="J22" s="63">
        <v>200</v>
      </c>
      <c r="K22" s="63">
        <v>1.1499999999999999</v>
      </c>
      <c r="L22" s="63" t="s">
        <v>22</v>
      </c>
      <c r="M22" s="63">
        <v>1</v>
      </c>
      <c r="N22" s="65">
        <v>6898107.265100671</v>
      </c>
      <c r="O22" s="65">
        <f>N22*M22</f>
        <v>6898107.265100671</v>
      </c>
      <c r="P22" s="63" t="s">
        <v>315</v>
      </c>
      <c r="Q22" s="66"/>
    </row>
    <row r="23" spans="1:17" s="67" customFormat="1" ht="76.5">
      <c r="A23" s="63"/>
      <c r="B23" s="64" t="s">
        <v>30</v>
      </c>
      <c r="C23" s="63" t="s">
        <v>313</v>
      </c>
      <c r="D23" s="63" t="s">
        <v>284</v>
      </c>
      <c r="E23" s="63">
        <v>950</v>
      </c>
      <c r="F23" s="63">
        <v>400</v>
      </c>
      <c r="G23" s="63"/>
      <c r="H23" s="63"/>
      <c r="I23" s="63"/>
      <c r="J23" s="63">
        <v>200</v>
      </c>
      <c r="K23" s="63">
        <v>1.1499999999999999</v>
      </c>
      <c r="L23" s="63" t="s">
        <v>22</v>
      </c>
      <c r="M23" s="63">
        <v>3</v>
      </c>
      <c r="N23" s="65">
        <v>6604377.1308724834</v>
      </c>
      <c r="O23" s="65">
        <f>N23*M23</f>
        <v>19813131.392617449</v>
      </c>
      <c r="P23" s="63" t="s">
        <v>315</v>
      </c>
      <c r="Q23" s="66"/>
    </row>
    <row r="24" spans="1:17" s="67" customFormat="1" ht="76.5">
      <c r="A24" s="63"/>
      <c r="B24" s="64" t="s">
        <v>31</v>
      </c>
      <c r="C24" s="63" t="s">
        <v>313</v>
      </c>
      <c r="D24" s="63" t="s">
        <v>284</v>
      </c>
      <c r="E24" s="63">
        <v>950</v>
      </c>
      <c r="F24" s="63">
        <v>500</v>
      </c>
      <c r="G24" s="63"/>
      <c r="H24" s="63"/>
      <c r="I24" s="63"/>
      <c r="J24" s="63">
        <v>200</v>
      </c>
      <c r="K24" s="63">
        <v>1.1499999999999999</v>
      </c>
      <c r="L24" s="63" t="s">
        <v>22</v>
      </c>
      <c r="M24" s="63">
        <v>6</v>
      </c>
      <c r="N24" s="65">
        <v>7861757.0889261747</v>
      </c>
      <c r="O24" s="65">
        <f>N24*M24</f>
        <v>47170542.53355705</v>
      </c>
      <c r="P24" s="63" t="s">
        <v>315</v>
      </c>
      <c r="Q24" s="66"/>
    </row>
    <row r="25" spans="1:17" s="67" customFormat="1" ht="76.5">
      <c r="A25" s="63"/>
      <c r="B25" s="64" t="s">
        <v>32</v>
      </c>
      <c r="C25" s="63" t="s">
        <v>313</v>
      </c>
      <c r="D25" s="63" t="s">
        <v>284</v>
      </c>
      <c r="E25" s="63">
        <v>950</v>
      </c>
      <c r="F25" s="63">
        <v>200</v>
      </c>
      <c r="G25" s="63"/>
      <c r="H25" s="63"/>
      <c r="I25" s="63"/>
      <c r="J25" s="63">
        <v>200</v>
      </c>
      <c r="K25" s="63">
        <v>1.1499999999999999</v>
      </c>
      <c r="L25" s="63" t="s">
        <v>22</v>
      </c>
      <c r="M25" s="63">
        <v>9</v>
      </c>
      <c r="N25" s="65">
        <v>5185204.3704697983</v>
      </c>
      <c r="O25" s="65">
        <f>N25*M25</f>
        <v>46666839.334228188</v>
      </c>
      <c r="P25" s="63" t="s">
        <v>315</v>
      </c>
      <c r="Q25" s="66"/>
    </row>
    <row r="26" spans="1:17" s="67" customFormat="1" ht="76.5">
      <c r="A26" s="63"/>
      <c r="B26" s="64" t="s">
        <v>33</v>
      </c>
      <c r="C26" s="63" t="s">
        <v>313</v>
      </c>
      <c r="D26" s="63" t="s">
        <v>284</v>
      </c>
      <c r="E26" s="63">
        <v>950</v>
      </c>
      <c r="F26" s="63">
        <v>300</v>
      </c>
      <c r="G26" s="63"/>
      <c r="H26" s="63"/>
      <c r="I26" s="63"/>
      <c r="J26" s="63">
        <v>200</v>
      </c>
      <c r="K26" s="63">
        <v>1.1499999999999999</v>
      </c>
      <c r="L26" s="63" t="s">
        <v>22</v>
      </c>
      <c r="M26" s="63">
        <v>12</v>
      </c>
      <c r="N26" s="65">
        <v>6132447.5922818799</v>
      </c>
      <c r="O26" s="65">
        <f>N26*M26</f>
        <v>73589371.107382566</v>
      </c>
      <c r="P26" s="63" t="s">
        <v>315</v>
      </c>
      <c r="Q26" s="66"/>
    </row>
    <row r="27" spans="1:17" s="67" customFormat="1" ht="25.5">
      <c r="A27" s="63"/>
      <c r="B27" s="64" t="s">
        <v>34</v>
      </c>
      <c r="C27" s="63" t="s">
        <v>35</v>
      </c>
      <c r="D27" s="63" t="s">
        <v>284</v>
      </c>
      <c r="E27" s="63">
        <v>2000</v>
      </c>
      <c r="F27" s="63">
        <v>500</v>
      </c>
      <c r="G27" s="63"/>
      <c r="H27" s="63"/>
      <c r="I27" s="63"/>
      <c r="J27" s="63">
        <v>200</v>
      </c>
      <c r="K27" s="63">
        <v>1.1499999999999999</v>
      </c>
      <c r="L27" s="63" t="s">
        <v>22</v>
      </c>
      <c r="M27" s="63">
        <v>1</v>
      </c>
      <c r="N27" s="65">
        <v>2450000</v>
      </c>
      <c r="O27" s="65">
        <f>N27*M27</f>
        <v>2450000</v>
      </c>
      <c r="P27" s="63" t="s">
        <v>288</v>
      </c>
      <c r="Q27" s="66"/>
    </row>
    <row r="28" spans="1:17" s="67" customFormat="1" ht="25.5">
      <c r="A28" s="63"/>
      <c r="B28" s="64" t="s">
        <v>36</v>
      </c>
      <c r="C28" s="63" t="s">
        <v>35</v>
      </c>
      <c r="D28" s="63" t="s">
        <v>284</v>
      </c>
      <c r="E28" s="63">
        <v>1300</v>
      </c>
      <c r="F28" s="63">
        <v>400</v>
      </c>
      <c r="G28" s="63"/>
      <c r="H28" s="63"/>
      <c r="I28" s="63"/>
      <c r="J28" s="63">
        <v>200</v>
      </c>
      <c r="K28" s="63">
        <v>1.1499999999999999</v>
      </c>
      <c r="L28" s="63" t="s">
        <v>22</v>
      </c>
      <c r="M28" s="63">
        <v>2</v>
      </c>
      <c r="N28" s="65">
        <v>1700300</v>
      </c>
      <c r="O28" s="65">
        <f>N28*M28</f>
        <v>3400600</v>
      </c>
      <c r="P28" s="63" t="s">
        <v>288</v>
      </c>
      <c r="Q28" s="66"/>
    </row>
    <row r="29" spans="1:17" s="67" customFormat="1" ht="25.5">
      <c r="A29" s="63"/>
      <c r="B29" s="64" t="s">
        <v>37</v>
      </c>
      <c r="C29" s="63" t="s">
        <v>35</v>
      </c>
      <c r="D29" s="63" t="s">
        <v>284</v>
      </c>
      <c r="E29" s="63">
        <v>1600</v>
      </c>
      <c r="F29" s="63">
        <v>400</v>
      </c>
      <c r="G29" s="63"/>
      <c r="H29" s="63"/>
      <c r="I29" s="63"/>
      <c r="J29" s="63">
        <v>200</v>
      </c>
      <c r="K29" s="63">
        <v>1.1499999999999999</v>
      </c>
      <c r="L29" s="63" t="s">
        <v>22</v>
      </c>
      <c r="M29" s="63">
        <v>1</v>
      </c>
      <c r="N29" s="65">
        <v>1935050</v>
      </c>
      <c r="O29" s="65">
        <f>N29*M29</f>
        <v>1935050</v>
      </c>
      <c r="P29" s="63" t="s">
        <v>288</v>
      </c>
      <c r="Q29" s="66"/>
    </row>
    <row r="30" spans="1:17" s="67" customFormat="1" ht="25.5">
      <c r="A30" s="63"/>
      <c r="B30" s="64" t="s">
        <v>38</v>
      </c>
      <c r="C30" s="63" t="s">
        <v>35</v>
      </c>
      <c r="D30" s="63" t="s">
        <v>284</v>
      </c>
      <c r="E30" s="63">
        <v>1600</v>
      </c>
      <c r="F30" s="63">
        <v>450</v>
      </c>
      <c r="G30" s="63"/>
      <c r="H30" s="63"/>
      <c r="I30" s="63"/>
      <c r="J30" s="63">
        <v>200</v>
      </c>
      <c r="K30" s="63">
        <v>1.1499999999999999</v>
      </c>
      <c r="L30" s="63" t="s">
        <v>22</v>
      </c>
      <c r="M30" s="63">
        <v>1</v>
      </c>
      <c r="N30" s="65">
        <v>2020250</v>
      </c>
      <c r="O30" s="65">
        <f>N30*M30</f>
        <v>2020250</v>
      </c>
      <c r="P30" s="63" t="s">
        <v>288</v>
      </c>
      <c r="Q30" s="66"/>
    </row>
    <row r="31" spans="1:17" s="67" customFormat="1" ht="25.5">
      <c r="A31" s="63"/>
      <c r="B31" s="64" t="s">
        <v>39</v>
      </c>
      <c r="C31" s="63" t="s">
        <v>35</v>
      </c>
      <c r="D31" s="63" t="s">
        <v>284</v>
      </c>
      <c r="E31" s="63">
        <v>900</v>
      </c>
      <c r="F31" s="63">
        <v>350</v>
      </c>
      <c r="G31" s="63"/>
      <c r="H31" s="63"/>
      <c r="I31" s="63"/>
      <c r="J31" s="63">
        <v>200</v>
      </c>
      <c r="K31" s="63">
        <v>0.75</v>
      </c>
      <c r="L31" s="63" t="s">
        <v>22</v>
      </c>
      <c r="M31" s="63">
        <v>5</v>
      </c>
      <c r="N31" s="65">
        <v>840800</v>
      </c>
      <c r="O31" s="65">
        <f>N31*M31</f>
        <v>4204000</v>
      </c>
      <c r="P31" s="63" t="s">
        <v>288</v>
      </c>
      <c r="Q31" s="66"/>
    </row>
    <row r="32" spans="1:17" s="67" customFormat="1" ht="25.5">
      <c r="A32" s="63"/>
      <c r="B32" s="64" t="s">
        <v>40</v>
      </c>
      <c r="C32" s="63" t="s">
        <v>35</v>
      </c>
      <c r="D32" s="63" t="s">
        <v>284</v>
      </c>
      <c r="E32" s="63">
        <v>600</v>
      </c>
      <c r="F32" s="63">
        <v>300</v>
      </c>
      <c r="G32" s="63"/>
      <c r="H32" s="63"/>
      <c r="I32" s="63"/>
      <c r="J32" s="63">
        <v>200</v>
      </c>
      <c r="K32" s="63">
        <v>0.75</v>
      </c>
      <c r="L32" s="63" t="s">
        <v>22</v>
      </c>
      <c r="M32" s="63">
        <v>1</v>
      </c>
      <c r="N32" s="65">
        <v>594400</v>
      </c>
      <c r="O32" s="65">
        <f>N32*M32</f>
        <v>594400</v>
      </c>
      <c r="P32" s="63" t="s">
        <v>288</v>
      </c>
      <c r="Q32" s="66"/>
    </row>
    <row r="33" spans="1:17" s="67" customFormat="1" ht="25.5">
      <c r="A33" s="63"/>
      <c r="B33" s="64" t="s">
        <v>41</v>
      </c>
      <c r="C33" s="63"/>
      <c r="D33" s="63" t="s">
        <v>284</v>
      </c>
      <c r="E33" s="63"/>
      <c r="F33" s="63"/>
      <c r="G33" s="63"/>
      <c r="H33" s="63"/>
      <c r="I33" s="63"/>
      <c r="J33" s="63"/>
      <c r="K33" s="63"/>
      <c r="L33" s="63" t="s">
        <v>22</v>
      </c>
      <c r="M33" s="63">
        <v>112</v>
      </c>
      <c r="N33" s="65"/>
      <c r="O33" s="65">
        <f>N33*M33</f>
        <v>0</v>
      </c>
      <c r="P33" s="63"/>
      <c r="Q33" s="66"/>
    </row>
    <row r="34" spans="1:17" s="67" customFormat="1" ht="25.5">
      <c r="A34" s="63"/>
      <c r="B34" s="64" t="s">
        <v>44</v>
      </c>
      <c r="C34" s="63" t="s">
        <v>289</v>
      </c>
      <c r="D34" s="63" t="s">
        <v>284</v>
      </c>
      <c r="E34" s="63">
        <v>1200</v>
      </c>
      <c r="F34" s="63">
        <v>600</v>
      </c>
      <c r="G34" s="63">
        <f>E34-50</f>
        <v>1150</v>
      </c>
      <c r="H34" s="63">
        <f>F34-50</f>
        <v>550</v>
      </c>
      <c r="I34" s="63"/>
      <c r="J34" s="63"/>
      <c r="K34" s="63"/>
      <c r="L34" s="63" t="s">
        <v>22</v>
      </c>
      <c r="M34" s="63">
        <v>2</v>
      </c>
      <c r="N34" s="65">
        <v>1062000</v>
      </c>
      <c r="O34" s="65">
        <f>N34*M34</f>
        <v>2124000</v>
      </c>
      <c r="P34" s="63" t="s">
        <v>290</v>
      </c>
      <c r="Q34" s="66"/>
    </row>
    <row r="35" spans="1:17" s="67" customFormat="1" ht="25.5">
      <c r="A35" s="63"/>
      <c r="B35" s="64" t="s">
        <v>46</v>
      </c>
      <c r="C35" s="63" t="s">
        <v>289</v>
      </c>
      <c r="D35" s="63" t="s">
        <v>284</v>
      </c>
      <c r="E35" s="63">
        <v>1000</v>
      </c>
      <c r="F35" s="63">
        <v>600</v>
      </c>
      <c r="G35" s="63">
        <f>E35-50</f>
        <v>950</v>
      </c>
      <c r="H35" s="63">
        <f>F35-50</f>
        <v>550</v>
      </c>
      <c r="I35" s="63"/>
      <c r="J35" s="63"/>
      <c r="K35" s="63"/>
      <c r="L35" s="63" t="s">
        <v>22</v>
      </c>
      <c r="M35" s="63">
        <v>52</v>
      </c>
      <c r="N35" s="65">
        <v>896000</v>
      </c>
      <c r="O35" s="65">
        <f>N35*M35</f>
        <v>46592000</v>
      </c>
      <c r="P35" s="63" t="s">
        <v>290</v>
      </c>
      <c r="Q35" s="66"/>
    </row>
    <row r="36" spans="1:17" s="67" customFormat="1" ht="12.75">
      <c r="A36" s="63"/>
      <c r="B36" s="64" t="s">
        <v>48</v>
      </c>
      <c r="C36" s="63" t="s">
        <v>291</v>
      </c>
      <c r="D36" s="63" t="s">
        <v>284</v>
      </c>
      <c r="E36" s="63">
        <v>7500</v>
      </c>
      <c r="F36" s="63">
        <v>500</v>
      </c>
      <c r="G36" s="63">
        <f>E36-50</f>
        <v>7450</v>
      </c>
      <c r="H36" s="63">
        <f>F36-50</f>
        <v>450</v>
      </c>
      <c r="I36" s="63"/>
      <c r="J36" s="63"/>
      <c r="K36" s="63"/>
      <c r="L36" s="63" t="s">
        <v>22</v>
      </c>
      <c r="M36" s="63">
        <v>1</v>
      </c>
      <c r="N36" s="65">
        <v>5097000</v>
      </c>
      <c r="O36" s="65">
        <f>N36*M36</f>
        <v>5097000</v>
      </c>
      <c r="P36" s="63" t="s">
        <v>292</v>
      </c>
      <c r="Q36" s="66"/>
    </row>
    <row r="37" spans="1:17" s="67" customFormat="1" ht="12.75">
      <c r="A37" s="63"/>
      <c r="B37" s="64" t="s">
        <v>50</v>
      </c>
      <c r="C37" s="63" t="s">
        <v>291</v>
      </c>
      <c r="D37" s="63" t="s">
        <v>284</v>
      </c>
      <c r="E37" s="63">
        <v>4500</v>
      </c>
      <c r="F37" s="63">
        <v>500</v>
      </c>
      <c r="G37" s="63">
        <f>E37-50</f>
        <v>4450</v>
      </c>
      <c r="H37" s="63">
        <f>F37-50</f>
        <v>450</v>
      </c>
      <c r="I37" s="63"/>
      <c r="J37" s="63"/>
      <c r="K37" s="63"/>
      <c r="L37" s="63" t="s">
        <v>22</v>
      </c>
      <c r="M37" s="63">
        <v>4</v>
      </c>
      <c r="N37" s="65">
        <v>3073000</v>
      </c>
      <c r="O37" s="65">
        <f>N37*M37</f>
        <v>12292000</v>
      </c>
      <c r="P37" s="63" t="s">
        <v>292</v>
      </c>
      <c r="Q37" s="66"/>
    </row>
    <row r="38" spans="1:17" s="67" customFormat="1" ht="12.75">
      <c r="A38" s="63"/>
      <c r="B38" s="64" t="s">
        <v>51</v>
      </c>
      <c r="C38" s="63" t="s">
        <v>291</v>
      </c>
      <c r="D38" s="63" t="s">
        <v>284</v>
      </c>
      <c r="E38" s="63">
        <v>4000</v>
      </c>
      <c r="F38" s="63">
        <v>500</v>
      </c>
      <c r="G38" s="63">
        <f>E38-50</f>
        <v>3950</v>
      </c>
      <c r="H38" s="63">
        <f>F38-50</f>
        <v>450</v>
      </c>
      <c r="I38" s="63"/>
      <c r="J38" s="63"/>
      <c r="K38" s="63"/>
      <c r="L38" s="63" t="s">
        <v>22</v>
      </c>
      <c r="M38" s="63">
        <v>4</v>
      </c>
      <c r="N38" s="65">
        <v>2737000</v>
      </c>
      <c r="O38" s="65">
        <f>N38*M38</f>
        <v>10948000</v>
      </c>
      <c r="P38" s="63" t="s">
        <v>292</v>
      </c>
      <c r="Q38" s="66"/>
    </row>
    <row r="39" spans="1:17" s="67" customFormat="1" ht="12.75">
      <c r="A39" s="63"/>
      <c r="B39" s="64" t="s">
        <v>52</v>
      </c>
      <c r="C39" s="63" t="s">
        <v>291</v>
      </c>
      <c r="D39" s="63" t="s">
        <v>284</v>
      </c>
      <c r="E39" s="63">
        <v>3000</v>
      </c>
      <c r="F39" s="63">
        <v>500</v>
      </c>
      <c r="G39" s="63">
        <f>E39-50</f>
        <v>2950</v>
      </c>
      <c r="H39" s="63">
        <f>F39-50</f>
        <v>450</v>
      </c>
      <c r="I39" s="63"/>
      <c r="J39" s="63"/>
      <c r="K39" s="63"/>
      <c r="L39" s="63" t="s">
        <v>22</v>
      </c>
      <c r="M39" s="63">
        <v>1</v>
      </c>
      <c r="N39" s="65">
        <v>2062000</v>
      </c>
      <c r="O39" s="65">
        <f>N39*M39</f>
        <v>2062000</v>
      </c>
      <c r="P39" s="63" t="s">
        <v>292</v>
      </c>
      <c r="Q39" s="66"/>
    </row>
    <row r="40" spans="1:17" s="67" customFormat="1" ht="12.75">
      <c r="A40" s="63"/>
      <c r="B40" s="64" t="s">
        <v>53</v>
      </c>
      <c r="C40" s="63" t="s">
        <v>291</v>
      </c>
      <c r="D40" s="63" t="s">
        <v>284</v>
      </c>
      <c r="E40" s="63">
        <v>2750</v>
      </c>
      <c r="F40" s="63">
        <v>750</v>
      </c>
      <c r="G40" s="63">
        <f>E40-50</f>
        <v>2700</v>
      </c>
      <c r="H40" s="63">
        <f>F40-50</f>
        <v>700</v>
      </c>
      <c r="I40" s="63"/>
      <c r="J40" s="63"/>
      <c r="K40" s="63"/>
      <c r="L40" s="63" t="s">
        <v>22</v>
      </c>
      <c r="M40" s="63">
        <v>2</v>
      </c>
      <c r="N40" s="65">
        <v>2842000</v>
      </c>
      <c r="O40" s="65">
        <f>N40*M40</f>
        <v>5684000</v>
      </c>
      <c r="P40" s="63" t="s">
        <v>293</v>
      </c>
      <c r="Q40" s="66"/>
    </row>
    <row r="41" spans="1:17" s="67" customFormat="1" ht="12.75">
      <c r="A41" s="63"/>
      <c r="B41" s="64" t="s">
        <v>54</v>
      </c>
      <c r="C41" s="63"/>
      <c r="D41" s="63"/>
      <c r="E41" s="63">
        <v>600</v>
      </c>
      <c r="F41" s="63">
        <v>300</v>
      </c>
      <c r="G41" s="63"/>
      <c r="H41" s="63"/>
      <c r="I41" s="63"/>
      <c r="J41" s="63">
        <v>200</v>
      </c>
      <c r="K41" s="63"/>
      <c r="L41" s="63" t="s">
        <v>22</v>
      </c>
      <c r="M41" s="63">
        <v>112</v>
      </c>
      <c r="N41" s="65"/>
      <c r="O41" s="65">
        <f>N41*M41</f>
        <v>0</v>
      </c>
      <c r="P41" s="63"/>
      <c r="Q41" s="66"/>
    </row>
    <row r="42" spans="1:17" s="67" customFormat="1" ht="12.75">
      <c r="A42" s="63"/>
      <c r="B42" s="64" t="s">
        <v>55</v>
      </c>
      <c r="C42" s="63"/>
      <c r="D42" s="63"/>
      <c r="E42" s="63">
        <v>1200</v>
      </c>
      <c r="F42" s="63">
        <v>600</v>
      </c>
      <c r="G42" s="63"/>
      <c r="H42" s="63"/>
      <c r="I42" s="63"/>
      <c r="J42" s="63">
        <v>200</v>
      </c>
      <c r="K42" s="63"/>
      <c r="L42" s="63" t="s">
        <v>22</v>
      </c>
      <c r="M42" s="63">
        <v>2</v>
      </c>
      <c r="N42" s="65"/>
      <c r="O42" s="65">
        <f>N42*M42</f>
        <v>0</v>
      </c>
      <c r="P42" s="63"/>
      <c r="Q42" s="66"/>
    </row>
    <row r="43" spans="1:17" s="67" customFormat="1" ht="12.75">
      <c r="A43" s="63"/>
      <c r="B43" s="64" t="s">
        <v>56</v>
      </c>
      <c r="C43" s="63"/>
      <c r="D43" s="63"/>
      <c r="E43" s="63">
        <v>1000</v>
      </c>
      <c r="F43" s="63">
        <v>300</v>
      </c>
      <c r="G43" s="63"/>
      <c r="H43" s="63"/>
      <c r="I43" s="63"/>
      <c r="J43" s="63">
        <v>200</v>
      </c>
      <c r="K43" s="63"/>
      <c r="L43" s="63" t="s">
        <v>22</v>
      </c>
      <c r="M43" s="63">
        <v>52</v>
      </c>
      <c r="N43" s="65"/>
      <c r="O43" s="65">
        <f>N43*M43</f>
        <v>0</v>
      </c>
      <c r="P43" s="63"/>
      <c r="Q43" s="66"/>
    </row>
    <row r="44" spans="1:17" s="67" customFormat="1" ht="12.75">
      <c r="A44" s="63"/>
      <c r="B44" s="64" t="s">
        <v>57</v>
      </c>
      <c r="C44" s="63"/>
      <c r="D44" s="63"/>
      <c r="E44" s="63"/>
      <c r="F44" s="63"/>
      <c r="G44" s="63"/>
      <c r="H44" s="63"/>
      <c r="I44" s="63"/>
      <c r="J44" s="63"/>
      <c r="K44" s="63"/>
      <c r="L44" s="63" t="s">
        <v>58</v>
      </c>
      <c r="M44" s="63">
        <v>1</v>
      </c>
      <c r="N44" s="65"/>
      <c r="O44" s="65">
        <f>N44*M44</f>
        <v>0</v>
      </c>
      <c r="P44" s="63"/>
      <c r="Q44" s="66"/>
    </row>
    <row r="45" spans="1:17" s="67" customFormat="1" ht="12.75">
      <c r="A45" s="63"/>
      <c r="B45" s="64" t="s">
        <v>60</v>
      </c>
      <c r="C45" s="63"/>
      <c r="D45" s="63"/>
      <c r="E45" s="63"/>
      <c r="F45" s="63"/>
      <c r="G45" s="63"/>
      <c r="H45" s="63"/>
      <c r="I45" s="63"/>
      <c r="J45" s="63"/>
      <c r="K45" s="63"/>
      <c r="L45" s="63"/>
      <c r="M45" s="63"/>
      <c r="N45" s="65"/>
      <c r="O45" s="65">
        <f>N45*M45</f>
        <v>0</v>
      </c>
      <c r="P45" s="63"/>
      <c r="Q45" s="66"/>
    </row>
    <row r="46" spans="1:17" s="67" customFormat="1" ht="25.5">
      <c r="A46" s="63"/>
      <c r="B46" s="64" t="s">
        <v>61</v>
      </c>
      <c r="C46" s="63" t="s">
        <v>19</v>
      </c>
      <c r="D46" s="63" t="s">
        <v>284</v>
      </c>
      <c r="E46" s="63">
        <v>300</v>
      </c>
      <c r="F46" s="63">
        <v>200</v>
      </c>
      <c r="G46" s="63"/>
      <c r="H46" s="63"/>
      <c r="I46" s="63"/>
      <c r="J46" s="63">
        <v>200</v>
      </c>
      <c r="K46" s="63">
        <v>0.75</v>
      </c>
      <c r="L46" s="63" t="s">
        <v>22</v>
      </c>
      <c r="M46" s="63">
        <v>1</v>
      </c>
      <c r="N46" s="65">
        <v>283200</v>
      </c>
      <c r="O46" s="65">
        <f>N46*M46</f>
        <v>283200</v>
      </c>
      <c r="P46" s="63" t="s">
        <v>285</v>
      </c>
      <c r="Q46" s="66"/>
    </row>
    <row r="47" spans="1:17" s="67" customFormat="1" ht="25.5">
      <c r="A47" s="63"/>
      <c r="B47" s="64" t="s">
        <v>63</v>
      </c>
      <c r="C47" s="63" t="s">
        <v>19</v>
      </c>
      <c r="D47" s="63" t="s">
        <v>284</v>
      </c>
      <c r="E47" s="63">
        <v>700</v>
      </c>
      <c r="F47" s="63">
        <v>500</v>
      </c>
      <c r="G47" s="63"/>
      <c r="H47" s="63"/>
      <c r="I47" s="63"/>
      <c r="J47" s="63">
        <v>200</v>
      </c>
      <c r="K47" s="63">
        <v>0.95</v>
      </c>
      <c r="L47" s="63" t="s">
        <v>22</v>
      </c>
      <c r="M47" s="63">
        <v>2</v>
      </c>
      <c r="N47" s="65">
        <v>846400</v>
      </c>
      <c r="O47" s="65">
        <f>N47*M47</f>
        <v>1692800</v>
      </c>
      <c r="P47" s="63" t="s">
        <v>285</v>
      </c>
      <c r="Q47" s="66"/>
    </row>
    <row r="48" spans="1:17" s="67" customFormat="1" ht="25.5">
      <c r="A48" s="63"/>
      <c r="B48" s="64" t="s">
        <v>64</v>
      </c>
      <c r="C48" s="63" t="s">
        <v>19</v>
      </c>
      <c r="D48" s="63" t="s">
        <v>284</v>
      </c>
      <c r="E48" s="63">
        <v>700</v>
      </c>
      <c r="F48" s="63">
        <v>800</v>
      </c>
      <c r="G48" s="63"/>
      <c r="H48" s="63"/>
      <c r="I48" s="63"/>
      <c r="J48" s="63">
        <v>200</v>
      </c>
      <c r="K48" s="63">
        <v>0.95</v>
      </c>
      <c r="L48" s="63" t="s">
        <v>22</v>
      </c>
      <c r="M48" s="63">
        <v>2</v>
      </c>
      <c r="N48" s="65">
        <v>1078200</v>
      </c>
      <c r="O48" s="65">
        <f>N48*M48</f>
        <v>2156400</v>
      </c>
      <c r="P48" s="63" t="s">
        <v>285</v>
      </c>
      <c r="Q48" s="66"/>
    </row>
    <row r="49" spans="1:17" s="67" customFormat="1" ht="25.5">
      <c r="A49" s="63"/>
      <c r="B49" s="64" t="s">
        <v>65</v>
      </c>
      <c r="C49" s="63" t="s">
        <v>19</v>
      </c>
      <c r="D49" s="63" t="s">
        <v>284</v>
      </c>
      <c r="E49" s="63">
        <v>250</v>
      </c>
      <c r="F49" s="63">
        <v>200</v>
      </c>
      <c r="G49" s="63"/>
      <c r="H49" s="63"/>
      <c r="I49" s="63"/>
      <c r="J49" s="63">
        <v>200</v>
      </c>
      <c r="K49" s="63">
        <v>0.75</v>
      </c>
      <c r="L49" s="63" t="s">
        <v>22</v>
      </c>
      <c r="M49" s="63">
        <v>1</v>
      </c>
      <c r="N49" s="65">
        <v>257400</v>
      </c>
      <c r="O49" s="65">
        <f>N49*M49</f>
        <v>257400</v>
      </c>
      <c r="P49" s="63" t="s">
        <v>285</v>
      </c>
      <c r="Q49" s="66"/>
    </row>
    <row r="50" spans="1:17" s="67" customFormat="1" ht="25.5">
      <c r="A50" s="63"/>
      <c r="B50" s="64" t="s">
        <v>66</v>
      </c>
      <c r="C50" s="63" t="s">
        <v>19</v>
      </c>
      <c r="D50" s="63" t="s">
        <v>284</v>
      </c>
      <c r="E50" s="63">
        <v>900</v>
      </c>
      <c r="F50" s="63">
        <v>400</v>
      </c>
      <c r="G50" s="63"/>
      <c r="H50" s="63"/>
      <c r="I50" s="63"/>
      <c r="J50" s="63">
        <v>200</v>
      </c>
      <c r="K50" s="63">
        <v>0.75</v>
      </c>
      <c r="L50" s="63" t="s">
        <v>22</v>
      </c>
      <c r="M50" s="63">
        <v>2</v>
      </c>
      <c r="N50" s="65">
        <v>831800</v>
      </c>
      <c r="O50" s="65">
        <f>N50*M50</f>
        <v>1663600</v>
      </c>
      <c r="P50" s="63" t="s">
        <v>285</v>
      </c>
      <c r="Q50" s="66"/>
    </row>
    <row r="51" spans="1:17" s="67" customFormat="1" ht="25.5">
      <c r="A51" s="63"/>
      <c r="B51" s="64" t="s">
        <v>67</v>
      </c>
      <c r="C51" s="63" t="s">
        <v>19</v>
      </c>
      <c r="D51" s="63" t="s">
        <v>284</v>
      </c>
      <c r="E51" s="63">
        <v>300</v>
      </c>
      <c r="F51" s="63">
        <v>300</v>
      </c>
      <c r="G51" s="63"/>
      <c r="H51" s="63"/>
      <c r="I51" s="63"/>
      <c r="J51" s="63">
        <v>200</v>
      </c>
      <c r="K51" s="63">
        <v>0.75</v>
      </c>
      <c r="L51" s="63" t="s">
        <v>22</v>
      </c>
      <c r="M51" s="63">
        <v>1</v>
      </c>
      <c r="N51" s="65">
        <v>378000</v>
      </c>
      <c r="O51" s="65">
        <f>N51*M51</f>
        <v>378000</v>
      </c>
      <c r="P51" s="63" t="s">
        <v>285</v>
      </c>
      <c r="Q51" s="66"/>
    </row>
    <row r="52" spans="1:17" s="67" customFormat="1" ht="25.5">
      <c r="A52" s="63"/>
      <c r="B52" s="64" t="s">
        <v>68</v>
      </c>
      <c r="C52" s="63" t="s">
        <v>19</v>
      </c>
      <c r="D52" s="63" t="s">
        <v>284</v>
      </c>
      <c r="E52" s="63">
        <v>350</v>
      </c>
      <c r="F52" s="63">
        <v>250</v>
      </c>
      <c r="G52" s="63"/>
      <c r="H52" s="63"/>
      <c r="I52" s="63"/>
      <c r="J52" s="63">
        <v>200</v>
      </c>
      <c r="K52" s="63">
        <v>0.75</v>
      </c>
      <c r="L52" s="63" t="s">
        <v>22</v>
      </c>
      <c r="M52" s="63">
        <v>1</v>
      </c>
      <c r="N52" s="65">
        <v>335200</v>
      </c>
      <c r="O52" s="65">
        <f>N52*M52</f>
        <v>335200</v>
      </c>
      <c r="P52" s="63" t="s">
        <v>285</v>
      </c>
      <c r="Q52" s="66"/>
    </row>
    <row r="53" spans="1:17" s="67" customFormat="1" ht="25.5">
      <c r="A53" s="63"/>
      <c r="B53" s="64" t="s">
        <v>69</v>
      </c>
      <c r="C53" s="63" t="s">
        <v>19</v>
      </c>
      <c r="D53" s="63" t="s">
        <v>284</v>
      </c>
      <c r="E53" s="63">
        <v>350</v>
      </c>
      <c r="F53" s="63">
        <v>150</v>
      </c>
      <c r="G53" s="63"/>
      <c r="H53" s="63"/>
      <c r="I53" s="63"/>
      <c r="J53" s="63">
        <v>200</v>
      </c>
      <c r="K53" s="63">
        <v>0.75</v>
      </c>
      <c r="L53" s="63" t="s">
        <v>22</v>
      </c>
      <c r="M53" s="63">
        <v>1</v>
      </c>
      <c r="N53" s="65">
        <v>278800</v>
      </c>
      <c r="O53" s="65">
        <f>N53*M53</f>
        <v>278800</v>
      </c>
      <c r="P53" s="63" t="s">
        <v>285</v>
      </c>
      <c r="Q53" s="66"/>
    </row>
    <row r="54" spans="1:17" s="67" customFormat="1" ht="76.5">
      <c r="A54" s="63"/>
      <c r="B54" s="64" t="s">
        <v>70</v>
      </c>
      <c r="C54" s="63" t="s">
        <v>313</v>
      </c>
      <c r="D54" s="63" t="s">
        <v>284</v>
      </c>
      <c r="E54" s="63">
        <v>350</v>
      </c>
      <c r="F54" s="63">
        <v>200</v>
      </c>
      <c r="G54" s="63"/>
      <c r="H54" s="63"/>
      <c r="I54" s="63"/>
      <c r="J54" s="63">
        <v>200</v>
      </c>
      <c r="K54" s="63">
        <v>1.1499999999999999</v>
      </c>
      <c r="L54" s="63" t="s">
        <v>22</v>
      </c>
      <c r="M54" s="63">
        <v>1</v>
      </c>
      <c r="N54" s="65">
        <v>4530057.1382550336</v>
      </c>
      <c r="O54" s="65">
        <f>N54*M54</f>
        <v>4530057.1382550336</v>
      </c>
      <c r="P54" s="63" t="s">
        <v>315</v>
      </c>
      <c r="Q54" s="66"/>
    </row>
    <row r="55" spans="1:17" s="67" customFormat="1" ht="76.5">
      <c r="A55" s="63"/>
      <c r="B55" s="64" t="s">
        <v>71</v>
      </c>
      <c r="C55" s="63" t="s">
        <v>313</v>
      </c>
      <c r="D55" s="63" t="s">
        <v>284</v>
      </c>
      <c r="E55" s="63">
        <v>700</v>
      </c>
      <c r="F55" s="63">
        <v>500</v>
      </c>
      <c r="G55" s="63"/>
      <c r="H55" s="63"/>
      <c r="I55" s="63"/>
      <c r="J55" s="63">
        <v>200</v>
      </c>
      <c r="K55" s="63">
        <v>1.1499999999999999</v>
      </c>
      <c r="L55" s="63" t="s">
        <v>22</v>
      </c>
      <c r="M55" s="63">
        <v>2</v>
      </c>
      <c r="N55" s="65">
        <v>6962816.0234899335</v>
      </c>
      <c r="O55" s="65">
        <f>N55*M55</f>
        <v>13925632.046979867</v>
      </c>
      <c r="P55" s="63" t="s">
        <v>315</v>
      </c>
      <c r="Q55" s="66"/>
    </row>
    <row r="56" spans="1:17" s="67" customFormat="1" ht="76.5">
      <c r="A56" s="63"/>
      <c r="B56" s="64" t="s">
        <v>72</v>
      </c>
      <c r="C56" s="63" t="s">
        <v>313</v>
      </c>
      <c r="D56" s="63" t="s">
        <v>284</v>
      </c>
      <c r="E56" s="63">
        <v>700</v>
      </c>
      <c r="F56" s="63">
        <v>800</v>
      </c>
      <c r="G56" s="63"/>
      <c r="H56" s="63"/>
      <c r="I56" s="63"/>
      <c r="J56" s="63">
        <v>200</v>
      </c>
      <c r="K56" s="63">
        <v>1.1499999999999999</v>
      </c>
      <c r="L56" s="63" t="s">
        <v>22</v>
      </c>
      <c r="M56" s="63">
        <v>2</v>
      </c>
      <c r="N56" s="65">
        <v>8399469.56375839</v>
      </c>
      <c r="O56" s="65">
        <f>N56*M56</f>
        <v>16798939.12751678</v>
      </c>
      <c r="P56" s="63" t="s">
        <v>315</v>
      </c>
      <c r="Q56" s="66"/>
    </row>
    <row r="57" spans="1:17" s="67" customFormat="1" ht="76.5">
      <c r="A57" s="63"/>
      <c r="B57" s="64" t="s">
        <v>73</v>
      </c>
      <c r="C57" s="63" t="s">
        <v>313</v>
      </c>
      <c r="D57" s="63" t="s">
        <v>284</v>
      </c>
      <c r="E57" s="63">
        <v>1200</v>
      </c>
      <c r="F57" s="63">
        <v>600</v>
      </c>
      <c r="G57" s="63"/>
      <c r="H57" s="63"/>
      <c r="I57" s="63"/>
      <c r="J57" s="63">
        <v>200</v>
      </c>
      <c r="K57" s="63">
        <v>1.1499999999999999</v>
      </c>
      <c r="L57" s="63" t="s">
        <v>22</v>
      </c>
      <c r="M57" s="63">
        <v>2</v>
      </c>
      <c r="N57" s="65">
        <v>9537852.8859060407</v>
      </c>
      <c r="O57" s="65">
        <f>N57*M57</f>
        <v>19075705.771812081</v>
      </c>
      <c r="P57" s="63" t="s">
        <v>315</v>
      </c>
      <c r="Q57" s="66"/>
    </row>
    <row r="58" spans="1:17" s="67" customFormat="1" ht="76.5">
      <c r="A58" s="63"/>
      <c r="B58" s="64" t="s">
        <v>74</v>
      </c>
      <c r="C58" s="63" t="s">
        <v>313</v>
      </c>
      <c r="D58" s="63" t="s">
        <v>284</v>
      </c>
      <c r="E58" s="63">
        <v>250</v>
      </c>
      <c r="F58" s="63">
        <v>200</v>
      </c>
      <c r="G58" s="63"/>
      <c r="H58" s="63"/>
      <c r="I58" s="63"/>
      <c r="J58" s="63">
        <v>200</v>
      </c>
      <c r="K58" s="63">
        <v>1.1499999999999999</v>
      </c>
      <c r="L58" s="63" t="s">
        <v>22</v>
      </c>
      <c r="M58" s="63">
        <v>2</v>
      </c>
      <c r="N58" s="65">
        <v>4954176.5</v>
      </c>
      <c r="O58" s="65">
        <f>N58*M58</f>
        <v>9908353</v>
      </c>
      <c r="P58" s="63" t="s">
        <v>315</v>
      </c>
      <c r="Q58" s="66"/>
    </row>
    <row r="59" spans="1:17" s="67" customFormat="1" ht="76.5">
      <c r="A59" s="63"/>
      <c r="B59" s="64" t="s">
        <v>75</v>
      </c>
      <c r="C59" s="63" t="s">
        <v>313</v>
      </c>
      <c r="D59" s="63" t="s">
        <v>284</v>
      </c>
      <c r="E59" s="63">
        <v>900</v>
      </c>
      <c r="F59" s="63">
        <v>400</v>
      </c>
      <c r="G59" s="63"/>
      <c r="H59" s="63"/>
      <c r="I59" s="63"/>
      <c r="J59" s="63">
        <v>200</v>
      </c>
      <c r="K59" s="63">
        <v>1.1499999999999999</v>
      </c>
      <c r="L59" s="63" t="s">
        <v>22</v>
      </c>
      <c r="M59" s="63">
        <v>5</v>
      </c>
      <c r="N59" s="65">
        <v>6487040.1677852347</v>
      </c>
      <c r="O59" s="65">
        <f>N59*M59</f>
        <v>32435200.838926174</v>
      </c>
      <c r="P59" s="63" t="s">
        <v>315</v>
      </c>
      <c r="Q59" s="66"/>
    </row>
    <row r="60" spans="1:17" s="67" customFormat="1" ht="76.5">
      <c r="A60" s="63"/>
      <c r="B60" s="64" t="s">
        <v>76</v>
      </c>
      <c r="C60" s="63" t="s">
        <v>313</v>
      </c>
      <c r="D60" s="63" t="s">
        <v>284</v>
      </c>
      <c r="E60" s="63">
        <v>900</v>
      </c>
      <c r="F60" s="63">
        <v>400</v>
      </c>
      <c r="G60" s="63"/>
      <c r="H60" s="63"/>
      <c r="I60" s="63"/>
      <c r="J60" s="63">
        <v>200</v>
      </c>
      <c r="K60" s="63">
        <v>1.1499999999999999</v>
      </c>
      <c r="L60" s="63" t="s">
        <v>22</v>
      </c>
      <c r="M60" s="63">
        <v>5</v>
      </c>
      <c r="N60" s="65">
        <v>6487040.1677852347</v>
      </c>
      <c r="O60" s="65">
        <f>N60*M60</f>
        <v>32435200.838926174</v>
      </c>
      <c r="P60" s="63" t="s">
        <v>315</v>
      </c>
      <c r="Q60" s="66"/>
    </row>
    <row r="61" spans="1:17" s="67" customFormat="1" ht="76.5">
      <c r="A61" s="63"/>
      <c r="B61" s="64" t="s">
        <v>77</v>
      </c>
      <c r="C61" s="63" t="s">
        <v>313</v>
      </c>
      <c r="D61" s="63" t="s">
        <v>284</v>
      </c>
      <c r="E61" s="63">
        <v>300</v>
      </c>
      <c r="F61" s="63">
        <v>300</v>
      </c>
      <c r="G61" s="63"/>
      <c r="H61" s="63"/>
      <c r="I61" s="63"/>
      <c r="J61" s="63">
        <v>200</v>
      </c>
      <c r="K61" s="63">
        <v>1.1499999999999999</v>
      </c>
      <c r="L61" s="63" t="s">
        <v>22</v>
      </c>
      <c r="M61" s="63">
        <v>6</v>
      </c>
      <c r="N61" s="65">
        <v>5307117.7</v>
      </c>
      <c r="O61" s="65">
        <f>N61*M61</f>
        <v>31842706.200000003</v>
      </c>
      <c r="P61" s="63" t="s">
        <v>315</v>
      </c>
      <c r="Q61" s="66"/>
    </row>
    <row r="62" spans="1:17" s="67" customFormat="1" ht="76.5">
      <c r="A62" s="63"/>
      <c r="B62" s="64" t="s">
        <v>78</v>
      </c>
      <c r="C62" s="63" t="s">
        <v>313</v>
      </c>
      <c r="D62" s="63" t="s">
        <v>284</v>
      </c>
      <c r="E62" s="63">
        <v>250</v>
      </c>
      <c r="F62" s="63">
        <v>200</v>
      </c>
      <c r="G62" s="63"/>
      <c r="H62" s="63"/>
      <c r="I62" s="63"/>
      <c r="J62" s="63">
        <v>200</v>
      </c>
      <c r="K62" s="63">
        <v>1.1499999999999999</v>
      </c>
      <c r="L62" s="63" t="s">
        <v>22</v>
      </c>
      <c r="M62" s="63">
        <v>1</v>
      </c>
      <c r="N62" s="65">
        <v>4954176.5</v>
      </c>
      <c r="O62" s="65">
        <f>N62*M62</f>
        <v>4954176.5</v>
      </c>
      <c r="P62" s="63" t="s">
        <v>315</v>
      </c>
      <c r="Q62" s="66"/>
    </row>
    <row r="63" spans="1:17" s="67" customFormat="1" ht="76.5">
      <c r="A63" s="63"/>
      <c r="B63" s="64" t="s">
        <v>70</v>
      </c>
      <c r="C63" s="63" t="s">
        <v>313</v>
      </c>
      <c r="D63" s="63" t="s">
        <v>284</v>
      </c>
      <c r="E63" s="63">
        <v>350</v>
      </c>
      <c r="F63" s="63">
        <v>200</v>
      </c>
      <c r="G63" s="63"/>
      <c r="H63" s="63"/>
      <c r="I63" s="63"/>
      <c r="J63" s="63">
        <v>200</v>
      </c>
      <c r="K63" s="63">
        <v>1.1499999999999999</v>
      </c>
      <c r="L63" s="63" t="s">
        <v>22</v>
      </c>
      <c r="M63" s="63">
        <v>1</v>
      </c>
      <c r="N63" s="65">
        <v>5158547.0999999996</v>
      </c>
      <c r="O63" s="65">
        <f>N63*M63</f>
        <v>5158547.0999999996</v>
      </c>
      <c r="P63" s="63" t="s">
        <v>315</v>
      </c>
      <c r="Q63" s="66"/>
    </row>
    <row r="64" spans="1:17" s="67" customFormat="1" ht="76.5">
      <c r="A64" s="63"/>
      <c r="B64" s="64" t="s">
        <v>79</v>
      </c>
      <c r="C64" s="63" t="s">
        <v>313</v>
      </c>
      <c r="D64" s="63" t="s">
        <v>284</v>
      </c>
      <c r="E64" s="63">
        <v>350</v>
      </c>
      <c r="F64" s="63">
        <v>150</v>
      </c>
      <c r="G64" s="63"/>
      <c r="H64" s="63"/>
      <c r="I64" s="63"/>
      <c r="J64" s="63">
        <v>200</v>
      </c>
      <c r="K64" s="63">
        <v>1.1499999999999999</v>
      </c>
      <c r="L64" s="63" t="s">
        <v>22</v>
      </c>
      <c r="M64" s="63">
        <v>3</v>
      </c>
      <c r="N64" s="65">
        <v>5020410.3250000002</v>
      </c>
      <c r="O64" s="65">
        <f>N64*M64</f>
        <v>15061230.975000001</v>
      </c>
      <c r="P64" s="63" t="s">
        <v>315</v>
      </c>
      <c r="Q64" s="66"/>
    </row>
    <row r="65" spans="1:17" s="67" customFormat="1" ht="76.5">
      <c r="A65" s="63"/>
      <c r="B65" s="64" t="s">
        <v>80</v>
      </c>
      <c r="C65" s="63" t="s">
        <v>313</v>
      </c>
      <c r="D65" s="63" t="s">
        <v>284</v>
      </c>
      <c r="E65" s="63">
        <v>1000</v>
      </c>
      <c r="F65" s="63">
        <v>300</v>
      </c>
      <c r="G65" s="63"/>
      <c r="H65" s="63"/>
      <c r="I65" s="63"/>
      <c r="J65" s="63">
        <v>200</v>
      </c>
      <c r="K65" s="63">
        <v>1.1499999999999999</v>
      </c>
      <c r="L65" s="63" t="s">
        <v>22</v>
      </c>
      <c r="M65" s="63">
        <v>2</v>
      </c>
      <c r="N65" s="65">
        <v>6227988.5906040277</v>
      </c>
      <c r="O65" s="65">
        <f>N65*M65</f>
        <v>12455977.181208055</v>
      </c>
      <c r="P65" s="63" t="s">
        <v>315</v>
      </c>
      <c r="Q65" s="66"/>
    </row>
    <row r="66" spans="1:17" s="67" customFormat="1" ht="76.5">
      <c r="A66" s="63"/>
      <c r="B66" s="64" t="s">
        <v>81</v>
      </c>
      <c r="C66" s="63" t="s">
        <v>313</v>
      </c>
      <c r="D66" s="63" t="s">
        <v>284</v>
      </c>
      <c r="E66" s="63">
        <v>850</v>
      </c>
      <c r="F66" s="63">
        <v>300</v>
      </c>
      <c r="G66" s="63"/>
      <c r="H66" s="63"/>
      <c r="I66" s="63"/>
      <c r="J66" s="63">
        <v>200</v>
      </c>
      <c r="K66" s="63">
        <v>1.1499999999999999</v>
      </c>
      <c r="L66" s="63" t="s">
        <v>22</v>
      </c>
      <c r="M66" s="63">
        <v>2</v>
      </c>
      <c r="N66" s="65">
        <v>5942615.5956375841</v>
      </c>
      <c r="O66" s="65">
        <f>N66*M66</f>
        <v>11885231.191275168</v>
      </c>
      <c r="P66" s="63" t="s">
        <v>315</v>
      </c>
      <c r="Q66" s="66"/>
    </row>
    <row r="67" spans="1:17" s="67" customFormat="1" ht="76.5">
      <c r="A67" s="63"/>
      <c r="B67" s="64" t="s">
        <v>82</v>
      </c>
      <c r="C67" s="63" t="s">
        <v>313</v>
      </c>
      <c r="D67" s="63" t="s">
        <v>284</v>
      </c>
      <c r="E67" s="63">
        <v>800</v>
      </c>
      <c r="F67" s="63">
        <v>350</v>
      </c>
      <c r="G67" s="63"/>
      <c r="H67" s="63"/>
      <c r="I67" s="63"/>
      <c r="J67" s="63">
        <v>200</v>
      </c>
      <c r="K67" s="63">
        <v>1.1499999999999999</v>
      </c>
      <c r="L67" s="63" t="s">
        <v>22</v>
      </c>
      <c r="M67" s="63">
        <v>3</v>
      </c>
      <c r="N67" s="65">
        <v>5942615.5956375841</v>
      </c>
      <c r="O67" s="65">
        <f>N67*M67</f>
        <v>17827846.786912754</v>
      </c>
      <c r="P67" s="63" t="s">
        <v>315</v>
      </c>
      <c r="Q67" s="66"/>
    </row>
    <row r="68" spans="1:17" s="67" customFormat="1" ht="137.44999999999999" customHeight="1">
      <c r="A68" s="63"/>
      <c r="B68" s="64" t="s">
        <v>83</v>
      </c>
      <c r="C68" s="63" t="s">
        <v>313</v>
      </c>
      <c r="D68" s="63" t="s">
        <v>284</v>
      </c>
      <c r="E68" s="63">
        <v>2000</v>
      </c>
      <c r="F68" s="63">
        <v>650</v>
      </c>
      <c r="G68" s="63"/>
      <c r="H68" s="63"/>
      <c r="I68" s="63">
        <v>2</v>
      </c>
      <c r="J68" s="63">
        <v>200</v>
      </c>
      <c r="K68" s="63"/>
      <c r="L68" s="63" t="s">
        <v>22</v>
      </c>
      <c r="M68" s="63">
        <v>1</v>
      </c>
      <c r="N68" s="65">
        <v>18057630.536912754</v>
      </c>
      <c r="O68" s="65">
        <f>N68*M68</f>
        <v>18057630.536912754</v>
      </c>
      <c r="P68" s="63" t="s">
        <v>315</v>
      </c>
      <c r="Q68" s="66"/>
    </row>
    <row r="69" spans="1:17" s="67" customFormat="1" ht="76.5">
      <c r="A69" s="63"/>
      <c r="B69" s="64" t="s">
        <v>84</v>
      </c>
      <c r="C69" s="63" t="s">
        <v>313</v>
      </c>
      <c r="D69" s="63" t="s">
        <v>284</v>
      </c>
      <c r="E69" s="63">
        <v>1000</v>
      </c>
      <c r="F69" s="63">
        <v>350</v>
      </c>
      <c r="G69" s="63"/>
      <c r="H69" s="63"/>
      <c r="I69" s="63"/>
      <c r="J69" s="63">
        <v>200</v>
      </c>
      <c r="K69" s="63">
        <v>1.1499999999999999</v>
      </c>
      <c r="L69" s="63" t="s">
        <v>22</v>
      </c>
      <c r="M69" s="63">
        <v>2</v>
      </c>
      <c r="N69" s="65">
        <v>6474851.3422818799</v>
      </c>
      <c r="O69" s="65">
        <f>N69*M69</f>
        <v>12949702.68456376</v>
      </c>
      <c r="P69" s="63" t="s">
        <v>315</v>
      </c>
      <c r="Q69" s="66"/>
    </row>
    <row r="70" spans="1:17" s="67" customFormat="1" ht="76.5">
      <c r="A70" s="63"/>
      <c r="B70" s="64" t="s">
        <v>85</v>
      </c>
      <c r="C70" s="63" t="s">
        <v>313</v>
      </c>
      <c r="D70" s="63" t="s">
        <v>284</v>
      </c>
      <c r="E70" s="63">
        <v>1200</v>
      </c>
      <c r="F70" s="63">
        <v>350</v>
      </c>
      <c r="G70" s="63"/>
      <c r="H70" s="63"/>
      <c r="I70" s="63"/>
      <c r="J70" s="63">
        <v>200</v>
      </c>
      <c r="K70" s="63">
        <v>1.1499999999999999</v>
      </c>
      <c r="L70" s="63" t="s">
        <v>22</v>
      </c>
      <c r="M70" s="63">
        <v>2</v>
      </c>
      <c r="N70" s="65">
        <v>6898107.265100671</v>
      </c>
      <c r="O70" s="65">
        <f>N70*M70</f>
        <v>13796214.530201342</v>
      </c>
      <c r="P70" s="63" t="s">
        <v>315</v>
      </c>
      <c r="Q70" s="66"/>
    </row>
    <row r="71" spans="1:17" s="67" customFormat="1" ht="76.5">
      <c r="A71" s="63"/>
      <c r="B71" s="64" t="s">
        <v>86</v>
      </c>
      <c r="C71" s="63" t="s">
        <v>313</v>
      </c>
      <c r="D71" s="63" t="s">
        <v>284</v>
      </c>
      <c r="E71" s="63">
        <v>1100</v>
      </c>
      <c r="F71" s="63">
        <v>350</v>
      </c>
      <c r="G71" s="63"/>
      <c r="H71" s="63"/>
      <c r="I71" s="63"/>
      <c r="J71" s="63">
        <v>200</v>
      </c>
      <c r="K71" s="63">
        <v>1.1499999999999999</v>
      </c>
      <c r="L71" s="63" t="s">
        <v>22</v>
      </c>
      <c r="M71" s="63">
        <v>1</v>
      </c>
      <c r="N71" s="65">
        <v>6686479.3036912754</v>
      </c>
      <c r="O71" s="65">
        <f>N71*M71</f>
        <v>6686479.3036912754</v>
      </c>
      <c r="P71" s="63" t="s">
        <v>315</v>
      </c>
      <c r="Q71" s="66"/>
    </row>
    <row r="72" spans="1:17" s="67" customFormat="1" ht="76.5">
      <c r="A72" s="63"/>
      <c r="B72" s="64" t="s">
        <v>87</v>
      </c>
      <c r="C72" s="63" t="s">
        <v>313</v>
      </c>
      <c r="D72" s="63" t="s">
        <v>284</v>
      </c>
      <c r="E72" s="63">
        <v>1200</v>
      </c>
      <c r="F72" s="63">
        <v>300</v>
      </c>
      <c r="G72" s="63"/>
      <c r="H72" s="63"/>
      <c r="I72" s="63"/>
      <c r="J72" s="63">
        <v>200</v>
      </c>
      <c r="K72" s="63">
        <v>1.1499999999999999</v>
      </c>
      <c r="L72" s="63" t="s">
        <v>22</v>
      </c>
      <c r="M72" s="63">
        <v>9</v>
      </c>
      <c r="N72" s="65">
        <v>7568570.8000000007</v>
      </c>
      <c r="O72" s="65">
        <f>N72*M72</f>
        <v>68117137.200000003</v>
      </c>
      <c r="P72" s="63" t="s">
        <v>315</v>
      </c>
      <c r="Q72" s="66"/>
    </row>
    <row r="73" spans="1:17" s="67" customFormat="1" ht="76.5">
      <c r="A73" s="63"/>
      <c r="B73" s="64" t="s">
        <v>88</v>
      </c>
      <c r="C73" s="63" t="s">
        <v>313</v>
      </c>
      <c r="D73" s="63" t="s">
        <v>284</v>
      </c>
      <c r="E73" s="63">
        <v>1200</v>
      </c>
      <c r="F73" s="63">
        <v>300</v>
      </c>
      <c r="G73" s="63"/>
      <c r="H73" s="63"/>
      <c r="I73" s="63"/>
      <c r="J73" s="63">
        <v>200</v>
      </c>
      <c r="K73" s="63">
        <v>1.1499999999999999</v>
      </c>
      <c r="L73" s="63" t="s">
        <v>22</v>
      </c>
      <c r="M73" s="63">
        <v>1</v>
      </c>
      <c r="N73" s="65">
        <v>6608902.5838926174</v>
      </c>
      <c r="O73" s="65">
        <f>N73*M73</f>
        <v>6608902.5838926174</v>
      </c>
      <c r="P73" s="63" t="s">
        <v>315</v>
      </c>
      <c r="Q73" s="66"/>
    </row>
    <row r="74" spans="1:17" s="67" customFormat="1" ht="76.5">
      <c r="A74" s="63"/>
      <c r="B74" s="64" t="s">
        <v>89</v>
      </c>
      <c r="C74" s="63" t="s">
        <v>313</v>
      </c>
      <c r="D74" s="63" t="s">
        <v>284</v>
      </c>
      <c r="E74" s="63">
        <v>900</v>
      </c>
      <c r="F74" s="63">
        <v>350</v>
      </c>
      <c r="G74" s="63"/>
      <c r="H74" s="63"/>
      <c r="I74" s="63"/>
      <c r="J74" s="63">
        <v>200</v>
      </c>
      <c r="K74" s="63">
        <v>1.1499999999999999</v>
      </c>
      <c r="L74" s="63" t="s">
        <v>22</v>
      </c>
      <c r="M74" s="63">
        <v>13</v>
      </c>
      <c r="N74" s="65">
        <v>6261973.3808724834</v>
      </c>
      <c r="O74" s="65">
        <f>N74*M74</f>
        <v>81405653.951342285</v>
      </c>
      <c r="P74" s="63" t="s">
        <v>315</v>
      </c>
      <c r="Q74" s="66"/>
    </row>
    <row r="75" spans="1:17" s="67" customFormat="1" ht="76.5">
      <c r="A75" s="63"/>
      <c r="B75" s="64" t="s">
        <v>90</v>
      </c>
      <c r="C75" s="63" t="s">
        <v>313</v>
      </c>
      <c r="D75" s="63" t="s">
        <v>284</v>
      </c>
      <c r="E75" s="63">
        <v>1150</v>
      </c>
      <c r="F75" s="63">
        <v>350</v>
      </c>
      <c r="G75" s="63"/>
      <c r="H75" s="63"/>
      <c r="I75" s="63"/>
      <c r="J75" s="63">
        <v>200</v>
      </c>
      <c r="K75" s="63">
        <v>1.1499999999999999</v>
      </c>
      <c r="L75" s="63" t="s">
        <v>22</v>
      </c>
      <c r="M75" s="63">
        <v>12</v>
      </c>
      <c r="N75" s="65">
        <v>6791668.2843959732</v>
      </c>
      <c r="O75" s="65">
        <f>N75*M75</f>
        <v>81500019.412751675</v>
      </c>
      <c r="P75" s="63" t="s">
        <v>315</v>
      </c>
      <c r="Q75" s="66"/>
    </row>
    <row r="76" spans="1:17" s="67" customFormat="1" ht="76.5">
      <c r="A76" s="63"/>
      <c r="B76" s="64" t="s">
        <v>91</v>
      </c>
      <c r="C76" s="63" t="s">
        <v>313</v>
      </c>
      <c r="D76" s="63" t="s">
        <v>284</v>
      </c>
      <c r="E76" s="63">
        <v>1200</v>
      </c>
      <c r="F76" s="63">
        <v>450</v>
      </c>
      <c r="G76" s="63"/>
      <c r="H76" s="63"/>
      <c r="I76" s="63"/>
      <c r="J76" s="63">
        <v>200</v>
      </c>
      <c r="K76" s="63">
        <v>1.1499999999999999</v>
      </c>
      <c r="L76" s="63" t="s">
        <v>22</v>
      </c>
      <c r="M76" s="63">
        <v>1</v>
      </c>
      <c r="N76" s="65">
        <v>7476516.6275167791</v>
      </c>
      <c r="O76" s="65">
        <f>N76*M76</f>
        <v>7476516.6275167791</v>
      </c>
      <c r="P76" s="63" t="s">
        <v>315</v>
      </c>
      <c r="Q76" s="66"/>
    </row>
    <row r="77" spans="1:17" s="67" customFormat="1" ht="76.5">
      <c r="A77" s="63"/>
      <c r="B77" s="64" t="s">
        <v>92</v>
      </c>
      <c r="C77" s="63" t="s">
        <v>313</v>
      </c>
      <c r="D77" s="63" t="s">
        <v>284</v>
      </c>
      <c r="E77" s="63">
        <v>350</v>
      </c>
      <c r="F77" s="63">
        <v>600</v>
      </c>
      <c r="G77" s="63"/>
      <c r="H77" s="63"/>
      <c r="I77" s="63"/>
      <c r="J77" s="63">
        <v>200</v>
      </c>
      <c r="K77" s="63">
        <v>1.1499999999999999</v>
      </c>
      <c r="L77" s="63" t="s">
        <v>22</v>
      </c>
      <c r="M77" s="63">
        <v>10</v>
      </c>
      <c r="N77" s="65">
        <v>5974893.8926174492</v>
      </c>
      <c r="O77" s="65">
        <f>N77*M77</f>
        <v>59748938.926174492</v>
      </c>
      <c r="P77" s="63" t="s">
        <v>315</v>
      </c>
      <c r="Q77" s="66"/>
    </row>
    <row r="78" spans="1:17" s="67" customFormat="1" ht="76.5">
      <c r="A78" s="63"/>
      <c r="B78" s="64" t="s">
        <v>86</v>
      </c>
      <c r="C78" s="63" t="s">
        <v>313</v>
      </c>
      <c r="D78" s="63" t="s">
        <v>284</v>
      </c>
      <c r="E78" s="63">
        <v>1100</v>
      </c>
      <c r="F78" s="63">
        <v>350</v>
      </c>
      <c r="G78" s="63"/>
      <c r="H78" s="63"/>
      <c r="I78" s="63"/>
      <c r="J78" s="63">
        <v>200</v>
      </c>
      <c r="K78" s="63">
        <v>1.1499999999999999</v>
      </c>
      <c r="L78" s="63" t="s">
        <v>22</v>
      </c>
      <c r="M78" s="63">
        <v>6</v>
      </c>
      <c r="N78" s="65">
        <v>6686479.3036912754</v>
      </c>
      <c r="O78" s="65">
        <f>N78*M78</f>
        <v>40118875.822147653</v>
      </c>
      <c r="P78" s="63" t="s">
        <v>315</v>
      </c>
      <c r="Q78" s="66"/>
    </row>
    <row r="79" spans="1:17" s="67" customFormat="1" ht="76.5">
      <c r="A79" s="63"/>
      <c r="B79" s="64" t="s">
        <v>84</v>
      </c>
      <c r="C79" s="63" t="s">
        <v>313</v>
      </c>
      <c r="D79" s="63" t="s">
        <v>284</v>
      </c>
      <c r="E79" s="63">
        <v>1000</v>
      </c>
      <c r="F79" s="63">
        <v>350</v>
      </c>
      <c r="G79" s="63"/>
      <c r="H79" s="63"/>
      <c r="I79" s="63"/>
      <c r="J79" s="63">
        <v>200</v>
      </c>
      <c r="K79" s="63">
        <v>1.1499999999999999</v>
      </c>
      <c r="L79" s="63" t="s">
        <v>22</v>
      </c>
      <c r="M79" s="63">
        <v>6</v>
      </c>
      <c r="N79" s="65">
        <v>6474851.3422818799</v>
      </c>
      <c r="O79" s="65">
        <f>N79*M79</f>
        <v>38849108.053691283</v>
      </c>
      <c r="P79" s="63" t="s">
        <v>315</v>
      </c>
      <c r="Q79" s="66"/>
    </row>
    <row r="80" spans="1:17" s="67" customFormat="1" ht="76.5">
      <c r="A80" s="63"/>
      <c r="B80" s="64" t="s">
        <v>93</v>
      </c>
      <c r="C80" s="63" t="s">
        <v>313</v>
      </c>
      <c r="D80" s="63" t="s">
        <v>284</v>
      </c>
      <c r="E80" s="63">
        <v>800</v>
      </c>
      <c r="F80" s="63">
        <v>300</v>
      </c>
      <c r="G80" s="63"/>
      <c r="H80" s="63"/>
      <c r="I80" s="63"/>
      <c r="J80" s="63">
        <v>200</v>
      </c>
      <c r="K80" s="63">
        <v>1.1499999999999999</v>
      </c>
      <c r="L80" s="63" t="s">
        <v>22</v>
      </c>
      <c r="M80" s="63">
        <v>8</v>
      </c>
      <c r="N80" s="65">
        <v>5847074.5973154362</v>
      </c>
      <c r="O80" s="65">
        <f>N80*M80</f>
        <v>46776596.77852349</v>
      </c>
      <c r="P80" s="63" t="s">
        <v>315</v>
      </c>
      <c r="Q80" s="66"/>
    </row>
    <row r="81" spans="1:17" s="67" customFormat="1" ht="76.5">
      <c r="A81" s="63"/>
      <c r="B81" s="64" t="s">
        <v>94</v>
      </c>
      <c r="C81" s="63" t="s">
        <v>313</v>
      </c>
      <c r="D81" s="63" t="s">
        <v>284</v>
      </c>
      <c r="E81" s="63">
        <v>650</v>
      </c>
      <c r="F81" s="63">
        <v>400</v>
      </c>
      <c r="G81" s="63"/>
      <c r="H81" s="63"/>
      <c r="I81" s="63"/>
      <c r="J81" s="63">
        <v>200</v>
      </c>
      <c r="K81" s="63">
        <v>1.1499999999999999</v>
      </c>
      <c r="L81" s="63" t="s">
        <v>22</v>
      </c>
      <c r="M81" s="63">
        <v>6</v>
      </c>
      <c r="N81" s="65">
        <v>5904105.3523489935</v>
      </c>
      <c r="O81" s="65">
        <f>N81*M81</f>
        <v>35424632.114093959</v>
      </c>
      <c r="P81" s="63" t="s">
        <v>315</v>
      </c>
      <c r="Q81" s="66"/>
    </row>
    <row r="82" spans="1:17" s="67" customFormat="1" ht="12.75">
      <c r="A82" s="63"/>
      <c r="B82" s="64" t="s">
        <v>95</v>
      </c>
      <c r="C82" s="63"/>
      <c r="D82" s="63" t="s">
        <v>284</v>
      </c>
      <c r="E82" s="63"/>
      <c r="F82" s="63"/>
      <c r="G82" s="63"/>
      <c r="H82" s="63"/>
      <c r="I82" s="63"/>
      <c r="J82" s="63"/>
      <c r="K82" s="63"/>
      <c r="L82" s="63" t="s">
        <v>22</v>
      </c>
      <c r="M82" s="63">
        <v>6</v>
      </c>
      <c r="N82" s="65"/>
      <c r="O82" s="65">
        <f>N82*M82</f>
        <v>0</v>
      </c>
      <c r="P82" s="63"/>
      <c r="Q82" s="66"/>
    </row>
    <row r="83" spans="1:17" s="67" customFormat="1" ht="25.5">
      <c r="A83" s="63"/>
      <c r="B83" s="64" t="s">
        <v>96</v>
      </c>
      <c r="C83" s="63" t="s">
        <v>35</v>
      </c>
      <c r="D83" s="63" t="s">
        <v>284</v>
      </c>
      <c r="E83" s="63">
        <v>250</v>
      </c>
      <c r="F83" s="63">
        <v>200</v>
      </c>
      <c r="G83" s="63"/>
      <c r="H83" s="63"/>
      <c r="I83" s="63"/>
      <c r="J83" s="63">
        <v>200</v>
      </c>
      <c r="K83" s="63">
        <v>0.75</v>
      </c>
      <c r="L83" s="63" t="s">
        <v>22</v>
      </c>
      <c r="M83" s="63">
        <v>1</v>
      </c>
      <c r="N83" s="65">
        <v>308400</v>
      </c>
      <c r="O83" s="65">
        <f>N83*M83</f>
        <v>308400</v>
      </c>
      <c r="P83" s="63" t="s">
        <v>285</v>
      </c>
      <c r="Q83" s="66"/>
    </row>
    <row r="84" spans="1:17" s="67" customFormat="1" ht="12.75">
      <c r="A84" s="63"/>
      <c r="B84" s="64" t="s">
        <v>97</v>
      </c>
      <c r="C84" s="63" t="s">
        <v>289</v>
      </c>
      <c r="D84" s="63" t="s">
        <v>284</v>
      </c>
      <c r="E84" s="63">
        <v>900</v>
      </c>
      <c r="F84" s="63">
        <v>400</v>
      </c>
      <c r="G84" s="63">
        <v>850</v>
      </c>
      <c r="H84" s="63">
        <v>350</v>
      </c>
      <c r="I84" s="63"/>
      <c r="J84" s="63"/>
      <c r="K84" s="63"/>
      <c r="L84" s="63" t="s">
        <v>22</v>
      </c>
      <c r="M84" s="63">
        <v>2</v>
      </c>
      <c r="N84" s="65">
        <v>579000</v>
      </c>
      <c r="O84" s="65">
        <f>N84*M84</f>
        <v>1158000</v>
      </c>
      <c r="P84" s="63" t="s">
        <v>290</v>
      </c>
      <c r="Q84" s="66"/>
    </row>
    <row r="85" spans="1:17" s="67" customFormat="1" ht="12.75">
      <c r="A85" s="63"/>
      <c r="B85" s="64" t="s">
        <v>98</v>
      </c>
      <c r="C85" s="63" t="s">
        <v>289</v>
      </c>
      <c r="D85" s="63" t="s">
        <v>284</v>
      </c>
      <c r="E85" s="63">
        <v>300</v>
      </c>
      <c r="F85" s="63">
        <v>300</v>
      </c>
      <c r="G85" s="63">
        <v>250</v>
      </c>
      <c r="H85" s="63">
        <v>250</v>
      </c>
      <c r="I85" s="63"/>
      <c r="J85" s="63"/>
      <c r="K85" s="63"/>
      <c r="L85" s="63" t="s">
        <v>22</v>
      </c>
      <c r="M85" s="63">
        <v>1</v>
      </c>
      <c r="N85" s="65">
        <v>177000</v>
      </c>
      <c r="O85" s="65">
        <f>N85*M85</f>
        <v>177000</v>
      </c>
      <c r="P85" s="63" t="s">
        <v>290</v>
      </c>
      <c r="Q85" s="66"/>
    </row>
    <row r="86" spans="1:17" s="67" customFormat="1" ht="12.75">
      <c r="A86" s="63"/>
      <c r="B86" s="64" t="s">
        <v>99</v>
      </c>
      <c r="C86" s="63"/>
      <c r="D86" s="63" t="s">
        <v>284</v>
      </c>
      <c r="E86" s="63"/>
      <c r="F86" s="63"/>
      <c r="G86" s="63"/>
      <c r="H86" s="63"/>
      <c r="I86" s="63"/>
      <c r="J86" s="63"/>
      <c r="K86" s="63"/>
      <c r="L86" s="63" t="s">
        <v>22</v>
      </c>
      <c r="M86" s="63">
        <v>2</v>
      </c>
      <c r="N86" s="65"/>
      <c r="O86" s="65">
        <f>N86*M86</f>
        <v>0</v>
      </c>
      <c r="P86" s="63"/>
      <c r="Q86" s="66"/>
    </row>
    <row r="87" spans="1:17" s="67" customFormat="1" ht="12.75">
      <c r="A87" s="63"/>
      <c r="B87" s="64" t="s">
        <v>100</v>
      </c>
      <c r="C87" s="63"/>
      <c r="D87" s="63" t="s">
        <v>284</v>
      </c>
      <c r="E87" s="63"/>
      <c r="F87" s="63"/>
      <c r="G87" s="63"/>
      <c r="H87" s="63"/>
      <c r="I87" s="63"/>
      <c r="J87" s="63"/>
      <c r="K87" s="63"/>
      <c r="L87" s="63" t="s">
        <v>22</v>
      </c>
      <c r="M87" s="63">
        <v>10</v>
      </c>
      <c r="N87" s="65"/>
      <c r="O87" s="65">
        <f>N87*M87</f>
        <v>0</v>
      </c>
      <c r="P87" s="63"/>
      <c r="Q87" s="66"/>
    </row>
    <row r="88" spans="1:17" s="67" customFormat="1" ht="12.75">
      <c r="A88" s="63"/>
      <c r="B88" s="64" t="s">
        <v>99</v>
      </c>
      <c r="C88" s="63"/>
      <c r="D88" s="63" t="s">
        <v>284</v>
      </c>
      <c r="E88" s="63"/>
      <c r="F88" s="63"/>
      <c r="G88" s="63"/>
      <c r="H88" s="63"/>
      <c r="I88" s="63"/>
      <c r="J88" s="63"/>
      <c r="K88" s="63"/>
      <c r="L88" s="63" t="s">
        <v>22</v>
      </c>
      <c r="M88" s="63">
        <v>2</v>
      </c>
      <c r="N88" s="65"/>
      <c r="O88" s="65">
        <f>N88*M88</f>
        <v>0</v>
      </c>
      <c r="P88" s="63"/>
      <c r="Q88" s="66"/>
    </row>
    <row r="89" spans="1:17" s="67" customFormat="1" ht="12.75">
      <c r="A89" s="63"/>
      <c r="B89" s="64" t="s">
        <v>98</v>
      </c>
      <c r="C89" s="63" t="s">
        <v>289</v>
      </c>
      <c r="D89" s="63" t="s">
        <v>284</v>
      </c>
      <c r="E89" s="63">
        <v>300</v>
      </c>
      <c r="F89" s="63">
        <v>300</v>
      </c>
      <c r="G89" s="63">
        <v>250</v>
      </c>
      <c r="H89" s="63">
        <v>250</v>
      </c>
      <c r="I89" s="63"/>
      <c r="J89" s="63"/>
      <c r="K89" s="63"/>
      <c r="L89" s="63" t="s">
        <v>22</v>
      </c>
      <c r="M89" s="63">
        <v>8</v>
      </c>
      <c r="N89" s="65">
        <v>177000</v>
      </c>
      <c r="O89" s="65">
        <f>N89*M89</f>
        <v>1416000</v>
      </c>
      <c r="P89" s="63" t="s">
        <v>290</v>
      </c>
      <c r="Q89" s="66"/>
    </row>
    <row r="90" spans="1:17" s="67" customFormat="1" ht="12.75">
      <c r="A90" s="63"/>
      <c r="B90" s="64" t="s">
        <v>101</v>
      </c>
      <c r="C90" s="63" t="s">
        <v>289</v>
      </c>
      <c r="D90" s="63" t="s">
        <v>284</v>
      </c>
      <c r="E90" s="63">
        <v>500</v>
      </c>
      <c r="F90" s="63">
        <v>200</v>
      </c>
      <c r="G90" s="63">
        <v>450</v>
      </c>
      <c r="H90" s="63">
        <v>150</v>
      </c>
      <c r="I90" s="63"/>
      <c r="J90" s="63"/>
      <c r="K90" s="63"/>
      <c r="L90" s="63" t="s">
        <v>22</v>
      </c>
      <c r="M90" s="63">
        <v>3</v>
      </c>
      <c r="N90" s="65">
        <v>205000</v>
      </c>
      <c r="O90" s="65">
        <f>N90*M90</f>
        <v>615000</v>
      </c>
      <c r="P90" s="63" t="s">
        <v>290</v>
      </c>
      <c r="Q90" s="66"/>
    </row>
    <row r="91" spans="1:17" s="67" customFormat="1" ht="12.75">
      <c r="A91" s="63"/>
      <c r="B91" s="64" t="s">
        <v>102</v>
      </c>
      <c r="C91" s="63"/>
      <c r="D91" s="63" t="s">
        <v>284</v>
      </c>
      <c r="E91" s="63"/>
      <c r="F91" s="63"/>
      <c r="G91" s="63"/>
      <c r="H91" s="63"/>
      <c r="I91" s="63"/>
      <c r="J91" s="63"/>
      <c r="K91" s="63"/>
      <c r="L91" s="63" t="s">
        <v>22</v>
      </c>
      <c r="M91" s="63">
        <v>49</v>
      </c>
      <c r="N91" s="65"/>
      <c r="O91" s="65">
        <f>N91*M91</f>
        <v>0</v>
      </c>
      <c r="P91" s="63"/>
      <c r="Q91" s="66"/>
    </row>
    <row r="92" spans="1:17" s="67" customFormat="1" ht="12.75">
      <c r="A92" s="63"/>
      <c r="B92" s="64" t="s">
        <v>103</v>
      </c>
      <c r="C92" s="63" t="s">
        <v>289</v>
      </c>
      <c r="D92" s="63" t="s">
        <v>284</v>
      </c>
      <c r="E92" s="63">
        <v>900</v>
      </c>
      <c r="F92" s="63">
        <v>350</v>
      </c>
      <c r="G92" s="63">
        <v>850</v>
      </c>
      <c r="H92" s="63">
        <v>300</v>
      </c>
      <c r="I92" s="63"/>
      <c r="J92" s="63"/>
      <c r="K92" s="63"/>
      <c r="L92" s="63" t="s">
        <v>22</v>
      </c>
      <c r="M92" s="63">
        <v>18</v>
      </c>
      <c r="N92" s="65">
        <v>516000</v>
      </c>
      <c r="O92" s="65">
        <f>N92*M92</f>
        <v>9288000</v>
      </c>
      <c r="P92" s="63" t="s">
        <v>290</v>
      </c>
      <c r="Q92" s="66"/>
    </row>
    <row r="93" spans="1:17" s="67" customFormat="1" ht="12.75">
      <c r="A93" s="63"/>
      <c r="B93" s="64" t="s">
        <v>104</v>
      </c>
      <c r="C93" s="63" t="s">
        <v>289</v>
      </c>
      <c r="D93" s="63" t="s">
        <v>284</v>
      </c>
      <c r="E93" s="63">
        <v>350</v>
      </c>
      <c r="F93" s="63">
        <v>600</v>
      </c>
      <c r="G93" s="63">
        <v>300</v>
      </c>
      <c r="H93" s="63">
        <v>550</v>
      </c>
      <c r="I93" s="63"/>
      <c r="J93" s="63"/>
      <c r="K93" s="63"/>
      <c r="L93" s="63" t="s">
        <v>22</v>
      </c>
      <c r="M93" s="63">
        <v>13</v>
      </c>
      <c r="N93" s="65">
        <v>355000</v>
      </c>
      <c r="O93" s="65">
        <f>N93*M93</f>
        <v>4615000</v>
      </c>
      <c r="P93" s="63" t="s">
        <v>290</v>
      </c>
      <c r="Q93" s="66"/>
    </row>
    <row r="94" spans="1:17" s="67" customFormat="1" ht="12.75">
      <c r="A94" s="63"/>
      <c r="B94" s="64" t="s">
        <v>105</v>
      </c>
      <c r="C94" s="63" t="s">
        <v>289</v>
      </c>
      <c r="D94" s="63" t="s">
        <v>284</v>
      </c>
      <c r="E94" s="63">
        <v>800</v>
      </c>
      <c r="F94" s="63">
        <v>400</v>
      </c>
      <c r="G94" s="63">
        <v>750</v>
      </c>
      <c r="H94" s="63">
        <v>350</v>
      </c>
      <c r="I94" s="63"/>
      <c r="J94" s="63"/>
      <c r="K94" s="63"/>
      <c r="L94" s="63" t="s">
        <v>22</v>
      </c>
      <c r="M94" s="63">
        <v>7</v>
      </c>
      <c r="N94" s="65">
        <v>520000</v>
      </c>
      <c r="O94" s="65">
        <f>N94*M94</f>
        <v>3640000</v>
      </c>
      <c r="P94" s="63" t="s">
        <v>290</v>
      </c>
      <c r="Q94" s="66"/>
    </row>
    <row r="95" spans="1:17" s="67" customFormat="1" ht="12.75">
      <c r="A95" s="63"/>
      <c r="B95" s="64" t="s">
        <v>106</v>
      </c>
      <c r="C95" s="63" t="s">
        <v>289</v>
      </c>
      <c r="D95" s="63" t="s">
        <v>284</v>
      </c>
      <c r="E95" s="63">
        <v>700</v>
      </c>
      <c r="F95" s="63">
        <v>400</v>
      </c>
      <c r="G95" s="63">
        <v>650</v>
      </c>
      <c r="H95" s="63">
        <v>350</v>
      </c>
      <c r="I95" s="63"/>
      <c r="J95" s="63"/>
      <c r="K95" s="63"/>
      <c r="L95" s="63" t="s">
        <v>22</v>
      </c>
      <c r="M95" s="63">
        <v>17</v>
      </c>
      <c r="N95" s="65">
        <v>461000</v>
      </c>
      <c r="O95" s="65">
        <f>N95*M95</f>
        <v>7837000</v>
      </c>
      <c r="P95" s="63" t="s">
        <v>290</v>
      </c>
      <c r="Q95" s="66"/>
    </row>
    <row r="96" spans="1:17" s="67" customFormat="1" ht="12.75">
      <c r="A96" s="63"/>
      <c r="B96" s="64" t="s">
        <v>107</v>
      </c>
      <c r="C96" s="63" t="s">
        <v>291</v>
      </c>
      <c r="D96" s="63" t="s">
        <v>284</v>
      </c>
      <c r="E96" s="63">
        <v>7500</v>
      </c>
      <c r="F96" s="63">
        <v>500</v>
      </c>
      <c r="G96" s="63">
        <v>7450</v>
      </c>
      <c r="H96" s="63">
        <v>450</v>
      </c>
      <c r="I96" s="63"/>
      <c r="J96" s="63"/>
      <c r="K96" s="63"/>
      <c r="L96" s="63" t="s">
        <v>22</v>
      </c>
      <c r="M96" s="63">
        <v>3</v>
      </c>
      <c r="N96" s="65">
        <v>5097000</v>
      </c>
      <c r="O96" s="65">
        <f>N96*M96</f>
        <v>15291000</v>
      </c>
      <c r="P96" s="63" t="s">
        <v>292</v>
      </c>
      <c r="Q96" s="66"/>
    </row>
    <row r="97" spans="1:17" s="67" customFormat="1" ht="12.75">
      <c r="A97" s="63"/>
      <c r="B97" s="64" t="s">
        <v>108</v>
      </c>
      <c r="C97" s="63" t="s">
        <v>291</v>
      </c>
      <c r="D97" s="63" t="s">
        <v>284</v>
      </c>
      <c r="E97" s="63">
        <v>1500</v>
      </c>
      <c r="F97" s="63">
        <v>1000</v>
      </c>
      <c r="G97" s="63">
        <v>1450</v>
      </c>
      <c r="H97" s="63">
        <v>950</v>
      </c>
      <c r="I97" s="63"/>
      <c r="J97" s="63"/>
      <c r="K97" s="63"/>
      <c r="L97" s="63" t="s">
        <v>22</v>
      </c>
      <c r="M97" s="63">
        <v>2</v>
      </c>
      <c r="N97" s="65">
        <v>2028000</v>
      </c>
      <c r="O97" s="65">
        <f>N97*M97</f>
        <v>4056000</v>
      </c>
      <c r="P97" s="63" t="s">
        <v>293</v>
      </c>
      <c r="Q97" s="66"/>
    </row>
    <row r="98" spans="1:17" s="67" customFormat="1" ht="12.75">
      <c r="A98" s="63"/>
      <c r="B98" s="64" t="s">
        <v>109</v>
      </c>
      <c r="C98" s="63" t="s">
        <v>291</v>
      </c>
      <c r="D98" s="63" t="s">
        <v>284</v>
      </c>
      <c r="E98" s="63">
        <v>3500</v>
      </c>
      <c r="F98" s="63">
        <v>1000</v>
      </c>
      <c r="G98" s="63">
        <v>3450</v>
      </c>
      <c r="H98" s="63">
        <v>950</v>
      </c>
      <c r="I98" s="63"/>
      <c r="J98" s="63"/>
      <c r="K98" s="63"/>
      <c r="L98" s="63" t="s">
        <v>22</v>
      </c>
      <c r="M98" s="63">
        <v>1</v>
      </c>
      <c r="N98" s="65">
        <v>4630000</v>
      </c>
      <c r="O98" s="65">
        <f>N98*M98</f>
        <v>4630000</v>
      </c>
      <c r="P98" s="63" t="s">
        <v>292</v>
      </c>
      <c r="Q98" s="66"/>
    </row>
    <row r="99" spans="1:17" s="67" customFormat="1" ht="12.75">
      <c r="A99" s="63"/>
      <c r="B99" s="64" t="s">
        <v>57</v>
      </c>
      <c r="C99" s="63"/>
      <c r="D99" s="63"/>
      <c r="E99" s="63"/>
      <c r="F99" s="63"/>
      <c r="G99" s="63"/>
      <c r="H99" s="63"/>
      <c r="I99" s="63"/>
      <c r="J99" s="63"/>
      <c r="K99" s="63"/>
      <c r="L99" s="63" t="s">
        <v>58</v>
      </c>
      <c r="M99" s="63">
        <v>1</v>
      </c>
      <c r="N99" s="65"/>
      <c r="O99" s="65">
        <f>N99*M99</f>
        <v>0</v>
      </c>
      <c r="P99" s="63"/>
      <c r="Q99" s="66"/>
    </row>
    <row r="100" spans="1:17" s="67" customFormat="1" ht="12.75">
      <c r="A100" s="63"/>
      <c r="B100" s="64" t="s">
        <v>111</v>
      </c>
      <c r="C100" s="63"/>
      <c r="D100" s="63"/>
      <c r="E100" s="63"/>
      <c r="F100" s="63"/>
      <c r="G100" s="63"/>
      <c r="H100" s="63"/>
      <c r="I100" s="63"/>
      <c r="J100" s="63"/>
      <c r="K100" s="63"/>
      <c r="L100" s="63"/>
      <c r="M100" s="63"/>
      <c r="N100" s="65"/>
      <c r="O100" s="65">
        <f>N100*M100</f>
        <v>0</v>
      </c>
      <c r="P100" s="63"/>
      <c r="Q100" s="66"/>
    </row>
    <row r="101" spans="1:17" s="67" customFormat="1" ht="25.5">
      <c r="A101" s="63"/>
      <c r="B101" s="64" t="s">
        <v>112</v>
      </c>
      <c r="C101" s="63" t="s">
        <v>19</v>
      </c>
      <c r="D101" s="63" t="s">
        <v>284</v>
      </c>
      <c r="E101" s="63">
        <v>1350</v>
      </c>
      <c r="F101" s="63">
        <v>1250</v>
      </c>
      <c r="G101" s="63"/>
      <c r="H101" s="63"/>
      <c r="I101" s="63"/>
      <c r="J101" s="63">
        <v>200</v>
      </c>
      <c r="K101" s="63">
        <v>1.1499999999999999</v>
      </c>
      <c r="L101" s="63" t="s">
        <v>22</v>
      </c>
      <c r="M101" s="63">
        <v>4</v>
      </c>
      <c r="N101" s="65">
        <v>2901700</v>
      </c>
      <c r="O101" s="65">
        <f>N101*M101</f>
        <v>11606800</v>
      </c>
      <c r="P101" s="63" t="s">
        <v>285</v>
      </c>
      <c r="Q101" s="66"/>
    </row>
    <row r="102" spans="1:17" s="67" customFormat="1" ht="25.5">
      <c r="A102" s="63"/>
      <c r="B102" s="64" t="s">
        <v>113</v>
      </c>
      <c r="C102" s="63" t="s">
        <v>19</v>
      </c>
      <c r="D102" s="63" t="s">
        <v>284</v>
      </c>
      <c r="E102" s="63">
        <v>1250</v>
      </c>
      <c r="F102" s="63">
        <v>600</v>
      </c>
      <c r="G102" s="63"/>
      <c r="H102" s="63"/>
      <c r="I102" s="63"/>
      <c r="J102" s="63">
        <v>200</v>
      </c>
      <c r="K102" s="63">
        <v>1.1499999999999999</v>
      </c>
      <c r="L102" s="63" t="s">
        <v>22</v>
      </c>
      <c r="M102" s="63">
        <v>4</v>
      </c>
      <c r="N102" s="65">
        <v>1816450</v>
      </c>
      <c r="O102" s="65">
        <f>N102*M102</f>
        <v>7265800</v>
      </c>
      <c r="P102" s="63" t="s">
        <v>285</v>
      </c>
      <c r="Q102" s="66"/>
    </row>
    <row r="103" spans="1:17" s="67" customFormat="1" ht="12.75">
      <c r="A103" s="63"/>
      <c r="B103" s="64" t="s">
        <v>114</v>
      </c>
      <c r="C103" s="63" t="s">
        <v>19</v>
      </c>
      <c r="D103" s="63" t="s">
        <v>284</v>
      </c>
      <c r="E103" s="63">
        <v>800</v>
      </c>
      <c r="F103" s="63">
        <v>250</v>
      </c>
      <c r="G103" s="63"/>
      <c r="H103" s="63"/>
      <c r="I103" s="63"/>
      <c r="J103" s="63">
        <v>200</v>
      </c>
      <c r="K103" s="63">
        <v>0.95</v>
      </c>
      <c r="L103" s="63" t="s">
        <v>22</v>
      </c>
      <c r="M103" s="63">
        <v>1</v>
      </c>
      <c r="N103" s="65">
        <v>329000</v>
      </c>
      <c r="O103" s="65">
        <f>N103*M103</f>
        <v>329000</v>
      </c>
      <c r="P103" s="63" t="s">
        <v>294</v>
      </c>
      <c r="Q103" s="66"/>
    </row>
    <row r="104" spans="1:17" s="67" customFormat="1" ht="12.75">
      <c r="A104" s="63"/>
      <c r="B104" s="64" t="s">
        <v>115</v>
      </c>
      <c r="C104" s="63" t="s">
        <v>19</v>
      </c>
      <c r="D104" s="63" t="s">
        <v>284</v>
      </c>
      <c r="E104" s="63">
        <v>800</v>
      </c>
      <c r="F104" s="63">
        <v>450</v>
      </c>
      <c r="G104" s="63"/>
      <c r="H104" s="63"/>
      <c r="I104" s="63"/>
      <c r="J104" s="63">
        <v>200</v>
      </c>
      <c r="K104" s="63">
        <v>0.95</v>
      </c>
      <c r="L104" s="63" t="s">
        <v>22</v>
      </c>
      <c r="M104" s="63">
        <v>6</v>
      </c>
      <c r="N104" s="65">
        <v>458000</v>
      </c>
      <c r="O104" s="65">
        <f>N104*M104</f>
        <v>2748000</v>
      </c>
      <c r="P104" s="63" t="s">
        <v>294</v>
      </c>
      <c r="Q104" s="66"/>
    </row>
    <row r="105" spans="1:17" s="67" customFormat="1" ht="76.5">
      <c r="A105" s="63"/>
      <c r="B105" s="64" t="s">
        <v>116</v>
      </c>
      <c r="C105" s="63" t="s">
        <v>313</v>
      </c>
      <c r="D105" s="63" t="s">
        <v>284</v>
      </c>
      <c r="E105" s="63">
        <v>1350</v>
      </c>
      <c r="F105" s="63">
        <v>1250</v>
      </c>
      <c r="G105" s="63">
        <v>1350</v>
      </c>
      <c r="H105" s="63">
        <f>F105/2</f>
        <v>625</v>
      </c>
      <c r="I105" s="63">
        <v>2</v>
      </c>
      <c r="J105" s="63">
        <v>200</v>
      </c>
      <c r="K105" s="63">
        <v>1.1499999999999999</v>
      </c>
      <c r="L105" s="63" t="s">
        <v>22</v>
      </c>
      <c r="M105" s="63">
        <v>4</v>
      </c>
      <c r="N105" s="65">
        <v>20768090.079697989</v>
      </c>
      <c r="O105" s="65">
        <f>N105*M105</f>
        <v>83072360.318791956</v>
      </c>
      <c r="P105" s="63" t="s">
        <v>315</v>
      </c>
      <c r="Q105" s="66"/>
    </row>
    <row r="106" spans="1:17" s="67" customFormat="1" ht="76.5">
      <c r="A106" s="63"/>
      <c r="B106" s="64" t="s">
        <v>117</v>
      </c>
      <c r="C106" s="63" t="s">
        <v>313</v>
      </c>
      <c r="D106" s="63" t="s">
        <v>284</v>
      </c>
      <c r="E106" s="63">
        <v>1250</v>
      </c>
      <c r="F106" s="63">
        <v>600</v>
      </c>
      <c r="G106" s="63"/>
      <c r="H106" s="63"/>
      <c r="I106" s="63"/>
      <c r="J106" s="63">
        <v>200</v>
      </c>
      <c r="K106" s="63">
        <v>1.1499999999999999</v>
      </c>
      <c r="L106" s="63" t="s">
        <v>22</v>
      </c>
      <c r="M106" s="63">
        <v>4</v>
      </c>
      <c r="N106" s="65">
        <v>9747218.1208053697</v>
      </c>
      <c r="O106" s="65">
        <f>N106*M106</f>
        <v>38988872.483221479</v>
      </c>
      <c r="P106" s="63" t="s">
        <v>315</v>
      </c>
      <c r="Q106" s="66"/>
    </row>
    <row r="107" spans="1:17" s="67" customFormat="1" ht="76.5">
      <c r="A107" s="63"/>
      <c r="B107" s="64" t="s">
        <v>118</v>
      </c>
      <c r="C107" s="63" t="s">
        <v>313</v>
      </c>
      <c r="D107" s="63" t="s">
        <v>284</v>
      </c>
      <c r="E107" s="63">
        <v>1050</v>
      </c>
      <c r="F107" s="63">
        <v>350</v>
      </c>
      <c r="G107" s="63"/>
      <c r="H107" s="63"/>
      <c r="I107" s="63"/>
      <c r="J107" s="63">
        <v>200</v>
      </c>
      <c r="K107" s="63">
        <v>1.1499999999999999</v>
      </c>
      <c r="L107" s="63" t="s">
        <v>22</v>
      </c>
      <c r="M107" s="63">
        <v>3</v>
      </c>
      <c r="N107" s="65">
        <v>6580040.3229865776</v>
      </c>
      <c r="O107" s="65">
        <f>N107*M107</f>
        <v>19740120.968959734</v>
      </c>
      <c r="P107" s="63" t="s">
        <v>315</v>
      </c>
      <c r="Q107" s="66"/>
    </row>
    <row r="108" spans="1:17" s="67" customFormat="1" ht="76.5">
      <c r="A108" s="63"/>
      <c r="B108" s="64" t="s">
        <v>119</v>
      </c>
      <c r="C108" s="63" t="s">
        <v>313</v>
      </c>
      <c r="D108" s="63" t="s">
        <v>284</v>
      </c>
      <c r="E108" s="63">
        <v>800</v>
      </c>
      <c r="F108" s="63">
        <v>350</v>
      </c>
      <c r="G108" s="63"/>
      <c r="H108" s="63"/>
      <c r="I108" s="63"/>
      <c r="J108" s="63">
        <v>200</v>
      </c>
      <c r="K108" s="63">
        <v>1.1499999999999999</v>
      </c>
      <c r="L108" s="63" t="s">
        <v>22</v>
      </c>
      <c r="M108" s="63">
        <v>7</v>
      </c>
      <c r="N108" s="65">
        <v>6050345.4194630869</v>
      </c>
      <c r="O108" s="65">
        <f>N108*M108</f>
        <v>42352417.936241612</v>
      </c>
      <c r="P108" s="63" t="s">
        <v>315</v>
      </c>
      <c r="Q108" s="66"/>
    </row>
    <row r="109" spans="1:17" s="67" customFormat="1" ht="76.5">
      <c r="A109" s="63"/>
      <c r="B109" s="64" t="s">
        <v>89</v>
      </c>
      <c r="C109" s="63" t="s">
        <v>313</v>
      </c>
      <c r="D109" s="63" t="s">
        <v>284</v>
      </c>
      <c r="E109" s="63">
        <v>900</v>
      </c>
      <c r="F109" s="63">
        <v>350</v>
      </c>
      <c r="G109" s="63"/>
      <c r="H109" s="63"/>
      <c r="I109" s="63"/>
      <c r="J109" s="63">
        <v>200</v>
      </c>
      <c r="K109" s="63">
        <v>1.1499999999999999</v>
      </c>
      <c r="L109" s="63" t="s">
        <v>22</v>
      </c>
      <c r="M109" s="63">
        <v>2</v>
      </c>
      <c r="N109" s="65">
        <v>6261973.3808724834</v>
      </c>
      <c r="O109" s="65">
        <f>N109*M109</f>
        <v>12523946.761744967</v>
      </c>
      <c r="P109" s="63" t="s">
        <v>315</v>
      </c>
      <c r="Q109" s="66"/>
    </row>
    <row r="110" spans="1:17" s="67" customFormat="1" ht="76.5">
      <c r="A110" s="63"/>
      <c r="B110" s="64" t="s">
        <v>120</v>
      </c>
      <c r="C110" s="63" t="s">
        <v>313</v>
      </c>
      <c r="D110" s="63" t="s">
        <v>284</v>
      </c>
      <c r="E110" s="63">
        <v>900</v>
      </c>
      <c r="F110" s="63">
        <v>350</v>
      </c>
      <c r="G110" s="63"/>
      <c r="H110" s="63"/>
      <c r="I110" s="63"/>
      <c r="J110" s="63">
        <v>200</v>
      </c>
      <c r="K110" s="63">
        <v>1.1499999999999999</v>
      </c>
      <c r="L110" s="63" t="s">
        <v>22</v>
      </c>
      <c r="M110" s="63">
        <v>2</v>
      </c>
      <c r="N110" s="65">
        <v>6261973.3808724834</v>
      </c>
      <c r="O110" s="65">
        <f>N110*M110</f>
        <v>12523946.761744967</v>
      </c>
      <c r="P110" s="63" t="s">
        <v>315</v>
      </c>
      <c r="Q110" s="66"/>
    </row>
    <row r="111" spans="1:17" s="67" customFormat="1" ht="76.5">
      <c r="A111" s="63"/>
      <c r="B111" s="64" t="s">
        <v>121</v>
      </c>
      <c r="C111" s="63" t="s">
        <v>313</v>
      </c>
      <c r="D111" s="63" t="s">
        <v>284</v>
      </c>
      <c r="E111" s="63">
        <v>1100</v>
      </c>
      <c r="F111" s="63">
        <v>350</v>
      </c>
      <c r="G111" s="63"/>
      <c r="H111" s="63"/>
      <c r="I111" s="63"/>
      <c r="J111" s="63">
        <v>200</v>
      </c>
      <c r="K111" s="63">
        <v>1.1499999999999999</v>
      </c>
      <c r="L111" s="63" t="s">
        <v>22</v>
      </c>
      <c r="M111" s="63">
        <v>1</v>
      </c>
      <c r="N111" s="65">
        <v>6686479.3036912754</v>
      </c>
      <c r="O111" s="65">
        <f>N111*M111</f>
        <v>6686479.3036912754</v>
      </c>
      <c r="P111" s="63" t="s">
        <v>315</v>
      </c>
      <c r="Q111" s="66"/>
    </row>
    <row r="112" spans="1:17" s="67" customFormat="1" ht="76.5">
      <c r="A112" s="63"/>
      <c r="B112" s="64" t="s">
        <v>86</v>
      </c>
      <c r="C112" s="63" t="s">
        <v>313</v>
      </c>
      <c r="D112" s="63" t="s">
        <v>284</v>
      </c>
      <c r="E112" s="63">
        <v>1100</v>
      </c>
      <c r="F112" s="63">
        <v>350</v>
      </c>
      <c r="G112" s="63"/>
      <c r="H112" s="63"/>
      <c r="I112" s="63"/>
      <c r="J112" s="63">
        <v>200</v>
      </c>
      <c r="K112" s="63">
        <v>1.1499999999999999</v>
      </c>
      <c r="L112" s="63" t="s">
        <v>22</v>
      </c>
      <c r="M112" s="63">
        <v>4</v>
      </c>
      <c r="N112" s="65">
        <v>6686479.3036912754</v>
      </c>
      <c r="O112" s="65">
        <f>N112*M112</f>
        <v>26745917.214765102</v>
      </c>
      <c r="P112" s="63" t="s">
        <v>315</v>
      </c>
      <c r="Q112" s="66"/>
    </row>
    <row r="113" spans="1:17" s="67" customFormat="1" ht="76.5">
      <c r="A113" s="63"/>
      <c r="B113" s="64" t="s">
        <v>93</v>
      </c>
      <c r="C113" s="63" t="s">
        <v>313</v>
      </c>
      <c r="D113" s="63" t="s">
        <v>284</v>
      </c>
      <c r="E113" s="63">
        <v>800</v>
      </c>
      <c r="F113" s="63">
        <v>300</v>
      </c>
      <c r="G113" s="63"/>
      <c r="H113" s="63"/>
      <c r="I113" s="63"/>
      <c r="J113" s="63">
        <v>200</v>
      </c>
      <c r="K113" s="63">
        <v>1.1499999999999999</v>
      </c>
      <c r="L113" s="63" t="s">
        <v>22</v>
      </c>
      <c r="M113" s="63">
        <v>2</v>
      </c>
      <c r="N113" s="65">
        <v>5847074.5973154362</v>
      </c>
      <c r="O113" s="65">
        <f>N113*M113</f>
        <v>11694149.194630872</v>
      </c>
      <c r="P113" s="63" t="s">
        <v>315</v>
      </c>
      <c r="Q113" s="66"/>
    </row>
    <row r="114" spans="1:17" s="67" customFormat="1" ht="76.5">
      <c r="A114" s="63"/>
      <c r="B114" s="64" t="s">
        <v>122</v>
      </c>
      <c r="C114" s="63" t="s">
        <v>313</v>
      </c>
      <c r="D114" s="63" t="s">
        <v>284</v>
      </c>
      <c r="E114" s="63">
        <v>900</v>
      </c>
      <c r="F114" s="63">
        <v>350</v>
      </c>
      <c r="G114" s="63"/>
      <c r="H114" s="63"/>
      <c r="I114" s="63"/>
      <c r="J114" s="63">
        <v>200</v>
      </c>
      <c r="K114" s="63">
        <v>1.1499999999999999</v>
      </c>
      <c r="L114" s="63" t="s">
        <v>22</v>
      </c>
      <c r="M114" s="63">
        <v>1</v>
      </c>
      <c r="N114" s="65">
        <v>6261973.3808724834</v>
      </c>
      <c r="O114" s="65">
        <f>N114*M114</f>
        <v>6261973.3808724834</v>
      </c>
      <c r="P114" s="63" t="s">
        <v>315</v>
      </c>
      <c r="Q114" s="66"/>
    </row>
    <row r="115" spans="1:17" s="67" customFormat="1" ht="76.5">
      <c r="A115" s="63"/>
      <c r="B115" s="64" t="s">
        <v>123</v>
      </c>
      <c r="C115" s="63" t="s">
        <v>313</v>
      </c>
      <c r="D115" s="63" t="s">
        <v>284</v>
      </c>
      <c r="E115" s="63">
        <v>1400</v>
      </c>
      <c r="F115" s="63">
        <v>350</v>
      </c>
      <c r="G115" s="63"/>
      <c r="H115" s="63"/>
      <c r="I115" s="63"/>
      <c r="J115" s="63">
        <v>200</v>
      </c>
      <c r="K115" s="63">
        <v>1.1499999999999999</v>
      </c>
      <c r="L115" s="63" t="s">
        <v>22</v>
      </c>
      <c r="M115" s="63">
        <v>1</v>
      </c>
      <c r="N115" s="65">
        <v>7321363.187919464</v>
      </c>
      <c r="O115" s="65">
        <f>N115*M115</f>
        <v>7321363.187919464</v>
      </c>
      <c r="P115" s="63" t="s">
        <v>315</v>
      </c>
      <c r="Q115" s="66"/>
    </row>
    <row r="116" spans="1:17" s="67" customFormat="1" ht="89.25">
      <c r="A116" s="63"/>
      <c r="B116" s="64" t="s">
        <v>124</v>
      </c>
      <c r="C116" s="63" t="s">
        <v>313</v>
      </c>
      <c r="D116" s="63" t="s">
        <v>284</v>
      </c>
      <c r="E116" s="63">
        <v>100</v>
      </c>
      <c r="F116" s="63">
        <v>100</v>
      </c>
      <c r="G116" s="63"/>
      <c r="H116" s="63"/>
      <c r="I116" s="63"/>
      <c r="J116" s="63">
        <v>200</v>
      </c>
      <c r="K116" s="63">
        <v>1.1499999999999999</v>
      </c>
      <c r="L116" s="63" t="s">
        <v>22</v>
      </c>
      <c r="M116" s="63">
        <v>11</v>
      </c>
      <c r="N116" s="65">
        <v>4661154.4249999998</v>
      </c>
      <c r="O116" s="65">
        <f>N116*M116</f>
        <v>51272698.674999997</v>
      </c>
      <c r="P116" s="63" t="s">
        <v>316</v>
      </c>
      <c r="Q116" s="66"/>
    </row>
    <row r="117" spans="1:17" s="67" customFormat="1" ht="76.5">
      <c r="A117" s="63"/>
      <c r="B117" s="64" t="s">
        <v>125</v>
      </c>
      <c r="C117" s="63" t="s">
        <v>313</v>
      </c>
      <c r="D117" s="63" t="s">
        <v>284</v>
      </c>
      <c r="E117" s="63">
        <v>150</v>
      </c>
      <c r="F117" s="63">
        <v>150</v>
      </c>
      <c r="G117" s="63"/>
      <c r="H117" s="63"/>
      <c r="I117" s="63"/>
      <c r="J117" s="63">
        <v>200</v>
      </c>
      <c r="K117" s="63">
        <v>1.1499999999999999</v>
      </c>
      <c r="L117" s="63" t="s">
        <v>22</v>
      </c>
      <c r="M117" s="63">
        <v>9</v>
      </c>
      <c r="N117" s="65">
        <v>4661154.4249999998</v>
      </c>
      <c r="O117" s="65">
        <f>N117*M117</f>
        <v>41950389.824999996</v>
      </c>
      <c r="P117" s="63" t="s">
        <v>315</v>
      </c>
      <c r="Q117" s="66"/>
    </row>
    <row r="118" spans="1:17" s="67" customFormat="1" ht="76.5">
      <c r="A118" s="63"/>
      <c r="B118" s="64" t="s">
        <v>126</v>
      </c>
      <c r="C118" s="63" t="s">
        <v>313</v>
      </c>
      <c r="D118" s="63" t="s">
        <v>284</v>
      </c>
      <c r="E118" s="63">
        <v>450</v>
      </c>
      <c r="F118" s="63">
        <v>300</v>
      </c>
      <c r="G118" s="63"/>
      <c r="H118" s="63"/>
      <c r="I118" s="63"/>
      <c r="J118" s="63">
        <v>200</v>
      </c>
      <c r="K118" s="63">
        <v>1.1499999999999999</v>
      </c>
      <c r="L118" s="63" t="s">
        <v>22</v>
      </c>
      <c r="M118" s="63">
        <v>3</v>
      </c>
      <c r="N118" s="65">
        <v>5182037.609060403</v>
      </c>
      <c r="O118" s="65">
        <f>N118*M118</f>
        <v>15546112.827181209</v>
      </c>
      <c r="P118" s="63" t="s">
        <v>315</v>
      </c>
      <c r="Q118" s="66"/>
    </row>
    <row r="119" spans="1:17" s="67" customFormat="1" ht="38.25">
      <c r="A119" s="63"/>
      <c r="B119" s="64" t="s">
        <v>127</v>
      </c>
      <c r="C119" s="63" t="s">
        <v>263</v>
      </c>
      <c r="D119" s="63" t="s">
        <v>284</v>
      </c>
      <c r="E119" s="63">
        <v>800</v>
      </c>
      <c r="F119" s="63">
        <v>250</v>
      </c>
      <c r="G119" s="63"/>
      <c r="H119" s="63"/>
      <c r="I119" s="63"/>
      <c r="J119" s="63">
        <v>200</v>
      </c>
      <c r="K119" s="63">
        <v>1.1499999999999999</v>
      </c>
      <c r="L119" s="63" t="s">
        <v>22</v>
      </c>
      <c r="M119" s="63">
        <v>1</v>
      </c>
      <c r="N119" s="65">
        <v>2519556</v>
      </c>
      <c r="O119" s="65">
        <f>N119*M119</f>
        <v>2519556</v>
      </c>
      <c r="P119" s="63" t="s">
        <v>264</v>
      </c>
      <c r="Q119" s="66"/>
    </row>
    <row r="120" spans="1:17" s="67" customFormat="1" ht="38.25">
      <c r="A120" s="63"/>
      <c r="B120" s="64" t="s">
        <v>128</v>
      </c>
      <c r="C120" s="63" t="s">
        <v>263</v>
      </c>
      <c r="D120" s="63" t="s">
        <v>284</v>
      </c>
      <c r="E120" s="63">
        <v>300</v>
      </c>
      <c r="F120" s="63">
        <v>200</v>
      </c>
      <c r="G120" s="63"/>
      <c r="H120" s="63"/>
      <c r="I120" s="63"/>
      <c r="J120" s="63">
        <v>200</v>
      </c>
      <c r="K120" s="63">
        <v>1.1499999999999999</v>
      </c>
      <c r="L120" s="63" t="s">
        <v>22</v>
      </c>
      <c r="M120" s="63">
        <v>6</v>
      </c>
      <c r="N120" s="65">
        <v>1256361.8</v>
      </c>
      <c r="O120" s="65">
        <f>N120*M120</f>
        <v>7538170.8000000007</v>
      </c>
      <c r="P120" s="63" t="s">
        <v>264</v>
      </c>
      <c r="Q120" s="66"/>
    </row>
    <row r="121" spans="1:17" s="67" customFormat="1" ht="38.25">
      <c r="A121" s="63"/>
      <c r="B121" s="64" t="s">
        <v>129</v>
      </c>
      <c r="C121" s="63" t="s">
        <v>263</v>
      </c>
      <c r="D121" s="63" t="s">
        <v>284</v>
      </c>
      <c r="E121" s="63">
        <v>200</v>
      </c>
      <c r="F121" s="63">
        <v>200</v>
      </c>
      <c r="G121" s="63"/>
      <c r="H121" s="63"/>
      <c r="I121" s="63"/>
      <c r="J121" s="63">
        <v>200</v>
      </c>
      <c r="K121" s="63">
        <v>1.1499999999999999</v>
      </c>
      <c r="L121" s="63" t="s">
        <v>22</v>
      </c>
      <c r="M121" s="63">
        <v>6</v>
      </c>
      <c r="N121" s="65">
        <v>1051991.2</v>
      </c>
      <c r="O121" s="65">
        <f>N121*M121</f>
        <v>6311947.1999999993</v>
      </c>
      <c r="P121" s="63" t="s">
        <v>264</v>
      </c>
      <c r="Q121" s="66"/>
    </row>
    <row r="122" spans="1:17" s="67" customFormat="1" ht="38.25">
      <c r="A122" s="63"/>
      <c r="B122" s="64" t="s">
        <v>130</v>
      </c>
      <c r="C122" s="63" t="s">
        <v>263</v>
      </c>
      <c r="D122" s="63" t="s">
        <v>284</v>
      </c>
      <c r="E122" s="63">
        <v>350</v>
      </c>
      <c r="F122" s="63">
        <v>250</v>
      </c>
      <c r="G122" s="63"/>
      <c r="H122" s="63"/>
      <c r="I122" s="63"/>
      <c r="J122" s="63">
        <v>200</v>
      </c>
      <c r="K122" s="63">
        <v>1.1499999999999999</v>
      </c>
      <c r="L122" s="63" t="s">
        <v>22</v>
      </c>
      <c r="M122" s="63">
        <v>6</v>
      </c>
      <c r="N122" s="65">
        <v>1495133.875</v>
      </c>
      <c r="O122" s="65">
        <f>N122*M122</f>
        <v>8970803.25</v>
      </c>
      <c r="P122" s="63" t="s">
        <v>264</v>
      </c>
      <c r="Q122" s="66"/>
    </row>
    <row r="123" spans="1:17" s="67" customFormat="1" ht="38.25">
      <c r="A123" s="63"/>
      <c r="B123" s="64" t="s">
        <v>131</v>
      </c>
      <c r="C123" s="63" t="s">
        <v>263</v>
      </c>
      <c r="D123" s="63" t="s">
        <v>284</v>
      </c>
      <c r="E123" s="63">
        <v>450</v>
      </c>
      <c r="F123" s="63">
        <v>200</v>
      </c>
      <c r="G123" s="63"/>
      <c r="H123" s="63"/>
      <c r="I123" s="63"/>
      <c r="J123" s="63">
        <v>200</v>
      </c>
      <c r="K123" s="63">
        <v>1.1499999999999999</v>
      </c>
      <c r="L123" s="63" t="s">
        <v>22</v>
      </c>
      <c r="M123" s="63">
        <v>14</v>
      </c>
      <c r="N123" s="65">
        <v>1561367.7</v>
      </c>
      <c r="O123" s="65">
        <f>N123*M123</f>
        <v>21859147.800000001</v>
      </c>
      <c r="P123" s="63" t="s">
        <v>264</v>
      </c>
      <c r="Q123" s="66"/>
    </row>
    <row r="124" spans="1:17" s="67" customFormat="1" ht="38.25">
      <c r="A124" s="63"/>
      <c r="B124" s="64" t="s">
        <v>132</v>
      </c>
      <c r="C124" s="63" t="s">
        <v>296</v>
      </c>
      <c r="D124" s="63" t="s">
        <v>284</v>
      </c>
      <c r="E124" s="63">
        <v>300</v>
      </c>
      <c r="F124" s="63">
        <v>150</v>
      </c>
      <c r="G124" s="63"/>
      <c r="H124" s="63"/>
      <c r="I124" s="63"/>
      <c r="J124" s="63">
        <v>200</v>
      </c>
      <c r="K124" s="63">
        <v>1.1499999999999999</v>
      </c>
      <c r="L124" s="63" t="s">
        <v>22</v>
      </c>
      <c r="M124" s="63">
        <v>78</v>
      </c>
      <c r="N124" s="65">
        <v>2412000</v>
      </c>
      <c r="O124" s="65">
        <f>N124*M124</f>
        <v>188136000</v>
      </c>
      <c r="P124" s="63" t="s">
        <v>297</v>
      </c>
      <c r="Q124" s="66"/>
    </row>
    <row r="125" spans="1:17" s="67" customFormat="1" ht="12.75">
      <c r="A125" s="63"/>
      <c r="B125" s="64" t="s">
        <v>133</v>
      </c>
      <c r="C125" s="63"/>
      <c r="D125" s="63"/>
      <c r="E125" s="63"/>
      <c r="F125" s="63"/>
      <c r="G125" s="63"/>
      <c r="H125" s="63"/>
      <c r="I125" s="63"/>
      <c r="J125" s="63"/>
      <c r="K125" s="63"/>
      <c r="L125" s="63" t="s">
        <v>22</v>
      </c>
      <c r="M125" s="63">
        <v>78</v>
      </c>
      <c r="N125" s="65"/>
      <c r="O125" s="65">
        <f>N125*M125</f>
        <v>0</v>
      </c>
      <c r="P125" s="63"/>
      <c r="Q125" s="66"/>
    </row>
    <row r="126" spans="1:17" s="67" customFormat="1" ht="25.5">
      <c r="A126" s="63"/>
      <c r="B126" s="64" t="s">
        <v>134</v>
      </c>
      <c r="C126" s="63" t="s">
        <v>35</v>
      </c>
      <c r="D126" s="63" t="s">
        <v>284</v>
      </c>
      <c r="E126" s="63">
        <v>1300</v>
      </c>
      <c r="F126" s="63">
        <v>300</v>
      </c>
      <c r="G126" s="63"/>
      <c r="H126" s="63"/>
      <c r="I126" s="63"/>
      <c r="J126" s="63">
        <v>200</v>
      </c>
      <c r="K126" s="63">
        <v>1.1499999999999999</v>
      </c>
      <c r="L126" s="63" t="s">
        <v>22</v>
      </c>
      <c r="M126" s="63">
        <v>26</v>
      </c>
      <c r="N126" s="65">
        <v>1120000</v>
      </c>
      <c r="O126" s="65">
        <f>N126*M126</f>
        <v>29120000</v>
      </c>
      <c r="P126" s="63" t="s">
        <v>298</v>
      </c>
      <c r="Q126" s="66"/>
    </row>
    <row r="127" spans="1:17" s="67" customFormat="1" ht="12.75">
      <c r="A127" s="63"/>
      <c r="B127" s="64" t="s">
        <v>135</v>
      </c>
      <c r="C127" s="63" t="s">
        <v>35</v>
      </c>
      <c r="D127" s="63" t="s">
        <v>284</v>
      </c>
      <c r="E127" s="63">
        <v>150</v>
      </c>
      <c r="F127" s="63">
        <v>150</v>
      </c>
      <c r="G127" s="63"/>
      <c r="H127" s="63"/>
      <c r="I127" s="63"/>
      <c r="J127" s="63">
        <v>200</v>
      </c>
      <c r="K127" s="63">
        <v>0.75</v>
      </c>
      <c r="L127" s="63" t="s">
        <v>22</v>
      </c>
      <c r="M127" s="63">
        <v>413</v>
      </c>
      <c r="N127" s="65">
        <v>174000</v>
      </c>
      <c r="O127" s="65">
        <f>N127*M127</f>
        <v>71862000</v>
      </c>
      <c r="P127" s="63" t="s">
        <v>298</v>
      </c>
      <c r="Q127" s="66"/>
    </row>
    <row r="128" spans="1:17" s="67" customFormat="1" ht="12.75">
      <c r="A128" s="63"/>
      <c r="B128" s="64" t="s">
        <v>136</v>
      </c>
      <c r="C128" s="63" t="s">
        <v>35</v>
      </c>
      <c r="D128" s="63" t="s">
        <v>284</v>
      </c>
      <c r="E128" s="63">
        <v>150</v>
      </c>
      <c r="F128" s="63"/>
      <c r="G128" s="63"/>
      <c r="H128" s="63"/>
      <c r="I128" s="63"/>
      <c r="J128" s="63">
        <v>200</v>
      </c>
      <c r="K128" s="63">
        <v>0.75</v>
      </c>
      <c r="L128" s="63" t="s">
        <v>22</v>
      </c>
      <c r="M128" s="63">
        <v>35</v>
      </c>
      <c r="N128" s="65">
        <v>145000</v>
      </c>
      <c r="O128" s="65">
        <f>N128*M128</f>
        <v>5075000</v>
      </c>
      <c r="P128" s="63" t="s">
        <v>298</v>
      </c>
      <c r="Q128" s="66"/>
    </row>
    <row r="129" spans="1:17" s="67" customFormat="1" ht="12.75">
      <c r="A129" s="63"/>
      <c r="B129" s="64" t="s">
        <v>137</v>
      </c>
      <c r="C129" s="63" t="s">
        <v>35</v>
      </c>
      <c r="D129" s="63" t="s">
        <v>284</v>
      </c>
      <c r="E129" s="63">
        <v>200</v>
      </c>
      <c r="F129" s="63"/>
      <c r="G129" s="63"/>
      <c r="H129" s="63"/>
      <c r="I129" s="63"/>
      <c r="J129" s="63">
        <v>250</v>
      </c>
      <c r="K129" s="63">
        <v>0.75</v>
      </c>
      <c r="L129" s="63" t="s">
        <v>22</v>
      </c>
      <c r="M129" s="63">
        <v>70</v>
      </c>
      <c r="N129" s="65">
        <v>165000</v>
      </c>
      <c r="O129" s="65">
        <f>N129*M129</f>
        <v>11550000</v>
      </c>
      <c r="P129" s="63" t="s">
        <v>298</v>
      </c>
      <c r="Q129" s="66"/>
    </row>
    <row r="130" spans="1:17" s="67" customFormat="1" ht="12.75">
      <c r="A130" s="63"/>
      <c r="B130" s="64" t="s">
        <v>138</v>
      </c>
      <c r="C130" s="63" t="s">
        <v>289</v>
      </c>
      <c r="D130" s="63" t="s">
        <v>284</v>
      </c>
      <c r="E130" s="63">
        <v>1000</v>
      </c>
      <c r="F130" s="63">
        <v>600</v>
      </c>
      <c r="G130" s="63">
        <v>950</v>
      </c>
      <c r="H130" s="63">
        <v>550</v>
      </c>
      <c r="I130" s="63"/>
      <c r="J130" s="63"/>
      <c r="K130" s="63"/>
      <c r="L130" s="63" t="s">
        <v>22</v>
      </c>
      <c r="M130" s="63">
        <v>1</v>
      </c>
      <c r="N130" s="65">
        <v>896000</v>
      </c>
      <c r="O130" s="65">
        <f>N130*M130</f>
        <v>896000</v>
      </c>
      <c r="P130" s="63" t="s">
        <v>290</v>
      </c>
      <c r="Q130" s="66"/>
    </row>
    <row r="131" spans="1:17" s="67" customFormat="1" ht="12.75">
      <c r="A131" s="63"/>
      <c r="B131" s="64" t="s">
        <v>139</v>
      </c>
      <c r="C131" s="63" t="s">
        <v>289</v>
      </c>
      <c r="D131" s="63" t="s">
        <v>284</v>
      </c>
      <c r="E131" s="63">
        <v>1200</v>
      </c>
      <c r="F131" s="63">
        <v>600</v>
      </c>
      <c r="G131" s="63">
        <v>1150</v>
      </c>
      <c r="H131" s="63">
        <v>550</v>
      </c>
      <c r="I131" s="63"/>
      <c r="J131" s="63"/>
      <c r="K131" s="63"/>
      <c r="L131" s="63" t="s">
        <v>22</v>
      </c>
      <c r="M131" s="63">
        <v>2</v>
      </c>
      <c r="N131" s="65">
        <v>1062000</v>
      </c>
      <c r="O131" s="65">
        <f>N131*M131</f>
        <v>2124000</v>
      </c>
      <c r="P131" s="63" t="s">
        <v>290</v>
      </c>
      <c r="Q131" s="66"/>
    </row>
    <row r="132" spans="1:17" s="67" customFormat="1" ht="12.75">
      <c r="A132" s="63"/>
      <c r="B132" s="64" t="s">
        <v>140</v>
      </c>
      <c r="C132" s="63" t="s">
        <v>289</v>
      </c>
      <c r="D132" s="63" t="s">
        <v>284</v>
      </c>
      <c r="E132" s="63">
        <v>600</v>
      </c>
      <c r="F132" s="63">
        <v>600</v>
      </c>
      <c r="G132" s="63">
        <v>550</v>
      </c>
      <c r="H132" s="63">
        <v>550</v>
      </c>
      <c r="I132" s="63"/>
      <c r="J132" s="63"/>
      <c r="K132" s="63"/>
      <c r="L132" s="63" t="s">
        <v>22</v>
      </c>
      <c r="M132" s="63">
        <v>48</v>
      </c>
      <c r="N132" s="65">
        <v>505000</v>
      </c>
      <c r="O132" s="65">
        <f>N132*M132</f>
        <v>24240000</v>
      </c>
      <c r="P132" s="63" t="s">
        <v>290</v>
      </c>
      <c r="Q132" s="66"/>
    </row>
    <row r="133" spans="1:17" s="67" customFormat="1" ht="12.75">
      <c r="A133" s="63"/>
      <c r="B133" s="64" t="s">
        <v>141</v>
      </c>
      <c r="C133" s="63" t="s">
        <v>289</v>
      </c>
      <c r="D133" s="63" t="s">
        <v>284</v>
      </c>
      <c r="E133" s="63">
        <v>900</v>
      </c>
      <c r="F133" s="63">
        <v>600</v>
      </c>
      <c r="G133" s="63">
        <v>850</v>
      </c>
      <c r="H133" s="63">
        <v>550</v>
      </c>
      <c r="I133" s="63"/>
      <c r="J133" s="63"/>
      <c r="K133" s="63"/>
      <c r="L133" s="63" t="s">
        <v>22</v>
      </c>
      <c r="M133" s="63">
        <v>2</v>
      </c>
      <c r="N133" s="65">
        <v>813000</v>
      </c>
      <c r="O133" s="65">
        <f>N133*M133</f>
        <v>1626000</v>
      </c>
      <c r="P133" s="63" t="s">
        <v>290</v>
      </c>
      <c r="Q133" s="66"/>
    </row>
    <row r="134" spans="1:17" s="67" customFormat="1" ht="12.75">
      <c r="A134" s="63"/>
      <c r="B134" s="64" t="s">
        <v>142</v>
      </c>
      <c r="C134" s="63" t="s">
        <v>289</v>
      </c>
      <c r="D134" s="63" t="s">
        <v>284</v>
      </c>
      <c r="E134" s="63">
        <v>850</v>
      </c>
      <c r="F134" s="63">
        <v>850</v>
      </c>
      <c r="G134" s="63">
        <v>800</v>
      </c>
      <c r="H134" s="63">
        <v>800</v>
      </c>
      <c r="I134" s="63"/>
      <c r="J134" s="63"/>
      <c r="K134" s="63"/>
      <c r="L134" s="63" t="s">
        <v>22</v>
      </c>
      <c r="M134" s="63">
        <v>1</v>
      </c>
      <c r="N134" s="65">
        <v>1044000</v>
      </c>
      <c r="O134" s="65">
        <f>N134*M134</f>
        <v>1044000</v>
      </c>
      <c r="P134" s="63" t="s">
        <v>290</v>
      </c>
      <c r="Q134" s="66"/>
    </row>
    <row r="135" spans="1:17" s="67" customFormat="1" ht="12.75">
      <c r="A135" s="63"/>
      <c r="B135" s="64" t="s">
        <v>143</v>
      </c>
      <c r="C135" s="63" t="s">
        <v>289</v>
      </c>
      <c r="D135" s="63" t="s">
        <v>284</v>
      </c>
      <c r="E135" s="63">
        <v>1050</v>
      </c>
      <c r="F135" s="63">
        <v>800</v>
      </c>
      <c r="G135" s="63">
        <v>1000</v>
      </c>
      <c r="H135" s="63">
        <v>750</v>
      </c>
      <c r="I135" s="63"/>
      <c r="J135" s="63"/>
      <c r="K135" s="63"/>
      <c r="L135" s="63" t="s">
        <v>22</v>
      </c>
      <c r="M135" s="63">
        <v>2</v>
      </c>
      <c r="N135" s="65">
        <v>1207000</v>
      </c>
      <c r="O135" s="65">
        <f>N135*M135</f>
        <v>2414000</v>
      </c>
      <c r="P135" s="63" t="s">
        <v>290</v>
      </c>
      <c r="Q135" s="66"/>
    </row>
    <row r="136" spans="1:17" s="67" customFormat="1" ht="12.75">
      <c r="A136" s="63"/>
      <c r="B136" s="64" t="s">
        <v>142</v>
      </c>
      <c r="C136" s="63" t="s">
        <v>289</v>
      </c>
      <c r="D136" s="63" t="s">
        <v>284</v>
      </c>
      <c r="E136" s="63">
        <v>850</v>
      </c>
      <c r="F136" s="63">
        <v>850</v>
      </c>
      <c r="G136" s="63">
        <v>800</v>
      </c>
      <c r="H136" s="63">
        <v>800</v>
      </c>
      <c r="I136" s="63"/>
      <c r="J136" s="63"/>
      <c r="K136" s="63"/>
      <c r="L136" s="63" t="s">
        <v>22</v>
      </c>
      <c r="M136" s="63">
        <v>1</v>
      </c>
      <c r="N136" s="65">
        <v>1044000</v>
      </c>
      <c r="O136" s="65">
        <f>N136*M136</f>
        <v>1044000</v>
      </c>
      <c r="P136" s="63" t="s">
        <v>290</v>
      </c>
      <c r="Q136" s="66"/>
    </row>
    <row r="137" spans="1:17" s="67" customFormat="1" ht="12.75">
      <c r="A137" s="63"/>
      <c r="B137" s="64" t="s">
        <v>142</v>
      </c>
      <c r="C137" s="63" t="s">
        <v>289</v>
      </c>
      <c r="D137" s="63" t="s">
        <v>284</v>
      </c>
      <c r="E137" s="63">
        <v>850</v>
      </c>
      <c r="F137" s="63">
        <v>850</v>
      </c>
      <c r="G137" s="63">
        <v>800</v>
      </c>
      <c r="H137" s="63">
        <v>800</v>
      </c>
      <c r="I137" s="63"/>
      <c r="J137" s="63"/>
      <c r="K137" s="63"/>
      <c r="L137" s="63" t="s">
        <v>22</v>
      </c>
      <c r="M137" s="63">
        <v>2</v>
      </c>
      <c r="N137" s="65">
        <v>1044000</v>
      </c>
      <c r="O137" s="65">
        <f>N137*M137</f>
        <v>2088000</v>
      </c>
      <c r="P137" s="63" t="s">
        <v>290</v>
      </c>
      <c r="Q137" s="66"/>
    </row>
    <row r="138" spans="1:17" s="67" customFormat="1" ht="12.75">
      <c r="A138" s="63"/>
      <c r="B138" s="64" t="s">
        <v>144</v>
      </c>
      <c r="C138" s="63" t="s">
        <v>289</v>
      </c>
      <c r="D138" s="63" t="s">
        <v>284</v>
      </c>
      <c r="E138" s="63">
        <v>250</v>
      </c>
      <c r="F138" s="63">
        <v>250</v>
      </c>
      <c r="G138" s="63">
        <v>200</v>
      </c>
      <c r="H138" s="63">
        <v>200</v>
      </c>
      <c r="I138" s="63"/>
      <c r="J138" s="63"/>
      <c r="K138" s="63"/>
      <c r="L138" s="63" t="s">
        <v>22</v>
      </c>
      <c r="M138" s="63">
        <v>35</v>
      </c>
      <c r="N138" s="65">
        <v>131000</v>
      </c>
      <c r="O138" s="65">
        <f>N138*M138</f>
        <v>4585000</v>
      </c>
      <c r="P138" s="63" t="s">
        <v>290</v>
      </c>
      <c r="Q138" s="66"/>
    </row>
    <row r="139" spans="1:17" s="67" customFormat="1" ht="76.5">
      <c r="A139" s="63"/>
      <c r="B139" s="64" t="s">
        <v>145</v>
      </c>
      <c r="C139" s="63" t="s">
        <v>313</v>
      </c>
      <c r="D139" s="63" t="s">
        <v>284</v>
      </c>
      <c r="E139" s="63">
        <v>1500</v>
      </c>
      <c r="F139" s="63">
        <v>1000</v>
      </c>
      <c r="G139" s="63">
        <v>1500</v>
      </c>
      <c r="H139" s="63">
        <v>500</v>
      </c>
      <c r="I139" s="63">
        <v>2</v>
      </c>
      <c r="J139" s="63">
        <v>200</v>
      </c>
      <c r="K139" s="63">
        <v>1.1499999999999999</v>
      </c>
      <c r="L139" s="63" t="s">
        <v>22</v>
      </c>
      <c r="M139" s="63">
        <v>3</v>
      </c>
      <c r="N139" s="65">
        <v>19675354.865771811</v>
      </c>
      <c r="O139" s="65">
        <f>N139*M139</f>
        <v>59026064.597315431</v>
      </c>
      <c r="P139" s="63" t="s">
        <v>315</v>
      </c>
      <c r="Q139" s="66"/>
    </row>
    <row r="140" spans="1:17" s="67" customFormat="1" ht="76.5">
      <c r="A140" s="63"/>
      <c r="B140" s="64" t="s">
        <v>146</v>
      </c>
      <c r="C140" s="63" t="s">
        <v>313</v>
      </c>
      <c r="D140" s="63" t="s">
        <v>284</v>
      </c>
      <c r="E140" s="63">
        <v>1000</v>
      </c>
      <c r="F140" s="63">
        <v>800</v>
      </c>
      <c r="G140" s="63"/>
      <c r="H140" s="63"/>
      <c r="I140" s="63"/>
      <c r="J140" s="63">
        <v>200</v>
      </c>
      <c r="K140" s="63">
        <v>1.1499999999999999</v>
      </c>
      <c r="L140" s="63" t="s">
        <v>22</v>
      </c>
      <c r="M140" s="63">
        <v>4</v>
      </c>
      <c r="N140" s="65">
        <v>9119534</v>
      </c>
      <c r="O140" s="65">
        <f>N140*M140</f>
        <v>36478136</v>
      </c>
      <c r="P140" s="63" t="s">
        <v>315</v>
      </c>
      <c r="Q140" s="66"/>
    </row>
    <row r="141" spans="1:17" s="67" customFormat="1" ht="76.5">
      <c r="A141" s="63"/>
      <c r="B141" s="64" t="s">
        <v>147</v>
      </c>
      <c r="C141" s="63" t="s">
        <v>313</v>
      </c>
      <c r="D141" s="63" t="s">
        <v>284</v>
      </c>
      <c r="E141" s="63">
        <v>1000</v>
      </c>
      <c r="F141" s="63">
        <v>750</v>
      </c>
      <c r="G141" s="63"/>
      <c r="H141" s="63"/>
      <c r="I141" s="63"/>
      <c r="J141" s="63">
        <v>200</v>
      </c>
      <c r="K141" s="63">
        <v>1.1499999999999999</v>
      </c>
      <c r="L141" s="63" t="s">
        <v>22</v>
      </c>
      <c r="M141" s="63">
        <v>1</v>
      </c>
      <c r="N141" s="65">
        <v>8859472.5</v>
      </c>
      <c r="O141" s="65">
        <f>N141*M141</f>
        <v>8859472.5</v>
      </c>
      <c r="P141" s="63" t="s">
        <v>315</v>
      </c>
      <c r="Q141" s="66"/>
    </row>
    <row r="142" spans="1:17" s="67" customFormat="1" ht="12.75">
      <c r="A142" s="63"/>
      <c r="B142" s="64" t="s">
        <v>148</v>
      </c>
      <c r="C142" s="63" t="s">
        <v>291</v>
      </c>
      <c r="D142" s="63" t="s">
        <v>284</v>
      </c>
      <c r="E142" s="63">
        <v>300</v>
      </c>
      <c r="F142" s="63">
        <v>300</v>
      </c>
      <c r="G142" s="63">
        <f>E142-50</f>
        <v>250</v>
      </c>
      <c r="H142" s="63">
        <f>F142-50</f>
        <v>250</v>
      </c>
      <c r="I142" s="63"/>
      <c r="J142" s="63"/>
      <c r="K142" s="63"/>
      <c r="L142" s="63" t="s">
        <v>149</v>
      </c>
      <c r="M142" s="63">
        <v>6</v>
      </c>
      <c r="N142" s="65">
        <v>169000</v>
      </c>
      <c r="O142" s="65">
        <f>N142*M142</f>
        <v>1014000</v>
      </c>
      <c r="P142" s="63" t="s">
        <v>293</v>
      </c>
      <c r="Q142" s="66"/>
    </row>
    <row r="143" spans="1:17" s="67" customFormat="1" ht="12.75">
      <c r="A143" s="63"/>
      <c r="B143" s="64" t="s">
        <v>150</v>
      </c>
      <c r="C143" s="63" t="s">
        <v>291</v>
      </c>
      <c r="D143" s="63" t="s">
        <v>284</v>
      </c>
      <c r="E143" s="63">
        <v>400</v>
      </c>
      <c r="F143" s="63">
        <v>300</v>
      </c>
      <c r="G143" s="63">
        <f>E143-50</f>
        <v>350</v>
      </c>
      <c r="H143" s="63">
        <f>F143-50</f>
        <v>250</v>
      </c>
      <c r="I143" s="63"/>
      <c r="J143" s="63"/>
      <c r="K143" s="63"/>
      <c r="L143" s="63" t="s">
        <v>149</v>
      </c>
      <c r="M143" s="63">
        <v>15</v>
      </c>
      <c r="N143" s="65">
        <v>201000</v>
      </c>
      <c r="O143" s="65">
        <f>N143*M143</f>
        <v>3015000</v>
      </c>
      <c r="P143" s="63" t="s">
        <v>293</v>
      </c>
      <c r="Q143" s="66"/>
    </row>
    <row r="144" spans="1:17" s="67" customFormat="1" ht="12.75">
      <c r="A144" s="63"/>
      <c r="B144" s="64" t="s">
        <v>151</v>
      </c>
      <c r="C144" s="63" t="s">
        <v>291</v>
      </c>
      <c r="D144" s="63" t="s">
        <v>284</v>
      </c>
      <c r="E144" s="63">
        <v>500</v>
      </c>
      <c r="F144" s="63">
        <v>300</v>
      </c>
      <c r="G144" s="63">
        <f>E144-50</f>
        <v>450</v>
      </c>
      <c r="H144" s="63">
        <f>F144-50</f>
        <v>250</v>
      </c>
      <c r="I144" s="63"/>
      <c r="J144" s="63"/>
      <c r="K144" s="63"/>
      <c r="L144" s="63" t="s">
        <v>149</v>
      </c>
      <c r="M144" s="63">
        <v>6</v>
      </c>
      <c r="N144" s="65">
        <v>246000</v>
      </c>
      <c r="O144" s="65">
        <f>N144*M144</f>
        <v>1476000</v>
      </c>
      <c r="P144" s="63" t="s">
        <v>293</v>
      </c>
      <c r="Q144" s="66"/>
    </row>
    <row r="145" spans="1:17" s="67" customFormat="1" ht="12.75">
      <c r="A145" s="63"/>
      <c r="B145" s="64" t="s">
        <v>152</v>
      </c>
      <c r="C145" s="63" t="s">
        <v>291</v>
      </c>
      <c r="D145" s="63" t="s">
        <v>284</v>
      </c>
      <c r="E145" s="63">
        <v>600</v>
      </c>
      <c r="F145" s="63">
        <v>400</v>
      </c>
      <c r="G145" s="63">
        <f>E145-50</f>
        <v>550</v>
      </c>
      <c r="H145" s="63">
        <f>F145-50</f>
        <v>350</v>
      </c>
      <c r="I145" s="63"/>
      <c r="J145" s="63"/>
      <c r="K145" s="63"/>
      <c r="L145" s="63" t="s">
        <v>149</v>
      </c>
      <c r="M145" s="63">
        <v>8</v>
      </c>
      <c r="N145" s="65">
        <v>367000</v>
      </c>
      <c r="O145" s="65">
        <f>N145*M145</f>
        <v>2936000</v>
      </c>
      <c r="P145" s="63" t="s">
        <v>293</v>
      </c>
      <c r="Q145" s="66"/>
    </row>
    <row r="146" spans="1:17" s="67" customFormat="1" ht="12.75">
      <c r="A146" s="63"/>
      <c r="B146" s="64" t="s">
        <v>153</v>
      </c>
      <c r="C146" s="63" t="s">
        <v>291</v>
      </c>
      <c r="D146" s="63" t="s">
        <v>284</v>
      </c>
      <c r="E146" s="63">
        <v>600</v>
      </c>
      <c r="F146" s="63">
        <v>600</v>
      </c>
      <c r="G146" s="63">
        <f>E146-50</f>
        <v>550</v>
      </c>
      <c r="H146" s="63">
        <f>F146-50</f>
        <v>550</v>
      </c>
      <c r="I146" s="63"/>
      <c r="J146" s="63"/>
      <c r="K146" s="63"/>
      <c r="L146" s="63" t="s">
        <v>149</v>
      </c>
      <c r="M146" s="63">
        <v>2</v>
      </c>
      <c r="N146" s="65">
        <v>520000</v>
      </c>
      <c r="O146" s="65">
        <f>N146*M146</f>
        <v>1040000</v>
      </c>
      <c r="P146" s="63" t="s">
        <v>293</v>
      </c>
      <c r="Q146" s="66"/>
    </row>
    <row r="147" spans="1:17" s="67" customFormat="1" ht="12.75">
      <c r="A147" s="63"/>
      <c r="B147" s="64" t="s">
        <v>154</v>
      </c>
      <c r="C147" s="63" t="s">
        <v>291</v>
      </c>
      <c r="D147" s="63" t="s">
        <v>284</v>
      </c>
      <c r="E147" s="63">
        <v>900</v>
      </c>
      <c r="F147" s="63">
        <v>600</v>
      </c>
      <c r="G147" s="63">
        <f>E147-50</f>
        <v>850</v>
      </c>
      <c r="H147" s="63">
        <f>F147-50</f>
        <v>550</v>
      </c>
      <c r="I147" s="63"/>
      <c r="J147" s="63"/>
      <c r="K147" s="63"/>
      <c r="L147" s="63" t="s">
        <v>149</v>
      </c>
      <c r="M147" s="63">
        <v>1</v>
      </c>
      <c r="N147" s="65">
        <v>758000</v>
      </c>
      <c r="O147" s="65">
        <f>N147*M147</f>
        <v>758000</v>
      </c>
      <c r="P147" s="63" t="s">
        <v>293</v>
      </c>
      <c r="Q147" s="66"/>
    </row>
    <row r="148" spans="1:17" s="67" customFormat="1" ht="12.75">
      <c r="A148" s="63"/>
      <c r="B148" s="64" t="s">
        <v>155</v>
      </c>
      <c r="C148" s="63" t="s">
        <v>291</v>
      </c>
      <c r="D148" s="63" t="s">
        <v>284</v>
      </c>
      <c r="E148" s="63">
        <v>2500</v>
      </c>
      <c r="F148" s="63">
        <v>500</v>
      </c>
      <c r="G148" s="63">
        <f>E148-50</f>
        <v>2450</v>
      </c>
      <c r="H148" s="63">
        <f>F148-50</f>
        <v>450</v>
      </c>
      <c r="I148" s="63"/>
      <c r="J148" s="63"/>
      <c r="K148" s="63"/>
      <c r="L148" s="63" t="s">
        <v>149</v>
      </c>
      <c r="M148" s="63">
        <v>2</v>
      </c>
      <c r="N148" s="65">
        <v>1725000</v>
      </c>
      <c r="O148" s="65">
        <f>N148*M148</f>
        <v>3450000</v>
      </c>
      <c r="P148" s="63" t="s">
        <v>293</v>
      </c>
      <c r="Q148" s="66"/>
    </row>
    <row r="149" spans="1:17" s="67" customFormat="1" ht="12.75">
      <c r="A149" s="63"/>
      <c r="B149" s="64" t="s">
        <v>107</v>
      </c>
      <c r="C149" s="63" t="s">
        <v>291</v>
      </c>
      <c r="D149" s="63" t="s">
        <v>284</v>
      </c>
      <c r="E149" s="63">
        <v>1750</v>
      </c>
      <c r="F149" s="63">
        <v>500</v>
      </c>
      <c r="G149" s="63">
        <f>E149-50</f>
        <v>1700</v>
      </c>
      <c r="H149" s="63">
        <f>F149-50</f>
        <v>450</v>
      </c>
      <c r="I149" s="63"/>
      <c r="J149" s="63"/>
      <c r="K149" s="63"/>
      <c r="L149" s="63" t="s">
        <v>149</v>
      </c>
      <c r="M149" s="63">
        <v>2</v>
      </c>
      <c r="N149" s="65">
        <v>1220000</v>
      </c>
      <c r="O149" s="65">
        <f>N149*M149</f>
        <v>2440000</v>
      </c>
      <c r="P149" s="63" t="s">
        <v>293</v>
      </c>
      <c r="Q149" s="66"/>
    </row>
    <row r="150" spans="1:17" s="67" customFormat="1" ht="12.75">
      <c r="A150" s="63"/>
      <c r="B150" s="64" t="s">
        <v>155</v>
      </c>
      <c r="C150" s="63" t="s">
        <v>291</v>
      </c>
      <c r="D150" s="63" t="s">
        <v>284</v>
      </c>
      <c r="E150" s="63">
        <v>2500</v>
      </c>
      <c r="F150" s="63">
        <v>500</v>
      </c>
      <c r="G150" s="63">
        <f>E150-50</f>
        <v>2450</v>
      </c>
      <c r="H150" s="63">
        <f>F150-50</f>
        <v>450</v>
      </c>
      <c r="I150" s="63"/>
      <c r="J150" s="63"/>
      <c r="K150" s="63"/>
      <c r="L150" s="63" t="s">
        <v>149</v>
      </c>
      <c r="M150" s="63">
        <v>5</v>
      </c>
      <c r="N150" s="65">
        <v>1725000</v>
      </c>
      <c r="O150" s="65">
        <f>N150*M150</f>
        <v>8625000</v>
      </c>
      <c r="P150" s="63" t="s">
        <v>293</v>
      </c>
      <c r="Q150" s="66"/>
    </row>
    <row r="151" spans="1:17" s="67" customFormat="1" ht="12.75">
      <c r="A151" s="63"/>
      <c r="B151" s="64" t="s">
        <v>156</v>
      </c>
      <c r="C151" s="63" t="s">
        <v>291</v>
      </c>
      <c r="D151" s="63" t="s">
        <v>284</v>
      </c>
      <c r="E151" s="63">
        <v>3000</v>
      </c>
      <c r="F151" s="63">
        <v>500</v>
      </c>
      <c r="G151" s="63">
        <f>E151-50</f>
        <v>2950</v>
      </c>
      <c r="H151" s="63">
        <f>F151-50</f>
        <v>450</v>
      </c>
      <c r="I151" s="63"/>
      <c r="J151" s="63"/>
      <c r="K151" s="63"/>
      <c r="L151" s="63" t="s">
        <v>149</v>
      </c>
      <c r="M151" s="63">
        <v>1</v>
      </c>
      <c r="N151" s="65">
        <v>2062000</v>
      </c>
      <c r="O151" s="65">
        <f>N151*M151</f>
        <v>2062000</v>
      </c>
      <c r="P151" s="63" t="s">
        <v>292</v>
      </c>
      <c r="Q151" s="66"/>
    </row>
    <row r="152" spans="1:17" s="67" customFormat="1" ht="12.75">
      <c r="A152" s="63"/>
      <c r="B152" s="64" t="s">
        <v>158</v>
      </c>
      <c r="C152" s="63"/>
      <c r="D152" s="63" t="s">
        <v>284</v>
      </c>
      <c r="E152" s="63"/>
      <c r="F152" s="63"/>
      <c r="G152" s="63"/>
      <c r="H152" s="63"/>
      <c r="I152" s="63"/>
      <c r="J152" s="63"/>
      <c r="K152" s="63"/>
      <c r="L152" s="63"/>
      <c r="M152" s="63"/>
      <c r="N152" s="65"/>
      <c r="O152" s="65">
        <f>N152*M152</f>
        <v>0</v>
      </c>
      <c r="P152" s="63"/>
      <c r="Q152" s="66"/>
    </row>
    <row r="153" spans="1:17" s="67" customFormat="1" ht="51">
      <c r="A153" s="63"/>
      <c r="B153" s="64" t="s">
        <v>159</v>
      </c>
      <c r="C153" s="63" t="s">
        <v>263</v>
      </c>
      <c r="D153" s="63" t="s">
        <v>284</v>
      </c>
      <c r="E153" s="63">
        <v>150</v>
      </c>
      <c r="F153" s="63">
        <v>150</v>
      </c>
      <c r="G153" s="63"/>
      <c r="H153" s="63"/>
      <c r="I153" s="63"/>
      <c r="J153" s="63">
        <v>200</v>
      </c>
      <c r="K153" s="63">
        <v>1.1499999999999999</v>
      </c>
      <c r="L153" s="63" t="s">
        <v>22</v>
      </c>
      <c r="M153" s="63">
        <v>62</v>
      </c>
      <c r="N153" s="65">
        <v>869689.25335570471</v>
      </c>
      <c r="O153" s="65">
        <f>N153*M153</f>
        <v>53920733.708053693</v>
      </c>
      <c r="P153" s="63" t="s">
        <v>301</v>
      </c>
      <c r="Q153" s="66"/>
    </row>
    <row r="154" spans="1:17" s="67" customFormat="1" ht="51">
      <c r="A154" s="63"/>
      <c r="B154" s="64" t="s">
        <v>160</v>
      </c>
      <c r="C154" s="63" t="s">
        <v>263</v>
      </c>
      <c r="D154" s="63" t="s">
        <v>284</v>
      </c>
      <c r="E154" s="63">
        <v>400</v>
      </c>
      <c r="F154" s="63">
        <v>150</v>
      </c>
      <c r="G154" s="63"/>
      <c r="H154" s="63"/>
      <c r="I154" s="63"/>
      <c r="J154" s="63">
        <v>200</v>
      </c>
      <c r="K154" s="63">
        <v>1.1499999999999999</v>
      </c>
      <c r="L154" s="63" t="s">
        <v>22</v>
      </c>
      <c r="M154" s="63">
        <v>2</v>
      </c>
      <c r="N154" s="65">
        <v>1346109.2617449665</v>
      </c>
      <c r="O154" s="65">
        <f>N154*M154</f>
        <v>2692218.523489933</v>
      </c>
      <c r="P154" s="63" t="s">
        <v>301</v>
      </c>
      <c r="Q154" s="66"/>
    </row>
    <row r="155" spans="1:17" s="67" customFormat="1" ht="51">
      <c r="A155" s="63"/>
      <c r="B155" s="64" t="s">
        <v>161</v>
      </c>
      <c r="C155" s="63" t="s">
        <v>263</v>
      </c>
      <c r="D155" s="63" t="s">
        <v>284</v>
      </c>
      <c r="E155" s="63">
        <v>400</v>
      </c>
      <c r="F155" s="63">
        <v>200</v>
      </c>
      <c r="G155" s="63"/>
      <c r="H155" s="63"/>
      <c r="I155" s="63"/>
      <c r="J155" s="63">
        <v>200</v>
      </c>
      <c r="K155" s="63">
        <v>1.1499999999999999</v>
      </c>
      <c r="L155" s="63" t="s">
        <v>22</v>
      </c>
      <c r="M155" s="63">
        <v>2</v>
      </c>
      <c r="N155" s="65">
        <v>1468595.9060402685</v>
      </c>
      <c r="O155" s="65">
        <f>N155*M155</f>
        <v>2937191.812080537</v>
      </c>
      <c r="P155" s="63" t="s">
        <v>301</v>
      </c>
      <c r="Q155" s="66"/>
    </row>
    <row r="156" spans="1:17" s="67" customFormat="1" ht="51">
      <c r="A156" s="63"/>
      <c r="B156" s="64" t="s">
        <v>162</v>
      </c>
      <c r="C156" s="63" t="s">
        <v>263</v>
      </c>
      <c r="D156" s="63" t="s">
        <v>284</v>
      </c>
      <c r="E156" s="63">
        <v>300</v>
      </c>
      <c r="F156" s="63">
        <v>150</v>
      </c>
      <c r="G156" s="63"/>
      <c r="H156" s="63"/>
      <c r="I156" s="63"/>
      <c r="J156" s="63">
        <v>200</v>
      </c>
      <c r="K156" s="63">
        <v>1.1499999999999999</v>
      </c>
      <c r="L156" s="63" t="s">
        <v>22</v>
      </c>
      <c r="M156" s="63">
        <v>4</v>
      </c>
      <c r="N156" s="65">
        <v>1155041.258389262</v>
      </c>
      <c r="O156" s="65">
        <f>N156*M156</f>
        <v>4620165.0335570481</v>
      </c>
      <c r="P156" s="63" t="s">
        <v>301</v>
      </c>
      <c r="Q156" s="66"/>
    </row>
    <row r="157" spans="1:17" s="67" customFormat="1" ht="51">
      <c r="A157" s="63"/>
      <c r="B157" s="64" t="s">
        <v>163</v>
      </c>
      <c r="C157" s="63" t="s">
        <v>263</v>
      </c>
      <c r="D157" s="63" t="s">
        <v>284</v>
      </c>
      <c r="E157" s="63">
        <v>300</v>
      </c>
      <c r="F157" s="63">
        <v>200</v>
      </c>
      <c r="G157" s="63"/>
      <c r="H157" s="63"/>
      <c r="I157" s="63"/>
      <c r="J157" s="63">
        <v>200</v>
      </c>
      <c r="K157" s="63">
        <v>1.1499999999999999</v>
      </c>
      <c r="L157" s="63" t="s">
        <v>22</v>
      </c>
      <c r="M157" s="63">
        <v>2</v>
      </c>
      <c r="N157" s="65">
        <v>1266746.8456375841</v>
      </c>
      <c r="O157" s="65">
        <f>N157*M157</f>
        <v>2533493.6912751682</v>
      </c>
      <c r="P157" s="63" t="s">
        <v>301</v>
      </c>
      <c r="Q157" s="66"/>
    </row>
    <row r="158" spans="1:17" s="67" customFormat="1" ht="51">
      <c r="A158" s="63"/>
      <c r="B158" s="64" t="s">
        <v>160</v>
      </c>
      <c r="C158" s="63" t="s">
        <v>263</v>
      </c>
      <c r="D158" s="63" t="s">
        <v>284</v>
      </c>
      <c r="E158" s="63">
        <v>400</v>
      </c>
      <c r="F158" s="63">
        <v>150</v>
      </c>
      <c r="G158" s="63"/>
      <c r="H158" s="63"/>
      <c r="I158" s="63"/>
      <c r="J158" s="63">
        <v>200</v>
      </c>
      <c r="K158" s="63">
        <v>1.1499999999999999</v>
      </c>
      <c r="L158" s="63" t="s">
        <v>22</v>
      </c>
      <c r="M158" s="63">
        <v>1</v>
      </c>
      <c r="N158" s="65">
        <v>1346109.2617449665</v>
      </c>
      <c r="O158" s="65">
        <f>N158*M158</f>
        <v>1346109.2617449665</v>
      </c>
      <c r="P158" s="63" t="s">
        <v>301</v>
      </c>
      <c r="Q158" s="66"/>
    </row>
    <row r="159" spans="1:17" s="67" customFormat="1" ht="51">
      <c r="A159" s="63"/>
      <c r="B159" s="64" t="s">
        <v>164</v>
      </c>
      <c r="C159" s="63" t="s">
        <v>263</v>
      </c>
      <c r="D159" s="63" t="s">
        <v>284</v>
      </c>
      <c r="E159" s="63">
        <v>800</v>
      </c>
      <c r="F159" s="63">
        <v>250</v>
      </c>
      <c r="G159" s="63"/>
      <c r="H159" s="63"/>
      <c r="I159" s="63"/>
      <c r="J159" s="63">
        <v>200</v>
      </c>
      <c r="K159" s="63">
        <v>1.1499999999999999</v>
      </c>
      <c r="L159" s="63" t="s">
        <v>22</v>
      </c>
      <c r="M159" s="63">
        <v>1</v>
      </c>
      <c r="N159" s="65">
        <v>2437853.0201342287</v>
      </c>
      <c r="O159" s="65">
        <f>N159*M159</f>
        <v>2437853.0201342287</v>
      </c>
      <c r="P159" s="63" t="s">
        <v>301</v>
      </c>
      <c r="Q159" s="66"/>
    </row>
    <row r="160" spans="1:17" s="67" customFormat="1" ht="51">
      <c r="A160" s="63"/>
      <c r="B160" s="64" t="s">
        <v>165</v>
      </c>
      <c r="C160" s="63" t="s">
        <v>263</v>
      </c>
      <c r="D160" s="63" t="s">
        <v>284</v>
      </c>
      <c r="E160" s="63">
        <v>1200</v>
      </c>
      <c r="F160" s="63">
        <v>350</v>
      </c>
      <c r="G160" s="63"/>
      <c r="H160" s="63"/>
      <c r="I160" s="63"/>
      <c r="J160" s="63">
        <v>200</v>
      </c>
      <c r="K160" s="63">
        <v>1.1499999999999999</v>
      </c>
      <c r="L160" s="63" t="s">
        <v>22</v>
      </c>
      <c r="M160" s="63">
        <v>1</v>
      </c>
      <c r="N160" s="65">
        <v>3698343.6912751682</v>
      </c>
      <c r="O160" s="65">
        <f>N160*M160</f>
        <v>3698343.6912751682</v>
      </c>
      <c r="P160" s="63" t="s">
        <v>301</v>
      </c>
      <c r="Q160" s="66"/>
    </row>
    <row r="161" spans="1:17" s="67" customFormat="1" ht="51">
      <c r="A161" s="63"/>
      <c r="B161" s="64" t="s">
        <v>166</v>
      </c>
      <c r="C161" s="63" t="s">
        <v>263</v>
      </c>
      <c r="D161" s="63" t="s">
        <v>284</v>
      </c>
      <c r="E161" s="63">
        <v>1000</v>
      </c>
      <c r="F161" s="63">
        <v>300</v>
      </c>
      <c r="G161" s="63"/>
      <c r="H161" s="63"/>
      <c r="I161" s="63"/>
      <c r="J161" s="63">
        <v>200</v>
      </c>
      <c r="K161" s="63">
        <v>1.1499999999999999</v>
      </c>
      <c r="L161" s="63" t="s">
        <v>22</v>
      </c>
      <c r="M161" s="63">
        <v>1</v>
      </c>
      <c r="N161" s="65">
        <v>3046536.2416107389</v>
      </c>
      <c r="O161" s="65">
        <f>N161*M161</f>
        <v>3046536.2416107389</v>
      </c>
      <c r="P161" s="63" t="s">
        <v>301</v>
      </c>
      <c r="Q161" s="66"/>
    </row>
    <row r="162" spans="1:17" s="67" customFormat="1" ht="51">
      <c r="A162" s="63"/>
      <c r="B162" s="64" t="s">
        <v>167</v>
      </c>
      <c r="C162" s="63" t="s">
        <v>263</v>
      </c>
      <c r="D162" s="63" t="s">
        <v>284</v>
      </c>
      <c r="E162" s="63">
        <v>600</v>
      </c>
      <c r="F162" s="63">
        <v>300</v>
      </c>
      <c r="G162" s="63"/>
      <c r="H162" s="63"/>
      <c r="I162" s="63"/>
      <c r="J162" s="63">
        <v>200</v>
      </c>
      <c r="K162" s="63">
        <v>1.1499999999999999</v>
      </c>
      <c r="L162" s="63" t="s">
        <v>22</v>
      </c>
      <c r="M162" s="63">
        <v>1</v>
      </c>
      <c r="N162" s="65">
        <v>2156641.5436241617</v>
      </c>
      <c r="O162" s="65">
        <f>N162*M162</f>
        <v>2156641.5436241617</v>
      </c>
      <c r="P162" s="63" t="s">
        <v>301</v>
      </c>
      <c r="Q162" s="66"/>
    </row>
    <row r="163" spans="1:17" s="67" customFormat="1" ht="51">
      <c r="A163" s="63"/>
      <c r="B163" s="64" t="s">
        <v>161</v>
      </c>
      <c r="C163" s="63" t="s">
        <v>263</v>
      </c>
      <c r="D163" s="63" t="s">
        <v>284</v>
      </c>
      <c r="E163" s="63">
        <v>400</v>
      </c>
      <c r="F163" s="63">
        <v>200</v>
      </c>
      <c r="G163" s="63"/>
      <c r="H163" s="63"/>
      <c r="I163" s="63"/>
      <c r="J163" s="63">
        <v>200</v>
      </c>
      <c r="K163" s="63">
        <v>1.1499999999999999</v>
      </c>
      <c r="L163" s="63" t="s">
        <v>149</v>
      </c>
      <c r="M163" s="63">
        <v>9</v>
      </c>
      <c r="N163" s="65">
        <v>1468595.9060402685</v>
      </c>
      <c r="O163" s="65">
        <f>N163*M163</f>
        <v>13217363.154362416</v>
      </c>
      <c r="P163" s="63" t="s">
        <v>301</v>
      </c>
      <c r="Q163" s="66"/>
    </row>
    <row r="164" spans="1:17" s="67" customFormat="1" ht="51">
      <c r="A164" s="63"/>
      <c r="B164" s="64" t="s">
        <v>163</v>
      </c>
      <c r="C164" s="63" t="s">
        <v>263</v>
      </c>
      <c r="D164" s="63" t="s">
        <v>284</v>
      </c>
      <c r="E164" s="63">
        <v>300</v>
      </c>
      <c r="F164" s="63">
        <v>200</v>
      </c>
      <c r="G164" s="63"/>
      <c r="H164" s="63"/>
      <c r="I164" s="63"/>
      <c r="J164" s="63">
        <v>200</v>
      </c>
      <c r="K164" s="63">
        <v>1.1499999999999999</v>
      </c>
      <c r="L164" s="63" t="s">
        <v>149</v>
      </c>
      <c r="M164" s="63">
        <v>7</v>
      </c>
      <c r="N164" s="65">
        <v>1266746.8456375841</v>
      </c>
      <c r="O164" s="65">
        <f>N164*M164</f>
        <v>8867227.9194630887</v>
      </c>
      <c r="P164" s="63" t="s">
        <v>301</v>
      </c>
      <c r="Q164" s="66"/>
    </row>
    <row r="165" spans="1:17" s="67" customFormat="1" ht="51">
      <c r="A165" s="63"/>
      <c r="B165" s="64" t="s">
        <v>168</v>
      </c>
      <c r="C165" s="63" t="s">
        <v>263</v>
      </c>
      <c r="D165" s="63" t="s">
        <v>284</v>
      </c>
      <c r="E165" s="63">
        <v>350</v>
      </c>
      <c r="F165" s="63">
        <v>200</v>
      </c>
      <c r="G165" s="63"/>
      <c r="H165" s="63"/>
      <c r="I165" s="63"/>
      <c r="J165" s="63">
        <v>200</v>
      </c>
      <c r="K165" s="63">
        <v>1.1499999999999999</v>
      </c>
      <c r="L165" s="63" t="s">
        <v>149</v>
      </c>
      <c r="M165" s="63">
        <v>7</v>
      </c>
      <c r="N165" s="65">
        <v>1367671.3758389265</v>
      </c>
      <c r="O165" s="65">
        <f>N165*M165</f>
        <v>9573699.6308724862</v>
      </c>
      <c r="P165" s="63" t="s">
        <v>301</v>
      </c>
      <c r="Q165" s="66"/>
    </row>
    <row r="166" spans="1:17" s="67" customFormat="1" ht="51">
      <c r="A166" s="63"/>
      <c r="B166" s="64" t="s">
        <v>169</v>
      </c>
      <c r="C166" s="63" t="s">
        <v>263</v>
      </c>
      <c r="D166" s="63" t="s">
        <v>284</v>
      </c>
      <c r="E166" s="63">
        <v>500</v>
      </c>
      <c r="F166" s="63">
        <v>200</v>
      </c>
      <c r="G166" s="63"/>
      <c r="H166" s="63"/>
      <c r="I166" s="63"/>
      <c r="J166" s="63">
        <v>200</v>
      </c>
      <c r="K166" s="63">
        <v>1.1499999999999999</v>
      </c>
      <c r="L166" s="63" t="s">
        <v>149</v>
      </c>
      <c r="M166" s="63">
        <v>5</v>
      </c>
      <c r="N166" s="65">
        <v>1669194.9664429533</v>
      </c>
      <c r="O166" s="65">
        <f>N166*M166</f>
        <v>8345974.8322147671</v>
      </c>
      <c r="P166" s="63" t="s">
        <v>301</v>
      </c>
      <c r="Q166" s="66"/>
    </row>
    <row r="167" spans="1:17" s="67" customFormat="1" ht="76.5">
      <c r="A167" s="63"/>
      <c r="B167" s="64" t="s">
        <v>170</v>
      </c>
      <c r="C167" s="63" t="s">
        <v>313</v>
      </c>
      <c r="D167" s="63" t="s">
        <v>284</v>
      </c>
      <c r="E167" s="63">
        <v>1250</v>
      </c>
      <c r="F167" s="63">
        <v>350</v>
      </c>
      <c r="G167" s="63"/>
      <c r="H167" s="63"/>
      <c r="I167" s="63"/>
      <c r="J167" s="63">
        <v>200</v>
      </c>
      <c r="K167" s="63">
        <v>1.1499999999999999</v>
      </c>
      <c r="L167" s="63" t="s">
        <v>22</v>
      </c>
      <c r="M167" s="63">
        <v>2</v>
      </c>
      <c r="N167" s="65">
        <v>7003296.2458053697</v>
      </c>
      <c r="O167" s="65">
        <f>N167*M167</f>
        <v>14006592.491610739</v>
      </c>
      <c r="P167" s="63" t="s">
        <v>315</v>
      </c>
      <c r="Q167" s="66"/>
    </row>
    <row r="168" spans="1:17" s="67" customFormat="1" ht="76.5">
      <c r="A168" s="63"/>
      <c r="B168" s="64" t="s">
        <v>171</v>
      </c>
      <c r="C168" s="63" t="s">
        <v>313</v>
      </c>
      <c r="D168" s="63" t="s">
        <v>284</v>
      </c>
      <c r="E168" s="63">
        <v>1000</v>
      </c>
      <c r="F168" s="63">
        <v>550</v>
      </c>
      <c r="G168" s="63"/>
      <c r="H168" s="63"/>
      <c r="I168" s="63"/>
      <c r="J168" s="63">
        <v>200</v>
      </c>
      <c r="K168" s="63">
        <v>1.1499999999999999</v>
      </c>
      <c r="L168" s="63" t="s">
        <v>22</v>
      </c>
      <c r="M168" s="63">
        <v>2</v>
      </c>
      <c r="N168" s="65">
        <v>8370718.6241610739</v>
      </c>
      <c r="O168" s="65">
        <f>N168*M168</f>
        <v>16741437.248322148</v>
      </c>
      <c r="P168" s="63" t="s">
        <v>315</v>
      </c>
      <c r="Q168" s="66"/>
    </row>
    <row r="169" spans="1:17" s="67" customFormat="1" ht="76.5">
      <c r="A169" s="63"/>
      <c r="B169" s="64" t="s">
        <v>172</v>
      </c>
      <c r="C169" s="63" t="s">
        <v>313</v>
      </c>
      <c r="D169" s="63" t="s">
        <v>284</v>
      </c>
      <c r="E169" s="63">
        <v>500</v>
      </c>
      <c r="F169" s="63">
        <v>200</v>
      </c>
      <c r="G169" s="63"/>
      <c r="H169" s="63"/>
      <c r="I169" s="63"/>
      <c r="J169" s="63">
        <v>200</v>
      </c>
      <c r="K169" s="63">
        <v>1.1499999999999999</v>
      </c>
      <c r="L169" s="63" t="s">
        <v>22</v>
      </c>
      <c r="M169" s="63">
        <v>1</v>
      </c>
      <c r="N169" s="65">
        <v>5235659.3691275176</v>
      </c>
      <c r="O169" s="65">
        <f>N169*M169</f>
        <v>5235659.3691275176</v>
      </c>
      <c r="P169" s="63" t="s">
        <v>315</v>
      </c>
      <c r="Q169" s="66"/>
    </row>
    <row r="170" spans="1:17" s="67" customFormat="1" ht="76.5">
      <c r="A170" s="63"/>
      <c r="B170" s="64" t="s">
        <v>173</v>
      </c>
      <c r="C170" s="63" t="s">
        <v>313</v>
      </c>
      <c r="D170" s="63" t="s">
        <v>284</v>
      </c>
      <c r="E170" s="63">
        <v>800</v>
      </c>
      <c r="F170" s="63">
        <v>300</v>
      </c>
      <c r="G170" s="63"/>
      <c r="H170" s="63"/>
      <c r="I170" s="63"/>
      <c r="J170" s="63">
        <v>200</v>
      </c>
      <c r="K170" s="63">
        <v>1.1499999999999999</v>
      </c>
      <c r="L170" s="63" t="s">
        <v>22</v>
      </c>
      <c r="M170" s="63">
        <v>1</v>
      </c>
      <c r="N170" s="65">
        <v>5847074.5973154362</v>
      </c>
      <c r="O170" s="65">
        <f>N170*M170</f>
        <v>5847074.5973154362</v>
      </c>
      <c r="P170" s="63" t="s">
        <v>315</v>
      </c>
      <c r="Q170" s="66"/>
    </row>
    <row r="171" spans="1:17" s="67" customFormat="1" ht="76.5">
      <c r="A171" s="63"/>
      <c r="B171" s="64" t="s">
        <v>174</v>
      </c>
      <c r="C171" s="63" t="s">
        <v>313</v>
      </c>
      <c r="D171" s="63" t="s">
        <v>284</v>
      </c>
      <c r="E171" s="63">
        <v>1200</v>
      </c>
      <c r="F171" s="63">
        <v>650</v>
      </c>
      <c r="G171" s="63"/>
      <c r="H171" s="63"/>
      <c r="I171" s="63"/>
      <c r="J171" s="63">
        <v>200</v>
      </c>
      <c r="K171" s="63">
        <v>1.1499999999999999</v>
      </c>
      <c r="L171" s="63" t="s">
        <v>22</v>
      </c>
      <c r="M171" s="63">
        <v>1</v>
      </c>
      <c r="N171" s="65">
        <v>9926430.251677854</v>
      </c>
      <c r="O171" s="65">
        <f>N171*M171</f>
        <v>9926430.251677854</v>
      </c>
      <c r="P171" s="63" t="s">
        <v>315</v>
      </c>
      <c r="Q171" s="66"/>
    </row>
    <row r="172" spans="1:17" s="67" customFormat="1" ht="25.5">
      <c r="A172" s="63"/>
      <c r="B172" s="64" t="s">
        <v>175</v>
      </c>
      <c r="C172" s="63" t="s">
        <v>35</v>
      </c>
      <c r="D172" s="63" t="s">
        <v>284</v>
      </c>
      <c r="E172" s="63">
        <v>150</v>
      </c>
      <c r="F172" s="63">
        <v>150</v>
      </c>
      <c r="G172" s="63"/>
      <c r="H172" s="63"/>
      <c r="I172" s="63"/>
      <c r="J172" s="63">
        <v>200</v>
      </c>
      <c r="K172" s="63"/>
      <c r="L172" s="63" t="s">
        <v>22</v>
      </c>
      <c r="M172" s="63">
        <v>61</v>
      </c>
      <c r="N172" s="65">
        <v>174000</v>
      </c>
      <c r="O172" s="65">
        <f>N172*M172</f>
        <v>10614000</v>
      </c>
      <c r="P172" s="63" t="s">
        <v>298</v>
      </c>
      <c r="Q172" s="66"/>
    </row>
    <row r="173" spans="1:17" s="67" customFormat="1" ht="12.75">
      <c r="A173" s="63"/>
      <c r="B173" s="64" t="s">
        <v>176</v>
      </c>
      <c r="C173" s="63" t="s">
        <v>35</v>
      </c>
      <c r="D173" s="63" t="s">
        <v>284</v>
      </c>
      <c r="E173" s="63">
        <v>300</v>
      </c>
      <c r="F173" s="63">
        <v>150</v>
      </c>
      <c r="G173" s="63"/>
      <c r="H173" s="63"/>
      <c r="I173" s="63"/>
      <c r="J173" s="63">
        <v>200</v>
      </c>
      <c r="K173" s="63"/>
      <c r="L173" s="63" t="s">
        <v>22</v>
      </c>
      <c r="M173" s="63">
        <v>78</v>
      </c>
      <c r="N173" s="65">
        <v>202000</v>
      </c>
      <c r="O173" s="65">
        <f>N173*M173</f>
        <v>15756000</v>
      </c>
      <c r="P173" s="63" t="s">
        <v>298</v>
      </c>
      <c r="Q173" s="66"/>
    </row>
    <row r="174" spans="1:17" s="67" customFormat="1" ht="38.25">
      <c r="A174" s="63"/>
      <c r="B174" s="64" t="s">
        <v>132</v>
      </c>
      <c r="C174" s="63" t="s">
        <v>296</v>
      </c>
      <c r="D174" s="63" t="s">
        <v>284</v>
      </c>
      <c r="E174" s="63">
        <v>300</v>
      </c>
      <c r="F174" s="63">
        <v>150</v>
      </c>
      <c r="G174" s="63"/>
      <c r="H174" s="63"/>
      <c r="I174" s="63"/>
      <c r="J174" s="63">
        <v>200</v>
      </c>
      <c r="K174" s="63">
        <v>1.1499999999999999</v>
      </c>
      <c r="L174" s="63" t="s">
        <v>22</v>
      </c>
      <c r="M174" s="63">
        <v>78</v>
      </c>
      <c r="N174" s="65">
        <v>2412000</v>
      </c>
      <c r="O174" s="65">
        <f>N174*M174</f>
        <v>188136000</v>
      </c>
      <c r="P174" s="63" t="s">
        <v>297</v>
      </c>
      <c r="Q174" s="66"/>
    </row>
    <row r="175" spans="1:17" s="67" customFormat="1" ht="12.75">
      <c r="A175" s="63"/>
      <c r="B175" s="64" t="s">
        <v>133</v>
      </c>
      <c r="C175" s="63"/>
      <c r="D175" s="63" t="s">
        <v>284</v>
      </c>
      <c r="E175" s="63"/>
      <c r="F175" s="63"/>
      <c r="G175" s="63"/>
      <c r="H175" s="63"/>
      <c r="I175" s="63"/>
      <c r="J175" s="63"/>
      <c r="K175" s="63"/>
      <c r="L175" s="63" t="s">
        <v>22</v>
      </c>
      <c r="M175" s="63">
        <v>78</v>
      </c>
      <c r="N175" s="65"/>
      <c r="O175" s="65">
        <f>N175*M175</f>
        <v>0</v>
      </c>
      <c r="P175" s="63"/>
      <c r="Q175" s="66"/>
    </row>
    <row r="176" spans="1:17" s="67" customFormat="1" ht="12.75">
      <c r="A176" s="63"/>
      <c r="B176" s="64" t="s">
        <v>177</v>
      </c>
      <c r="C176" s="63" t="s">
        <v>19</v>
      </c>
      <c r="D176" s="63" t="s">
        <v>284</v>
      </c>
      <c r="E176" s="63">
        <v>350</v>
      </c>
      <c r="F176" s="63">
        <v>200</v>
      </c>
      <c r="G176" s="63"/>
      <c r="H176" s="63"/>
      <c r="I176" s="63"/>
      <c r="J176" s="63">
        <v>200</v>
      </c>
      <c r="K176" s="63">
        <v>0.75</v>
      </c>
      <c r="L176" s="63" t="s">
        <v>22</v>
      </c>
      <c r="M176" s="63">
        <v>38</v>
      </c>
      <c r="N176" s="65">
        <v>179000</v>
      </c>
      <c r="O176" s="65">
        <f>N176*M176</f>
        <v>6802000</v>
      </c>
      <c r="P176" s="63"/>
      <c r="Q176" s="66"/>
    </row>
    <row r="177" spans="1:17" s="67" customFormat="1" ht="12.75">
      <c r="A177" s="63"/>
      <c r="B177" s="64" t="s">
        <v>178</v>
      </c>
      <c r="C177" s="63" t="s">
        <v>19</v>
      </c>
      <c r="D177" s="63" t="s">
        <v>284</v>
      </c>
      <c r="E177" s="63">
        <v>400</v>
      </c>
      <c r="F177" s="63">
        <v>400</v>
      </c>
      <c r="G177" s="63"/>
      <c r="H177" s="63"/>
      <c r="I177" s="63"/>
      <c r="J177" s="63">
        <v>200</v>
      </c>
      <c r="K177" s="63">
        <v>0.75</v>
      </c>
      <c r="L177" s="63" t="s">
        <v>22</v>
      </c>
      <c r="M177" s="63">
        <v>20</v>
      </c>
      <c r="N177" s="65">
        <v>286000</v>
      </c>
      <c r="O177" s="65">
        <f>N177*M177</f>
        <v>5720000</v>
      </c>
      <c r="P177" s="63"/>
      <c r="Q177" s="66"/>
    </row>
    <row r="178" spans="1:17" s="67" customFormat="1" ht="12.75">
      <c r="A178" s="63"/>
      <c r="B178" s="64" t="s">
        <v>179</v>
      </c>
      <c r="C178" s="63" t="s">
        <v>19</v>
      </c>
      <c r="D178" s="63" t="s">
        <v>284</v>
      </c>
      <c r="E178" s="63">
        <v>250</v>
      </c>
      <c r="F178" s="63">
        <v>250</v>
      </c>
      <c r="G178" s="63"/>
      <c r="H178" s="63"/>
      <c r="I178" s="63"/>
      <c r="J178" s="63">
        <v>200</v>
      </c>
      <c r="K178" s="63">
        <v>0.75</v>
      </c>
      <c r="L178" s="63" t="s">
        <v>22</v>
      </c>
      <c r="M178" s="63">
        <v>6</v>
      </c>
      <c r="N178" s="65">
        <v>210000</v>
      </c>
      <c r="O178" s="65">
        <f>N178*M178</f>
        <v>1260000</v>
      </c>
      <c r="P178" s="63"/>
      <c r="Q178" s="66"/>
    </row>
    <row r="179" spans="1:17" s="67" customFormat="1" ht="12.75">
      <c r="A179" s="63"/>
      <c r="B179" s="64" t="s">
        <v>180</v>
      </c>
      <c r="C179" s="63" t="s">
        <v>19</v>
      </c>
      <c r="D179" s="63" t="s">
        <v>284</v>
      </c>
      <c r="E179" s="63">
        <v>1250</v>
      </c>
      <c r="F179" s="63">
        <v>350</v>
      </c>
      <c r="G179" s="63"/>
      <c r="H179" s="63"/>
      <c r="I179" s="63"/>
      <c r="J179" s="63">
        <v>200</v>
      </c>
      <c r="K179" s="63">
        <v>1.1499999999999999</v>
      </c>
      <c r="L179" s="63" t="s">
        <v>22</v>
      </c>
      <c r="M179" s="63">
        <v>1</v>
      </c>
      <c r="N179" s="65">
        <v>1007500</v>
      </c>
      <c r="O179" s="65">
        <f>N179*M179</f>
        <v>1007500</v>
      </c>
      <c r="P179" s="63"/>
      <c r="Q179" s="66"/>
    </row>
    <row r="180" spans="1:17" s="67" customFormat="1" ht="12.75">
      <c r="A180" s="63"/>
      <c r="B180" s="64" t="s">
        <v>181</v>
      </c>
      <c r="C180" s="63" t="s">
        <v>19</v>
      </c>
      <c r="D180" s="63" t="s">
        <v>284</v>
      </c>
      <c r="E180" s="63">
        <v>1000</v>
      </c>
      <c r="F180" s="63">
        <v>550</v>
      </c>
      <c r="G180" s="63"/>
      <c r="H180" s="63"/>
      <c r="I180" s="63"/>
      <c r="J180" s="63">
        <v>200</v>
      </c>
      <c r="K180" s="63">
        <v>1.1499999999999999</v>
      </c>
      <c r="L180" s="63" t="s">
        <v>22</v>
      </c>
      <c r="M180" s="63">
        <v>1</v>
      </c>
      <c r="N180" s="65">
        <v>1046250</v>
      </c>
      <c r="O180" s="65">
        <f>N180*M180</f>
        <v>1046250</v>
      </c>
      <c r="P180" s="63"/>
      <c r="Q180" s="66"/>
    </row>
    <row r="181" spans="1:17" s="67" customFormat="1" ht="12.75">
      <c r="A181" s="63"/>
      <c r="B181" s="64" t="s">
        <v>182</v>
      </c>
      <c r="C181" s="63" t="s">
        <v>19</v>
      </c>
      <c r="D181" s="63" t="s">
        <v>284</v>
      </c>
      <c r="E181" s="63">
        <v>400</v>
      </c>
      <c r="F181" s="63">
        <v>200</v>
      </c>
      <c r="G181" s="63"/>
      <c r="H181" s="63"/>
      <c r="I181" s="63"/>
      <c r="J181" s="63">
        <v>200</v>
      </c>
      <c r="K181" s="63">
        <v>0.75</v>
      </c>
      <c r="L181" s="63" t="s">
        <v>22</v>
      </c>
      <c r="M181" s="63">
        <v>10</v>
      </c>
      <c r="N181" s="65">
        <v>190000</v>
      </c>
      <c r="O181" s="65">
        <f>N181*M181</f>
        <v>1900000</v>
      </c>
      <c r="P181" s="63"/>
      <c r="Q181" s="66"/>
    </row>
    <row r="182" spans="1:17" s="67" customFormat="1" ht="12.75">
      <c r="A182" s="63"/>
      <c r="B182" s="64" t="s">
        <v>115</v>
      </c>
      <c r="C182" s="63" t="s">
        <v>19</v>
      </c>
      <c r="D182" s="63" t="s">
        <v>284</v>
      </c>
      <c r="E182" s="63">
        <v>800</v>
      </c>
      <c r="F182" s="63">
        <v>450</v>
      </c>
      <c r="G182" s="63"/>
      <c r="H182" s="63"/>
      <c r="I182" s="63"/>
      <c r="J182" s="63">
        <v>200</v>
      </c>
      <c r="K182" s="63">
        <v>0.75</v>
      </c>
      <c r="L182" s="63" t="s">
        <v>22</v>
      </c>
      <c r="M182" s="63">
        <v>12</v>
      </c>
      <c r="N182" s="65">
        <v>414000</v>
      </c>
      <c r="O182" s="65">
        <f>N182*M182</f>
        <v>4968000</v>
      </c>
      <c r="P182" s="63"/>
      <c r="Q182" s="66"/>
    </row>
    <row r="183" spans="1:17" s="67" customFormat="1" ht="25.5">
      <c r="A183" s="63"/>
      <c r="B183" s="64" t="s">
        <v>183</v>
      </c>
      <c r="C183" s="63" t="s">
        <v>302</v>
      </c>
      <c r="D183" s="63" t="s">
        <v>284</v>
      </c>
      <c r="E183" s="63">
        <v>150</v>
      </c>
      <c r="F183" s="63">
        <v>150</v>
      </c>
      <c r="G183" s="63">
        <f>E183-50</f>
        <v>100</v>
      </c>
      <c r="H183" s="63">
        <f>F183-50</f>
        <v>100</v>
      </c>
      <c r="I183" s="63"/>
      <c r="J183" s="63"/>
      <c r="K183" s="63"/>
      <c r="L183" s="63" t="s">
        <v>22</v>
      </c>
      <c r="M183" s="63">
        <v>62</v>
      </c>
      <c r="N183" s="65">
        <v>89000</v>
      </c>
      <c r="O183" s="65">
        <f>N183*M183</f>
        <v>5518000</v>
      </c>
      <c r="P183" s="63" t="s">
        <v>303</v>
      </c>
      <c r="Q183" s="66"/>
    </row>
    <row r="184" spans="1:17" s="67" customFormat="1" ht="25.5">
      <c r="A184" s="63"/>
      <c r="B184" s="64" t="s">
        <v>184</v>
      </c>
      <c r="C184" s="63" t="s">
        <v>302</v>
      </c>
      <c r="D184" s="63" t="s">
        <v>284</v>
      </c>
      <c r="E184" s="63">
        <v>300</v>
      </c>
      <c r="F184" s="63">
        <v>300</v>
      </c>
      <c r="G184" s="63">
        <f>E184-50</f>
        <v>250</v>
      </c>
      <c r="H184" s="63">
        <f>F184-50</f>
        <v>250</v>
      </c>
      <c r="I184" s="63"/>
      <c r="J184" s="63"/>
      <c r="K184" s="63"/>
      <c r="L184" s="63" t="s">
        <v>22</v>
      </c>
      <c r="M184" s="63">
        <v>2</v>
      </c>
      <c r="N184" s="65">
        <v>238000</v>
      </c>
      <c r="O184" s="65">
        <f>N184*M184</f>
        <v>476000</v>
      </c>
      <c r="P184" s="63" t="s">
        <v>304</v>
      </c>
      <c r="Q184" s="66"/>
    </row>
    <row r="185" spans="1:17" s="67" customFormat="1" ht="25.5">
      <c r="A185" s="63"/>
      <c r="B185" s="64" t="s">
        <v>185</v>
      </c>
      <c r="C185" s="63" t="s">
        <v>302</v>
      </c>
      <c r="D185" s="63" t="s">
        <v>284</v>
      </c>
      <c r="E185" s="63">
        <v>400</v>
      </c>
      <c r="F185" s="63">
        <v>300</v>
      </c>
      <c r="G185" s="63">
        <f>E185-50</f>
        <v>350</v>
      </c>
      <c r="H185" s="63">
        <f>F185-50</f>
        <v>250</v>
      </c>
      <c r="I185" s="63"/>
      <c r="J185" s="63"/>
      <c r="K185" s="63"/>
      <c r="L185" s="63" t="s">
        <v>22</v>
      </c>
      <c r="M185" s="63">
        <v>5</v>
      </c>
      <c r="N185" s="65">
        <v>301000</v>
      </c>
      <c r="O185" s="65">
        <f>N185*M185</f>
        <v>1505000</v>
      </c>
      <c r="P185" s="63" t="s">
        <v>304</v>
      </c>
      <c r="Q185" s="66"/>
    </row>
    <row r="186" spans="1:17" s="67" customFormat="1" ht="25.5">
      <c r="A186" s="63"/>
      <c r="B186" s="64" t="s">
        <v>186</v>
      </c>
      <c r="C186" s="63" t="s">
        <v>302</v>
      </c>
      <c r="D186" s="63" t="s">
        <v>284</v>
      </c>
      <c r="E186" s="63">
        <v>1200</v>
      </c>
      <c r="F186" s="63">
        <v>800</v>
      </c>
      <c r="G186" s="63">
        <f>E186-50</f>
        <v>1150</v>
      </c>
      <c r="H186" s="63">
        <f>F186-50</f>
        <v>750</v>
      </c>
      <c r="I186" s="63"/>
      <c r="J186" s="63"/>
      <c r="K186" s="63"/>
      <c r="L186" s="63" t="s">
        <v>22</v>
      </c>
      <c r="M186" s="63">
        <v>3</v>
      </c>
      <c r="N186" s="65">
        <v>1774000</v>
      </c>
      <c r="O186" s="65">
        <f>N186*M186</f>
        <v>5322000</v>
      </c>
      <c r="P186" s="63" t="s">
        <v>304</v>
      </c>
      <c r="Q186" s="66"/>
    </row>
    <row r="187" spans="1:17" s="67" customFormat="1" ht="25.5">
      <c r="A187" s="63"/>
      <c r="B187" s="64" t="s">
        <v>187</v>
      </c>
      <c r="C187" s="63" t="s">
        <v>302</v>
      </c>
      <c r="D187" s="63" t="s">
        <v>284</v>
      </c>
      <c r="E187" s="63">
        <v>1000</v>
      </c>
      <c r="F187" s="63">
        <v>400</v>
      </c>
      <c r="G187" s="63">
        <f>E187-50</f>
        <v>950</v>
      </c>
      <c r="H187" s="63">
        <f>F187-50</f>
        <v>350</v>
      </c>
      <c r="I187" s="63"/>
      <c r="J187" s="63"/>
      <c r="K187" s="63"/>
      <c r="L187" s="63" t="s">
        <v>22</v>
      </c>
      <c r="M187" s="63">
        <v>1</v>
      </c>
      <c r="N187" s="65">
        <v>842000</v>
      </c>
      <c r="O187" s="65">
        <f>N187*M187</f>
        <v>842000</v>
      </c>
      <c r="P187" s="63" t="s">
        <v>304</v>
      </c>
      <c r="Q187" s="66"/>
    </row>
    <row r="188" spans="1:17" s="67" customFormat="1" ht="25.5">
      <c r="A188" s="63"/>
      <c r="B188" s="64" t="s">
        <v>188</v>
      </c>
      <c r="C188" s="63" t="s">
        <v>302</v>
      </c>
      <c r="D188" s="63" t="s">
        <v>284</v>
      </c>
      <c r="E188" s="63">
        <v>600</v>
      </c>
      <c r="F188" s="63">
        <v>400</v>
      </c>
      <c r="G188" s="63">
        <f>E188-50</f>
        <v>550</v>
      </c>
      <c r="H188" s="63">
        <f>F188-50</f>
        <v>350</v>
      </c>
      <c r="I188" s="63"/>
      <c r="J188" s="63"/>
      <c r="K188" s="63"/>
      <c r="L188" s="63" t="s">
        <v>22</v>
      </c>
      <c r="M188" s="63">
        <v>3</v>
      </c>
      <c r="N188" s="65">
        <v>531000</v>
      </c>
      <c r="O188" s="65">
        <f>N188*M188</f>
        <v>1593000</v>
      </c>
      <c r="P188" s="63" t="s">
        <v>304</v>
      </c>
      <c r="Q188" s="66"/>
    </row>
    <row r="189" spans="1:17" s="67" customFormat="1" ht="25.5">
      <c r="A189" s="63"/>
      <c r="B189" s="64" t="s">
        <v>189</v>
      </c>
      <c r="C189" s="63" t="s">
        <v>302</v>
      </c>
      <c r="D189" s="63" t="s">
        <v>284</v>
      </c>
      <c r="E189" s="63">
        <v>300</v>
      </c>
      <c r="F189" s="63">
        <v>300</v>
      </c>
      <c r="G189" s="63">
        <f>E189-50</f>
        <v>250</v>
      </c>
      <c r="H189" s="63">
        <f>F189-50</f>
        <v>250</v>
      </c>
      <c r="I189" s="63"/>
      <c r="J189" s="63"/>
      <c r="K189" s="63"/>
      <c r="L189" s="63" t="s">
        <v>22</v>
      </c>
      <c r="M189" s="63">
        <v>44</v>
      </c>
      <c r="N189" s="65">
        <v>238000</v>
      </c>
      <c r="O189" s="65">
        <f>N189*M189</f>
        <v>10472000</v>
      </c>
      <c r="P189" s="63" t="s">
        <v>304</v>
      </c>
      <c r="Q189" s="66"/>
    </row>
    <row r="190" spans="1:17" s="67" customFormat="1" ht="12.75">
      <c r="A190" s="63"/>
      <c r="B190" s="64" t="s">
        <v>190</v>
      </c>
      <c r="C190" s="63" t="s">
        <v>291</v>
      </c>
      <c r="D190" s="63" t="s">
        <v>284</v>
      </c>
      <c r="E190" s="63">
        <v>300</v>
      </c>
      <c r="F190" s="63">
        <v>150</v>
      </c>
      <c r="G190" s="63">
        <f>E190-50</f>
        <v>250</v>
      </c>
      <c r="H190" s="63">
        <f>F190-50</f>
        <v>100</v>
      </c>
      <c r="I190" s="63"/>
      <c r="J190" s="63"/>
      <c r="K190" s="63"/>
      <c r="L190" s="63" t="s">
        <v>191</v>
      </c>
      <c r="M190" s="63">
        <v>4</v>
      </c>
      <c r="N190" s="65">
        <v>81000</v>
      </c>
      <c r="O190" s="65">
        <f>N190*M190</f>
        <v>324000</v>
      </c>
      <c r="P190" s="63" t="s">
        <v>293</v>
      </c>
      <c r="Q190" s="66"/>
    </row>
    <row r="191" spans="1:17" s="67" customFormat="1" ht="12.75">
      <c r="A191" s="63"/>
      <c r="B191" s="64" t="s">
        <v>192</v>
      </c>
      <c r="C191" s="63" t="s">
        <v>291</v>
      </c>
      <c r="D191" s="63" t="s">
        <v>284</v>
      </c>
      <c r="E191" s="63">
        <v>400</v>
      </c>
      <c r="F191" s="63">
        <v>150</v>
      </c>
      <c r="G191" s="63">
        <f>E191-50</f>
        <v>350</v>
      </c>
      <c r="H191" s="63">
        <f>F191-50</f>
        <v>100</v>
      </c>
      <c r="I191" s="63"/>
      <c r="J191" s="63"/>
      <c r="K191" s="63"/>
      <c r="L191" s="63" t="s">
        <v>191</v>
      </c>
      <c r="M191" s="63">
        <v>2</v>
      </c>
      <c r="N191" s="65">
        <v>103000</v>
      </c>
      <c r="O191" s="65">
        <f>N191*M191</f>
        <v>206000</v>
      </c>
      <c r="P191" s="63" t="s">
        <v>293</v>
      </c>
      <c r="Q191" s="66"/>
    </row>
    <row r="192" spans="1:17" s="67" customFormat="1" ht="12.75">
      <c r="A192" s="63"/>
      <c r="B192" s="64" t="s">
        <v>193</v>
      </c>
      <c r="C192" s="63" t="s">
        <v>291</v>
      </c>
      <c r="D192" s="63" t="s">
        <v>284</v>
      </c>
      <c r="E192" s="63">
        <v>800</v>
      </c>
      <c r="F192" s="63">
        <v>250</v>
      </c>
      <c r="G192" s="63">
        <f>E192-50</f>
        <v>750</v>
      </c>
      <c r="H192" s="63">
        <f>F192-50</f>
        <v>200</v>
      </c>
      <c r="I192" s="63"/>
      <c r="J192" s="63"/>
      <c r="K192" s="63"/>
      <c r="L192" s="63" t="s">
        <v>191</v>
      </c>
      <c r="M192" s="63">
        <v>1</v>
      </c>
      <c r="N192" s="65">
        <v>292000</v>
      </c>
      <c r="O192" s="65">
        <f>N192*M192</f>
        <v>292000</v>
      </c>
      <c r="P192" s="63" t="s">
        <v>293</v>
      </c>
      <c r="Q192" s="66"/>
    </row>
    <row r="193" spans="1:17" s="67" customFormat="1" ht="12.75">
      <c r="A193" s="63"/>
      <c r="B193" s="64" t="s">
        <v>194</v>
      </c>
      <c r="C193" s="63" t="s">
        <v>291</v>
      </c>
      <c r="D193" s="63" t="s">
        <v>284</v>
      </c>
      <c r="E193" s="63">
        <v>1200</v>
      </c>
      <c r="F193" s="63">
        <v>350</v>
      </c>
      <c r="G193" s="63">
        <f>E193-50</f>
        <v>1150</v>
      </c>
      <c r="H193" s="63">
        <f>F193-50</f>
        <v>300</v>
      </c>
      <c r="I193" s="63"/>
      <c r="J193" s="63"/>
      <c r="K193" s="63"/>
      <c r="L193" s="63" t="s">
        <v>191</v>
      </c>
      <c r="M193" s="63">
        <v>1</v>
      </c>
      <c r="N193" s="65">
        <v>629000</v>
      </c>
      <c r="O193" s="65">
        <f>N193*M193</f>
        <v>629000</v>
      </c>
      <c r="P193" s="63" t="s">
        <v>293</v>
      </c>
      <c r="Q193" s="66"/>
    </row>
    <row r="194" spans="1:17" s="67" customFormat="1" ht="12.75">
      <c r="A194" s="63"/>
      <c r="B194" s="64" t="s">
        <v>195</v>
      </c>
      <c r="C194" s="63" t="s">
        <v>291</v>
      </c>
      <c r="D194" s="63" t="s">
        <v>284</v>
      </c>
      <c r="E194" s="63">
        <v>1000</v>
      </c>
      <c r="F194" s="63">
        <v>300</v>
      </c>
      <c r="G194" s="63">
        <f>E194-50</f>
        <v>950</v>
      </c>
      <c r="H194" s="63">
        <f>F194-50</f>
        <v>250</v>
      </c>
      <c r="I194" s="63"/>
      <c r="J194" s="63"/>
      <c r="K194" s="63"/>
      <c r="L194" s="63" t="s">
        <v>191</v>
      </c>
      <c r="M194" s="63">
        <v>1</v>
      </c>
      <c r="N194" s="65">
        <v>468000</v>
      </c>
      <c r="O194" s="65">
        <f>N194*M194</f>
        <v>468000</v>
      </c>
      <c r="P194" s="63" t="s">
        <v>293</v>
      </c>
      <c r="Q194" s="66"/>
    </row>
    <row r="195" spans="1:17" s="67" customFormat="1" ht="12.75">
      <c r="A195" s="63"/>
      <c r="B195" s="64" t="s">
        <v>196</v>
      </c>
      <c r="C195" s="63" t="s">
        <v>291</v>
      </c>
      <c r="D195" s="63" t="s">
        <v>284</v>
      </c>
      <c r="E195" s="63">
        <v>800</v>
      </c>
      <c r="F195" s="63">
        <v>300</v>
      </c>
      <c r="G195" s="63">
        <f>E195-50</f>
        <v>750</v>
      </c>
      <c r="H195" s="63">
        <f>F195-50</f>
        <v>250</v>
      </c>
      <c r="I195" s="63"/>
      <c r="J195" s="63"/>
      <c r="K195" s="63"/>
      <c r="L195" s="63" t="s">
        <v>191</v>
      </c>
      <c r="M195" s="63">
        <v>1</v>
      </c>
      <c r="N195" s="65">
        <v>378000</v>
      </c>
      <c r="O195" s="65">
        <f>N195*M195</f>
        <v>378000</v>
      </c>
      <c r="P195" s="63" t="s">
        <v>293</v>
      </c>
      <c r="Q195" s="66"/>
    </row>
    <row r="196" spans="1:17" s="67" customFormat="1" ht="12.75">
      <c r="A196" s="63"/>
      <c r="B196" s="64" t="s">
        <v>197</v>
      </c>
      <c r="C196" s="63" t="s">
        <v>291</v>
      </c>
      <c r="D196" s="63" t="s">
        <v>284</v>
      </c>
      <c r="E196" s="63">
        <v>400</v>
      </c>
      <c r="F196" s="63">
        <v>200</v>
      </c>
      <c r="G196" s="63">
        <f>E196-50</f>
        <v>350</v>
      </c>
      <c r="H196" s="63">
        <f>F196-50</f>
        <v>150</v>
      </c>
      <c r="I196" s="63"/>
      <c r="J196" s="63"/>
      <c r="K196" s="63"/>
      <c r="L196" s="63" t="s">
        <v>191</v>
      </c>
      <c r="M196" s="63">
        <v>1</v>
      </c>
      <c r="N196" s="65">
        <v>130000</v>
      </c>
      <c r="O196" s="65">
        <f>N196*M196</f>
        <v>130000</v>
      </c>
      <c r="P196" s="63" t="s">
        <v>293</v>
      </c>
      <c r="Q196" s="66"/>
    </row>
    <row r="197" spans="1:17" s="67" customFormat="1" ht="12.75">
      <c r="A197" s="63"/>
      <c r="B197" s="64" t="s">
        <v>198</v>
      </c>
      <c r="C197" s="63" t="s">
        <v>291</v>
      </c>
      <c r="D197" s="63" t="s">
        <v>284</v>
      </c>
      <c r="E197" s="63">
        <v>300</v>
      </c>
      <c r="F197" s="63">
        <v>200</v>
      </c>
      <c r="G197" s="63">
        <f>E197-50</f>
        <v>250</v>
      </c>
      <c r="H197" s="63">
        <f>F197-50</f>
        <v>150</v>
      </c>
      <c r="I197" s="63"/>
      <c r="J197" s="63"/>
      <c r="K197" s="63"/>
      <c r="L197" s="63" t="s">
        <v>191</v>
      </c>
      <c r="M197" s="63">
        <v>2</v>
      </c>
      <c r="N197" s="65">
        <v>103000</v>
      </c>
      <c r="O197" s="65">
        <f>N197*M197</f>
        <v>206000</v>
      </c>
      <c r="P197" s="63" t="s">
        <v>293</v>
      </c>
      <c r="Q197" s="66"/>
    </row>
    <row r="198" spans="1:17" s="67" customFormat="1" ht="12.75">
      <c r="A198" s="63"/>
      <c r="B198" s="64" t="s">
        <v>199</v>
      </c>
      <c r="C198" s="63" t="s">
        <v>291</v>
      </c>
      <c r="D198" s="63" t="s">
        <v>284</v>
      </c>
      <c r="E198" s="63">
        <v>1200</v>
      </c>
      <c r="F198" s="63">
        <v>650</v>
      </c>
      <c r="G198" s="63">
        <f>E198-50</f>
        <v>1150</v>
      </c>
      <c r="H198" s="63">
        <f>F198-50</f>
        <v>600</v>
      </c>
      <c r="I198" s="63"/>
      <c r="J198" s="63"/>
      <c r="K198" s="63"/>
      <c r="L198" s="63" t="s">
        <v>191</v>
      </c>
      <c r="M198" s="63">
        <v>2</v>
      </c>
      <c r="N198" s="65">
        <v>1068000</v>
      </c>
      <c r="O198" s="65">
        <f>N198*M198</f>
        <v>2136000</v>
      </c>
      <c r="P198" s="63" t="s">
        <v>293</v>
      </c>
      <c r="Q198" s="66"/>
    </row>
    <row r="199" spans="1:17" s="67" customFormat="1" ht="12.75">
      <c r="A199" s="63"/>
      <c r="B199" s="64" t="s">
        <v>201</v>
      </c>
      <c r="C199" s="63"/>
      <c r="D199" s="63"/>
      <c r="E199" s="63"/>
      <c r="F199" s="63"/>
      <c r="G199" s="63"/>
      <c r="H199" s="63"/>
      <c r="I199" s="63"/>
      <c r="J199" s="63"/>
      <c r="K199" s="63"/>
      <c r="L199" s="63"/>
      <c r="M199" s="63"/>
      <c r="N199" s="65"/>
      <c r="O199" s="65">
        <f>N199*M199</f>
        <v>0</v>
      </c>
      <c r="P199" s="63"/>
      <c r="Q199" s="66"/>
    </row>
    <row r="200" spans="1:17" s="67" customFormat="1" ht="12.75">
      <c r="A200" s="63"/>
      <c r="B200" s="64" t="s">
        <v>203</v>
      </c>
      <c r="C200" s="63"/>
      <c r="D200" s="63"/>
      <c r="E200" s="63"/>
      <c r="F200" s="63"/>
      <c r="G200" s="63"/>
      <c r="H200" s="63"/>
      <c r="I200" s="63"/>
      <c r="J200" s="63"/>
      <c r="K200" s="63"/>
      <c r="L200" s="63"/>
      <c r="M200" s="63"/>
      <c r="N200" s="65"/>
      <c r="O200" s="65">
        <f>N200*M200</f>
        <v>0</v>
      </c>
      <c r="P200" s="63"/>
      <c r="Q200" s="66"/>
    </row>
    <row r="201" spans="1:17" s="67" customFormat="1" ht="12.75">
      <c r="A201" s="63"/>
      <c r="B201" s="64" t="s">
        <v>205</v>
      </c>
      <c r="C201" s="63"/>
      <c r="D201" s="63"/>
      <c r="E201" s="63"/>
      <c r="F201" s="63"/>
      <c r="G201" s="63"/>
      <c r="H201" s="63"/>
      <c r="I201" s="63"/>
      <c r="J201" s="63"/>
      <c r="K201" s="63"/>
      <c r="L201" s="63"/>
      <c r="M201" s="63"/>
      <c r="N201" s="65"/>
      <c r="O201" s="65">
        <f>N201*M201</f>
        <v>0</v>
      </c>
      <c r="P201" s="63"/>
      <c r="Q201" s="66"/>
    </row>
    <row r="202" spans="1:17" s="67" customFormat="1" ht="25.5">
      <c r="A202" s="63"/>
      <c r="B202" s="64" t="s">
        <v>206</v>
      </c>
      <c r="C202" s="63"/>
      <c r="D202" s="63"/>
      <c r="E202" s="63"/>
      <c r="F202" s="63"/>
      <c r="G202" s="63"/>
      <c r="H202" s="63"/>
      <c r="I202" s="63"/>
      <c r="J202" s="63"/>
      <c r="K202" s="63"/>
      <c r="L202" s="63"/>
      <c r="M202" s="63">
        <v>0</v>
      </c>
      <c r="N202" s="65"/>
      <c r="O202" s="65">
        <f>N202*M202</f>
        <v>0</v>
      </c>
      <c r="P202" s="63"/>
      <c r="Q202" s="66"/>
    </row>
    <row r="203" spans="1:17" s="67" customFormat="1" ht="12.75">
      <c r="A203" s="63"/>
      <c r="B203" s="64" t="s">
        <v>207</v>
      </c>
      <c r="C203" s="63"/>
      <c r="D203" s="63"/>
      <c r="E203" s="63"/>
      <c r="F203" s="63"/>
      <c r="G203" s="63"/>
      <c r="H203" s="63"/>
      <c r="I203" s="63"/>
      <c r="J203" s="63"/>
      <c r="K203" s="63"/>
      <c r="L203" s="63"/>
      <c r="M203" s="63">
        <v>0</v>
      </c>
      <c r="N203" s="65"/>
      <c r="O203" s="65">
        <f>N203*M203</f>
        <v>0</v>
      </c>
      <c r="P203" s="63"/>
      <c r="Q203" s="66"/>
    </row>
    <row r="204" spans="1:17" s="67" customFormat="1" ht="25.5">
      <c r="A204" s="63"/>
      <c r="B204" s="64" t="s">
        <v>208</v>
      </c>
      <c r="C204" s="63" t="s">
        <v>305</v>
      </c>
      <c r="D204" s="63" t="s">
        <v>284</v>
      </c>
      <c r="E204" s="63">
        <v>600</v>
      </c>
      <c r="F204" s="63">
        <v>600</v>
      </c>
      <c r="G204" s="63">
        <v>450</v>
      </c>
      <c r="H204" s="63">
        <v>450</v>
      </c>
      <c r="I204" s="63"/>
      <c r="J204" s="63"/>
      <c r="K204" s="63"/>
      <c r="L204" s="63" t="s">
        <v>22</v>
      </c>
      <c r="M204" s="63">
        <v>309</v>
      </c>
      <c r="N204" s="65">
        <v>505000</v>
      </c>
      <c r="O204" s="65">
        <f>N204*M204</f>
        <v>156045000</v>
      </c>
      <c r="P204" s="63" t="s">
        <v>306</v>
      </c>
      <c r="Q204" s="66"/>
    </row>
    <row r="205" spans="1:17" s="67" customFormat="1" ht="25.5">
      <c r="A205" s="63"/>
      <c r="B205" s="64" t="s">
        <v>209</v>
      </c>
      <c r="C205" s="63" t="s">
        <v>289</v>
      </c>
      <c r="D205" s="63" t="s">
        <v>284</v>
      </c>
      <c r="E205" s="63">
        <v>600</v>
      </c>
      <c r="F205" s="63">
        <v>600</v>
      </c>
      <c r="G205" s="63">
        <v>550</v>
      </c>
      <c r="H205" s="63">
        <v>550</v>
      </c>
      <c r="I205" s="63"/>
      <c r="J205" s="63"/>
      <c r="K205" s="63"/>
      <c r="L205" s="63" t="s">
        <v>22</v>
      </c>
      <c r="M205" s="63">
        <v>195</v>
      </c>
      <c r="N205" s="65">
        <v>505000</v>
      </c>
      <c r="O205" s="65">
        <f>N205*M205</f>
        <v>98475000</v>
      </c>
      <c r="P205" s="63" t="s">
        <v>290</v>
      </c>
      <c r="Q205" s="66"/>
    </row>
    <row r="206" spans="1:17" s="67" customFormat="1" ht="12.75">
      <c r="A206" s="63"/>
      <c r="B206" s="64" t="s">
        <v>211</v>
      </c>
      <c r="C206" s="63"/>
      <c r="D206" s="63"/>
      <c r="E206" s="63"/>
      <c r="F206" s="63"/>
      <c r="G206" s="63"/>
      <c r="H206" s="63"/>
      <c r="I206" s="63"/>
      <c r="J206" s="63"/>
      <c r="K206" s="63"/>
      <c r="L206" s="63"/>
      <c r="M206" s="63"/>
      <c r="N206" s="65"/>
      <c r="O206" s="65">
        <f>N206*M206</f>
        <v>0</v>
      </c>
      <c r="P206" s="63"/>
      <c r="Q206" s="66"/>
    </row>
    <row r="207" spans="1:17" s="67" customFormat="1" ht="25.5">
      <c r="A207" s="63"/>
      <c r="B207" s="64" t="s">
        <v>206</v>
      </c>
      <c r="C207" s="63"/>
      <c r="D207" s="63"/>
      <c r="E207" s="63"/>
      <c r="F207" s="63"/>
      <c r="G207" s="63"/>
      <c r="H207" s="63"/>
      <c r="I207" s="63"/>
      <c r="J207" s="63"/>
      <c r="K207" s="63"/>
      <c r="L207" s="63"/>
      <c r="M207" s="63"/>
      <c r="N207" s="65"/>
      <c r="O207" s="65">
        <f>N207*M207</f>
        <v>0</v>
      </c>
      <c r="P207" s="63"/>
      <c r="Q207" s="66"/>
    </row>
    <row r="208" spans="1:17" s="67" customFormat="1" ht="12.75">
      <c r="A208" s="63"/>
      <c r="B208" s="64" t="s">
        <v>212</v>
      </c>
      <c r="C208" s="63"/>
      <c r="D208" s="63"/>
      <c r="E208" s="63"/>
      <c r="F208" s="63"/>
      <c r="G208" s="63"/>
      <c r="H208" s="63"/>
      <c r="I208" s="63"/>
      <c r="J208" s="63"/>
      <c r="K208" s="63"/>
      <c r="L208" s="63"/>
      <c r="M208" s="63"/>
      <c r="N208" s="65"/>
      <c r="O208" s="65">
        <f>N208*M208</f>
        <v>0</v>
      </c>
      <c r="P208" s="63"/>
      <c r="Q208" s="66"/>
    </row>
    <row r="209" spans="1:17" s="67" customFormat="1" ht="12.75">
      <c r="A209" s="63"/>
      <c r="B209" s="64" t="s">
        <v>214</v>
      </c>
      <c r="C209" s="63"/>
      <c r="D209" s="63"/>
      <c r="E209" s="63"/>
      <c r="F209" s="63"/>
      <c r="G209" s="63"/>
      <c r="H209" s="63"/>
      <c r="I209" s="63"/>
      <c r="J209" s="63"/>
      <c r="K209" s="63"/>
      <c r="L209" s="63"/>
      <c r="M209" s="63"/>
      <c r="N209" s="65"/>
      <c r="O209" s="65">
        <f>N209*M209</f>
        <v>0</v>
      </c>
      <c r="P209" s="63"/>
      <c r="Q209" s="66"/>
    </row>
    <row r="210" spans="1:17" s="67" customFormat="1" ht="25.5">
      <c r="A210" s="63"/>
      <c r="B210" s="64" t="s">
        <v>216</v>
      </c>
      <c r="C210" s="63"/>
      <c r="D210" s="63" t="s">
        <v>284</v>
      </c>
      <c r="E210" s="63">
        <v>900</v>
      </c>
      <c r="F210" s="63">
        <v>100</v>
      </c>
      <c r="G210" s="63">
        <f>E210+30</f>
        <v>930</v>
      </c>
      <c r="H210" s="63">
        <f>F210+30</f>
        <v>130</v>
      </c>
      <c r="I210" s="63"/>
      <c r="J210" s="63"/>
      <c r="K210" s="63"/>
      <c r="L210" s="63" t="s">
        <v>218</v>
      </c>
      <c r="M210" s="63">
        <v>291</v>
      </c>
      <c r="N210" s="65">
        <v>445500</v>
      </c>
      <c r="O210" s="65">
        <f>N210*M210</f>
        <v>129640500</v>
      </c>
      <c r="P210" s="63"/>
      <c r="Q210" s="66"/>
    </row>
    <row r="211" spans="1:17" s="67" customFormat="1" ht="25.5">
      <c r="A211" s="63"/>
      <c r="B211" s="64" t="s">
        <v>219</v>
      </c>
      <c r="C211" s="63"/>
      <c r="D211" s="63" t="s">
        <v>284</v>
      </c>
      <c r="E211" s="63">
        <v>1200</v>
      </c>
      <c r="F211" s="63">
        <v>100</v>
      </c>
      <c r="G211" s="63">
        <f>E211+30</f>
        <v>1230</v>
      </c>
      <c r="H211" s="63">
        <f>F211+30</f>
        <v>130</v>
      </c>
      <c r="I211" s="63"/>
      <c r="J211" s="63"/>
      <c r="K211" s="63"/>
      <c r="L211" s="63" t="s">
        <v>218</v>
      </c>
      <c r="M211" s="63">
        <v>38</v>
      </c>
      <c r="N211" s="65">
        <v>579000</v>
      </c>
      <c r="O211" s="65">
        <f>N211*M211</f>
        <v>22002000</v>
      </c>
      <c r="P211" s="63"/>
      <c r="Q211" s="66"/>
    </row>
    <row r="212" spans="1:17" s="67" customFormat="1" ht="25.5">
      <c r="A212" s="63"/>
      <c r="B212" s="64" t="s">
        <v>220</v>
      </c>
      <c r="C212" s="63"/>
      <c r="D212" s="63" t="s">
        <v>284</v>
      </c>
      <c r="E212" s="63">
        <v>2000</v>
      </c>
      <c r="F212" s="63">
        <v>100</v>
      </c>
      <c r="G212" s="63">
        <f>E212+30</f>
        <v>2030</v>
      </c>
      <c r="H212" s="63">
        <f>F212+30</f>
        <v>130</v>
      </c>
      <c r="I212" s="63"/>
      <c r="J212" s="63"/>
      <c r="K212" s="63"/>
      <c r="L212" s="63" t="s">
        <v>218</v>
      </c>
      <c r="M212" s="63">
        <v>46</v>
      </c>
      <c r="N212" s="65">
        <v>936000</v>
      </c>
      <c r="O212" s="65">
        <f>N212*M212</f>
        <v>43056000</v>
      </c>
      <c r="P212" s="63"/>
      <c r="Q212" s="66"/>
    </row>
    <row r="213" spans="1:17" s="67" customFormat="1" ht="51">
      <c r="A213" s="63"/>
      <c r="B213" s="64" t="s">
        <v>221</v>
      </c>
      <c r="C213" s="63"/>
      <c r="D213" s="63" t="s">
        <v>284</v>
      </c>
      <c r="E213" s="63">
        <v>900</v>
      </c>
      <c r="F213" s="63">
        <v>100</v>
      </c>
      <c r="G213" s="63">
        <f>E213+30</f>
        <v>930</v>
      </c>
      <c r="H213" s="63">
        <f>F213+30</f>
        <v>130</v>
      </c>
      <c r="I213" s="63"/>
      <c r="J213" s="63"/>
      <c r="K213" s="63"/>
      <c r="L213" s="63" t="s">
        <v>218</v>
      </c>
      <c r="M213" s="63">
        <v>148</v>
      </c>
      <c r="N213" s="65">
        <v>445500</v>
      </c>
      <c r="O213" s="65">
        <f>N213*M213</f>
        <v>65934000</v>
      </c>
      <c r="P213" s="63"/>
      <c r="Q213" s="66"/>
    </row>
    <row r="214" spans="1:17" s="67" customFormat="1" ht="51">
      <c r="A214" s="63"/>
      <c r="B214" s="64" t="s">
        <v>222</v>
      </c>
      <c r="C214" s="63"/>
      <c r="D214" s="63" t="s">
        <v>284</v>
      </c>
      <c r="E214" s="63">
        <v>1200</v>
      </c>
      <c r="F214" s="63">
        <v>100</v>
      </c>
      <c r="G214" s="63">
        <f>E214+30</f>
        <v>1230</v>
      </c>
      <c r="H214" s="63">
        <f>F214+30</f>
        <v>130</v>
      </c>
      <c r="I214" s="63"/>
      <c r="J214" s="63"/>
      <c r="K214" s="63"/>
      <c r="L214" s="63" t="s">
        <v>218</v>
      </c>
      <c r="M214" s="63">
        <v>12</v>
      </c>
      <c r="N214" s="65">
        <v>579000</v>
      </c>
      <c r="O214" s="65">
        <f>N214*M214</f>
        <v>6948000</v>
      </c>
      <c r="P214" s="63"/>
      <c r="Q214" s="66"/>
    </row>
    <row r="215" spans="1:17" s="67" customFormat="1" ht="51">
      <c r="A215" s="63"/>
      <c r="B215" s="64" t="s">
        <v>223</v>
      </c>
      <c r="C215" s="63"/>
      <c r="D215" s="63" t="s">
        <v>284</v>
      </c>
      <c r="E215" s="63">
        <v>1400</v>
      </c>
      <c r="F215" s="63">
        <v>100</v>
      </c>
      <c r="G215" s="63">
        <f>E215+30</f>
        <v>1430</v>
      </c>
      <c r="H215" s="63">
        <f>F215+30</f>
        <v>130</v>
      </c>
      <c r="I215" s="63"/>
      <c r="J215" s="63"/>
      <c r="K215" s="63"/>
      <c r="L215" s="63" t="s">
        <v>218</v>
      </c>
      <c r="M215" s="63">
        <v>12</v>
      </c>
      <c r="N215" s="65">
        <v>669000</v>
      </c>
      <c r="O215" s="65">
        <f>N215*M215</f>
        <v>8028000</v>
      </c>
      <c r="P215" s="63" t="s">
        <v>308</v>
      </c>
      <c r="Q215" s="66"/>
    </row>
    <row r="216" spans="1:17" s="67" customFormat="1" ht="51">
      <c r="A216" s="63"/>
      <c r="B216" s="64" t="s">
        <v>224</v>
      </c>
      <c r="C216" s="63"/>
      <c r="D216" s="63" t="s">
        <v>284</v>
      </c>
      <c r="E216" s="63">
        <v>2000</v>
      </c>
      <c r="F216" s="63">
        <v>100</v>
      </c>
      <c r="G216" s="63">
        <f>E216+30</f>
        <v>2030</v>
      </c>
      <c r="H216" s="63">
        <f>F216+30</f>
        <v>130</v>
      </c>
      <c r="I216" s="63"/>
      <c r="J216" s="63"/>
      <c r="K216" s="63"/>
      <c r="L216" s="63" t="s">
        <v>218</v>
      </c>
      <c r="M216" s="63">
        <v>20</v>
      </c>
      <c r="N216" s="65">
        <v>936000</v>
      </c>
      <c r="O216" s="65">
        <f>N216*M216</f>
        <v>18720000</v>
      </c>
      <c r="P216" s="63" t="s">
        <v>308</v>
      </c>
      <c r="Q216" s="66"/>
    </row>
    <row r="217" spans="1:17" s="67" customFormat="1" ht="51">
      <c r="A217" s="63"/>
      <c r="B217" s="64" t="s">
        <v>225</v>
      </c>
      <c r="C217" s="63"/>
      <c r="D217" s="63" t="s">
        <v>284</v>
      </c>
      <c r="E217" s="63">
        <v>4200</v>
      </c>
      <c r="F217" s="63">
        <v>100</v>
      </c>
      <c r="G217" s="63">
        <f>E217+30</f>
        <v>4230</v>
      </c>
      <c r="H217" s="63">
        <f>F217+30</f>
        <v>130</v>
      </c>
      <c r="I217" s="63"/>
      <c r="J217" s="63"/>
      <c r="K217" s="63"/>
      <c r="L217" s="63" t="s">
        <v>218</v>
      </c>
      <c r="M217" s="63">
        <v>9</v>
      </c>
      <c r="N217" s="65">
        <v>1917000</v>
      </c>
      <c r="O217" s="65">
        <f>N217*M217</f>
        <v>17253000</v>
      </c>
      <c r="P217" s="63" t="s">
        <v>307</v>
      </c>
      <c r="Q217" s="66"/>
    </row>
    <row r="218" spans="1:17" s="67" customFormat="1" ht="51">
      <c r="A218" s="63"/>
      <c r="B218" s="64" t="s">
        <v>226</v>
      </c>
      <c r="C218" s="63"/>
      <c r="D218" s="63" t="s">
        <v>284</v>
      </c>
      <c r="E218" s="63">
        <v>7600</v>
      </c>
      <c r="F218" s="63">
        <v>100</v>
      </c>
      <c r="G218" s="63">
        <f>E218+30</f>
        <v>7630</v>
      </c>
      <c r="H218" s="63">
        <f>F218+30</f>
        <v>130</v>
      </c>
      <c r="I218" s="63"/>
      <c r="J218" s="63"/>
      <c r="K218" s="63"/>
      <c r="L218" s="63" t="s">
        <v>218</v>
      </c>
      <c r="M218" s="63">
        <v>6</v>
      </c>
      <c r="N218" s="65">
        <v>4116600</v>
      </c>
      <c r="O218" s="65">
        <f>N218*M218</f>
        <v>24699600</v>
      </c>
      <c r="P218" s="63" t="s">
        <v>307</v>
      </c>
      <c r="Q218" s="66"/>
    </row>
    <row r="219" spans="1:17" s="67" customFormat="1" ht="12.75">
      <c r="A219" s="63"/>
      <c r="B219" s="64" t="s">
        <v>57</v>
      </c>
      <c r="C219" s="63"/>
      <c r="D219" s="63"/>
      <c r="E219" s="63"/>
      <c r="F219" s="63"/>
      <c r="G219" s="63"/>
      <c r="H219" s="63"/>
      <c r="I219" s="63"/>
      <c r="J219" s="63"/>
      <c r="K219" s="63"/>
      <c r="L219" s="63" t="s">
        <v>58</v>
      </c>
      <c r="M219" s="63">
        <v>1</v>
      </c>
      <c r="N219" s="65"/>
      <c r="O219" s="65">
        <f>N219*M219</f>
        <v>0</v>
      </c>
      <c r="P219" s="63"/>
      <c r="Q219" s="66"/>
    </row>
    <row r="220" spans="1:17" s="67" customFormat="1" ht="25.5">
      <c r="A220" s="63"/>
      <c r="B220" s="64" t="s">
        <v>228</v>
      </c>
      <c r="C220" s="63"/>
      <c r="D220" s="63"/>
      <c r="E220" s="63"/>
      <c r="F220" s="63"/>
      <c r="G220" s="63"/>
      <c r="H220" s="63"/>
      <c r="I220" s="63"/>
      <c r="J220" s="63"/>
      <c r="K220" s="63"/>
      <c r="L220" s="63"/>
      <c r="M220" s="63"/>
      <c r="N220" s="65"/>
      <c r="O220" s="65">
        <f>N220*M220</f>
        <v>0</v>
      </c>
      <c r="P220" s="63"/>
      <c r="Q220" s="66"/>
    </row>
    <row r="221" spans="1:17" s="67" customFormat="1" ht="90" customHeight="1">
      <c r="A221" s="63"/>
      <c r="B221" s="64" t="s">
        <v>229</v>
      </c>
      <c r="C221" s="63"/>
      <c r="D221" s="63"/>
      <c r="E221" s="63"/>
      <c r="F221" s="63"/>
      <c r="G221" s="63"/>
      <c r="H221" s="63"/>
      <c r="I221" s="63"/>
      <c r="J221" s="63"/>
      <c r="K221" s="63"/>
      <c r="L221" s="63" t="s">
        <v>230</v>
      </c>
      <c r="M221" s="63">
        <v>0</v>
      </c>
      <c r="N221" s="65"/>
      <c r="O221" s="65">
        <f>N221*M221</f>
        <v>0</v>
      </c>
      <c r="P221" s="63"/>
      <c r="Q221" s="66"/>
    </row>
    <row r="222" spans="1:17" s="71" customFormat="1" ht="12.75">
      <c r="A222" s="68"/>
      <c r="B222" s="69" t="s">
        <v>309</v>
      </c>
      <c r="C222" s="68"/>
      <c r="D222" s="68"/>
      <c r="E222" s="68"/>
      <c r="F222" s="68"/>
      <c r="G222" s="68"/>
      <c r="H222" s="68"/>
      <c r="I222" s="68"/>
      <c r="J222" s="68"/>
      <c r="K222" s="68"/>
      <c r="L222" s="68"/>
      <c r="M222" s="68"/>
      <c r="N222" s="70"/>
      <c r="O222" s="70"/>
      <c r="P222" s="68" t="s">
        <v>310</v>
      </c>
      <c r="Q222" s="66"/>
    </row>
    <row r="223" spans="1:17" s="71" customFormat="1" ht="12.75">
      <c r="A223" s="68"/>
      <c r="B223" s="69" t="s">
        <v>311</v>
      </c>
      <c r="C223" s="68"/>
      <c r="D223" s="68"/>
      <c r="E223" s="68"/>
      <c r="F223" s="68"/>
      <c r="G223" s="68"/>
      <c r="H223" s="68"/>
      <c r="I223" s="68"/>
      <c r="J223" s="68"/>
      <c r="K223" s="68"/>
      <c r="L223" s="68"/>
      <c r="M223" s="68"/>
      <c r="N223" s="70"/>
      <c r="O223" s="70"/>
      <c r="P223" s="68" t="s">
        <v>312</v>
      </c>
    </row>
    <row r="224" spans="1:17" s="71" customFormat="1" ht="12.75">
      <c r="A224" s="68"/>
      <c r="B224" s="69"/>
      <c r="C224" s="68"/>
      <c r="D224" s="68"/>
      <c r="E224" s="68"/>
      <c r="F224" s="68"/>
      <c r="G224" s="68"/>
      <c r="H224" s="68"/>
      <c r="I224" s="68"/>
      <c r="J224" s="68"/>
      <c r="K224" s="68"/>
      <c r="L224" s="68"/>
      <c r="M224" s="68"/>
      <c r="N224" s="70"/>
      <c r="O224" s="70"/>
      <c r="P224" s="68"/>
    </row>
    <row r="225" spans="1:16" s="71" customFormat="1" ht="29.45" customHeight="1">
      <c r="A225" s="68"/>
      <c r="B225" s="68"/>
      <c r="C225" s="68"/>
      <c r="D225" s="68"/>
      <c r="E225" s="68"/>
      <c r="F225" s="68"/>
      <c r="G225" s="68"/>
      <c r="H225" s="68"/>
      <c r="I225" s="68"/>
      <c r="J225" s="68"/>
      <c r="K225" s="68"/>
      <c r="L225" s="68"/>
      <c r="M225" s="68"/>
      <c r="N225" s="70"/>
      <c r="O225" s="70"/>
      <c r="P225" s="68"/>
    </row>
    <row r="226" spans="1:16" s="71" customFormat="1" ht="32.25" customHeight="1">
      <c r="A226" s="152" t="s">
        <v>265</v>
      </c>
      <c r="B226" s="153"/>
      <c r="C226" s="153"/>
      <c r="D226" s="153"/>
      <c r="E226" s="153"/>
      <c r="F226" s="153"/>
      <c r="G226" s="153"/>
      <c r="H226" s="153"/>
      <c r="I226" s="153"/>
      <c r="J226" s="153"/>
      <c r="K226" s="153"/>
      <c r="L226" s="153"/>
      <c r="M226" s="153"/>
      <c r="N226" s="72"/>
      <c r="O226" s="73">
        <f>SUM(O15:O225)</f>
        <v>3236237811.6224823</v>
      </c>
      <c r="P226" s="74"/>
    </row>
    <row r="227" spans="1:16" s="71" customFormat="1" ht="32.25" customHeight="1">
      <c r="A227" s="154" t="s">
        <v>266</v>
      </c>
      <c r="B227" s="155"/>
      <c r="C227" s="155"/>
      <c r="D227" s="155"/>
      <c r="E227" s="155"/>
      <c r="F227" s="155"/>
      <c r="G227" s="155"/>
      <c r="H227" s="155"/>
      <c r="I227" s="155"/>
      <c r="J227" s="155"/>
      <c r="K227" s="155"/>
      <c r="L227" s="155"/>
      <c r="M227" s="155"/>
      <c r="N227" s="75"/>
      <c r="O227" s="76">
        <f>O226*0.1</f>
        <v>323623781.16224825</v>
      </c>
      <c r="P227" s="77"/>
    </row>
    <row r="228" spans="1:16" s="71" customFormat="1" ht="32.25" customHeight="1">
      <c r="A228" s="156" t="s">
        <v>267</v>
      </c>
      <c r="B228" s="157"/>
      <c r="C228" s="157"/>
      <c r="D228" s="157"/>
      <c r="E228" s="157"/>
      <c r="F228" s="157"/>
      <c r="G228" s="157"/>
      <c r="H228" s="157"/>
      <c r="I228" s="157"/>
      <c r="J228" s="157"/>
      <c r="K228" s="157"/>
      <c r="L228" s="157"/>
      <c r="M228" s="157"/>
      <c r="N228" s="78"/>
      <c r="O228" s="79">
        <f>SUM(O226:O227)</f>
        <v>3559861592.7847304</v>
      </c>
      <c r="P228" s="80"/>
    </row>
    <row r="229" spans="1:16" s="89" customFormat="1" ht="15" customHeight="1">
      <c r="A229" s="81"/>
      <c r="B229" s="82"/>
      <c r="C229" s="83"/>
      <c r="D229" s="83"/>
      <c r="E229" s="83"/>
      <c r="F229" s="83"/>
      <c r="G229" s="83"/>
      <c r="H229" s="83"/>
      <c r="I229" s="83"/>
      <c r="J229" s="83"/>
      <c r="K229" s="84"/>
      <c r="L229" s="85"/>
      <c r="M229" s="86"/>
      <c r="N229" s="87"/>
      <c r="O229" s="87"/>
      <c r="P229" s="88"/>
    </row>
    <row r="230" spans="1:16" s="89" customFormat="1" ht="15" customHeight="1">
      <c r="A230" s="90"/>
      <c r="B230" s="91" t="s">
        <v>268</v>
      </c>
      <c r="C230" s="92"/>
      <c r="D230" s="92"/>
      <c r="E230" s="92"/>
      <c r="F230" s="93"/>
      <c r="G230" s="92"/>
      <c r="H230" s="90"/>
      <c r="I230" s="90"/>
      <c r="J230" s="90"/>
      <c r="K230" s="90"/>
      <c r="L230" s="90"/>
      <c r="M230" s="88"/>
      <c r="N230" s="88"/>
      <c r="O230" s="94"/>
      <c r="P230" s="95"/>
    </row>
    <row r="231" spans="1:16" s="89" customFormat="1" ht="15" customHeight="1">
      <c r="A231" s="90"/>
      <c r="B231" s="96" t="s">
        <v>269</v>
      </c>
      <c r="C231" s="97"/>
      <c r="D231" s="97"/>
      <c r="E231" s="97"/>
      <c r="F231" s="98"/>
      <c r="G231" s="98"/>
      <c r="H231" s="90"/>
      <c r="I231" s="90"/>
      <c r="J231" s="90"/>
      <c r="K231" s="90"/>
      <c r="L231" s="99"/>
      <c r="M231" s="100"/>
      <c r="N231" s="158" t="s">
        <v>270</v>
      </c>
      <c r="O231" s="159"/>
      <c r="P231" s="95"/>
    </row>
    <row r="232" spans="1:16" s="89" customFormat="1" ht="15" customHeight="1">
      <c r="A232" s="90"/>
      <c r="B232" s="96" t="s">
        <v>271</v>
      </c>
      <c r="C232" s="97"/>
      <c r="D232" s="97"/>
      <c r="E232" s="97"/>
      <c r="F232" s="98"/>
      <c r="G232" s="98"/>
      <c r="H232" s="90"/>
      <c r="I232" s="90"/>
      <c r="J232" s="90"/>
      <c r="K232" s="90"/>
      <c r="L232" s="99"/>
      <c r="M232" s="100"/>
      <c r="N232" s="100"/>
      <c r="O232" s="94"/>
      <c r="P232" s="95"/>
    </row>
    <row r="233" spans="1:16" s="89" customFormat="1" ht="15" customHeight="1">
      <c r="A233" s="90"/>
      <c r="B233" s="96" t="s">
        <v>272</v>
      </c>
      <c r="C233" s="97"/>
      <c r="D233" s="97"/>
      <c r="E233" s="97"/>
      <c r="F233" s="98"/>
      <c r="G233" s="98"/>
      <c r="H233" s="90"/>
      <c r="I233" s="90"/>
      <c r="J233" s="90"/>
      <c r="K233" s="90"/>
      <c r="L233" s="99"/>
      <c r="M233" s="100"/>
      <c r="N233" s="100"/>
      <c r="O233" s="94"/>
      <c r="P233" s="95"/>
    </row>
    <row r="234" spans="1:16" s="89" customFormat="1" ht="15" customHeight="1">
      <c r="A234" s="90"/>
      <c r="B234" s="96" t="s">
        <v>273</v>
      </c>
      <c r="C234" s="97"/>
      <c r="D234" s="97"/>
      <c r="E234" s="97"/>
      <c r="F234" s="98"/>
      <c r="G234" s="98"/>
      <c r="H234" s="90"/>
      <c r="I234" s="90"/>
      <c r="J234" s="90"/>
      <c r="K234" s="90"/>
      <c r="L234" s="99"/>
      <c r="M234" s="100"/>
      <c r="N234" s="100"/>
      <c r="O234" s="94"/>
      <c r="P234" s="95"/>
    </row>
    <row r="235" spans="1:16" s="89" customFormat="1" ht="15" customHeight="1">
      <c r="A235" s="90"/>
      <c r="B235" s="101" t="s">
        <v>274</v>
      </c>
      <c r="C235" s="102"/>
      <c r="D235" s="102"/>
      <c r="E235" s="102"/>
      <c r="F235" s="103"/>
      <c r="G235" s="103"/>
      <c r="H235" s="90"/>
      <c r="I235" s="90"/>
      <c r="J235" s="90"/>
      <c r="K235" s="90"/>
      <c r="L235" s="99"/>
      <c r="M235" s="104"/>
      <c r="N235" s="105"/>
      <c r="O235" s="106"/>
      <c r="P235" s="95"/>
    </row>
    <row r="236" spans="1:16" s="89" customFormat="1" ht="15" customHeight="1">
      <c r="A236" s="90"/>
      <c r="B236" s="107" t="s">
        <v>275</v>
      </c>
      <c r="C236" s="107"/>
      <c r="D236" s="107"/>
      <c r="E236" s="107"/>
      <c r="F236" s="107"/>
      <c r="G236" s="107"/>
      <c r="H236" s="90"/>
      <c r="I236" s="90"/>
      <c r="J236" s="90"/>
      <c r="K236" s="90"/>
      <c r="L236" s="99"/>
      <c r="M236" s="104"/>
      <c r="N236" s="105"/>
      <c r="O236" s="106"/>
      <c r="P236" s="95"/>
    </row>
    <row r="237" spans="1:16" s="89" customFormat="1" ht="15" customHeight="1">
      <c r="A237" s="90"/>
      <c r="B237" s="108" t="s">
        <v>276</v>
      </c>
      <c r="C237" s="97"/>
      <c r="D237" s="97"/>
      <c r="E237" s="97"/>
      <c r="F237" s="103"/>
      <c r="G237" s="103"/>
      <c r="H237" s="90"/>
      <c r="I237" s="90"/>
      <c r="J237" s="90"/>
      <c r="K237" s="90"/>
      <c r="L237" s="99"/>
      <c r="M237" s="104"/>
      <c r="N237" s="105"/>
      <c r="O237" s="106"/>
      <c r="P237" s="95"/>
    </row>
    <row r="238" spans="1:16" s="89" customFormat="1" ht="15" customHeight="1">
      <c r="A238" s="90"/>
      <c r="B238" s="109" t="s">
        <v>277</v>
      </c>
      <c r="C238" s="110"/>
      <c r="D238" s="110"/>
      <c r="E238" s="110"/>
      <c r="F238" s="111"/>
      <c r="G238" s="111"/>
      <c r="H238" s="90"/>
      <c r="I238" s="90"/>
      <c r="J238" s="90"/>
      <c r="K238" s="90"/>
      <c r="L238" s="99"/>
      <c r="M238" s="104"/>
      <c r="N238" s="105"/>
      <c r="O238" s="112"/>
      <c r="P238" s="95"/>
    </row>
    <row r="239" spans="1:16" s="89" customFormat="1" ht="15" customHeight="1">
      <c r="A239" s="90"/>
      <c r="B239" s="107" t="s">
        <v>278</v>
      </c>
      <c r="C239" s="107"/>
      <c r="D239" s="107"/>
      <c r="E239" s="107"/>
      <c r="F239" s="107"/>
      <c r="G239" s="107"/>
      <c r="H239" s="90"/>
      <c r="I239" s="90"/>
      <c r="J239" s="90"/>
      <c r="K239" s="90"/>
      <c r="L239" s="99"/>
      <c r="M239" s="104"/>
      <c r="N239" s="105"/>
      <c r="O239" s="112"/>
      <c r="P239" s="95"/>
    </row>
    <row r="240" spans="1:16" s="89" customFormat="1" ht="15" customHeight="1">
      <c r="A240" s="84"/>
      <c r="B240" s="107" t="s">
        <v>279</v>
      </c>
      <c r="C240" s="107"/>
      <c r="D240" s="107"/>
      <c r="E240" s="107"/>
      <c r="F240" s="107"/>
      <c r="G240" s="107"/>
      <c r="H240" s="90"/>
      <c r="I240" s="84"/>
      <c r="J240" s="84"/>
      <c r="K240" s="113"/>
      <c r="L240" s="160"/>
      <c r="M240" s="160"/>
      <c r="N240" s="160"/>
      <c r="O240" s="161"/>
      <c r="P240" s="95"/>
    </row>
    <row r="241" spans="1:16" s="89" customFormat="1" ht="15" customHeight="1">
      <c r="A241" s="114"/>
      <c r="B241" s="115" t="s">
        <v>280</v>
      </c>
      <c r="C241" s="107"/>
      <c r="D241" s="107"/>
      <c r="E241" s="107"/>
      <c r="F241" s="107"/>
      <c r="G241" s="107"/>
      <c r="H241" s="116"/>
      <c r="I241" s="114"/>
      <c r="J241" s="114"/>
      <c r="K241" s="114"/>
      <c r="L241" s="162"/>
      <c r="M241" s="162"/>
      <c r="N241" s="162"/>
      <c r="O241" s="163"/>
      <c r="P241" s="95"/>
    </row>
    <row r="242" spans="1:16" s="43" customFormat="1" ht="15" customHeight="1">
      <c r="A242" s="117"/>
      <c r="B242" s="115" t="s">
        <v>281</v>
      </c>
      <c r="C242" s="107"/>
      <c r="D242" s="107"/>
      <c r="E242" s="107"/>
      <c r="F242" s="107"/>
      <c r="G242" s="107"/>
      <c r="H242" s="116"/>
      <c r="I242" s="118"/>
      <c r="J242" s="118"/>
      <c r="K242" s="119"/>
      <c r="L242" s="150"/>
      <c r="M242" s="150"/>
      <c r="N242" s="150"/>
      <c r="O242" s="151"/>
      <c r="P242" s="120"/>
    </row>
    <row r="243" spans="1:16" s="89" customFormat="1" ht="15" customHeight="1">
      <c r="A243" s="81"/>
      <c r="B243" s="121"/>
      <c r="C243" s="110"/>
      <c r="D243" s="110"/>
      <c r="E243" s="110"/>
      <c r="F243" s="111"/>
      <c r="G243" s="111"/>
      <c r="H243" s="118"/>
      <c r="I243" s="83"/>
      <c r="J243" s="84"/>
      <c r="K243" s="85"/>
      <c r="L243" s="86"/>
      <c r="M243" s="122"/>
      <c r="N243" s="122"/>
      <c r="O243" s="123"/>
      <c r="P243" s="95"/>
    </row>
    <row r="244" spans="1:16" s="89" customFormat="1" ht="15" customHeight="1">
      <c r="A244" s="81"/>
      <c r="B244" s="82"/>
      <c r="C244" s="83"/>
      <c r="D244" s="83"/>
      <c r="E244" s="83"/>
      <c r="F244" s="83"/>
      <c r="G244" s="83"/>
      <c r="H244" s="83"/>
      <c r="I244" s="83"/>
      <c r="J244" s="83"/>
      <c r="K244" s="84"/>
      <c r="L244" s="85"/>
      <c r="M244" s="86"/>
      <c r="N244" s="87"/>
      <c r="O244" s="87"/>
      <c r="P244" s="124"/>
    </row>
    <row r="245" spans="1:16" s="89" customFormat="1" ht="15" customHeight="1">
      <c r="A245" s="81"/>
      <c r="B245" s="82"/>
      <c r="C245" s="83"/>
      <c r="D245" s="83"/>
      <c r="E245" s="83"/>
      <c r="F245" s="83"/>
      <c r="G245" s="83"/>
      <c r="H245" s="83"/>
      <c r="I245" s="83"/>
      <c r="J245" s="83"/>
      <c r="K245" s="84"/>
      <c r="L245" s="85"/>
      <c r="M245" s="86"/>
      <c r="N245" s="87"/>
      <c r="O245" s="87"/>
      <c r="P245" s="124"/>
    </row>
    <row r="246" spans="1:16" s="89" customFormat="1" ht="15" customHeight="1">
      <c r="A246" s="81"/>
      <c r="B246" s="82"/>
      <c r="C246" s="83"/>
      <c r="D246" s="83"/>
      <c r="E246" s="83"/>
      <c r="F246" s="83"/>
      <c r="G246" s="83"/>
      <c r="H246" s="83"/>
      <c r="I246" s="83"/>
      <c r="J246" s="83"/>
      <c r="K246" s="84"/>
      <c r="L246" s="85"/>
      <c r="M246" s="86"/>
      <c r="N246" s="87"/>
      <c r="O246" s="87"/>
      <c r="P246" s="124"/>
    </row>
    <row r="247" spans="1:16" s="89" customFormat="1" ht="15" customHeight="1">
      <c r="A247" s="81"/>
      <c r="B247" s="82"/>
      <c r="C247" s="83"/>
      <c r="D247" s="83"/>
      <c r="E247" s="83"/>
      <c r="F247" s="83"/>
      <c r="G247" s="83"/>
      <c r="H247" s="83"/>
      <c r="I247" s="83"/>
      <c r="J247" s="83"/>
      <c r="K247" s="84"/>
      <c r="L247" s="85"/>
      <c r="M247" s="86"/>
      <c r="N247" s="87"/>
      <c r="O247" s="87"/>
      <c r="P247" s="124"/>
    </row>
    <row r="248" spans="1:16" s="89" customFormat="1" ht="15" customHeight="1">
      <c r="A248" s="81"/>
      <c r="B248" s="82"/>
      <c r="C248" s="83"/>
      <c r="D248" s="83"/>
      <c r="E248" s="83"/>
      <c r="F248" s="83"/>
      <c r="G248" s="83"/>
      <c r="H248" s="83"/>
      <c r="I248" s="83"/>
      <c r="J248" s="83"/>
      <c r="K248" s="84"/>
      <c r="L248" s="85"/>
      <c r="M248" s="86"/>
      <c r="N248" s="87"/>
      <c r="O248" s="87"/>
      <c r="P248" s="124"/>
    </row>
    <row r="249" spans="1:16" s="89" customFormat="1" ht="15" customHeight="1">
      <c r="A249" s="81"/>
      <c r="B249" s="82"/>
      <c r="C249" s="83"/>
      <c r="D249" s="83"/>
      <c r="E249" s="83"/>
      <c r="F249" s="83"/>
      <c r="G249" s="83"/>
      <c r="H249" s="83"/>
      <c r="I249" s="83"/>
      <c r="J249" s="83"/>
      <c r="K249" s="84"/>
      <c r="L249" s="85"/>
      <c r="M249" s="86"/>
      <c r="N249" s="87"/>
      <c r="O249" s="87"/>
      <c r="P249" s="124"/>
    </row>
    <row r="250" spans="1:16" s="89" customFormat="1" ht="15" customHeight="1">
      <c r="A250" s="81"/>
      <c r="B250" s="82"/>
      <c r="C250" s="83"/>
      <c r="D250" s="83"/>
      <c r="E250" s="83"/>
      <c r="F250" s="83"/>
      <c r="G250" s="83"/>
      <c r="H250" s="83"/>
      <c r="I250" s="83"/>
      <c r="J250" s="83"/>
      <c r="K250" s="84"/>
      <c r="L250" s="85"/>
      <c r="M250" s="86"/>
      <c r="N250" s="87"/>
      <c r="O250" s="87"/>
      <c r="P250" s="124"/>
    </row>
    <row r="251" spans="1:16" s="89" customFormat="1" ht="15" customHeight="1">
      <c r="A251" s="81"/>
      <c r="B251" s="82"/>
      <c r="C251" s="83"/>
      <c r="D251" s="83"/>
      <c r="E251" s="83"/>
      <c r="F251" s="83"/>
      <c r="G251" s="83"/>
      <c r="H251" s="83"/>
      <c r="I251" s="83"/>
      <c r="J251" s="83"/>
      <c r="K251" s="84"/>
      <c r="L251" s="85"/>
      <c r="M251" s="86"/>
      <c r="N251" s="87"/>
      <c r="O251" s="87"/>
      <c r="P251" s="124"/>
    </row>
    <row r="252" spans="1:16" s="89" customFormat="1" ht="12.75">
      <c r="A252" s="81"/>
      <c r="B252" s="82"/>
      <c r="C252" s="83"/>
      <c r="D252" s="83"/>
      <c r="E252" s="83"/>
      <c r="F252" s="83"/>
      <c r="G252" s="83"/>
      <c r="H252" s="83"/>
      <c r="I252" s="83"/>
      <c r="J252" s="83"/>
      <c r="K252" s="84"/>
      <c r="L252" s="85"/>
      <c r="M252" s="86"/>
      <c r="N252" s="87"/>
      <c r="O252" s="87"/>
      <c r="P252" s="124"/>
    </row>
    <row r="253" spans="1:16" s="89" customFormat="1" ht="12.75">
      <c r="A253" s="81"/>
      <c r="B253" s="82"/>
      <c r="C253" s="83"/>
      <c r="D253" s="83"/>
      <c r="E253" s="83"/>
      <c r="F253" s="83"/>
      <c r="G253" s="83"/>
      <c r="H253" s="83"/>
      <c r="I253" s="83"/>
      <c r="J253" s="83"/>
      <c r="K253" s="84"/>
      <c r="L253" s="85"/>
      <c r="M253" s="86"/>
      <c r="N253" s="87"/>
      <c r="O253" s="87"/>
      <c r="P253" s="124"/>
    </row>
    <row r="254" spans="1:16" s="89" customFormat="1" ht="12.75">
      <c r="B254" s="125"/>
      <c r="C254" s="126"/>
      <c r="D254" s="126"/>
      <c r="E254" s="126"/>
      <c r="F254" s="126"/>
      <c r="G254" s="126"/>
      <c r="H254" s="126"/>
      <c r="I254" s="126"/>
      <c r="J254" s="126"/>
      <c r="K254" s="127"/>
      <c r="L254" s="128"/>
      <c r="M254" s="129"/>
      <c r="N254" s="95"/>
      <c r="O254" s="95"/>
      <c r="P254" s="130"/>
    </row>
    <row r="255" spans="1:16" s="89" customFormat="1" ht="12.75">
      <c r="B255" s="125"/>
      <c r="C255" s="126"/>
      <c r="D255" s="126"/>
      <c r="E255" s="126"/>
      <c r="F255" s="126"/>
      <c r="G255" s="126"/>
      <c r="H255" s="126"/>
      <c r="I255" s="126"/>
      <c r="J255" s="126"/>
      <c r="K255" s="127"/>
      <c r="L255" s="128"/>
      <c r="M255" s="129"/>
      <c r="N255" s="95"/>
      <c r="O255" s="95"/>
      <c r="P255" s="130"/>
    </row>
    <row r="256" spans="1:16" s="89" customFormat="1" ht="12.75">
      <c r="B256" s="125"/>
      <c r="C256" s="126"/>
      <c r="D256" s="126"/>
      <c r="E256" s="126"/>
      <c r="F256" s="126"/>
      <c r="G256" s="126"/>
      <c r="H256" s="126"/>
      <c r="I256" s="126"/>
      <c r="J256" s="126"/>
      <c r="K256" s="127"/>
      <c r="L256" s="128"/>
      <c r="M256" s="129"/>
      <c r="N256" s="95"/>
      <c r="O256" s="95"/>
      <c r="P256" s="130"/>
    </row>
    <row r="257" spans="2:16" s="89" customFormat="1" ht="12.75">
      <c r="B257" s="125"/>
      <c r="C257" s="126"/>
      <c r="D257" s="126"/>
      <c r="E257" s="126"/>
      <c r="F257" s="126"/>
      <c r="G257" s="126"/>
      <c r="H257" s="126"/>
      <c r="I257" s="126"/>
      <c r="J257" s="126"/>
      <c r="K257" s="127"/>
      <c r="L257" s="128"/>
      <c r="M257" s="129"/>
      <c r="N257" s="95"/>
      <c r="O257" s="95"/>
      <c r="P257" s="130"/>
    </row>
    <row r="258" spans="2:16" s="89" customFormat="1" ht="12.75">
      <c r="B258" s="125"/>
      <c r="C258" s="126"/>
      <c r="D258" s="126"/>
      <c r="E258" s="126"/>
      <c r="F258" s="126"/>
      <c r="G258" s="126"/>
      <c r="H258" s="126"/>
      <c r="I258" s="126"/>
      <c r="J258" s="126"/>
      <c r="K258" s="127"/>
      <c r="L258" s="128"/>
      <c r="M258" s="129"/>
      <c r="N258" s="95"/>
      <c r="O258" s="95"/>
      <c r="P258" s="130"/>
    </row>
    <row r="259" spans="2:16" s="89" customFormat="1" ht="12.75">
      <c r="B259" s="125"/>
      <c r="C259" s="126"/>
      <c r="D259" s="126"/>
      <c r="E259" s="126"/>
      <c r="F259" s="126"/>
      <c r="G259" s="126"/>
      <c r="H259" s="126"/>
      <c r="I259" s="126"/>
      <c r="J259" s="126"/>
      <c r="K259" s="127"/>
      <c r="L259" s="128"/>
      <c r="M259" s="129"/>
      <c r="N259" s="95"/>
      <c r="O259" s="95"/>
      <c r="P259" s="130"/>
    </row>
    <row r="260" spans="2:16" s="89" customFormat="1" ht="12.75">
      <c r="B260" s="125"/>
      <c r="C260" s="126"/>
      <c r="D260" s="126"/>
      <c r="E260" s="126"/>
      <c r="F260" s="126"/>
      <c r="G260" s="126"/>
      <c r="H260" s="126"/>
      <c r="I260" s="126"/>
      <c r="J260" s="126"/>
      <c r="K260" s="127"/>
      <c r="L260" s="128"/>
      <c r="M260" s="129"/>
      <c r="N260" s="95"/>
      <c r="O260" s="95"/>
      <c r="P260" s="130"/>
    </row>
    <row r="261" spans="2:16" s="89" customFormat="1" ht="12.75">
      <c r="B261" s="125"/>
      <c r="C261" s="126"/>
      <c r="D261" s="126"/>
      <c r="E261" s="126"/>
      <c r="F261" s="126"/>
      <c r="G261" s="126"/>
      <c r="H261" s="126"/>
      <c r="I261" s="126"/>
      <c r="J261" s="126"/>
      <c r="K261" s="127"/>
      <c r="L261" s="128"/>
      <c r="M261" s="129"/>
      <c r="N261" s="95"/>
      <c r="O261" s="95"/>
      <c r="P261" s="130"/>
    </row>
    <row r="262" spans="2:16" s="89" customFormat="1" ht="12.75">
      <c r="B262" s="125"/>
      <c r="C262" s="126"/>
      <c r="D262" s="126"/>
      <c r="E262" s="126"/>
      <c r="F262" s="126"/>
      <c r="G262" s="126"/>
      <c r="H262" s="126"/>
      <c r="I262" s="126"/>
      <c r="J262" s="126"/>
      <c r="K262" s="127"/>
      <c r="L262" s="128"/>
      <c r="M262" s="129"/>
      <c r="N262" s="95"/>
      <c r="O262" s="95"/>
      <c r="P262" s="130"/>
    </row>
    <row r="263" spans="2:16" s="89" customFormat="1" ht="12.75">
      <c r="B263" s="125"/>
      <c r="C263" s="126"/>
      <c r="D263" s="126"/>
      <c r="E263" s="126"/>
      <c r="F263" s="126"/>
      <c r="G263" s="126"/>
      <c r="H263" s="126"/>
      <c r="I263" s="126"/>
      <c r="J263" s="126"/>
      <c r="K263" s="127"/>
      <c r="L263" s="128"/>
      <c r="M263" s="129"/>
      <c r="N263" s="95"/>
      <c r="O263" s="95"/>
      <c r="P263" s="130"/>
    </row>
    <row r="264" spans="2:16" s="89" customFormat="1" ht="12.75">
      <c r="B264" s="125"/>
      <c r="C264" s="126"/>
      <c r="D264" s="126"/>
      <c r="E264" s="126"/>
      <c r="F264" s="126"/>
      <c r="G264" s="126"/>
      <c r="H264" s="126"/>
      <c r="I264" s="126"/>
      <c r="J264" s="126"/>
      <c r="K264" s="127"/>
      <c r="L264" s="128"/>
      <c r="M264" s="129"/>
      <c r="N264" s="95"/>
      <c r="O264" s="95"/>
      <c r="P264" s="130"/>
    </row>
    <row r="265" spans="2:16" s="89" customFormat="1" ht="12.75">
      <c r="B265" s="125"/>
      <c r="C265" s="126"/>
      <c r="D265" s="126"/>
      <c r="E265" s="126"/>
      <c r="F265" s="126"/>
      <c r="G265" s="126"/>
      <c r="H265" s="126"/>
      <c r="I265" s="126"/>
      <c r="J265" s="126"/>
      <c r="K265" s="127"/>
      <c r="L265" s="128"/>
      <c r="M265" s="129"/>
      <c r="N265" s="95"/>
      <c r="O265" s="95"/>
      <c r="P265" s="130"/>
    </row>
    <row r="266" spans="2:16" s="89" customFormat="1" ht="12.75">
      <c r="B266" s="125"/>
      <c r="C266" s="126"/>
      <c r="D266" s="126"/>
      <c r="E266" s="126"/>
      <c r="F266" s="126"/>
      <c r="G266" s="126"/>
      <c r="H266" s="126"/>
      <c r="I266" s="126"/>
      <c r="J266" s="126"/>
      <c r="K266" s="127"/>
      <c r="L266" s="128"/>
      <c r="M266" s="129"/>
      <c r="N266" s="95"/>
      <c r="O266" s="95"/>
      <c r="P266" s="130"/>
    </row>
    <row r="267" spans="2:16" s="89" customFormat="1" ht="12.75">
      <c r="B267" s="125"/>
      <c r="C267" s="126"/>
      <c r="D267" s="126"/>
      <c r="E267" s="126"/>
      <c r="F267" s="126"/>
      <c r="G267" s="126"/>
      <c r="H267" s="126"/>
      <c r="I267" s="126"/>
      <c r="J267" s="126"/>
      <c r="K267" s="127"/>
      <c r="L267" s="128"/>
      <c r="M267" s="129"/>
      <c r="N267" s="95"/>
      <c r="O267" s="95"/>
      <c r="P267" s="130"/>
    </row>
    <row r="268" spans="2:16" s="89" customFormat="1" ht="12.75">
      <c r="B268" s="125"/>
      <c r="C268" s="126"/>
      <c r="D268" s="126"/>
      <c r="E268" s="126"/>
      <c r="F268" s="126"/>
      <c r="G268" s="126"/>
      <c r="H268" s="126"/>
      <c r="I268" s="126"/>
      <c r="J268" s="126"/>
      <c r="K268" s="127"/>
      <c r="L268" s="128"/>
      <c r="M268" s="129"/>
      <c r="N268" s="95"/>
      <c r="O268" s="95"/>
      <c r="P268" s="130"/>
    </row>
    <row r="269" spans="2:16" s="89" customFormat="1" ht="12.75">
      <c r="B269" s="125"/>
      <c r="C269" s="126"/>
      <c r="D269" s="126"/>
      <c r="E269" s="126"/>
      <c r="F269" s="126"/>
      <c r="G269" s="126"/>
      <c r="H269" s="126"/>
      <c r="I269" s="126"/>
      <c r="J269" s="126"/>
      <c r="K269" s="127"/>
      <c r="L269" s="128"/>
      <c r="M269" s="129"/>
      <c r="N269" s="95"/>
      <c r="O269" s="95"/>
      <c r="P269" s="130"/>
    </row>
    <row r="270" spans="2:16" s="89" customFormat="1" ht="12.75">
      <c r="B270" s="125"/>
      <c r="C270" s="126"/>
      <c r="D270" s="126"/>
      <c r="E270" s="126"/>
      <c r="F270" s="126"/>
      <c r="G270" s="126"/>
      <c r="H270" s="126"/>
      <c r="I270" s="126"/>
      <c r="J270" s="126"/>
      <c r="K270" s="127"/>
      <c r="L270" s="128"/>
      <c r="M270" s="129"/>
      <c r="N270" s="95"/>
      <c r="O270" s="95"/>
      <c r="P270" s="130"/>
    </row>
    <row r="271" spans="2:16" s="89" customFormat="1" ht="12.75">
      <c r="B271" s="125"/>
      <c r="C271" s="126"/>
      <c r="D271" s="126"/>
      <c r="E271" s="126"/>
      <c r="F271" s="126"/>
      <c r="G271" s="126"/>
      <c r="H271" s="126"/>
      <c r="I271" s="126"/>
      <c r="J271" s="126"/>
      <c r="K271" s="127"/>
      <c r="L271" s="128"/>
      <c r="M271" s="129"/>
      <c r="N271" s="95"/>
      <c r="O271" s="95"/>
      <c r="P271" s="130"/>
    </row>
    <row r="272" spans="2:16" s="89" customFormat="1" ht="12.75">
      <c r="B272" s="125"/>
      <c r="C272" s="126"/>
      <c r="D272" s="126"/>
      <c r="E272" s="126"/>
      <c r="F272" s="126"/>
      <c r="G272" s="126"/>
      <c r="H272" s="126"/>
      <c r="I272" s="126"/>
      <c r="J272" s="126"/>
      <c r="K272" s="127"/>
      <c r="L272" s="128"/>
      <c r="M272" s="129"/>
      <c r="N272" s="95"/>
      <c r="O272" s="95"/>
      <c r="P272" s="130"/>
    </row>
    <row r="273" spans="2:16" s="89" customFormat="1" ht="12.75">
      <c r="B273" s="125"/>
      <c r="C273" s="126"/>
      <c r="D273" s="126"/>
      <c r="E273" s="126"/>
      <c r="F273" s="126"/>
      <c r="G273" s="126"/>
      <c r="H273" s="126"/>
      <c r="I273" s="126"/>
      <c r="J273" s="126"/>
      <c r="K273" s="127"/>
      <c r="L273" s="128"/>
      <c r="M273" s="129"/>
      <c r="N273" s="95"/>
      <c r="O273" s="95"/>
      <c r="P273" s="130"/>
    </row>
    <row r="274" spans="2:16" s="89" customFormat="1" ht="12.75">
      <c r="B274" s="125"/>
      <c r="C274" s="126"/>
      <c r="D274" s="126"/>
      <c r="E274" s="126"/>
      <c r="F274" s="126"/>
      <c r="G274" s="126"/>
      <c r="H274" s="126"/>
      <c r="I274" s="126"/>
      <c r="J274" s="126"/>
      <c r="K274" s="127"/>
      <c r="L274" s="128"/>
      <c r="M274" s="129"/>
      <c r="N274" s="95"/>
      <c r="O274" s="95"/>
      <c r="P274" s="130"/>
    </row>
    <row r="275" spans="2:16" s="89" customFormat="1" ht="12.75">
      <c r="B275" s="125"/>
      <c r="C275" s="126"/>
      <c r="D275" s="126"/>
      <c r="E275" s="126"/>
      <c r="F275" s="126"/>
      <c r="G275" s="126"/>
      <c r="H275" s="126"/>
      <c r="I275" s="126"/>
      <c r="J275" s="126"/>
      <c r="K275" s="127"/>
      <c r="L275" s="128"/>
      <c r="M275" s="129"/>
      <c r="N275" s="95"/>
      <c r="O275" s="95"/>
      <c r="P275" s="130"/>
    </row>
    <row r="276" spans="2:16" s="89" customFormat="1" ht="12.75">
      <c r="B276" s="125"/>
      <c r="C276" s="126"/>
      <c r="D276" s="126"/>
      <c r="E276" s="126"/>
      <c r="F276" s="126"/>
      <c r="G276" s="126"/>
      <c r="H276" s="126"/>
      <c r="I276" s="126"/>
      <c r="J276" s="126"/>
      <c r="K276" s="127"/>
      <c r="L276" s="128"/>
      <c r="M276" s="129"/>
      <c r="N276" s="95"/>
      <c r="O276" s="95"/>
      <c r="P276" s="130"/>
    </row>
    <row r="277" spans="2:16" s="89" customFormat="1" ht="12.75">
      <c r="B277" s="125"/>
      <c r="C277" s="126"/>
      <c r="D277" s="126"/>
      <c r="E277" s="126"/>
      <c r="F277" s="126"/>
      <c r="G277" s="126"/>
      <c r="H277" s="126"/>
      <c r="I277" s="126"/>
      <c r="J277" s="126"/>
      <c r="K277" s="127"/>
      <c r="L277" s="128"/>
      <c r="M277" s="129"/>
      <c r="N277" s="95"/>
      <c r="O277" s="95"/>
      <c r="P277" s="130"/>
    </row>
    <row r="278" spans="2:16" s="89" customFormat="1" ht="12.75">
      <c r="B278" s="125"/>
      <c r="C278" s="126"/>
      <c r="D278" s="126"/>
      <c r="E278" s="126"/>
      <c r="F278" s="126"/>
      <c r="G278" s="126"/>
      <c r="H278" s="126"/>
      <c r="I278" s="126"/>
      <c r="J278" s="126"/>
      <c r="K278" s="127"/>
      <c r="L278" s="128"/>
      <c r="M278" s="129"/>
      <c r="N278" s="95"/>
      <c r="O278" s="95"/>
      <c r="P278" s="130"/>
    </row>
    <row r="279" spans="2:16" s="89" customFormat="1" ht="12.75">
      <c r="B279" s="125"/>
      <c r="C279" s="126"/>
      <c r="D279" s="126"/>
      <c r="E279" s="126"/>
      <c r="F279" s="126"/>
      <c r="G279" s="126"/>
      <c r="H279" s="126"/>
      <c r="I279" s="126"/>
      <c r="J279" s="126"/>
      <c r="K279" s="127"/>
      <c r="L279" s="128"/>
      <c r="M279" s="129"/>
      <c r="N279" s="95"/>
      <c r="O279" s="95"/>
      <c r="P279" s="130"/>
    </row>
    <row r="280" spans="2:16" s="89" customFormat="1" ht="12.75">
      <c r="B280" s="125"/>
      <c r="C280" s="126"/>
      <c r="D280" s="126"/>
      <c r="E280" s="126"/>
      <c r="F280" s="126"/>
      <c r="G280" s="126"/>
      <c r="H280" s="126"/>
      <c r="I280" s="126"/>
      <c r="J280" s="126"/>
      <c r="K280" s="127"/>
      <c r="L280" s="128"/>
      <c r="M280" s="129"/>
      <c r="N280" s="95"/>
      <c r="O280" s="95"/>
      <c r="P280" s="130"/>
    </row>
    <row r="281" spans="2:16" s="89" customFormat="1" ht="12.75">
      <c r="B281" s="125"/>
      <c r="C281" s="126"/>
      <c r="D281" s="126"/>
      <c r="E281" s="126"/>
      <c r="F281" s="126"/>
      <c r="G281" s="126"/>
      <c r="H281" s="126"/>
      <c r="I281" s="126"/>
      <c r="J281" s="126"/>
      <c r="K281" s="127"/>
      <c r="L281" s="128"/>
      <c r="M281" s="129"/>
      <c r="N281" s="95"/>
      <c r="O281" s="95"/>
      <c r="P281" s="130"/>
    </row>
    <row r="282" spans="2:16" s="89" customFormat="1" ht="12.75">
      <c r="B282" s="125"/>
      <c r="C282" s="126"/>
      <c r="D282" s="126"/>
      <c r="E282" s="126"/>
      <c r="F282" s="126"/>
      <c r="G282" s="126"/>
      <c r="H282" s="126"/>
      <c r="I282" s="126"/>
      <c r="J282" s="126"/>
      <c r="K282" s="127"/>
      <c r="L282" s="128"/>
      <c r="M282" s="129"/>
      <c r="N282" s="95"/>
      <c r="O282" s="95"/>
      <c r="P282" s="130"/>
    </row>
    <row r="283" spans="2:16" s="89" customFormat="1" ht="12.75">
      <c r="B283" s="125"/>
      <c r="C283" s="126"/>
      <c r="D283" s="126"/>
      <c r="E283" s="126"/>
      <c r="F283" s="126"/>
      <c r="G283" s="126"/>
      <c r="H283" s="126"/>
      <c r="I283" s="126"/>
      <c r="J283" s="126"/>
      <c r="K283" s="127"/>
      <c r="L283" s="128"/>
      <c r="M283" s="129"/>
      <c r="N283" s="95"/>
      <c r="O283" s="95"/>
      <c r="P283" s="130"/>
    </row>
    <row r="284" spans="2:16" s="89" customFormat="1" ht="12.75">
      <c r="B284" s="125"/>
      <c r="C284" s="126"/>
      <c r="D284" s="126"/>
      <c r="E284" s="126"/>
      <c r="F284" s="126"/>
      <c r="G284" s="126"/>
      <c r="H284" s="126"/>
      <c r="I284" s="126"/>
      <c r="J284" s="126"/>
      <c r="K284" s="127"/>
      <c r="L284" s="128"/>
      <c r="M284" s="129"/>
      <c r="N284" s="95"/>
      <c r="O284" s="95"/>
      <c r="P284" s="130"/>
    </row>
    <row r="285" spans="2:16" s="89" customFormat="1" ht="12.75">
      <c r="B285" s="125"/>
      <c r="C285" s="126"/>
      <c r="D285" s="126"/>
      <c r="E285" s="126"/>
      <c r="F285" s="126"/>
      <c r="G285" s="126"/>
      <c r="H285" s="126"/>
      <c r="I285" s="126"/>
      <c r="J285" s="126"/>
      <c r="K285" s="127"/>
      <c r="L285" s="128"/>
      <c r="M285" s="129"/>
      <c r="N285" s="95"/>
      <c r="O285" s="95"/>
      <c r="P285" s="130"/>
    </row>
    <row r="286" spans="2:16" s="89" customFormat="1" ht="12.75">
      <c r="B286" s="125"/>
      <c r="C286" s="126"/>
      <c r="D286" s="126"/>
      <c r="E286" s="126"/>
      <c r="F286" s="126"/>
      <c r="G286" s="126"/>
      <c r="H286" s="126"/>
      <c r="I286" s="126"/>
      <c r="J286" s="126"/>
      <c r="K286" s="127"/>
      <c r="L286" s="128"/>
      <c r="M286" s="129"/>
      <c r="N286" s="95"/>
      <c r="O286" s="95"/>
      <c r="P286" s="130"/>
    </row>
    <row r="287" spans="2:16" s="89" customFormat="1" ht="12.75">
      <c r="B287" s="125"/>
      <c r="C287" s="126"/>
      <c r="D287" s="126"/>
      <c r="E287" s="126"/>
      <c r="F287" s="126"/>
      <c r="G287" s="126"/>
      <c r="H287" s="126"/>
      <c r="I287" s="126"/>
      <c r="J287" s="126"/>
      <c r="K287" s="127"/>
      <c r="L287" s="128"/>
      <c r="M287" s="129"/>
      <c r="N287" s="95"/>
      <c r="O287" s="95"/>
      <c r="P287" s="130"/>
    </row>
    <row r="288" spans="2:16" s="89" customFormat="1" ht="12.75">
      <c r="B288" s="125"/>
      <c r="C288" s="126"/>
      <c r="D288" s="126"/>
      <c r="E288" s="126"/>
      <c r="F288" s="126"/>
      <c r="G288" s="126"/>
      <c r="H288" s="126"/>
      <c r="I288" s="126"/>
      <c r="J288" s="126"/>
      <c r="K288" s="127"/>
      <c r="L288" s="128"/>
      <c r="M288" s="129"/>
      <c r="N288" s="95"/>
      <c r="O288" s="95"/>
      <c r="P288" s="130"/>
    </row>
    <row r="289" spans="2:16" s="89" customFormat="1" ht="12.75">
      <c r="B289" s="125"/>
      <c r="C289" s="126"/>
      <c r="D289" s="126"/>
      <c r="E289" s="126"/>
      <c r="F289" s="126"/>
      <c r="G289" s="126"/>
      <c r="H289" s="126"/>
      <c r="I289" s="126"/>
      <c r="J289" s="126"/>
      <c r="K289" s="127"/>
      <c r="L289" s="128"/>
      <c r="M289" s="129"/>
      <c r="N289" s="95"/>
      <c r="O289" s="95"/>
      <c r="P289" s="130"/>
    </row>
    <row r="290" spans="2:16" s="89" customFormat="1" ht="12.75">
      <c r="B290" s="125"/>
      <c r="C290" s="126"/>
      <c r="D290" s="126"/>
      <c r="E290" s="126"/>
      <c r="F290" s="126"/>
      <c r="G290" s="126"/>
      <c r="H290" s="126"/>
      <c r="I290" s="126"/>
      <c r="J290" s="126"/>
      <c r="K290" s="127"/>
      <c r="L290" s="128"/>
      <c r="M290" s="129"/>
      <c r="N290" s="95"/>
      <c r="O290" s="95"/>
      <c r="P290" s="130"/>
    </row>
    <row r="291" spans="2:16" s="89" customFormat="1" ht="12.75">
      <c r="B291" s="125"/>
      <c r="C291" s="126"/>
      <c r="D291" s="126"/>
      <c r="E291" s="126"/>
      <c r="F291" s="126"/>
      <c r="G291" s="126"/>
      <c r="H291" s="126"/>
      <c r="I291" s="126"/>
      <c r="J291" s="126"/>
      <c r="K291" s="127"/>
      <c r="L291" s="128"/>
      <c r="M291" s="129"/>
      <c r="N291" s="95"/>
      <c r="O291" s="95"/>
      <c r="P291" s="130"/>
    </row>
    <row r="292" spans="2:16" s="89" customFormat="1" ht="12.75">
      <c r="B292" s="125"/>
      <c r="C292" s="126"/>
      <c r="D292" s="126"/>
      <c r="E292" s="126"/>
      <c r="F292" s="126"/>
      <c r="G292" s="126"/>
      <c r="H292" s="126"/>
      <c r="I292" s="126"/>
      <c r="J292" s="126"/>
      <c r="K292" s="127"/>
      <c r="L292" s="128"/>
      <c r="M292" s="129"/>
      <c r="N292" s="95"/>
      <c r="O292" s="95"/>
      <c r="P292" s="130"/>
    </row>
    <row r="293" spans="2:16" s="89" customFormat="1" ht="12.75">
      <c r="B293" s="125"/>
      <c r="C293" s="126"/>
      <c r="D293" s="126"/>
      <c r="E293" s="126"/>
      <c r="F293" s="126"/>
      <c r="G293" s="126"/>
      <c r="H293" s="126"/>
      <c r="I293" s="126"/>
      <c r="J293" s="126"/>
      <c r="K293" s="127"/>
      <c r="L293" s="128"/>
      <c r="M293" s="129"/>
      <c r="N293" s="95"/>
      <c r="O293" s="95"/>
      <c r="P293" s="130"/>
    </row>
    <row r="294" spans="2:16" s="89" customFormat="1" ht="12.75">
      <c r="B294" s="125"/>
      <c r="C294" s="126"/>
      <c r="D294" s="126"/>
      <c r="E294" s="126"/>
      <c r="F294" s="126"/>
      <c r="G294" s="126"/>
      <c r="H294" s="126"/>
      <c r="I294" s="126"/>
      <c r="J294" s="126"/>
      <c r="K294" s="127"/>
      <c r="L294" s="128"/>
      <c r="M294" s="129"/>
      <c r="N294" s="95"/>
      <c r="O294" s="95"/>
      <c r="P294" s="130"/>
    </row>
    <row r="295" spans="2:16" s="89" customFormat="1" ht="12.75">
      <c r="B295" s="125"/>
      <c r="C295" s="126"/>
      <c r="D295" s="126"/>
      <c r="E295" s="126"/>
      <c r="F295" s="126"/>
      <c r="G295" s="126"/>
      <c r="H295" s="126"/>
      <c r="I295" s="126"/>
      <c r="J295" s="126"/>
      <c r="K295" s="127"/>
      <c r="L295" s="128"/>
      <c r="M295" s="129"/>
      <c r="N295" s="95"/>
      <c r="O295" s="95"/>
      <c r="P295" s="130"/>
    </row>
    <row r="296" spans="2:16" s="89" customFormat="1" ht="12.75">
      <c r="B296" s="125"/>
      <c r="C296" s="126"/>
      <c r="D296" s="126"/>
      <c r="E296" s="126"/>
      <c r="F296" s="126"/>
      <c r="G296" s="126"/>
      <c r="H296" s="126"/>
      <c r="I296" s="126"/>
      <c r="J296" s="126"/>
      <c r="K296" s="127"/>
      <c r="L296" s="128"/>
      <c r="M296" s="129"/>
      <c r="N296" s="95"/>
      <c r="O296" s="95"/>
      <c r="P296" s="130"/>
    </row>
    <row r="297" spans="2:16" s="89" customFormat="1" ht="12.75">
      <c r="B297" s="125"/>
      <c r="C297" s="126"/>
      <c r="D297" s="126"/>
      <c r="E297" s="126"/>
      <c r="F297" s="126"/>
      <c r="G297" s="126"/>
      <c r="H297" s="126"/>
      <c r="I297" s="126"/>
      <c r="J297" s="126"/>
      <c r="K297" s="127"/>
      <c r="L297" s="128"/>
      <c r="M297" s="129"/>
      <c r="N297" s="95"/>
      <c r="O297" s="95"/>
      <c r="P297" s="130"/>
    </row>
    <row r="298" spans="2:16" s="89" customFormat="1" ht="12.75">
      <c r="B298" s="125"/>
      <c r="C298" s="126"/>
      <c r="D298" s="126"/>
      <c r="E298" s="126"/>
      <c r="F298" s="126"/>
      <c r="G298" s="126"/>
      <c r="H298" s="126"/>
      <c r="I298" s="126"/>
      <c r="J298" s="126"/>
      <c r="K298" s="127"/>
      <c r="L298" s="128"/>
      <c r="M298" s="129"/>
      <c r="N298" s="95"/>
      <c r="O298" s="95"/>
      <c r="P298" s="130"/>
    </row>
    <row r="299" spans="2:16" s="89" customFormat="1" ht="12.75">
      <c r="B299" s="125"/>
      <c r="C299" s="126"/>
      <c r="D299" s="126"/>
      <c r="E299" s="126"/>
      <c r="F299" s="126"/>
      <c r="G299" s="126"/>
      <c r="H299" s="126"/>
      <c r="I299" s="126"/>
      <c r="J299" s="126"/>
      <c r="K299" s="127"/>
      <c r="L299" s="128"/>
      <c r="M299" s="129"/>
      <c r="N299" s="95"/>
      <c r="O299" s="95"/>
      <c r="P299" s="130"/>
    </row>
    <row r="300" spans="2:16" s="89" customFormat="1" ht="12.75">
      <c r="B300" s="125"/>
      <c r="C300" s="126"/>
      <c r="D300" s="126"/>
      <c r="E300" s="126"/>
      <c r="F300" s="126"/>
      <c r="G300" s="126"/>
      <c r="H300" s="126"/>
      <c r="I300" s="126"/>
      <c r="J300" s="126"/>
      <c r="K300" s="127"/>
      <c r="L300" s="128"/>
      <c r="M300" s="129"/>
      <c r="N300" s="95"/>
      <c r="O300" s="95"/>
      <c r="P300" s="130"/>
    </row>
    <row r="301" spans="2:16" s="89" customFormat="1" ht="12.75">
      <c r="B301" s="125"/>
      <c r="C301" s="126"/>
      <c r="D301" s="126"/>
      <c r="E301" s="126"/>
      <c r="F301" s="126"/>
      <c r="G301" s="126"/>
      <c r="H301" s="126"/>
      <c r="I301" s="126"/>
      <c r="J301" s="126"/>
      <c r="K301" s="127"/>
      <c r="L301" s="128"/>
      <c r="M301" s="129"/>
      <c r="N301" s="95"/>
      <c r="O301" s="95"/>
      <c r="P301" s="130"/>
    </row>
    <row r="302" spans="2:16" s="89" customFormat="1" ht="12.75">
      <c r="B302" s="125"/>
      <c r="C302" s="126"/>
      <c r="D302" s="126"/>
      <c r="E302" s="126"/>
      <c r="F302" s="126"/>
      <c r="G302" s="126"/>
      <c r="H302" s="126"/>
      <c r="I302" s="126"/>
      <c r="J302" s="126"/>
      <c r="K302" s="127"/>
      <c r="L302" s="128"/>
      <c r="M302" s="129"/>
      <c r="N302" s="95"/>
      <c r="O302" s="95"/>
      <c r="P302" s="130"/>
    </row>
    <row r="303" spans="2:16" s="89" customFormat="1" ht="12.75">
      <c r="B303" s="125"/>
      <c r="C303" s="126"/>
      <c r="D303" s="126"/>
      <c r="E303" s="126"/>
      <c r="F303" s="126"/>
      <c r="G303" s="126"/>
      <c r="H303" s="126"/>
      <c r="I303" s="126"/>
      <c r="J303" s="126"/>
      <c r="K303" s="127"/>
      <c r="L303" s="128"/>
      <c r="M303" s="129"/>
      <c r="N303" s="95"/>
      <c r="O303" s="95"/>
      <c r="P303" s="130"/>
    </row>
    <row r="304" spans="2:16" s="89" customFormat="1" ht="12.75">
      <c r="B304" s="125"/>
      <c r="C304" s="126"/>
      <c r="D304" s="126"/>
      <c r="E304" s="126"/>
      <c r="F304" s="126"/>
      <c r="G304" s="126"/>
      <c r="H304" s="126"/>
      <c r="I304" s="126"/>
      <c r="J304" s="126"/>
      <c r="K304" s="127"/>
      <c r="L304" s="128"/>
      <c r="M304" s="129"/>
      <c r="N304" s="95"/>
      <c r="O304" s="95"/>
      <c r="P304" s="130"/>
    </row>
    <row r="305" spans="2:16" s="89" customFormat="1" ht="12.75">
      <c r="B305" s="125"/>
      <c r="C305" s="126"/>
      <c r="D305" s="126"/>
      <c r="E305" s="126"/>
      <c r="F305" s="126"/>
      <c r="G305" s="126"/>
      <c r="H305" s="126"/>
      <c r="I305" s="126"/>
      <c r="J305" s="126"/>
      <c r="K305" s="127"/>
      <c r="L305" s="128"/>
      <c r="M305" s="129"/>
      <c r="N305" s="95"/>
      <c r="O305" s="95"/>
      <c r="P305" s="130"/>
    </row>
    <row r="306" spans="2:16" s="89" customFormat="1" ht="12.75">
      <c r="B306" s="125"/>
      <c r="C306" s="126"/>
      <c r="D306" s="126"/>
      <c r="E306" s="126"/>
      <c r="F306" s="126"/>
      <c r="G306" s="126"/>
      <c r="H306" s="126"/>
      <c r="I306" s="126"/>
      <c r="J306" s="126"/>
      <c r="K306" s="127"/>
      <c r="L306" s="128"/>
      <c r="M306" s="129"/>
      <c r="N306" s="95"/>
      <c r="O306" s="95"/>
      <c r="P306" s="130"/>
    </row>
    <row r="307" spans="2:16" s="89" customFormat="1" ht="12.75">
      <c r="B307" s="125"/>
      <c r="C307" s="126"/>
      <c r="D307" s="126"/>
      <c r="E307" s="126"/>
      <c r="F307" s="126"/>
      <c r="G307" s="126"/>
      <c r="H307" s="126"/>
      <c r="I307" s="126"/>
      <c r="J307" s="126"/>
      <c r="K307" s="127"/>
      <c r="L307" s="128"/>
      <c r="M307" s="129"/>
      <c r="N307" s="95"/>
      <c r="O307" s="95"/>
      <c r="P307" s="130"/>
    </row>
    <row r="308" spans="2:16" s="89" customFormat="1" ht="12.75">
      <c r="B308" s="125"/>
      <c r="C308" s="126"/>
      <c r="D308" s="126"/>
      <c r="E308" s="126"/>
      <c r="F308" s="126"/>
      <c r="G308" s="126"/>
      <c r="H308" s="126"/>
      <c r="I308" s="126"/>
      <c r="J308" s="126"/>
      <c r="K308" s="127"/>
      <c r="L308" s="128"/>
      <c r="M308" s="129"/>
      <c r="N308" s="95"/>
      <c r="O308" s="95"/>
      <c r="P308" s="130"/>
    </row>
    <row r="309" spans="2:16" s="89" customFormat="1" ht="12.75">
      <c r="B309" s="125"/>
      <c r="C309" s="126"/>
      <c r="D309" s="126"/>
      <c r="E309" s="126"/>
      <c r="F309" s="126"/>
      <c r="G309" s="126"/>
      <c r="H309" s="126"/>
      <c r="I309" s="126"/>
      <c r="J309" s="126"/>
      <c r="K309" s="127"/>
      <c r="L309" s="128"/>
      <c r="M309" s="129"/>
      <c r="N309" s="95"/>
      <c r="O309" s="95"/>
      <c r="P309" s="130"/>
    </row>
    <row r="310" spans="2:16" s="89" customFormat="1" ht="12.75">
      <c r="B310" s="125"/>
      <c r="C310" s="126"/>
      <c r="D310" s="126"/>
      <c r="E310" s="126"/>
      <c r="F310" s="126"/>
      <c r="G310" s="126"/>
      <c r="H310" s="126"/>
      <c r="I310" s="126"/>
      <c r="J310" s="126"/>
      <c r="K310" s="127"/>
      <c r="L310" s="128"/>
      <c r="M310" s="129"/>
      <c r="N310" s="95"/>
      <c r="O310" s="95"/>
      <c r="P310" s="130"/>
    </row>
    <row r="311" spans="2:16" s="89" customFormat="1" ht="12.75">
      <c r="B311" s="125"/>
      <c r="C311" s="126"/>
      <c r="D311" s="126"/>
      <c r="E311" s="126"/>
      <c r="F311" s="126"/>
      <c r="G311" s="126"/>
      <c r="H311" s="126"/>
      <c r="I311" s="126"/>
      <c r="J311" s="126"/>
      <c r="K311" s="127"/>
      <c r="L311" s="128"/>
      <c r="M311" s="129"/>
      <c r="N311" s="95"/>
      <c r="O311" s="95"/>
      <c r="P311" s="130"/>
    </row>
    <row r="312" spans="2:16" s="89" customFormat="1" ht="12.75">
      <c r="B312" s="125"/>
      <c r="C312" s="126"/>
      <c r="D312" s="126"/>
      <c r="E312" s="126"/>
      <c r="F312" s="126"/>
      <c r="G312" s="126"/>
      <c r="H312" s="126"/>
      <c r="I312" s="126"/>
      <c r="J312" s="126"/>
      <c r="K312" s="127"/>
      <c r="L312" s="128"/>
      <c r="M312" s="129"/>
      <c r="N312" s="95"/>
      <c r="O312" s="95"/>
      <c r="P312" s="130"/>
    </row>
    <row r="313" spans="2:16" s="89" customFormat="1" ht="12.75">
      <c r="B313" s="125"/>
      <c r="C313" s="126"/>
      <c r="D313" s="126"/>
      <c r="E313" s="126"/>
      <c r="F313" s="126"/>
      <c r="G313" s="126"/>
      <c r="H313" s="126"/>
      <c r="I313" s="126"/>
      <c r="J313" s="126"/>
      <c r="K313" s="127"/>
      <c r="L313" s="128"/>
      <c r="M313" s="129"/>
      <c r="N313" s="95"/>
      <c r="O313" s="95"/>
      <c r="P313" s="130"/>
    </row>
    <row r="314" spans="2:16" s="89" customFormat="1" ht="12.75">
      <c r="B314" s="125"/>
      <c r="C314" s="126"/>
      <c r="D314" s="126"/>
      <c r="E314" s="126"/>
      <c r="F314" s="126"/>
      <c r="G314" s="126"/>
      <c r="H314" s="126"/>
      <c r="I314" s="126"/>
      <c r="J314" s="126"/>
      <c r="K314" s="127"/>
      <c r="L314" s="128"/>
      <c r="M314" s="129"/>
      <c r="N314" s="95"/>
      <c r="O314" s="95"/>
      <c r="P314" s="130"/>
    </row>
    <row r="315" spans="2:16" s="89" customFormat="1" ht="12.75">
      <c r="B315" s="125"/>
      <c r="C315" s="126"/>
      <c r="D315" s="126"/>
      <c r="E315" s="126"/>
      <c r="F315" s="126"/>
      <c r="G315" s="126"/>
      <c r="H315" s="126"/>
      <c r="I315" s="126"/>
      <c r="J315" s="126"/>
      <c r="K315" s="127"/>
      <c r="L315" s="128"/>
      <c r="M315" s="129"/>
      <c r="N315" s="95"/>
      <c r="O315" s="95"/>
      <c r="P315" s="130"/>
    </row>
    <row r="316" spans="2:16" s="89" customFormat="1" ht="12.75">
      <c r="B316" s="125"/>
      <c r="C316" s="126"/>
      <c r="D316" s="126"/>
      <c r="E316" s="126"/>
      <c r="F316" s="126"/>
      <c r="G316" s="126"/>
      <c r="H316" s="126"/>
      <c r="I316" s="126"/>
      <c r="J316" s="126"/>
      <c r="K316" s="127"/>
      <c r="L316" s="128"/>
      <c r="M316" s="129"/>
      <c r="N316" s="95"/>
      <c r="O316" s="95"/>
      <c r="P316" s="130"/>
    </row>
    <row r="317" spans="2:16" s="89" customFormat="1" ht="12.75">
      <c r="B317" s="125"/>
      <c r="C317" s="126"/>
      <c r="D317" s="126"/>
      <c r="E317" s="126"/>
      <c r="F317" s="126"/>
      <c r="G317" s="126"/>
      <c r="H317" s="126"/>
      <c r="I317" s="126"/>
      <c r="J317" s="126"/>
      <c r="K317" s="127"/>
      <c r="L317" s="128"/>
      <c r="M317" s="129"/>
      <c r="N317" s="95"/>
      <c r="O317" s="95"/>
      <c r="P317" s="130"/>
    </row>
    <row r="318" spans="2:16" s="89" customFormat="1" ht="12.75">
      <c r="B318" s="125"/>
      <c r="C318" s="126"/>
      <c r="D318" s="126"/>
      <c r="E318" s="126"/>
      <c r="F318" s="126"/>
      <c r="G318" s="126"/>
      <c r="H318" s="126"/>
      <c r="I318" s="126"/>
      <c r="J318" s="126"/>
      <c r="K318" s="127"/>
      <c r="L318" s="128"/>
      <c r="M318" s="129"/>
      <c r="N318" s="95"/>
      <c r="O318" s="95"/>
      <c r="P318" s="130"/>
    </row>
    <row r="319" spans="2:16" s="89" customFormat="1" ht="12.75">
      <c r="B319" s="125"/>
      <c r="C319" s="126"/>
      <c r="D319" s="126"/>
      <c r="E319" s="126"/>
      <c r="F319" s="126"/>
      <c r="G319" s="126"/>
      <c r="H319" s="126"/>
      <c r="I319" s="126"/>
      <c r="J319" s="126"/>
      <c r="K319" s="127"/>
      <c r="L319" s="128"/>
      <c r="M319" s="129"/>
      <c r="N319" s="95"/>
      <c r="O319" s="95"/>
      <c r="P319" s="130"/>
    </row>
    <row r="320" spans="2:16" s="89" customFormat="1" ht="12.75">
      <c r="B320" s="125"/>
      <c r="C320" s="126"/>
      <c r="D320" s="126"/>
      <c r="E320" s="126"/>
      <c r="F320" s="126"/>
      <c r="G320" s="126"/>
      <c r="H320" s="126"/>
      <c r="I320" s="126"/>
      <c r="J320" s="126"/>
      <c r="K320" s="127"/>
      <c r="L320" s="128"/>
      <c r="M320" s="129"/>
      <c r="N320" s="95"/>
      <c r="O320" s="95"/>
      <c r="P320" s="130"/>
    </row>
    <row r="321" spans="2:16" s="89" customFormat="1" ht="12.75">
      <c r="B321" s="125"/>
      <c r="C321" s="126"/>
      <c r="D321" s="126"/>
      <c r="E321" s="126"/>
      <c r="F321" s="126"/>
      <c r="G321" s="126"/>
      <c r="H321" s="126"/>
      <c r="I321" s="126"/>
      <c r="J321" s="126"/>
      <c r="K321" s="127"/>
      <c r="L321" s="128"/>
      <c r="M321" s="129"/>
      <c r="N321" s="95"/>
      <c r="O321" s="95"/>
      <c r="P321" s="130"/>
    </row>
    <row r="322" spans="2:16" s="89" customFormat="1" ht="12.75">
      <c r="B322" s="125"/>
      <c r="C322" s="126"/>
      <c r="D322" s="126"/>
      <c r="E322" s="126"/>
      <c r="F322" s="126"/>
      <c r="G322" s="126"/>
      <c r="H322" s="126"/>
      <c r="I322" s="126"/>
      <c r="J322" s="126"/>
      <c r="K322" s="127"/>
      <c r="L322" s="128"/>
      <c r="M322" s="129"/>
      <c r="N322" s="95"/>
      <c r="O322" s="95"/>
      <c r="P322" s="130"/>
    </row>
    <row r="323" spans="2:16" s="89" customFormat="1" ht="12.75">
      <c r="B323" s="125"/>
      <c r="C323" s="126"/>
      <c r="D323" s="126"/>
      <c r="E323" s="126"/>
      <c r="F323" s="126"/>
      <c r="G323" s="126"/>
      <c r="H323" s="126"/>
      <c r="I323" s="126"/>
      <c r="J323" s="126"/>
      <c r="K323" s="127"/>
      <c r="L323" s="128"/>
      <c r="M323" s="129"/>
      <c r="N323" s="95"/>
      <c r="O323" s="95"/>
      <c r="P323" s="130"/>
    </row>
    <row r="324" spans="2:16" s="89" customFormat="1" ht="12.75">
      <c r="B324" s="125"/>
      <c r="C324" s="126"/>
      <c r="D324" s="126"/>
      <c r="E324" s="126"/>
      <c r="F324" s="126"/>
      <c r="G324" s="126"/>
      <c r="H324" s="126"/>
      <c r="I324" s="126"/>
      <c r="J324" s="126"/>
      <c r="K324" s="127"/>
      <c r="L324" s="128"/>
      <c r="M324" s="129"/>
      <c r="N324" s="95"/>
      <c r="O324" s="95"/>
      <c r="P324" s="130"/>
    </row>
    <row r="325" spans="2:16" s="89" customFormat="1" ht="12.75">
      <c r="B325" s="125"/>
      <c r="C325" s="126"/>
      <c r="D325" s="126"/>
      <c r="E325" s="126"/>
      <c r="F325" s="126"/>
      <c r="G325" s="126"/>
      <c r="H325" s="126"/>
      <c r="I325" s="126"/>
      <c r="J325" s="126"/>
      <c r="K325" s="127"/>
      <c r="L325" s="128"/>
      <c r="M325" s="129"/>
      <c r="N325" s="95"/>
      <c r="O325" s="95"/>
      <c r="P325" s="130"/>
    </row>
    <row r="326" spans="2:16" s="89" customFormat="1" ht="12.75">
      <c r="B326" s="125"/>
      <c r="C326" s="126"/>
      <c r="D326" s="126"/>
      <c r="E326" s="126"/>
      <c r="F326" s="126"/>
      <c r="G326" s="126"/>
      <c r="H326" s="126"/>
      <c r="I326" s="126"/>
      <c r="J326" s="126"/>
      <c r="K326" s="127"/>
      <c r="L326" s="128"/>
      <c r="M326" s="129"/>
      <c r="N326" s="95"/>
      <c r="O326" s="95"/>
      <c r="P326" s="130"/>
    </row>
    <row r="327" spans="2:16" s="89" customFormat="1" ht="12.75">
      <c r="B327" s="125"/>
      <c r="C327" s="126"/>
      <c r="D327" s="126"/>
      <c r="E327" s="126"/>
      <c r="F327" s="126"/>
      <c r="G327" s="126"/>
      <c r="H327" s="126"/>
      <c r="I327" s="126"/>
      <c r="J327" s="126"/>
      <c r="K327" s="127"/>
      <c r="L327" s="128"/>
      <c r="M327" s="129"/>
      <c r="N327" s="95"/>
      <c r="O327" s="95"/>
      <c r="P327" s="130"/>
    </row>
    <row r="328" spans="2:16" s="89" customFormat="1" ht="12.75">
      <c r="B328" s="125"/>
      <c r="C328" s="126"/>
      <c r="D328" s="126"/>
      <c r="E328" s="126"/>
      <c r="F328" s="126"/>
      <c r="G328" s="126"/>
      <c r="H328" s="126"/>
      <c r="I328" s="126"/>
      <c r="J328" s="126"/>
      <c r="K328" s="127"/>
      <c r="L328" s="128"/>
      <c r="M328" s="129"/>
      <c r="N328" s="95"/>
      <c r="O328" s="95"/>
      <c r="P328" s="130"/>
    </row>
    <row r="329" spans="2:16" s="89" customFormat="1" ht="12.75">
      <c r="B329" s="125"/>
      <c r="C329" s="126"/>
      <c r="D329" s="126"/>
      <c r="E329" s="126"/>
      <c r="F329" s="126"/>
      <c r="G329" s="126"/>
      <c r="H329" s="126"/>
      <c r="I329" s="126"/>
      <c r="J329" s="126"/>
      <c r="K329" s="127"/>
      <c r="L329" s="128"/>
      <c r="M329" s="129"/>
      <c r="N329" s="95"/>
      <c r="O329" s="95"/>
      <c r="P329" s="130"/>
    </row>
    <row r="330" spans="2:16" s="89" customFormat="1" ht="12.75">
      <c r="B330" s="125"/>
      <c r="C330" s="126"/>
      <c r="D330" s="126"/>
      <c r="E330" s="126"/>
      <c r="F330" s="126"/>
      <c r="G330" s="126"/>
      <c r="H330" s="126"/>
      <c r="I330" s="126"/>
      <c r="J330" s="126"/>
      <c r="K330" s="127"/>
      <c r="L330" s="128"/>
      <c r="M330" s="129"/>
      <c r="N330" s="95"/>
      <c r="O330" s="95"/>
      <c r="P330" s="130"/>
    </row>
    <row r="331" spans="2:16" s="89" customFormat="1" ht="12.75">
      <c r="B331" s="125"/>
      <c r="C331" s="126"/>
      <c r="D331" s="126"/>
      <c r="E331" s="126"/>
      <c r="F331" s="126"/>
      <c r="G331" s="126"/>
      <c r="H331" s="126"/>
      <c r="I331" s="126"/>
      <c r="J331" s="126"/>
      <c r="K331" s="127"/>
      <c r="L331" s="128"/>
      <c r="M331" s="129"/>
      <c r="N331" s="95"/>
      <c r="O331" s="95"/>
      <c r="P331" s="130"/>
    </row>
    <row r="332" spans="2:16" s="89" customFormat="1" ht="12.75">
      <c r="B332" s="125"/>
      <c r="C332" s="126"/>
      <c r="D332" s="126"/>
      <c r="E332" s="126"/>
      <c r="F332" s="126"/>
      <c r="G332" s="126"/>
      <c r="H332" s="126"/>
      <c r="I332" s="126"/>
      <c r="J332" s="126"/>
      <c r="K332" s="127"/>
      <c r="L332" s="128"/>
      <c r="M332" s="129"/>
      <c r="N332" s="95"/>
      <c r="O332" s="95"/>
      <c r="P332" s="130"/>
    </row>
    <row r="333" spans="2:16" s="89" customFormat="1" ht="12.75">
      <c r="B333" s="125"/>
      <c r="C333" s="126"/>
      <c r="D333" s="126"/>
      <c r="E333" s="126"/>
      <c r="F333" s="126"/>
      <c r="G333" s="126"/>
      <c r="H333" s="126"/>
      <c r="I333" s="126"/>
      <c r="J333" s="126"/>
      <c r="K333" s="127"/>
      <c r="L333" s="128"/>
      <c r="M333" s="129"/>
      <c r="N333" s="95"/>
      <c r="O333" s="95"/>
      <c r="P333" s="130"/>
    </row>
    <row r="334" spans="2:16" s="89" customFormat="1" ht="12.75">
      <c r="B334" s="125"/>
      <c r="C334" s="126"/>
      <c r="D334" s="126"/>
      <c r="E334" s="126"/>
      <c r="F334" s="126"/>
      <c r="G334" s="126"/>
      <c r="H334" s="126"/>
      <c r="I334" s="126"/>
      <c r="J334" s="126"/>
      <c r="K334" s="127"/>
      <c r="L334" s="128"/>
      <c r="M334" s="129"/>
      <c r="N334" s="95"/>
      <c r="O334" s="95"/>
      <c r="P334" s="130"/>
    </row>
    <row r="335" spans="2:16" s="89" customFormat="1" ht="12.75">
      <c r="B335" s="125"/>
      <c r="C335" s="126"/>
      <c r="D335" s="126"/>
      <c r="E335" s="126"/>
      <c r="F335" s="126"/>
      <c r="G335" s="126"/>
      <c r="H335" s="126"/>
      <c r="I335" s="126"/>
      <c r="J335" s="126"/>
      <c r="K335" s="127"/>
      <c r="L335" s="128"/>
      <c r="M335" s="129"/>
      <c r="N335" s="95"/>
      <c r="O335" s="95"/>
      <c r="P335" s="130"/>
    </row>
    <row r="336" spans="2:16" s="89" customFormat="1" ht="12.75">
      <c r="B336" s="125"/>
      <c r="C336" s="126"/>
      <c r="D336" s="126"/>
      <c r="E336" s="126"/>
      <c r="F336" s="126"/>
      <c r="G336" s="126"/>
      <c r="H336" s="126"/>
      <c r="I336" s="126"/>
      <c r="J336" s="126"/>
      <c r="K336" s="127"/>
      <c r="L336" s="128"/>
      <c r="M336" s="129"/>
      <c r="N336" s="95"/>
      <c r="O336" s="95"/>
      <c r="P336" s="130"/>
    </row>
    <row r="337" spans="2:16" s="89" customFormat="1" ht="12.75">
      <c r="B337" s="125"/>
      <c r="C337" s="126"/>
      <c r="D337" s="126"/>
      <c r="E337" s="126"/>
      <c r="F337" s="126"/>
      <c r="G337" s="126"/>
      <c r="H337" s="126"/>
      <c r="I337" s="126"/>
      <c r="J337" s="126"/>
      <c r="K337" s="127"/>
      <c r="L337" s="128"/>
      <c r="M337" s="129"/>
      <c r="N337" s="95"/>
      <c r="O337" s="95"/>
      <c r="P337" s="130"/>
    </row>
    <row r="338" spans="2:16" s="89" customFormat="1" ht="12.75">
      <c r="B338" s="125"/>
      <c r="C338" s="126"/>
      <c r="D338" s="126"/>
      <c r="E338" s="126"/>
      <c r="F338" s="126"/>
      <c r="G338" s="126"/>
      <c r="H338" s="126"/>
      <c r="I338" s="126"/>
      <c r="J338" s="126"/>
      <c r="K338" s="127"/>
      <c r="L338" s="128"/>
      <c r="M338" s="129"/>
      <c r="N338" s="95"/>
      <c r="O338" s="95"/>
      <c r="P338" s="130"/>
    </row>
    <row r="339" spans="2:16" s="89" customFormat="1" ht="12.75">
      <c r="B339" s="125"/>
      <c r="C339" s="126"/>
      <c r="D339" s="126"/>
      <c r="E339" s="126"/>
      <c r="F339" s="126"/>
      <c r="G339" s="126"/>
      <c r="H339" s="126"/>
      <c r="I339" s="126"/>
      <c r="J339" s="126"/>
      <c r="K339" s="127"/>
      <c r="L339" s="128"/>
      <c r="M339" s="129"/>
      <c r="N339" s="95"/>
      <c r="O339" s="95"/>
      <c r="P339" s="130"/>
    </row>
    <row r="340" spans="2:16" s="89" customFormat="1" ht="12.75">
      <c r="B340" s="125"/>
      <c r="C340" s="126"/>
      <c r="D340" s="126"/>
      <c r="E340" s="126"/>
      <c r="F340" s="126"/>
      <c r="G340" s="126"/>
      <c r="H340" s="126"/>
      <c r="I340" s="126"/>
      <c r="J340" s="126"/>
      <c r="K340" s="127"/>
      <c r="L340" s="128"/>
      <c r="M340" s="129"/>
      <c r="N340" s="95"/>
      <c r="O340" s="95"/>
      <c r="P340" s="130"/>
    </row>
    <row r="341" spans="2:16" s="89" customFormat="1" ht="12.75">
      <c r="B341" s="125"/>
      <c r="C341" s="126"/>
      <c r="D341" s="126"/>
      <c r="E341" s="126"/>
      <c r="F341" s="126"/>
      <c r="G341" s="126"/>
      <c r="H341" s="126"/>
      <c r="I341" s="126"/>
      <c r="J341" s="126"/>
      <c r="K341" s="127"/>
      <c r="L341" s="128"/>
      <c r="M341" s="129"/>
      <c r="N341" s="95"/>
      <c r="O341" s="95"/>
      <c r="P341" s="130"/>
    </row>
    <row r="342" spans="2:16" s="89" customFormat="1" ht="12.75">
      <c r="B342" s="125"/>
      <c r="C342" s="126"/>
      <c r="D342" s="126"/>
      <c r="E342" s="126"/>
      <c r="F342" s="126"/>
      <c r="G342" s="126"/>
      <c r="H342" s="126"/>
      <c r="I342" s="126"/>
      <c r="J342" s="126"/>
      <c r="K342" s="127"/>
      <c r="L342" s="128"/>
      <c r="M342" s="129"/>
      <c r="N342" s="95"/>
      <c r="O342" s="95"/>
      <c r="P342" s="130"/>
    </row>
    <row r="343" spans="2:16" s="89" customFormat="1" ht="12.75">
      <c r="B343" s="125"/>
      <c r="C343" s="126"/>
      <c r="D343" s="126"/>
      <c r="E343" s="126"/>
      <c r="F343" s="126"/>
      <c r="G343" s="126"/>
      <c r="H343" s="126"/>
      <c r="I343" s="126"/>
      <c r="J343" s="126"/>
      <c r="K343" s="127"/>
      <c r="L343" s="128"/>
      <c r="M343" s="129"/>
      <c r="N343" s="95"/>
      <c r="O343" s="95"/>
      <c r="P343" s="130"/>
    </row>
    <row r="344" spans="2:16" s="89" customFormat="1" ht="12.75">
      <c r="B344" s="125"/>
      <c r="C344" s="126"/>
      <c r="D344" s="126"/>
      <c r="E344" s="126"/>
      <c r="F344" s="126"/>
      <c r="G344" s="126"/>
      <c r="H344" s="126"/>
      <c r="I344" s="126"/>
      <c r="J344" s="126"/>
      <c r="K344" s="127"/>
      <c r="L344" s="128"/>
      <c r="M344" s="129"/>
      <c r="N344" s="95"/>
      <c r="O344" s="95"/>
      <c r="P344" s="130"/>
    </row>
    <row r="345" spans="2:16" s="89" customFormat="1" ht="12.75">
      <c r="B345" s="125"/>
      <c r="C345" s="126"/>
      <c r="D345" s="126"/>
      <c r="E345" s="126"/>
      <c r="F345" s="126"/>
      <c r="G345" s="126"/>
      <c r="H345" s="126"/>
      <c r="I345" s="126"/>
      <c r="J345" s="126"/>
      <c r="K345" s="127"/>
      <c r="L345" s="128"/>
      <c r="M345" s="129"/>
      <c r="N345" s="95"/>
      <c r="O345" s="95"/>
      <c r="P345" s="130"/>
    </row>
    <row r="346" spans="2:16" s="89" customFormat="1" ht="12.75">
      <c r="B346" s="125"/>
      <c r="C346" s="126"/>
      <c r="D346" s="126"/>
      <c r="E346" s="126"/>
      <c r="F346" s="126"/>
      <c r="G346" s="126"/>
      <c r="H346" s="126"/>
      <c r="I346" s="126"/>
      <c r="J346" s="126"/>
      <c r="K346" s="127"/>
      <c r="L346" s="128"/>
      <c r="M346" s="129"/>
      <c r="N346" s="95"/>
      <c r="O346" s="95"/>
      <c r="P346" s="130"/>
    </row>
    <row r="347" spans="2:16" s="89" customFormat="1" ht="12.75">
      <c r="B347" s="125"/>
      <c r="C347" s="126"/>
      <c r="D347" s="126"/>
      <c r="E347" s="126"/>
      <c r="F347" s="126"/>
      <c r="G347" s="126"/>
      <c r="H347" s="126"/>
      <c r="I347" s="126"/>
      <c r="J347" s="126"/>
      <c r="K347" s="127"/>
      <c r="L347" s="128"/>
      <c r="M347" s="129"/>
      <c r="N347" s="95"/>
      <c r="O347" s="95"/>
      <c r="P347" s="130"/>
    </row>
    <row r="348" spans="2:16" s="89" customFormat="1" ht="12.75">
      <c r="B348" s="125"/>
      <c r="C348" s="126"/>
      <c r="D348" s="126"/>
      <c r="E348" s="126"/>
      <c r="F348" s="126"/>
      <c r="G348" s="126"/>
      <c r="H348" s="126"/>
      <c r="I348" s="126"/>
      <c r="J348" s="126"/>
      <c r="K348" s="127"/>
      <c r="L348" s="128"/>
      <c r="M348" s="129"/>
      <c r="N348" s="95"/>
      <c r="O348" s="95"/>
      <c r="P348" s="130"/>
    </row>
    <row r="349" spans="2:16" s="89" customFormat="1" ht="12.75">
      <c r="B349" s="125"/>
      <c r="C349" s="126"/>
      <c r="D349" s="126"/>
      <c r="E349" s="126"/>
      <c r="F349" s="126"/>
      <c r="G349" s="126"/>
      <c r="H349" s="126"/>
      <c r="I349" s="126"/>
      <c r="J349" s="126"/>
      <c r="K349" s="127"/>
      <c r="L349" s="128"/>
      <c r="M349" s="129"/>
      <c r="N349" s="95"/>
      <c r="O349" s="95"/>
      <c r="P349" s="130"/>
    </row>
    <row r="350" spans="2:16" s="89" customFormat="1" ht="12.75">
      <c r="B350" s="125"/>
      <c r="C350" s="126"/>
      <c r="D350" s="126"/>
      <c r="E350" s="126"/>
      <c r="F350" s="126"/>
      <c r="G350" s="126"/>
      <c r="H350" s="126"/>
      <c r="I350" s="126"/>
      <c r="J350" s="126"/>
      <c r="K350" s="127"/>
      <c r="L350" s="128"/>
      <c r="M350" s="129"/>
      <c r="N350" s="95"/>
      <c r="O350" s="95"/>
      <c r="P350" s="130"/>
    </row>
    <row r="351" spans="2:16" s="89" customFormat="1" ht="12.75">
      <c r="B351" s="125"/>
      <c r="C351" s="126"/>
      <c r="D351" s="126"/>
      <c r="E351" s="126"/>
      <c r="F351" s="126"/>
      <c r="G351" s="126"/>
      <c r="H351" s="126"/>
      <c r="I351" s="126"/>
      <c r="J351" s="126"/>
      <c r="K351" s="127"/>
      <c r="L351" s="128"/>
      <c r="M351" s="129"/>
      <c r="N351" s="95"/>
      <c r="O351" s="95"/>
      <c r="P351" s="130"/>
    </row>
    <row r="352" spans="2:16" s="89" customFormat="1" ht="12.75">
      <c r="B352" s="125"/>
      <c r="C352" s="126"/>
      <c r="D352" s="126"/>
      <c r="E352" s="126"/>
      <c r="F352" s="126"/>
      <c r="G352" s="126"/>
      <c r="H352" s="126"/>
      <c r="I352" s="126"/>
      <c r="J352" s="126"/>
      <c r="K352" s="127"/>
      <c r="L352" s="128"/>
      <c r="M352" s="129"/>
      <c r="N352" s="95"/>
      <c r="O352" s="95"/>
      <c r="P352" s="130"/>
    </row>
    <row r="353" spans="2:16" s="89" customFormat="1" ht="12.75">
      <c r="B353" s="125"/>
      <c r="C353" s="126"/>
      <c r="D353" s="126"/>
      <c r="E353" s="126"/>
      <c r="F353" s="126"/>
      <c r="G353" s="126"/>
      <c r="H353" s="126"/>
      <c r="I353" s="126"/>
      <c r="J353" s="126"/>
      <c r="K353" s="127"/>
      <c r="L353" s="128"/>
      <c r="M353" s="129"/>
      <c r="N353" s="95"/>
      <c r="O353" s="95"/>
      <c r="P353" s="130"/>
    </row>
    <row r="354" spans="2:16" s="89" customFormat="1" ht="12.75">
      <c r="B354" s="125"/>
      <c r="C354" s="126"/>
      <c r="D354" s="126"/>
      <c r="E354" s="126"/>
      <c r="F354" s="126"/>
      <c r="G354" s="126"/>
      <c r="H354" s="126"/>
      <c r="I354" s="126"/>
      <c r="J354" s="126"/>
      <c r="K354" s="127"/>
      <c r="L354" s="128"/>
      <c r="M354" s="129"/>
      <c r="N354" s="95"/>
      <c r="O354" s="95"/>
      <c r="P354" s="130"/>
    </row>
    <row r="355" spans="2:16" s="89" customFormat="1" ht="12.75">
      <c r="B355" s="125"/>
      <c r="C355" s="126"/>
      <c r="D355" s="126"/>
      <c r="E355" s="126"/>
      <c r="F355" s="126"/>
      <c r="G355" s="126"/>
      <c r="H355" s="126"/>
      <c r="I355" s="126"/>
      <c r="J355" s="126"/>
      <c r="K355" s="127"/>
      <c r="L355" s="128"/>
      <c r="M355" s="129"/>
      <c r="N355" s="95"/>
      <c r="O355" s="95"/>
      <c r="P355" s="130"/>
    </row>
    <row r="356" spans="2:16" s="89" customFormat="1" ht="12.75">
      <c r="B356" s="125"/>
      <c r="C356" s="126"/>
      <c r="D356" s="126"/>
      <c r="E356" s="126"/>
      <c r="F356" s="126"/>
      <c r="G356" s="126"/>
      <c r="H356" s="126"/>
      <c r="I356" s="126"/>
      <c r="J356" s="126"/>
      <c r="K356" s="127"/>
      <c r="L356" s="128"/>
      <c r="M356" s="129"/>
      <c r="N356" s="95"/>
      <c r="O356" s="95"/>
      <c r="P356" s="130"/>
    </row>
    <row r="357" spans="2:16" s="89" customFormat="1" ht="12.75">
      <c r="B357" s="125"/>
      <c r="C357" s="126"/>
      <c r="D357" s="126"/>
      <c r="E357" s="126"/>
      <c r="F357" s="126"/>
      <c r="G357" s="126"/>
      <c r="H357" s="126"/>
      <c r="I357" s="126"/>
      <c r="J357" s="126"/>
      <c r="K357" s="127"/>
      <c r="L357" s="128"/>
      <c r="M357" s="129"/>
      <c r="N357" s="95"/>
      <c r="O357" s="95"/>
      <c r="P357" s="130"/>
    </row>
    <row r="358" spans="2:16" s="89" customFormat="1" ht="12.75">
      <c r="B358" s="125"/>
      <c r="C358" s="126"/>
      <c r="D358" s="126"/>
      <c r="E358" s="126"/>
      <c r="F358" s="126"/>
      <c r="G358" s="126"/>
      <c r="H358" s="126"/>
      <c r="I358" s="126"/>
      <c r="J358" s="126"/>
      <c r="K358" s="127"/>
      <c r="L358" s="128"/>
      <c r="M358" s="129"/>
      <c r="N358" s="95"/>
      <c r="O358" s="95"/>
      <c r="P358" s="130"/>
    </row>
    <row r="359" spans="2:16" s="89" customFormat="1" ht="12.75">
      <c r="B359" s="125"/>
      <c r="C359" s="126"/>
      <c r="D359" s="126"/>
      <c r="E359" s="126"/>
      <c r="F359" s="126"/>
      <c r="G359" s="126"/>
      <c r="H359" s="126"/>
      <c r="I359" s="126"/>
      <c r="J359" s="126"/>
      <c r="K359" s="127"/>
      <c r="L359" s="128"/>
      <c r="M359" s="129"/>
      <c r="N359" s="95"/>
      <c r="O359" s="95"/>
      <c r="P359" s="130"/>
    </row>
    <row r="360" spans="2:16" s="89" customFormat="1" ht="12.75">
      <c r="B360" s="125"/>
      <c r="C360" s="126"/>
      <c r="D360" s="126"/>
      <c r="E360" s="126"/>
      <c r="F360" s="126"/>
      <c r="G360" s="126"/>
      <c r="H360" s="126"/>
      <c r="I360" s="126"/>
      <c r="J360" s="126"/>
      <c r="K360" s="127"/>
      <c r="L360" s="128"/>
      <c r="M360" s="129"/>
      <c r="N360" s="95"/>
      <c r="O360" s="95"/>
      <c r="P360" s="130"/>
    </row>
    <row r="361" spans="2:16" s="89" customFormat="1" ht="12.75">
      <c r="B361" s="125"/>
      <c r="C361" s="126"/>
      <c r="D361" s="126"/>
      <c r="E361" s="126"/>
      <c r="F361" s="126"/>
      <c r="G361" s="126"/>
      <c r="H361" s="126"/>
      <c r="I361" s="126"/>
      <c r="J361" s="126"/>
      <c r="K361" s="127"/>
      <c r="L361" s="128"/>
      <c r="M361" s="129"/>
      <c r="N361" s="95"/>
      <c r="O361" s="95"/>
      <c r="P361" s="130"/>
    </row>
    <row r="362" spans="2:16" s="89" customFormat="1" ht="12.75">
      <c r="B362" s="125"/>
      <c r="C362" s="126"/>
      <c r="D362" s="126"/>
      <c r="E362" s="126"/>
      <c r="F362" s="126"/>
      <c r="G362" s="126"/>
      <c r="H362" s="126"/>
      <c r="I362" s="126"/>
      <c r="J362" s="126"/>
      <c r="K362" s="127"/>
      <c r="L362" s="128"/>
      <c r="M362" s="129"/>
      <c r="N362" s="95"/>
      <c r="O362" s="95"/>
      <c r="P362" s="130"/>
    </row>
    <row r="363" spans="2:16" s="89" customFormat="1" ht="12.75">
      <c r="B363" s="125"/>
      <c r="C363" s="126"/>
      <c r="D363" s="126"/>
      <c r="E363" s="126"/>
      <c r="F363" s="126"/>
      <c r="G363" s="126"/>
      <c r="H363" s="126"/>
      <c r="I363" s="126"/>
      <c r="J363" s="126"/>
      <c r="K363" s="127"/>
      <c r="L363" s="128"/>
      <c r="M363" s="129"/>
      <c r="N363" s="95"/>
      <c r="O363" s="95"/>
      <c r="P363" s="130"/>
    </row>
    <row r="364" spans="2:16" s="89" customFormat="1" ht="12.75">
      <c r="B364" s="125"/>
      <c r="C364" s="126"/>
      <c r="D364" s="126"/>
      <c r="E364" s="126"/>
      <c r="F364" s="126"/>
      <c r="G364" s="126"/>
      <c r="H364" s="126"/>
      <c r="I364" s="126"/>
      <c r="J364" s="126"/>
      <c r="K364" s="127"/>
      <c r="L364" s="128"/>
      <c r="M364" s="129"/>
      <c r="N364" s="95"/>
      <c r="O364" s="95"/>
      <c r="P364" s="130"/>
    </row>
    <row r="365" spans="2:16" s="89" customFormat="1" ht="12.75">
      <c r="B365" s="125"/>
      <c r="C365" s="126"/>
      <c r="D365" s="126"/>
      <c r="E365" s="126"/>
      <c r="F365" s="126"/>
      <c r="G365" s="126"/>
      <c r="H365" s="126"/>
      <c r="I365" s="126"/>
      <c r="J365" s="126"/>
      <c r="K365" s="127"/>
      <c r="L365" s="128"/>
      <c r="M365" s="129"/>
      <c r="N365" s="95"/>
      <c r="O365" s="95"/>
      <c r="P365" s="130"/>
    </row>
    <row r="366" spans="2:16" s="89" customFormat="1" ht="12.75">
      <c r="B366" s="125"/>
      <c r="C366" s="126"/>
      <c r="D366" s="126"/>
      <c r="E366" s="126"/>
      <c r="F366" s="126"/>
      <c r="G366" s="126"/>
      <c r="H366" s="126"/>
      <c r="I366" s="126"/>
      <c r="J366" s="126"/>
      <c r="K366" s="127"/>
      <c r="L366" s="128"/>
      <c r="M366" s="129"/>
      <c r="N366" s="95"/>
      <c r="O366" s="95"/>
      <c r="P366" s="130"/>
    </row>
    <row r="367" spans="2:16" s="89" customFormat="1" ht="12.75">
      <c r="B367" s="125"/>
      <c r="C367" s="126"/>
      <c r="D367" s="126"/>
      <c r="E367" s="126"/>
      <c r="F367" s="126"/>
      <c r="G367" s="126"/>
      <c r="H367" s="126"/>
      <c r="I367" s="126"/>
      <c r="J367" s="126"/>
      <c r="K367" s="127"/>
      <c r="L367" s="128"/>
      <c r="M367" s="129"/>
      <c r="N367" s="95"/>
      <c r="O367" s="95"/>
      <c r="P367" s="130"/>
    </row>
    <row r="368" spans="2:16" s="89" customFormat="1" ht="12.75">
      <c r="B368" s="125"/>
      <c r="C368" s="126"/>
      <c r="D368" s="126"/>
      <c r="E368" s="126"/>
      <c r="F368" s="126"/>
      <c r="G368" s="126"/>
      <c r="H368" s="126"/>
      <c r="I368" s="126"/>
      <c r="J368" s="126"/>
      <c r="K368" s="127"/>
      <c r="L368" s="128"/>
      <c r="M368" s="129"/>
      <c r="N368" s="95"/>
      <c r="O368" s="95"/>
      <c r="P368" s="130"/>
    </row>
    <row r="369" spans="2:16" s="89" customFormat="1" ht="12.75">
      <c r="B369" s="125"/>
      <c r="C369" s="126"/>
      <c r="D369" s="126"/>
      <c r="E369" s="126"/>
      <c r="F369" s="126"/>
      <c r="G369" s="126"/>
      <c r="H369" s="126"/>
      <c r="I369" s="126"/>
      <c r="J369" s="126"/>
      <c r="K369" s="127"/>
      <c r="L369" s="128"/>
      <c r="M369" s="129"/>
      <c r="N369" s="95"/>
      <c r="O369" s="95"/>
      <c r="P369" s="130"/>
    </row>
    <row r="370" spans="2:16" s="89" customFormat="1" ht="12.75">
      <c r="B370" s="125"/>
      <c r="C370" s="126"/>
      <c r="D370" s="126"/>
      <c r="E370" s="126"/>
      <c r="F370" s="126"/>
      <c r="G370" s="126"/>
      <c r="H370" s="126"/>
      <c r="I370" s="126"/>
      <c r="J370" s="126"/>
      <c r="K370" s="127"/>
      <c r="L370" s="128"/>
      <c r="M370" s="129"/>
      <c r="N370" s="95"/>
      <c r="O370" s="95"/>
      <c r="P370" s="130"/>
    </row>
    <row r="371" spans="2:16" s="89" customFormat="1" ht="12.75">
      <c r="B371" s="125"/>
      <c r="C371" s="126"/>
      <c r="D371" s="126"/>
      <c r="E371" s="126"/>
      <c r="F371" s="126"/>
      <c r="G371" s="126"/>
      <c r="H371" s="126"/>
      <c r="I371" s="126"/>
      <c r="J371" s="126"/>
      <c r="K371" s="127"/>
      <c r="L371" s="128"/>
      <c r="M371" s="129"/>
      <c r="N371" s="95"/>
      <c r="O371" s="95"/>
      <c r="P371" s="130"/>
    </row>
    <row r="372" spans="2:16" s="89" customFormat="1" ht="12.75">
      <c r="B372" s="125"/>
      <c r="C372" s="126"/>
      <c r="D372" s="126"/>
      <c r="E372" s="126"/>
      <c r="F372" s="126"/>
      <c r="G372" s="126"/>
      <c r="H372" s="126"/>
      <c r="I372" s="126"/>
      <c r="J372" s="126"/>
      <c r="K372" s="127"/>
      <c r="L372" s="128"/>
      <c r="M372" s="129"/>
      <c r="N372" s="95"/>
      <c r="O372" s="95"/>
      <c r="P372" s="130"/>
    </row>
    <row r="373" spans="2:16" s="89" customFormat="1" ht="12.75">
      <c r="B373" s="125"/>
      <c r="C373" s="126"/>
      <c r="D373" s="126"/>
      <c r="E373" s="126"/>
      <c r="F373" s="126"/>
      <c r="G373" s="126"/>
      <c r="H373" s="126"/>
      <c r="I373" s="126"/>
      <c r="J373" s="126"/>
      <c r="K373" s="127"/>
      <c r="L373" s="128"/>
      <c r="M373" s="129"/>
      <c r="N373" s="95"/>
      <c r="O373" s="95"/>
      <c r="P373" s="130"/>
    </row>
    <row r="374" spans="2:16" s="89" customFormat="1" ht="12.75">
      <c r="B374" s="125"/>
      <c r="C374" s="126"/>
      <c r="D374" s="126"/>
      <c r="E374" s="126"/>
      <c r="F374" s="126"/>
      <c r="G374" s="126"/>
      <c r="H374" s="126"/>
      <c r="I374" s="126"/>
      <c r="J374" s="126"/>
      <c r="K374" s="127"/>
      <c r="L374" s="128"/>
      <c r="M374" s="129"/>
      <c r="N374" s="95"/>
      <c r="O374" s="95"/>
      <c r="P374" s="130"/>
    </row>
    <row r="375" spans="2:16" s="89" customFormat="1" ht="12.75">
      <c r="B375" s="125"/>
      <c r="C375" s="126"/>
      <c r="D375" s="126"/>
      <c r="E375" s="126"/>
      <c r="F375" s="126"/>
      <c r="G375" s="126"/>
      <c r="H375" s="126"/>
      <c r="I375" s="126"/>
      <c r="J375" s="126"/>
      <c r="K375" s="127"/>
      <c r="L375" s="128"/>
      <c r="M375" s="129"/>
      <c r="N375" s="95"/>
      <c r="O375" s="95"/>
      <c r="P375" s="130"/>
    </row>
    <row r="376" spans="2:16" s="89" customFormat="1" ht="12.75">
      <c r="B376" s="125"/>
      <c r="C376" s="126"/>
      <c r="D376" s="126"/>
      <c r="E376" s="126"/>
      <c r="F376" s="126"/>
      <c r="G376" s="126"/>
      <c r="H376" s="126"/>
      <c r="I376" s="126"/>
      <c r="J376" s="126"/>
      <c r="K376" s="127"/>
      <c r="L376" s="128"/>
      <c r="M376" s="129"/>
      <c r="N376" s="95"/>
      <c r="O376" s="95"/>
      <c r="P376" s="130"/>
    </row>
    <row r="377" spans="2:16" s="89" customFormat="1" ht="12.75">
      <c r="B377" s="125"/>
      <c r="C377" s="126"/>
      <c r="D377" s="126"/>
      <c r="E377" s="126"/>
      <c r="F377" s="126"/>
      <c r="G377" s="126"/>
      <c r="H377" s="126"/>
      <c r="I377" s="126"/>
      <c r="J377" s="126"/>
      <c r="K377" s="127"/>
      <c r="L377" s="128"/>
      <c r="M377" s="129"/>
      <c r="N377" s="95"/>
      <c r="O377" s="95"/>
      <c r="P377" s="130"/>
    </row>
    <row r="378" spans="2:16" s="89" customFormat="1" ht="12.75">
      <c r="B378" s="125"/>
      <c r="C378" s="126"/>
      <c r="D378" s="126"/>
      <c r="E378" s="126"/>
      <c r="F378" s="126"/>
      <c r="G378" s="126"/>
      <c r="H378" s="126"/>
      <c r="I378" s="126"/>
      <c r="J378" s="126"/>
      <c r="K378" s="127"/>
      <c r="L378" s="128"/>
      <c r="M378" s="129"/>
      <c r="N378" s="95"/>
      <c r="O378" s="95"/>
      <c r="P378" s="130"/>
    </row>
    <row r="379" spans="2:16" s="89" customFormat="1" ht="12.75">
      <c r="B379" s="125"/>
      <c r="C379" s="126"/>
      <c r="D379" s="126"/>
      <c r="E379" s="126"/>
      <c r="F379" s="126"/>
      <c r="G379" s="126"/>
      <c r="H379" s="126"/>
      <c r="I379" s="126"/>
      <c r="J379" s="126"/>
      <c r="K379" s="127"/>
      <c r="L379" s="128"/>
      <c r="M379" s="129"/>
      <c r="N379" s="95"/>
      <c r="O379" s="95"/>
      <c r="P379" s="130"/>
    </row>
    <row r="380" spans="2:16" s="89" customFormat="1" ht="12.75">
      <c r="B380" s="125"/>
      <c r="C380" s="126"/>
      <c r="D380" s="126"/>
      <c r="E380" s="126"/>
      <c r="F380" s="126"/>
      <c r="G380" s="126"/>
      <c r="H380" s="126"/>
      <c r="I380" s="126"/>
      <c r="J380" s="126"/>
      <c r="K380" s="127"/>
      <c r="L380" s="128"/>
      <c r="M380" s="129"/>
      <c r="N380" s="95"/>
      <c r="O380" s="95"/>
      <c r="P380" s="130"/>
    </row>
    <row r="381" spans="2:16" s="89" customFormat="1" ht="12.75">
      <c r="B381" s="125"/>
      <c r="C381" s="126"/>
      <c r="D381" s="126"/>
      <c r="E381" s="126"/>
      <c r="F381" s="126"/>
      <c r="G381" s="126"/>
      <c r="H381" s="126"/>
      <c r="I381" s="126"/>
      <c r="J381" s="126"/>
      <c r="K381" s="127"/>
      <c r="L381" s="128"/>
      <c r="M381" s="129"/>
      <c r="N381" s="95"/>
      <c r="O381" s="95"/>
      <c r="P381" s="130"/>
    </row>
    <row r="382" spans="2:16" s="89" customFormat="1" ht="12.75">
      <c r="B382" s="125"/>
      <c r="C382" s="126"/>
      <c r="D382" s="126"/>
      <c r="E382" s="126"/>
      <c r="F382" s="126"/>
      <c r="G382" s="126"/>
      <c r="H382" s="126"/>
      <c r="I382" s="126"/>
      <c r="J382" s="126"/>
      <c r="K382" s="127"/>
      <c r="L382" s="128"/>
      <c r="M382" s="129"/>
      <c r="N382" s="95"/>
      <c r="O382" s="95"/>
      <c r="P382" s="130"/>
    </row>
    <row r="383" spans="2:16" s="89" customFormat="1" ht="12.75">
      <c r="B383" s="125"/>
      <c r="C383" s="126"/>
      <c r="D383" s="126"/>
      <c r="E383" s="126"/>
      <c r="F383" s="126"/>
      <c r="G383" s="126"/>
      <c r="H383" s="126"/>
      <c r="I383" s="126"/>
      <c r="J383" s="126"/>
      <c r="K383" s="127"/>
      <c r="L383" s="128"/>
      <c r="M383" s="129"/>
      <c r="N383" s="95"/>
      <c r="O383" s="95"/>
      <c r="P383" s="130"/>
    </row>
    <row r="384" spans="2:16" s="89" customFormat="1" ht="12.75">
      <c r="B384" s="125"/>
      <c r="C384" s="126"/>
      <c r="D384" s="126"/>
      <c r="E384" s="126"/>
      <c r="F384" s="126"/>
      <c r="G384" s="126"/>
      <c r="H384" s="126"/>
      <c r="I384" s="126"/>
      <c r="J384" s="126"/>
      <c r="K384" s="127"/>
      <c r="L384" s="128"/>
      <c r="M384" s="129"/>
      <c r="N384" s="95"/>
      <c r="O384" s="95"/>
      <c r="P384" s="130"/>
    </row>
    <row r="385" spans="2:16" s="89" customFormat="1" ht="12.75">
      <c r="B385" s="125"/>
      <c r="C385" s="126"/>
      <c r="D385" s="126"/>
      <c r="E385" s="126"/>
      <c r="F385" s="126"/>
      <c r="G385" s="126"/>
      <c r="H385" s="126"/>
      <c r="I385" s="126"/>
      <c r="J385" s="126"/>
      <c r="K385" s="127"/>
      <c r="L385" s="128"/>
      <c r="M385" s="129"/>
      <c r="N385" s="95"/>
      <c r="O385" s="95"/>
      <c r="P385" s="130"/>
    </row>
    <row r="386" spans="2:16" s="89" customFormat="1" ht="12.75">
      <c r="B386" s="125"/>
      <c r="C386" s="126"/>
      <c r="D386" s="126"/>
      <c r="E386" s="126"/>
      <c r="F386" s="126"/>
      <c r="G386" s="126"/>
      <c r="H386" s="126"/>
      <c r="I386" s="126"/>
      <c r="J386" s="126"/>
      <c r="K386" s="127"/>
      <c r="L386" s="128"/>
      <c r="M386" s="129"/>
      <c r="N386" s="95"/>
      <c r="O386" s="95"/>
      <c r="P386" s="130"/>
    </row>
    <row r="387" spans="2:16" s="89" customFormat="1" ht="12.75">
      <c r="B387" s="125"/>
      <c r="C387" s="126"/>
      <c r="D387" s="126"/>
      <c r="E387" s="126"/>
      <c r="F387" s="126"/>
      <c r="G387" s="126"/>
      <c r="H387" s="126"/>
      <c r="I387" s="126"/>
      <c r="J387" s="126"/>
      <c r="K387" s="127"/>
      <c r="L387" s="128"/>
      <c r="M387" s="129"/>
      <c r="N387" s="95"/>
      <c r="O387" s="95"/>
      <c r="P387" s="130"/>
    </row>
    <row r="388" spans="2:16" s="89" customFormat="1" ht="12.75">
      <c r="B388" s="125"/>
      <c r="C388" s="126"/>
      <c r="D388" s="126"/>
      <c r="E388" s="126"/>
      <c r="F388" s="126"/>
      <c r="G388" s="126"/>
      <c r="H388" s="126"/>
      <c r="I388" s="126"/>
      <c r="J388" s="126"/>
      <c r="K388" s="127"/>
      <c r="L388" s="128"/>
      <c r="M388" s="129"/>
      <c r="N388" s="95"/>
      <c r="O388" s="95"/>
      <c r="P388" s="130"/>
    </row>
    <row r="389" spans="2:16" s="89" customFormat="1" ht="12.75">
      <c r="B389" s="125"/>
      <c r="C389" s="126"/>
      <c r="D389" s="126"/>
      <c r="E389" s="126"/>
      <c r="F389" s="126"/>
      <c r="G389" s="126"/>
      <c r="H389" s="126"/>
      <c r="I389" s="126"/>
      <c r="J389" s="126"/>
      <c r="K389" s="127"/>
      <c r="L389" s="128"/>
      <c r="M389" s="129"/>
      <c r="N389" s="95"/>
      <c r="O389" s="95"/>
      <c r="P389" s="130"/>
    </row>
    <row r="390" spans="2:16" s="89" customFormat="1" ht="12.75">
      <c r="B390" s="125"/>
      <c r="C390" s="126"/>
      <c r="D390" s="126"/>
      <c r="E390" s="126"/>
      <c r="F390" s="126"/>
      <c r="G390" s="126"/>
      <c r="H390" s="126"/>
      <c r="I390" s="126"/>
      <c r="J390" s="126"/>
      <c r="K390" s="127"/>
      <c r="L390" s="128"/>
      <c r="M390" s="129"/>
      <c r="N390" s="95"/>
      <c r="O390" s="95"/>
      <c r="P390" s="130"/>
    </row>
    <row r="391" spans="2:16" s="89" customFormat="1" ht="12.75">
      <c r="B391" s="125"/>
      <c r="C391" s="126"/>
      <c r="D391" s="126"/>
      <c r="E391" s="126"/>
      <c r="F391" s="126"/>
      <c r="G391" s="126"/>
      <c r="H391" s="126"/>
      <c r="I391" s="126"/>
      <c r="J391" s="126"/>
      <c r="K391" s="127"/>
      <c r="L391" s="128"/>
      <c r="M391" s="129"/>
      <c r="N391" s="95"/>
      <c r="O391" s="95"/>
      <c r="P391" s="130"/>
    </row>
    <row r="392" spans="2:16" s="89" customFormat="1" ht="12.75">
      <c r="B392" s="125"/>
      <c r="C392" s="126"/>
      <c r="D392" s="126"/>
      <c r="E392" s="126"/>
      <c r="F392" s="126"/>
      <c r="G392" s="126"/>
      <c r="H392" s="126"/>
      <c r="I392" s="126"/>
      <c r="J392" s="126"/>
      <c r="K392" s="127"/>
      <c r="L392" s="128"/>
      <c r="M392" s="129"/>
      <c r="N392" s="95"/>
      <c r="O392" s="95"/>
      <c r="P392" s="130"/>
    </row>
    <row r="393" spans="2:16" s="89" customFormat="1" ht="12.75">
      <c r="B393" s="125"/>
      <c r="C393" s="126"/>
      <c r="D393" s="126"/>
      <c r="E393" s="126"/>
      <c r="F393" s="126"/>
      <c r="G393" s="126"/>
      <c r="H393" s="126"/>
      <c r="I393" s="126"/>
      <c r="J393" s="126"/>
      <c r="K393" s="127"/>
      <c r="L393" s="128"/>
      <c r="M393" s="129"/>
      <c r="N393" s="95"/>
      <c r="O393" s="95"/>
      <c r="P393" s="130"/>
    </row>
    <row r="394" spans="2:16" s="89" customFormat="1" ht="12.75">
      <c r="B394" s="125"/>
      <c r="C394" s="126"/>
      <c r="D394" s="126"/>
      <c r="E394" s="126"/>
      <c r="F394" s="126"/>
      <c r="G394" s="126"/>
      <c r="H394" s="126"/>
      <c r="I394" s="126"/>
      <c r="J394" s="126"/>
      <c r="K394" s="127"/>
      <c r="L394" s="128"/>
      <c r="M394" s="129"/>
      <c r="N394" s="95"/>
      <c r="O394" s="95"/>
      <c r="P394" s="130"/>
    </row>
    <row r="395" spans="2:16" s="89" customFormat="1" ht="12.75">
      <c r="B395" s="125"/>
      <c r="C395" s="126"/>
      <c r="D395" s="126"/>
      <c r="E395" s="126"/>
      <c r="F395" s="126"/>
      <c r="G395" s="126"/>
      <c r="H395" s="126"/>
      <c r="I395" s="126"/>
      <c r="J395" s="126"/>
      <c r="K395" s="127"/>
      <c r="L395" s="128"/>
      <c r="M395" s="129"/>
      <c r="N395" s="95"/>
      <c r="O395" s="95"/>
      <c r="P395" s="130"/>
    </row>
    <row r="396" spans="2:16" s="89" customFormat="1" ht="12.75">
      <c r="B396" s="125"/>
      <c r="C396" s="126"/>
      <c r="D396" s="126"/>
      <c r="E396" s="126"/>
      <c r="F396" s="126"/>
      <c r="G396" s="126"/>
      <c r="H396" s="126"/>
      <c r="I396" s="126"/>
      <c r="J396" s="126"/>
      <c r="K396" s="127"/>
      <c r="L396" s="128"/>
      <c r="M396" s="129"/>
      <c r="N396" s="95"/>
      <c r="O396" s="95"/>
      <c r="P396" s="130"/>
    </row>
    <row r="397" spans="2:16" s="89" customFormat="1" ht="12.75">
      <c r="B397" s="125"/>
      <c r="C397" s="126"/>
      <c r="D397" s="126"/>
      <c r="E397" s="126"/>
      <c r="F397" s="126"/>
      <c r="G397" s="126"/>
      <c r="H397" s="126"/>
      <c r="I397" s="126"/>
      <c r="J397" s="126"/>
      <c r="K397" s="127"/>
      <c r="L397" s="128"/>
      <c r="M397" s="129"/>
      <c r="N397" s="95"/>
      <c r="O397" s="95"/>
      <c r="P397" s="130"/>
    </row>
    <row r="398" spans="2:16" s="89" customFormat="1" ht="12.75">
      <c r="B398" s="125"/>
      <c r="C398" s="126"/>
      <c r="D398" s="126"/>
      <c r="E398" s="126"/>
      <c r="F398" s="126"/>
      <c r="G398" s="126"/>
      <c r="H398" s="126"/>
      <c r="I398" s="126"/>
      <c r="J398" s="126"/>
      <c r="K398" s="127"/>
      <c r="L398" s="128"/>
      <c r="M398" s="129"/>
      <c r="N398" s="95"/>
      <c r="O398" s="95"/>
      <c r="P398" s="130"/>
    </row>
    <row r="399" spans="2:16" s="89" customFormat="1" ht="12.75">
      <c r="B399" s="125"/>
      <c r="C399" s="126"/>
      <c r="D399" s="126"/>
      <c r="E399" s="126"/>
      <c r="F399" s="126"/>
      <c r="G399" s="126"/>
      <c r="H399" s="126"/>
      <c r="I399" s="126"/>
      <c r="J399" s="126"/>
      <c r="K399" s="127"/>
      <c r="L399" s="128"/>
      <c r="M399" s="129"/>
      <c r="N399" s="95"/>
      <c r="O399" s="95"/>
      <c r="P399" s="130"/>
    </row>
    <row r="400" spans="2:16" s="89" customFormat="1" ht="12.75">
      <c r="B400" s="125"/>
      <c r="C400" s="126"/>
      <c r="D400" s="126"/>
      <c r="E400" s="126"/>
      <c r="F400" s="126"/>
      <c r="G400" s="126"/>
      <c r="H400" s="126"/>
      <c r="I400" s="126"/>
      <c r="J400" s="126"/>
      <c r="K400" s="127"/>
      <c r="L400" s="128"/>
      <c r="M400" s="129"/>
      <c r="N400" s="95"/>
      <c r="O400" s="95"/>
      <c r="P400" s="130"/>
    </row>
    <row r="401" spans="2:16" s="89" customFormat="1" ht="12.75">
      <c r="B401" s="125"/>
      <c r="C401" s="126"/>
      <c r="D401" s="126"/>
      <c r="E401" s="126"/>
      <c r="F401" s="126"/>
      <c r="G401" s="126"/>
      <c r="H401" s="126"/>
      <c r="I401" s="126"/>
      <c r="J401" s="126"/>
      <c r="K401" s="127"/>
      <c r="L401" s="128"/>
      <c r="M401" s="129"/>
      <c r="N401" s="95"/>
      <c r="O401" s="95"/>
      <c r="P401" s="130"/>
    </row>
    <row r="402" spans="2:16" s="89" customFormat="1" ht="12.75">
      <c r="B402" s="125"/>
      <c r="C402" s="126"/>
      <c r="D402" s="126"/>
      <c r="E402" s="126"/>
      <c r="F402" s="126"/>
      <c r="G402" s="126"/>
      <c r="H402" s="126"/>
      <c r="I402" s="126"/>
      <c r="J402" s="126"/>
      <c r="K402" s="127"/>
      <c r="L402" s="128"/>
      <c r="M402" s="129"/>
      <c r="N402" s="95"/>
      <c r="O402" s="95"/>
      <c r="P402" s="130"/>
    </row>
    <row r="403" spans="2:16" s="89" customFormat="1" ht="12.75">
      <c r="B403" s="125"/>
      <c r="C403" s="126"/>
      <c r="D403" s="126"/>
      <c r="E403" s="126"/>
      <c r="F403" s="126"/>
      <c r="G403" s="126"/>
      <c r="H403" s="126"/>
      <c r="I403" s="126"/>
      <c r="J403" s="126"/>
      <c r="K403" s="127"/>
      <c r="L403" s="128"/>
      <c r="M403" s="129"/>
      <c r="N403" s="95"/>
      <c r="O403" s="95"/>
      <c r="P403" s="130"/>
    </row>
    <row r="404" spans="2:16" s="89" customFormat="1" ht="12.75">
      <c r="B404" s="125"/>
      <c r="C404" s="126"/>
      <c r="D404" s="126"/>
      <c r="E404" s="126"/>
      <c r="F404" s="126"/>
      <c r="G404" s="126"/>
      <c r="H404" s="126"/>
      <c r="I404" s="126"/>
      <c r="J404" s="126"/>
      <c r="K404" s="127"/>
      <c r="L404" s="128"/>
      <c r="M404" s="129"/>
      <c r="N404" s="95"/>
      <c r="O404" s="95"/>
      <c r="P404" s="130"/>
    </row>
    <row r="405" spans="2:16" s="89" customFormat="1" ht="12.75">
      <c r="B405" s="125"/>
      <c r="C405" s="126"/>
      <c r="D405" s="126"/>
      <c r="E405" s="126"/>
      <c r="F405" s="126"/>
      <c r="G405" s="126"/>
      <c r="H405" s="126"/>
      <c r="I405" s="126"/>
      <c r="J405" s="126"/>
      <c r="K405" s="127"/>
      <c r="L405" s="128"/>
      <c r="M405" s="129"/>
      <c r="N405" s="95"/>
      <c r="O405" s="95"/>
      <c r="P405" s="130"/>
    </row>
    <row r="406" spans="2:16" s="89" customFormat="1" ht="12.75">
      <c r="B406" s="125"/>
      <c r="C406" s="126"/>
      <c r="D406" s="126"/>
      <c r="E406" s="126"/>
      <c r="F406" s="126"/>
      <c r="G406" s="126"/>
      <c r="H406" s="126"/>
      <c r="I406" s="126"/>
      <c r="J406" s="126"/>
      <c r="K406" s="127"/>
      <c r="L406" s="128"/>
      <c r="M406" s="129"/>
      <c r="N406" s="95"/>
      <c r="O406" s="95"/>
      <c r="P406" s="130"/>
    </row>
    <row r="407" spans="2:16" s="89" customFormat="1" ht="12.75">
      <c r="B407" s="125"/>
      <c r="C407" s="126"/>
      <c r="D407" s="126"/>
      <c r="E407" s="126"/>
      <c r="F407" s="126"/>
      <c r="G407" s="126"/>
      <c r="H407" s="126"/>
      <c r="I407" s="126"/>
      <c r="J407" s="126"/>
      <c r="K407" s="127"/>
      <c r="L407" s="128"/>
      <c r="M407" s="129"/>
      <c r="N407" s="95"/>
      <c r="O407" s="95"/>
      <c r="P407" s="130"/>
    </row>
    <row r="408" spans="2:16" s="89" customFormat="1" ht="12.75">
      <c r="B408" s="125"/>
      <c r="C408" s="126"/>
      <c r="D408" s="126"/>
      <c r="E408" s="126"/>
      <c r="F408" s="126"/>
      <c r="G408" s="126"/>
      <c r="H408" s="126"/>
      <c r="I408" s="126"/>
      <c r="J408" s="126"/>
      <c r="K408" s="127"/>
      <c r="L408" s="128"/>
      <c r="M408" s="129"/>
      <c r="N408" s="95"/>
      <c r="O408" s="95"/>
      <c r="P408" s="130"/>
    </row>
    <row r="409" spans="2:16" s="89" customFormat="1" ht="12.75">
      <c r="B409" s="125"/>
      <c r="C409" s="126"/>
      <c r="D409" s="126"/>
      <c r="E409" s="126"/>
      <c r="F409" s="126"/>
      <c r="G409" s="126"/>
      <c r="H409" s="126"/>
      <c r="I409" s="126"/>
      <c r="J409" s="126"/>
      <c r="K409" s="127"/>
      <c r="L409" s="128"/>
      <c r="M409" s="129"/>
      <c r="N409" s="95"/>
      <c r="O409" s="95"/>
      <c r="P409" s="130"/>
    </row>
    <row r="410" spans="2:16" s="89" customFormat="1" ht="12.75">
      <c r="B410" s="125"/>
      <c r="C410" s="126"/>
      <c r="D410" s="126"/>
      <c r="E410" s="126"/>
      <c r="F410" s="126"/>
      <c r="G410" s="126"/>
      <c r="H410" s="126"/>
      <c r="I410" s="126"/>
      <c r="J410" s="126"/>
      <c r="K410" s="127"/>
      <c r="L410" s="128"/>
      <c r="M410" s="129"/>
      <c r="N410" s="95"/>
      <c r="O410" s="95"/>
      <c r="P410" s="130"/>
    </row>
    <row r="411" spans="2:16" s="89" customFormat="1" ht="12.75">
      <c r="B411" s="125"/>
      <c r="C411" s="126"/>
      <c r="D411" s="126"/>
      <c r="E411" s="126"/>
      <c r="F411" s="126"/>
      <c r="G411" s="126"/>
      <c r="H411" s="126"/>
      <c r="I411" s="126"/>
      <c r="J411" s="126"/>
      <c r="K411" s="127"/>
      <c r="L411" s="128"/>
      <c r="M411" s="129"/>
      <c r="N411" s="95"/>
      <c r="O411" s="95"/>
      <c r="P411" s="130"/>
    </row>
    <row r="412" spans="2:16" s="89" customFormat="1" ht="12.75">
      <c r="B412" s="125"/>
      <c r="C412" s="126"/>
      <c r="D412" s="126"/>
      <c r="E412" s="126"/>
      <c r="F412" s="126"/>
      <c r="G412" s="126"/>
      <c r="H412" s="126"/>
      <c r="I412" s="126"/>
      <c r="J412" s="126"/>
      <c r="K412" s="127"/>
      <c r="L412" s="128"/>
      <c r="M412" s="129"/>
      <c r="N412" s="95"/>
      <c r="O412" s="95"/>
      <c r="P412" s="130"/>
    </row>
    <row r="413" spans="2:16" s="89" customFormat="1" ht="12.75">
      <c r="B413" s="125"/>
      <c r="C413" s="126"/>
      <c r="D413" s="126"/>
      <c r="E413" s="126"/>
      <c r="F413" s="126"/>
      <c r="G413" s="126"/>
      <c r="H413" s="126"/>
      <c r="I413" s="126"/>
      <c r="J413" s="126"/>
      <c r="K413" s="127"/>
      <c r="L413" s="128"/>
      <c r="M413" s="129"/>
      <c r="N413" s="95"/>
      <c r="O413" s="95"/>
      <c r="P413" s="130"/>
    </row>
    <row r="414" spans="2:16" s="89" customFormat="1" ht="12.75">
      <c r="B414" s="125"/>
      <c r="C414" s="126"/>
      <c r="D414" s="126"/>
      <c r="E414" s="126"/>
      <c r="F414" s="126"/>
      <c r="G414" s="126"/>
      <c r="H414" s="126"/>
      <c r="I414" s="126"/>
      <c r="J414" s="126"/>
      <c r="K414" s="127"/>
      <c r="L414" s="128"/>
      <c r="M414" s="129"/>
      <c r="N414" s="95"/>
      <c r="O414" s="95"/>
      <c r="P414" s="130"/>
    </row>
    <row r="415" spans="2:16" s="89" customFormat="1" ht="12.75">
      <c r="B415" s="125"/>
      <c r="C415" s="126"/>
      <c r="D415" s="126"/>
      <c r="E415" s="126"/>
      <c r="F415" s="126"/>
      <c r="G415" s="126"/>
      <c r="H415" s="126"/>
      <c r="I415" s="126"/>
      <c r="J415" s="126"/>
      <c r="K415" s="127"/>
      <c r="L415" s="128"/>
      <c r="M415" s="129"/>
      <c r="N415" s="95"/>
      <c r="O415" s="95"/>
      <c r="P415" s="130"/>
    </row>
    <row r="416" spans="2:16" s="89" customFormat="1" ht="12.75">
      <c r="B416" s="125"/>
      <c r="C416" s="126"/>
      <c r="D416" s="126"/>
      <c r="E416" s="126"/>
      <c r="F416" s="126"/>
      <c r="G416" s="126"/>
      <c r="H416" s="126"/>
      <c r="I416" s="126"/>
      <c r="J416" s="126"/>
      <c r="K416" s="127"/>
      <c r="L416" s="128"/>
      <c r="M416" s="129"/>
      <c r="N416" s="95"/>
      <c r="O416" s="95"/>
      <c r="P416" s="130"/>
    </row>
    <row r="417" spans="2:16" s="89" customFormat="1" ht="12.75">
      <c r="B417" s="125"/>
      <c r="C417" s="126"/>
      <c r="D417" s="126"/>
      <c r="E417" s="126"/>
      <c r="F417" s="126"/>
      <c r="G417" s="126"/>
      <c r="H417" s="126"/>
      <c r="I417" s="126"/>
      <c r="J417" s="126"/>
      <c r="K417" s="127"/>
      <c r="L417" s="128"/>
      <c r="M417" s="129"/>
      <c r="N417" s="95"/>
      <c r="O417" s="95"/>
      <c r="P417" s="130"/>
    </row>
    <row r="418" spans="2:16" s="89" customFormat="1" ht="12.75">
      <c r="B418" s="125"/>
      <c r="C418" s="126"/>
      <c r="D418" s="126"/>
      <c r="E418" s="126"/>
      <c r="F418" s="126"/>
      <c r="G418" s="126"/>
      <c r="H418" s="126"/>
      <c r="I418" s="126"/>
      <c r="J418" s="126"/>
      <c r="K418" s="127"/>
      <c r="L418" s="128"/>
      <c r="M418" s="129"/>
      <c r="N418" s="95"/>
      <c r="O418" s="95"/>
      <c r="P418" s="130"/>
    </row>
    <row r="419" spans="2:16" s="89" customFormat="1" ht="12.75">
      <c r="B419" s="125"/>
      <c r="C419" s="126"/>
      <c r="D419" s="126"/>
      <c r="E419" s="126"/>
      <c r="F419" s="126"/>
      <c r="G419" s="126"/>
      <c r="H419" s="126"/>
      <c r="I419" s="126"/>
      <c r="J419" s="126"/>
      <c r="K419" s="127"/>
      <c r="L419" s="128"/>
      <c r="M419" s="129"/>
      <c r="N419" s="95"/>
      <c r="O419" s="95"/>
      <c r="P419" s="130"/>
    </row>
    <row r="420" spans="2:16" s="89" customFormat="1" ht="12.75">
      <c r="B420" s="125"/>
      <c r="C420" s="126"/>
      <c r="D420" s="126"/>
      <c r="E420" s="126"/>
      <c r="F420" s="126"/>
      <c r="G420" s="126"/>
      <c r="H420" s="126"/>
      <c r="I420" s="126"/>
      <c r="J420" s="126"/>
      <c r="K420" s="127"/>
      <c r="L420" s="128"/>
      <c r="M420" s="129"/>
      <c r="N420" s="95"/>
      <c r="O420" s="95"/>
      <c r="P420" s="130"/>
    </row>
    <row r="421" spans="2:16" s="89" customFormat="1" ht="12.75">
      <c r="B421" s="125"/>
      <c r="C421" s="126"/>
      <c r="D421" s="126"/>
      <c r="E421" s="126"/>
      <c r="F421" s="126"/>
      <c r="G421" s="126"/>
      <c r="H421" s="126"/>
      <c r="I421" s="126"/>
      <c r="J421" s="126"/>
      <c r="K421" s="127"/>
      <c r="L421" s="128"/>
      <c r="M421" s="129"/>
      <c r="N421" s="95"/>
      <c r="O421" s="95"/>
      <c r="P421" s="130"/>
    </row>
    <row r="422" spans="2:16" s="89" customFormat="1" ht="12.75">
      <c r="B422" s="125"/>
      <c r="C422" s="126"/>
      <c r="D422" s="126"/>
      <c r="E422" s="126"/>
      <c r="F422" s="126"/>
      <c r="G422" s="126"/>
      <c r="H422" s="126"/>
      <c r="I422" s="126"/>
      <c r="J422" s="126"/>
      <c r="K422" s="127"/>
      <c r="L422" s="128"/>
      <c r="M422" s="129"/>
      <c r="N422" s="95"/>
      <c r="O422" s="95"/>
      <c r="P422" s="130"/>
    </row>
    <row r="423" spans="2:16" s="89" customFormat="1" ht="12.75">
      <c r="B423" s="125"/>
      <c r="C423" s="126"/>
      <c r="D423" s="126"/>
      <c r="E423" s="126"/>
      <c r="F423" s="126"/>
      <c r="G423" s="126"/>
      <c r="H423" s="126"/>
      <c r="I423" s="126"/>
      <c r="J423" s="126"/>
      <c r="K423" s="127"/>
      <c r="L423" s="128"/>
      <c r="M423" s="129"/>
      <c r="N423" s="95"/>
      <c r="O423" s="95"/>
      <c r="P423" s="130"/>
    </row>
    <row r="424" spans="2:16" s="89" customFormat="1" ht="12.75">
      <c r="B424" s="125"/>
      <c r="C424" s="126"/>
      <c r="D424" s="126"/>
      <c r="E424" s="126"/>
      <c r="F424" s="126"/>
      <c r="G424" s="126"/>
      <c r="H424" s="126"/>
      <c r="I424" s="126"/>
      <c r="J424" s="126"/>
      <c r="K424" s="127"/>
      <c r="L424" s="128"/>
      <c r="M424" s="129"/>
      <c r="N424" s="95"/>
      <c r="O424" s="95"/>
      <c r="P424" s="130"/>
    </row>
    <row r="425" spans="2:16" s="89" customFormat="1" ht="12.75">
      <c r="B425" s="125"/>
      <c r="C425" s="126"/>
      <c r="D425" s="126"/>
      <c r="E425" s="126"/>
      <c r="F425" s="126"/>
      <c r="G425" s="126"/>
      <c r="H425" s="126"/>
      <c r="I425" s="126"/>
      <c r="J425" s="126"/>
      <c r="K425" s="127"/>
      <c r="L425" s="128"/>
      <c r="M425" s="129"/>
      <c r="N425" s="95"/>
      <c r="O425" s="95"/>
      <c r="P425" s="130"/>
    </row>
    <row r="426" spans="2:16" s="89" customFormat="1" ht="12.75">
      <c r="B426" s="125"/>
      <c r="C426" s="126"/>
      <c r="D426" s="126"/>
      <c r="E426" s="126"/>
      <c r="F426" s="126"/>
      <c r="G426" s="126"/>
      <c r="H426" s="126"/>
      <c r="I426" s="126"/>
      <c r="J426" s="126"/>
      <c r="K426" s="127"/>
      <c r="L426" s="128"/>
      <c r="M426" s="129"/>
      <c r="N426" s="95"/>
      <c r="O426" s="95"/>
      <c r="P426" s="130"/>
    </row>
    <row r="427" spans="2:16" s="89" customFormat="1" ht="12.75">
      <c r="B427" s="125"/>
      <c r="C427" s="126"/>
      <c r="D427" s="126"/>
      <c r="E427" s="126"/>
      <c r="F427" s="126"/>
      <c r="G427" s="126"/>
      <c r="H427" s="126"/>
      <c r="I427" s="126"/>
      <c r="J427" s="126"/>
      <c r="K427" s="127"/>
      <c r="L427" s="128"/>
      <c r="M427" s="129"/>
      <c r="N427" s="95"/>
      <c r="O427" s="95"/>
      <c r="P427" s="130"/>
    </row>
    <row r="428" spans="2:16" s="89" customFormat="1" ht="12.75">
      <c r="B428" s="125"/>
      <c r="C428" s="126"/>
      <c r="D428" s="126"/>
      <c r="E428" s="126"/>
      <c r="F428" s="126"/>
      <c r="G428" s="126"/>
      <c r="H428" s="126"/>
      <c r="I428" s="126"/>
      <c r="J428" s="126"/>
      <c r="K428" s="127"/>
      <c r="L428" s="128"/>
      <c r="M428" s="129"/>
      <c r="N428" s="95"/>
      <c r="O428" s="95"/>
      <c r="P428" s="130"/>
    </row>
    <row r="429" spans="2:16" s="89" customFormat="1" ht="12.75">
      <c r="B429" s="125"/>
      <c r="C429" s="126"/>
      <c r="D429" s="126"/>
      <c r="E429" s="126"/>
      <c r="F429" s="126"/>
      <c r="G429" s="126"/>
      <c r="H429" s="126"/>
      <c r="I429" s="126"/>
      <c r="J429" s="126"/>
      <c r="K429" s="127"/>
      <c r="L429" s="128"/>
      <c r="M429" s="129"/>
      <c r="N429" s="95"/>
      <c r="O429" s="95"/>
      <c r="P429" s="130"/>
    </row>
    <row r="430" spans="2:16" s="89" customFormat="1" ht="12.75">
      <c r="B430" s="125"/>
      <c r="C430" s="126"/>
      <c r="D430" s="126"/>
      <c r="E430" s="126"/>
      <c r="F430" s="126"/>
      <c r="G430" s="126"/>
      <c r="H430" s="126"/>
      <c r="I430" s="126"/>
      <c r="J430" s="126"/>
      <c r="K430" s="127"/>
      <c r="L430" s="128"/>
      <c r="M430" s="129"/>
      <c r="N430" s="95"/>
      <c r="O430" s="95"/>
      <c r="P430" s="130"/>
    </row>
    <row r="431" spans="2:16" s="89" customFormat="1" ht="12.75">
      <c r="B431" s="125"/>
      <c r="C431" s="126"/>
      <c r="D431" s="126"/>
      <c r="E431" s="126"/>
      <c r="F431" s="126"/>
      <c r="G431" s="126"/>
      <c r="H431" s="126"/>
      <c r="I431" s="126"/>
      <c r="J431" s="126"/>
      <c r="K431" s="127"/>
      <c r="L431" s="128"/>
      <c r="M431" s="129"/>
      <c r="N431" s="95"/>
      <c r="O431" s="95"/>
      <c r="P431" s="130"/>
    </row>
    <row r="432" spans="2:16" s="89" customFormat="1" ht="12.75">
      <c r="B432" s="125"/>
      <c r="C432" s="126"/>
      <c r="D432" s="126"/>
      <c r="E432" s="126"/>
      <c r="F432" s="126"/>
      <c r="G432" s="126"/>
      <c r="H432" s="126"/>
      <c r="I432" s="126"/>
      <c r="J432" s="126"/>
      <c r="K432" s="127"/>
      <c r="L432" s="128"/>
      <c r="M432" s="129"/>
      <c r="N432" s="95"/>
      <c r="O432" s="95"/>
      <c r="P432" s="130"/>
    </row>
    <row r="433" spans="2:16" s="89" customFormat="1" ht="12.75">
      <c r="B433" s="125"/>
      <c r="C433" s="126"/>
      <c r="D433" s="126"/>
      <c r="E433" s="126"/>
      <c r="F433" s="126"/>
      <c r="G433" s="126"/>
      <c r="H433" s="126"/>
      <c r="I433" s="126"/>
      <c r="J433" s="126"/>
      <c r="K433" s="127"/>
      <c r="L433" s="128"/>
      <c r="M433" s="129"/>
      <c r="N433" s="95"/>
      <c r="O433" s="95"/>
      <c r="P433" s="130"/>
    </row>
    <row r="434" spans="2:16" s="89" customFormat="1" ht="12.75">
      <c r="B434" s="125"/>
      <c r="C434" s="126"/>
      <c r="D434" s="126"/>
      <c r="E434" s="126"/>
      <c r="F434" s="126"/>
      <c r="G434" s="126"/>
      <c r="H434" s="126"/>
      <c r="I434" s="126"/>
      <c r="J434" s="126"/>
      <c r="K434" s="127"/>
      <c r="L434" s="128"/>
      <c r="M434" s="129"/>
      <c r="N434" s="95"/>
      <c r="O434" s="95"/>
      <c r="P434" s="130"/>
    </row>
    <row r="435" spans="2:16" s="89" customFormat="1" ht="12.75">
      <c r="B435" s="125"/>
      <c r="C435" s="126"/>
      <c r="D435" s="126"/>
      <c r="E435" s="126"/>
      <c r="F435" s="126"/>
      <c r="G435" s="126"/>
      <c r="H435" s="126"/>
      <c r="I435" s="126"/>
      <c r="J435" s="126"/>
      <c r="K435" s="127"/>
      <c r="L435" s="128"/>
      <c r="M435" s="129"/>
      <c r="N435" s="95"/>
      <c r="O435" s="95"/>
      <c r="P435" s="130"/>
    </row>
    <row r="436" spans="2:16" s="89" customFormat="1" ht="12.75">
      <c r="B436" s="125"/>
      <c r="C436" s="126"/>
      <c r="D436" s="126"/>
      <c r="E436" s="126"/>
      <c r="F436" s="126"/>
      <c r="G436" s="126"/>
      <c r="H436" s="126"/>
      <c r="I436" s="126"/>
      <c r="J436" s="126"/>
      <c r="K436" s="127"/>
      <c r="L436" s="128"/>
      <c r="M436" s="129"/>
      <c r="N436" s="95"/>
      <c r="O436" s="95"/>
      <c r="P436" s="130"/>
    </row>
    <row r="437" spans="2:16" s="89" customFormat="1" ht="12.75">
      <c r="B437" s="125"/>
      <c r="C437" s="126"/>
      <c r="D437" s="126"/>
      <c r="E437" s="126"/>
      <c r="F437" s="126"/>
      <c r="G437" s="126"/>
      <c r="H437" s="126"/>
      <c r="I437" s="126"/>
      <c r="J437" s="126"/>
      <c r="K437" s="127"/>
      <c r="L437" s="128"/>
      <c r="M437" s="129"/>
      <c r="N437" s="95"/>
      <c r="O437" s="95"/>
      <c r="P437" s="130"/>
    </row>
    <row r="438" spans="2:16" s="89" customFormat="1" ht="12.75">
      <c r="B438" s="125"/>
      <c r="C438" s="126"/>
      <c r="D438" s="126"/>
      <c r="E438" s="126"/>
      <c r="F438" s="126"/>
      <c r="G438" s="126"/>
      <c r="H438" s="126"/>
      <c r="I438" s="126"/>
      <c r="J438" s="126"/>
      <c r="K438" s="127"/>
      <c r="L438" s="128"/>
      <c r="M438" s="129"/>
      <c r="N438" s="95"/>
      <c r="O438" s="95"/>
      <c r="P438" s="130"/>
    </row>
    <row r="439" spans="2:16" s="89" customFormat="1" ht="12.75">
      <c r="B439" s="125"/>
      <c r="C439" s="126"/>
      <c r="D439" s="126"/>
      <c r="E439" s="126"/>
      <c r="F439" s="126"/>
      <c r="G439" s="126"/>
      <c r="H439" s="126"/>
      <c r="I439" s="126"/>
      <c r="J439" s="126"/>
      <c r="K439" s="127"/>
      <c r="L439" s="128"/>
      <c r="M439" s="129"/>
      <c r="N439" s="95"/>
      <c r="O439" s="95"/>
      <c r="P439" s="130"/>
    </row>
    <row r="440" spans="2:16" s="89" customFormat="1" ht="12.75">
      <c r="B440" s="125"/>
      <c r="C440" s="126"/>
      <c r="D440" s="126"/>
      <c r="E440" s="126"/>
      <c r="F440" s="126"/>
      <c r="G440" s="126"/>
      <c r="H440" s="126"/>
      <c r="I440" s="126"/>
      <c r="J440" s="126"/>
      <c r="K440" s="127"/>
      <c r="L440" s="128"/>
      <c r="M440" s="129"/>
      <c r="N440" s="95"/>
      <c r="O440" s="95"/>
      <c r="P440" s="130"/>
    </row>
    <row r="441" spans="2:16" s="89" customFormat="1" ht="12.75">
      <c r="B441" s="125"/>
      <c r="C441" s="126"/>
      <c r="D441" s="126"/>
      <c r="E441" s="126"/>
      <c r="F441" s="126"/>
      <c r="G441" s="126"/>
      <c r="H441" s="126"/>
      <c r="I441" s="126"/>
      <c r="J441" s="126"/>
      <c r="K441" s="127"/>
      <c r="L441" s="128"/>
      <c r="M441" s="129"/>
      <c r="N441" s="95"/>
      <c r="O441" s="95"/>
      <c r="P441" s="130"/>
    </row>
    <row r="442" spans="2:16" s="89" customFormat="1" ht="12.75">
      <c r="B442" s="125"/>
      <c r="C442" s="126"/>
      <c r="D442" s="126"/>
      <c r="E442" s="126"/>
      <c r="F442" s="126"/>
      <c r="G442" s="126"/>
      <c r="H442" s="126"/>
      <c r="I442" s="126"/>
      <c r="J442" s="126"/>
      <c r="K442" s="127"/>
      <c r="L442" s="128"/>
      <c r="M442" s="129"/>
      <c r="N442" s="95"/>
      <c r="O442" s="95"/>
      <c r="P442" s="130"/>
    </row>
    <row r="443" spans="2:16" s="89" customFormat="1" ht="12.75">
      <c r="B443" s="125"/>
      <c r="C443" s="126"/>
      <c r="D443" s="126"/>
      <c r="E443" s="126"/>
      <c r="F443" s="126"/>
      <c r="G443" s="126"/>
      <c r="H443" s="126"/>
      <c r="I443" s="126"/>
      <c r="J443" s="126"/>
      <c r="K443" s="127"/>
      <c r="L443" s="128"/>
      <c r="M443" s="129"/>
      <c r="N443" s="95"/>
      <c r="O443" s="95"/>
      <c r="P443" s="130"/>
    </row>
    <row r="444" spans="2:16" s="89" customFormat="1" ht="12.75">
      <c r="B444" s="125"/>
      <c r="C444" s="126"/>
      <c r="D444" s="126"/>
      <c r="E444" s="126"/>
      <c r="F444" s="126"/>
      <c r="G444" s="126"/>
      <c r="H444" s="126"/>
      <c r="I444" s="126"/>
      <c r="J444" s="126"/>
      <c r="K444" s="127"/>
      <c r="L444" s="128"/>
      <c r="M444" s="129"/>
      <c r="N444" s="95"/>
      <c r="O444" s="95"/>
      <c r="P444" s="130"/>
    </row>
    <row r="445" spans="2:16" s="89" customFormat="1" ht="12.75">
      <c r="B445" s="125"/>
      <c r="C445" s="126"/>
      <c r="D445" s="126"/>
      <c r="E445" s="126"/>
      <c r="F445" s="126"/>
      <c r="G445" s="126"/>
      <c r="H445" s="126"/>
      <c r="I445" s="126"/>
      <c r="J445" s="126"/>
      <c r="K445" s="127"/>
      <c r="L445" s="128"/>
      <c r="M445" s="129"/>
      <c r="N445" s="95"/>
      <c r="O445" s="95"/>
      <c r="P445" s="130"/>
    </row>
    <row r="446" spans="2:16" s="89" customFormat="1" ht="12.75">
      <c r="B446" s="125"/>
      <c r="C446" s="126"/>
      <c r="D446" s="126"/>
      <c r="E446" s="126"/>
      <c r="F446" s="126"/>
      <c r="G446" s="126"/>
      <c r="H446" s="126"/>
      <c r="I446" s="126"/>
      <c r="J446" s="126"/>
      <c r="K446" s="127"/>
      <c r="L446" s="128"/>
      <c r="M446" s="129"/>
      <c r="N446" s="95"/>
      <c r="O446" s="95"/>
      <c r="P446" s="130"/>
    </row>
    <row r="447" spans="2:16" s="89" customFormat="1" ht="12.75">
      <c r="B447" s="125"/>
      <c r="C447" s="126"/>
      <c r="D447" s="126"/>
      <c r="E447" s="126"/>
      <c r="F447" s="126"/>
      <c r="G447" s="126"/>
      <c r="H447" s="126"/>
      <c r="I447" s="126"/>
      <c r="J447" s="126"/>
      <c r="K447" s="127"/>
      <c r="L447" s="128"/>
      <c r="M447" s="129"/>
      <c r="N447" s="95"/>
      <c r="O447" s="95"/>
      <c r="P447" s="130"/>
    </row>
    <row r="448" spans="2:16" s="89" customFormat="1" ht="12.75">
      <c r="B448" s="125"/>
      <c r="C448" s="126"/>
      <c r="D448" s="126"/>
      <c r="E448" s="126"/>
      <c r="F448" s="126"/>
      <c r="G448" s="126"/>
      <c r="H448" s="126"/>
      <c r="I448" s="126"/>
      <c r="J448" s="126"/>
      <c r="K448" s="127"/>
      <c r="L448" s="128"/>
      <c r="M448" s="129"/>
      <c r="N448" s="95"/>
      <c r="O448" s="95"/>
      <c r="P448" s="130"/>
    </row>
    <row r="449" spans="2:16" s="89" customFormat="1" ht="12.75">
      <c r="B449" s="125"/>
      <c r="C449" s="126"/>
      <c r="D449" s="126"/>
      <c r="E449" s="126"/>
      <c r="F449" s="126"/>
      <c r="G449" s="126"/>
      <c r="H449" s="126"/>
      <c r="I449" s="126"/>
      <c r="J449" s="126"/>
      <c r="K449" s="127"/>
      <c r="L449" s="128"/>
      <c r="M449" s="129"/>
      <c r="N449" s="95"/>
      <c r="O449" s="95"/>
      <c r="P449" s="130"/>
    </row>
    <row r="450" spans="2:16" s="89" customFormat="1" ht="12.75">
      <c r="B450" s="125"/>
      <c r="C450" s="126"/>
      <c r="D450" s="126"/>
      <c r="E450" s="126"/>
      <c r="F450" s="126"/>
      <c r="G450" s="126"/>
      <c r="H450" s="126"/>
      <c r="I450" s="126"/>
      <c r="J450" s="126"/>
      <c r="K450" s="127"/>
      <c r="L450" s="128"/>
      <c r="M450" s="129"/>
      <c r="N450" s="95"/>
      <c r="O450" s="95"/>
      <c r="P450" s="130"/>
    </row>
    <row r="451" spans="2:16" s="89" customFormat="1" ht="12.75">
      <c r="B451" s="125"/>
      <c r="C451" s="126"/>
      <c r="D451" s="126"/>
      <c r="E451" s="126"/>
      <c r="F451" s="126"/>
      <c r="G451" s="126"/>
      <c r="H451" s="126"/>
      <c r="I451" s="126"/>
      <c r="J451" s="126"/>
      <c r="K451" s="127"/>
      <c r="L451" s="128"/>
      <c r="M451" s="129"/>
      <c r="N451" s="95"/>
      <c r="O451" s="95"/>
      <c r="P451" s="130"/>
    </row>
    <row r="452" spans="2:16" s="89" customFormat="1" ht="12.75">
      <c r="B452" s="125"/>
      <c r="C452" s="126"/>
      <c r="D452" s="126"/>
      <c r="E452" s="126"/>
      <c r="F452" s="126"/>
      <c r="G452" s="126"/>
      <c r="H452" s="126"/>
      <c r="I452" s="126"/>
      <c r="J452" s="126"/>
      <c r="K452" s="127"/>
      <c r="L452" s="128"/>
      <c r="M452" s="129"/>
      <c r="N452" s="95"/>
      <c r="O452" s="95"/>
      <c r="P452" s="130"/>
    </row>
    <row r="453" spans="2:16" s="89" customFormat="1" ht="12.75">
      <c r="B453" s="125"/>
      <c r="C453" s="126"/>
      <c r="D453" s="126"/>
      <c r="E453" s="126"/>
      <c r="F453" s="126"/>
      <c r="G453" s="126"/>
      <c r="H453" s="126"/>
      <c r="I453" s="126"/>
      <c r="J453" s="126"/>
      <c r="K453" s="127"/>
      <c r="L453" s="128"/>
      <c r="M453" s="129"/>
      <c r="N453" s="95"/>
      <c r="O453" s="95"/>
      <c r="P453" s="130"/>
    </row>
    <row r="454" spans="2:16" s="89" customFormat="1" ht="12.75">
      <c r="B454" s="125"/>
      <c r="C454" s="126"/>
      <c r="D454" s="126"/>
      <c r="E454" s="126"/>
      <c r="F454" s="126"/>
      <c r="G454" s="126"/>
      <c r="H454" s="126"/>
      <c r="I454" s="126"/>
      <c r="J454" s="126"/>
      <c r="K454" s="127"/>
      <c r="L454" s="128"/>
      <c r="M454" s="129"/>
      <c r="N454" s="95"/>
      <c r="O454" s="95"/>
      <c r="P454" s="130"/>
    </row>
    <row r="455" spans="2:16" s="89" customFormat="1" ht="12.75">
      <c r="B455" s="125"/>
      <c r="C455" s="126"/>
      <c r="D455" s="126"/>
      <c r="E455" s="126"/>
      <c r="F455" s="126"/>
      <c r="G455" s="126"/>
      <c r="H455" s="126"/>
      <c r="I455" s="126"/>
      <c r="J455" s="126"/>
      <c r="K455" s="127"/>
      <c r="L455" s="128"/>
      <c r="M455" s="129"/>
      <c r="N455" s="95"/>
      <c r="O455" s="95"/>
      <c r="P455" s="130"/>
    </row>
    <row r="456" spans="2:16" s="89" customFormat="1" ht="12.75">
      <c r="B456" s="125"/>
      <c r="C456" s="126"/>
      <c r="D456" s="126"/>
      <c r="E456" s="126"/>
      <c r="F456" s="126"/>
      <c r="G456" s="126"/>
      <c r="H456" s="126"/>
      <c r="I456" s="126"/>
      <c r="J456" s="126"/>
      <c r="K456" s="127"/>
      <c r="L456" s="128"/>
      <c r="M456" s="129"/>
      <c r="N456" s="95"/>
      <c r="O456" s="95"/>
      <c r="P456" s="130"/>
    </row>
    <row r="457" spans="2:16" s="89" customFormat="1" ht="12.75">
      <c r="B457" s="125"/>
      <c r="C457" s="126"/>
      <c r="D457" s="126"/>
      <c r="E457" s="126"/>
      <c r="F457" s="126"/>
      <c r="G457" s="126"/>
      <c r="H457" s="126"/>
      <c r="I457" s="126"/>
      <c r="J457" s="126"/>
      <c r="K457" s="127"/>
      <c r="L457" s="128"/>
      <c r="M457" s="129"/>
      <c r="N457" s="95"/>
      <c r="O457" s="95"/>
      <c r="P457" s="130"/>
    </row>
    <row r="458" spans="2:16" s="89" customFormat="1" ht="12.75">
      <c r="B458" s="125"/>
      <c r="C458" s="126"/>
      <c r="D458" s="126"/>
      <c r="E458" s="126"/>
      <c r="F458" s="126"/>
      <c r="G458" s="126"/>
      <c r="H458" s="126"/>
      <c r="I458" s="126"/>
      <c r="J458" s="126"/>
      <c r="K458" s="127"/>
      <c r="L458" s="128"/>
      <c r="M458" s="129"/>
      <c r="N458" s="95"/>
      <c r="O458" s="95"/>
      <c r="P458" s="130"/>
    </row>
    <row r="459" spans="2:16" s="89" customFormat="1" ht="12.75">
      <c r="B459" s="125"/>
      <c r="C459" s="126"/>
      <c r="D459" s="126"/>
      <c r="E459" s="126"/>
      <c r="F459" s="126"/>
      <c r="G459" s="126"/>
      <c r="H459" s="126"/>
      <c r="I459" s="126"/>
      <c r="J459" s="126"/>
      <c r="K459" s="127"/>
      <c r="L459" s="128"/>
      <c r="M459" s="129"/>
      <c r="N459" s="95"/>
      <c r="O459" s="95"/>
      <c r="P459" s="130"/>
    </row>
    <row r="460" spans="2:16" s="89" customFormat="1" ht="12.75">
      <c r="B460" s="125"/>
      <c r="C460" s="126"/>
      <c r="D460" s="126"/>
      <c r="E460" s="126"/>
      <c r="F460" s="126"/>
      <c r="G460" s="126"/>
      <c r="H460" s="126"/>
      <c r="I460" s="126"/>
      <c r="J460" s="126"/>
      <c r="K460" s="127"/>
      <c r="L460" s="128"/>
      <c r="M460" s="129"/>
      <c r="N460" s="95"/>
      <c r="O460" s="95"/>
      <c r="P460" s="130"/>
    </row>
    <row r="461" spans="2:16" s="89" customFormat="1" ht="12.75">
      <c r="B461" s="125"/>
      <c r="C461" s="126"/>
      <c r="D461" s="126"/>
      <c r="E461" s="126"/>
      <c r="F461" s="126"/>
      <c r="G461" s="126"/>
      <c r="H461" s="126"/>
      <c r="I461" s="126"/>
      <c r="J461" s="126"/>
      <c r="K461" s="127"/>
      <c r="L461" s="128"/>
      <c r="M461" s="129"/>
      <c r="N461" s="95"/>
      <c r="O461" s="95"/>
      <c r="P461" s="130"/>
    </row>
    <row r="462" spans="2:16" s="89" customFormat="1" ht="12.75">
      <c r="B462" s="125"/>
      <c r="C462" s="126"/>
      <c r="D462" s="126"/>
      <c r="E462" s="126"/>
      <c r="F462" s="126"/>
      <c r="G462" s="126"/>
      <c r="H462" s="126"/>
      <c r="I462" s="126"/>
      <c r="J462" s="126"/>
      <c r="K462" s="127"/>
      <c r="L462" s="128"/>
      <c r="M462" s="129"/>
      <c r="N462" s="95"/>
      <c r="O462" s="95"/>
      <c r="P462" s="130"/>
    </row>
    <row r="463" spans="2:16" s="89" customFormat="1" ht="12.75">
      <c r="B463" s="125"/>
      <c r="C463" s="126"/>
      <c r="D463" s="126"/>
      <c r="E463" s="126"/>
      <c r="F463" s="126"/>
      <c r="G463" s="126"/>
      <c r="H463" s="126"/>
      <c r="I463" s="126"/>
      <c r="J463" s="126"/>
      <c r="K463" s="127"/>
      <c r="L463" s="128"/>
      <c r="M463" s="129"/>
      <c r="N463" s="95"/>
      <c r="O463" s="95"/>
      <c r="P463" s="130"/>
    </row>
    <row r="464" spans="2:16" s="89" customFormat="1" ht="12.75">
      <c r="B464" s="125"/>
      <c r="C464" s="126"/>
      <c r="D464" s="126"/>
      <c r="E464" s="126"/>
      <c r="F464" s="126"/>
      <c r="G464" s="126"/>
      <c r="H464" s="126"/>
      <c r="I464" s="126"/>
      <c r="J464" s="126"/>
      <c r="K464" s="127"/>
      <c r="L464" s="128"/>
      <c r="M464" s="129"/>
      <c r="N464" s="95"/>
      <c r="O464" s="95"/>
      <c r="P464" s="130"/>
    </row>
    <row r="465" spans="2:16" s="89" customFormat="1" ht="12.75">
      <c r="B465" s="125"/>
      <c r="C465" s="126"/>
      <c r="D465" s="126"/>
      <c r="E465" s="126"/>
      <c r="F465" s="126"/>
      <c r="G465" s="126"/>
      <c r="H465" s="126"/>
      <c r="I465" s="126"/>
      <c r="J465" s="126"/>
      <c r="K465" s="127"/>
      <c r="L465" s="128"/>
      <c r="M465" s="129"/>
      <c r="N465" s="95"/>
      <c r="O465" s="95"/>
      <c r="P465" s="130"/>
    </row>
    <row r="466" spans="2:16" s="89" customFormat="1" ht="12.75">
      <c r="B466" s="125"/>
      <c r="C466" s="126"/>
      <c r="D466" s="126"/>
      <c r="E466" s="126"/>
      <c r="F466" s="126"/>
      <c r="G466" s="126"/>
      <c r="H466" s="126"/>
      <c r="I466" s="126"/>
      <c r="J466" s="126"/>
      <c r="K466" s="127"/>
      <c r="L466" s="128"/>
      <c r="M466" s="129"/>
      <c r="N466" s="95"/>
      <c r="O466" s="95"/>
      <c r="P466" s="130"/>
    </row>
    <row r="467" spans="2:16" s="89" customFormat="1" ht="12.75">
      <c r="B467" s="125"/>
      <c r="C467" s="126"/>
      <c r="D467" s="126"/>
      <c r="E467" s="126"/>
      <c r="F467" s="126"/>
      <c r="G467" s="126"/>
      <c r="H467" s="126"/>
      <c r="I467" s="126"/>
      <c r="J467" s="126"/>
      <c r="K467" s="127"/>
      <c r="L467" s="128"/>
      <c r="M467" s="129"/>
      <c r="N467" s="95"/>
      <c r="O467" s="95"/>
      <c r="P467" s="130"/>
    </row>
    <row r="468" spans="2:16" s="89" customFormat="1" ht="12.75">
      <c r="B468" s="125"/>
      <c r="C468" s="126"/>
      <c r="D468" s="126"/>
      <c r="E468" s="126"/>
      <c r="F468" s="126"/>
      <c r="G468" s="126"/>
      <c r="H468" s="126"/>
      <c r="I468" s="126"/>
      <c r="J468" s="126"/>
      <c r="K468" s="127"/>
      <c r="L468" s="128"/>
      <c r="M468" s="129"/>
      <c r="N468" s="95"/>
      <c r="O468" s="95"/>
      <c r="P468" s="130"/>
    </row>
    <row r="469" spans="2:16" s="89" customFormat="1" ht="12.75">
      <c r="B469" s="125"/>
      <c r="C469" s="126"/>
      <c r="D469" s="126"/>
      <c r="E469" s="126"/>
      <c r="F469" s="126"/>
      <c r="G469" s="126"/>
      <c r="H469" s="126"/>
      <c r="I469" s="126"/>
      <c r="J469" s="126"/>
      <c r="K469" s="127"/>
      <c r="L469" s="128"/>
      <c r="M469" s="129"/>
      <c r="N469" s="95"/>
      <c r="O469" s="95"/>
      <c r="P469" s="130"/>
    </row>
    <row r="470" spans="2:16" s="89" customFormat="1" ht="12.75">
      <c r="B470" s="125"/>
      <c r="C470" s="126"/>
      <c r="D470" s="126"/>
      <c r="E470" s="126"/>
      <c r="F470" s="126"/>
      <c r="G470" s="126"/>
      <c r="H470" s="126"/>
      <c r="I470" s="126"/>
      <c r="J470" s="126"/>
      <c r="K470" s="127"/>
      <c r="L470" s="128"/>
      <c r="M470" s="129"/>
      <c r="N470" s="95"/>
      <c r="O470" s="95"/>
      <c r="P470" s="130"/>
    </row>
    <row r="471" spans="2:16" s="89" customFormat="1" ht="12.75">
      <c r="B471" s="125"/>
      <c r="C471" s="126"/>
      <c r="D471" s="126"/>
      <c r="E471" s="126"/>
      <c r="F471" s="126"/>
      <c r="G471" s="126"/>
      <c r="H471" s="126"/>
      <c r="I471" s="126"/>
      <c r="J471" s="126"/>
      <c r="K471" s="127"/>
      <c r="L471" s="128"/>
      <c r="M471" s="129"/>
      <c r="N471" s="95"/>
      <c r="O471" s="95"/>
      <c r="P471" s="130"/>
    </row>
    <row r="472" spans="2:16" s="89" customFormat="1" ht="12.75">
      <c r="B472" s="125"/>
      <c r="C472" s="126"/>
      <c r="D472" s="126"/>
      <c r="E472" s="126"/>
      <c r="F472" s="126"/>
      <c r="G472" s="126"/>
      <c r="H472" s="126"/>
      <c r="I472" s="126"/>
      <c r="J472" s="126"/>
      <c r="K472" s="127"/>
      <c r="L472" s="128"/>
      <c r="M472" s="129"/>
      <c r="N472" s="95"/>
      <c r="O472" s="95"/>
      <c r="P472" s="130"/>
    </row>
    <row r="473" spans="2:16" s="89" customFormat="1" ht="12.75">
      <c r="B473" s="125"/>
      <c r="C473" s="126"/>
      <c r="D473" s="126"/>
      <c r="E473" s="126"/>
      <c r="F473" s="126"/>
      <c r="G473" s="126"/>
      <c r="H473" s="126"/>
      <c r="I473" s="126"/>
      <c r="J473" s="126"/>
      <c r="K473" s="127"/>
      <c r="L473" s="128"/>
      <c r="M473" s="129"/>
      <c r="N473" s="95"/>
      <c r="O473" s="95"/>
      <c r="P473" s="130"/>
    </row>
    <row r="474" spans="2:16" s="89" customFormat="1" ht="12.75">
      <c r="B474" s="125"/>
      <c r="C474" s="126"/>
      <c r="D474" s="126"/>
      <c r="E474" s="126"/>
      <c r="F474" s="126"/>
      <c r="G474" s="126"/>
      <c r="H474" s="126"/>
      <c r="I474" s="126"/>
      <c r="J474" s="126"/>
      <c r="K474" s="127"/>
      <c r="L474" s="128"/>
      <c r="M474" s="129"/>
      <c r="N474" s="95"/>
      <c r="O474" s="95"/>
      <c r="P474" s="130"/>
    </row>
    <row r="475" spans="2:16" s="89" customFormat="1" ht="12.75">
      <c r="B475" s="125"/>
      <c r="C475" s="126"/>
      <c r="D475" s="126"/>
      <c r="E475" s="126"/>
      <c r="F475" s="126"/>
      <c r="G475" s="126"/>
      <c r="H475" s="126"/>
      <c r="I475" s="126"/>
      <c r="J475" s="126"/>
      <c r="K475" s="127"/>
      <c r="L475" s="128"/>
      <c r="M475" s="129"/>
      <c r="N475" s="95"/>
      <c r="O475" s="95"/>
      <c r="P475" s="130"/>
    </row>
    <row r="476" spans="2:16" s="89" customFormat="1" ht="12.75">
      <c r="B476" s="125"/>
      <c r="C476" s="126"/>
      <c r="D476" s="126"/>
      <c r="E476" s="126"/>
      <c r="F476" s="126"/>
      <c r="G476" s="126"/>
      <c r="H476" s="126"/>
      <c r="I476" s="126"/>
      <c r="J476" s="126"/>
      <c r="K476" s="127"/>
      <c r="L476" s="128"/>
      <c r="M476" s="129"/>
      <c r="N476" s="95"/>
      <c r="O476" s="95"/>
      <c r="P476" s="130"/>
    </row>
    <row r="477" spans="2:16" s="89" customFormat="1" ht="12.75">
      <c r="B477" s="125"/>
      <c r="C477" s="126"/>
      <c r="D477" s="126"/>
      <c r="E477" s="126"/>
      <c r="F477" s="126"/>
      <c r="G477" s="126"/>
      <c r="H477" s="126"/>
      <c r="I477" s="126"/>
      <c r="J477" s="126"/>
      <c r="K477" s="127"/>
      <c r="L477" s="128"/>
      <c r="M477" s="129"/>
      <c r="N477" s="95"/>
      <c r="O477" s="95"/>
      <c r="P477" s="130"/>
    </row>
    <row r="478" spans="2:16" s="89" customFormat="1" ht="12.75">
      <c r="B478" s="125"/>
      <c r="C478" s="126"/>
      <c r="D478" s="126"/>
      <c r="E478" s="126"/>
      <c r="F478" s="126"/>
      <c r="G478" s="126"/>
      <c r="H478" s="126"/>
      <c r="I478" s="126"/>
      <c r="J478" s="126"/>
      <c r="K478" s="127"/>
      <c r="L478" s="128"/>
      <c r="M478" s="129"/>
      <c r="N478" s="95"/>
      <c r="O478" s="95"/>
      <c r="P478" s="130"/>
    </row>
    <row r="479" spans="2:16" s="89" customFormat="1" ht="12.75">
      <c r="B479" s="125"/>
      <c r="C479" s="126"/>
      <c r="D479" s="126"/>
      <c r="E479" s="126"/>
      <c r="F479" s="126"/>
      <c r="G479" s="126"/>
      <c r="H479" s="126"/>
      <c r="I479" s="126"/>
      <c r="J479" s="126"/>
      <c r="K479" s="127"/>
      <c r="L479" s="128"/>
      <c r="M479" s="129"/>
      <c r="N479" s="95"/>
      <c r="O479" s="95"/>
      <c r="P479" s="130"/>
    </row>
    <row r="480" spans="2:16" s="89" customFormat="1" ht="12.75">
      <c r="B480" s="125"/>
      <c r="C480" s="126"/>
      <c r="D480" s="126"/>
      <c r="E480" s="126"/>
      <c r="F480" s="126"/>
      <c r="G480" s="126"/>
      <c r="H480" s="126"/>
      <c r="I480" s="126"/>
      <c r="J480" s="126"/>
      <c r="K480" s="127"/>
      <c r="L480" s="128"/>
      <c r="M480" s="129"/>
      <c r="N480" s="95"/>
      <c r="O480" s="95"/>
      <c r="P480" s="130"/>
    </row>
    <row r="481" spans="2:16" s="89" customFormat="1" ht="12.75">
      <c r="B481" s="125"/>
      <c r="C481" s="126"/>
      <c r="D481" s="126"/>
      <c r="E481" s="126"/>
      <c r="F481" s="126"/>
      <c r="G481" s="126"/>
      <c r="H481" s="126"/>
      <c r="I481" s="126"/>
      <c r="J481" s="126"/>
      <c r="K481" s="127"/>
      <c r="L481" s="128"/>
      <c r="M481" s="129"/>
      <c r="N481" s="95"/>
      <c r="O481" s="95"/>
      <c r="P481" s="130"/>
    </row>
    <row r="482" spans="2:16" s="89" customFormat="1" ht="12.75">
      <c r="B482" s="125"/>
      <c r="C482" s="126"/>
      <c r="D482" s="126"/>
      <c r="E482" s="126"/>
      <c r="F482" s="126"/>
      <c r="G482" s="126"/>
      <c r="H482" s="126"/>
      <c r="I482" s="126"/>
      <c r="J482" s="126"/>
      <c r="K482" s="127"/>
      <c r="L482" s="128"/>
      <c r="M482" s="129"/>
      <c r="N482" s="95"/>
      <c r="O482" s="95"/>
      <c r="P482" s="130"/>
    </row>
    <row r="483" spans="2:16" s="89" customFormat="1" ht="12.75">
      <c r="B483" s="125"/>
      <c r="C483" s="126"/>
      <c r="D483" s="126"/>
      <c r="E483" s="126"/>
      <c r="F483" s="126"/>
      <c r="G483" s="126"/>
      <c r="H483" s="126"/>
      <c r="I483" s="126"/>
      <c r="J483" s="126"/>
      <c r="K483" s="127"/>
      <c r="L483" s="128"/>
      <c r="M483" s="129"/>
      <c r="N483" s="95"/>
      <c r="O483" s="95"/>
      <c r="P483" s="130"/>
    </row>
    <row r="484" spans="2:16" s="89" customFormat="1" ht="12.75">
      <c r="B484" s="125"/>
      <c r="C484" s="126"/>
      <c r="D484" s="126"/>
      <c r="E484" s="126"/>
      <c r="F484" s="126"/>
      <c r="G484" s="126"/>
      <c r="H484" s="126"/>
      <c r="I484" s="126"/>
      <c r="J484" s="126"/>
      <c r="K484" s="127"/>
      <c r="L484" s="128"/>
      <c r="M484" s="129"/>
      <c r="N484" s="95"/>
      <c r="O484" s="95"/>
      <c r="P484" s="130"/>
    </row>
    <row r="485" spans="2:16" s="89" customFormat="1" ht="12.75">
      <c r="B485" s="125"/>
      <c r="C485" s="126"/>
      <c r="D485" s="126"/>
      <c r="E485" s="126"/>
      <c r="F485" s="126"/>
      <c r="G485" s="126"/>
      <c r="H485" s="126"/>
      <c r="I485" s="126"/>
      <c r="J485" s="126"/>
      <c r="K485" s="127"/>
      <c r="L485" s="128"/>
      <c r="M485" s="129"/>
      <c r="N485" s="95"/>
      <c r="O485" s="95"/>
      <c r="P485" s="130"/>
    </row>
    <row r="486" spans="2:16" s="89" customFormat="1" ht="12.75">
      <c r="B486" s="125"/>
      <c r="C486" s="126"/>
      <c r="D486" s="126"/>
      <c r="E486" s="126"/>
      <c r="F486" s="126"/>
      <c r="G486" s="126"/>
      <c r="H486" s="126"/>
      <c r="I486" s="126"/>
      <c r="J486" s="126"/>
      <c r="K486" s="127"/>
      <c r="L486" s="128"/>
      <c r="M486" s="129"/>
      <c r="N486" s="95"/>
      <c r="O486" s="95"/>
      <c r="P486" s="130"/>
    </row>
    <row r="487" spans="2:16" s="89" customFormat="1" ht="12.75">
      <c r="B487" s="125"/>
      <c r="C487" s="126"/>
      <c r="D487" s="126"/>
      <c r="E487" s="126"/>
      <c r="F487" s="126"/>
      <c r="G487" s="126"/>
      <c r="H487" s="126"/>
      <c r="I487" s="126"/>
      <c r="J487" s="126"/>
      <c r="K487" s="127"/>
      <c r="L487" s="128"/>
      <c r="M487" s="129"/>
      <c r="N487" s="95"/>
      <c r="O487" s="95"/>
      <c r="P487" s="130"/>
    </row>
    <row r="488" spans="2:16" s="89" customFormat="1" ht="12.75">
      <c r="B488" s="125"/>
      <c r="C488" s="126"/>
      <c r="D488" s="126"/>
      <c r="E488" s="126"/>
      <c r="F488" s="126"/>
      <c r="G488" s="126"/>
      <c r="H488" s="126"/>
      <c r="I488" s="126"/>
      <c r="J488" s="126"/>
      <c r="K488" s="127"/>
      <c r="L488" s="128"/>
      <c r="M488" s="129"/>
      <c r="N488" s="95"/>
      <c r="O488" s="95"/>
      <c r="P488" s="130"/>
    </row>
    <row r="489" spans="2:16" s="89" customFormat="1" ht="12.75">
      <c r="B489" s="125"/>
      <c r="C489" s="126"/>
      <c r="D489" s="126"/>
      <c r="E489" s="126"/>
      <c r="F489" s="126"/>
      <c r="G489" s="126"/>
      <c r="H489" s="126"/>
      <c r="I489" s="126"/>
      <c r="J489" s="126"/>
      <c r="K489" s="127"/>
      <c r="L489" s="128"/>
      <c r="M489" s="129"/>
      <c r="N489" s="95"/>
      <c r="O489" s="95"/>
      <c r="P489" s="130"/>
    </row>
    <row r="490" spans="2:16" s="89" customFormat="1" ht="12.75">
      <c r="B490" s="125"/>
      <c r="C490" s="126"/>
      <c r="D490" s="126"/>
      <c r="E490" s="126"/>
      <c r="F490" s="126"/>
      <c r="G490" s="126"/>
      <c r="H490" s="126"/>
      <c r="I490" s="126"/>
      <c r="J490" s="126"/>
      <c r="K490" s="127"/>
      <c r="L490" s="128"/>
      <c r="M490" s="129"/>
      <c r="N490" s="95"/>
      <c r="O490" s="95"/>
      <c r="P490" s="130"/>
    </row>
    <row r="491" spans="2:16" s="89" customFormat="1" ht="12.75">
      <c r="B491" s="125"/>
      <c r="C491" s="126"/>
      <c r="D491" s="126"/>
      <c r="E491" s="126"/>
      <c r="F491" s="126"/>
      <c r="G491" s="126"/>
      <c r="H491" s="126"/>
      <c r="I491" s="126"/>
      <c r="J491" s="126"/>
      <c r="K491" s="127"/>
      <c r="L491" s="128"/>
      <c r="M491" s="129"/>
      <c r="N491" s="95"/>
      <c r="O491" s="95"/>
      <c r="P491" s="130"/>
    </row>
    <row r="492" spans="2:16" s="89" customFormat="1" ht="12.75">
      <c r="B492" s="125"/>
      <c r="C492" s="126"/>
      <c r="D492" s="126"/>
      <c r="E492" s="126"/>
      <c r="F492" s="126"/>
      <c r="G492" s="126"/>
      <c r="H492" s="126"/>
      <c r="I492" s="126"/>
      <c r="J492" s="126"/>
      <c r="K492" s="127"/>
      <c r="L492" s="128"/>
      <c r="M492" s="129"/>
      <c r="N492" s="95"/>
      <c r="O492" s="95"/>
      <c r="P492" s="130"/>
    </row>
    <row r="493" spans="2:16" s="89" customFormat="1" ht="12.75">
      <c r="B493" s="125"/>
      <c r="C493" s="126"/>
      <c r="D493" s="126"/>
      <c r="E493" s="126"/>
      <c r="F493" s="126"/>
      <c r="G493" s="126"/>
      <c r="H493" s="126"/>
      <c r="I493" s="126"/>
      <c r="J493" s="126"/>
      <c r="K493" s="127"/>
      <c r="L493" s="128"/>
      <c r="M493" s="129"/>
      <c r="N493" s="95"/>
      <c r="O493" s="95"/>
      <c r="P493" s="130"/>
    </row>
    <row r="494" spans="2:16" s="89" customFormat="1" ht="12.75">
      <c r="B494" s="125"/>
      <c r="C494" s="126"/>
      <c r="D494" s="126"/>
      <c r="E494" s="126"/>
      <c r="F494" s="126"/>
      <c r="G494" s="126"/>
      <c r="H494" s="126"/>
      <c r="I494" s="126"/>
      <c r="J494" s="126"/>
      <c r="K494" s="127"/>
      <c r="L494" s="128"/>
      <c r="M494" s="129"/>
      <c r="N494" s="95"/>
      <c r="O494" s="95"/>
      <c r="P494" s="130"/>
    </row>
    <row r="495" spans="2:16" s="89" customFormat="1" ht="12.75">
      <c r="B495" s="125"/>
      <c r="C495" s="126"/>
      <c r="D495" s="126"/>
      <c r="E495" s="126"/>
      <c r="F495" s="126"/>
      <c r="G495" s="126"/>
      <c r="H495" s="126"/>
      <c r="I495" s="126"/>
      <c r="J495" s="126"/>
      <c r="K495" s="127"/>
      <c r="L495" s="128"/>
      <c r="M495" s="129"/>
      <c r="N495" s="95"/>
      <c r="O495" s="95"/>
      <c r="P495" s="130"/>
    </row>
    <row r="496" spans="2:16" s="89" customFormat="1" ht="12.75">
      <c r="B496" s="125"/>
      <c r="C496" s="126"/>
      <c r="D496" s="126"/>
      <c r="E496" s="126"/>
      <c r="F496" s="126"/>
      <c r="G496" s="126"/>
      <c r="H496" s="126"/>
      <c r="I496" s="126"/>
      <c r="J496" s="126"/>
      <c r="K496" s="127"/>
      <c r="L496" s="128"/>
      <c r="M496" s="129"/>
      <c r="N496" s="95"/>
      <c r="O496" s="95"/>
      <c r="P496" s="130"/>
    </row>
    <row r="497" spans="2:16" s="89" customFormat="1" ht="12.75">
      <c r="B497" s="125"/>
      <c r="C497" s="126"/>
      <c r="D497" s="126"/>
      <c r="E497" s="126"/>
      <c r="F497" s="126"/>
      <c r="G497" s="126"/>
      <c r="H497" s="126"/>
      <c r="I497" s="126"/>
      <c r="J497" s="126"/>
      <c r="K497" s="127"/>
      <c r="L497" s="128"/>
      <c r="M497" s="129"/>
      <c r="N497" s="95"/>
      <c r="O497" s="95"/>
      <c r="P497" s="130"/>
    </row>
    <row r="498" spans="2:16" s="89" customFormat="1" ht="12.75">
      <c r="B498" s="125"/>
      <c r="C498" s="126"/>
      <c r="D498" s="126"/>
      <c r="E498" s="126"/>
      <c r="F498" s="126"/>
      <c r="G498" s="126"/>
      <c r="H498" s="126"/>
      <c r="I498" s="126"/>
      <c r="J498" s="126"/>
      <c r="K498" s="127"/>
      <c r="L498" s="128"/>
      <c r="M498" s="129"/>
      <c r="N498" s="95"/>
      <c r="O498" s="95"/>
      <c r="P498" s="130"/>
    </row>
    <row r="499" spans="2:16" s="89" customFormat="1" ht="12.75">
      <c r="B499" s="125"/>
      <c r="C499" s="126"/>
      <c r="D499" s="126"/>
      <c r="E499" s="126"/>
      <c r="F499" s="126"/>
      <c r="G499" s="126"/>
      <c r="H499" s="126"/>
      <c r="I499" s="126"/>
      <c r="J499" s="126"/>
      <c r="K499" s="127"/>
      <c r="L499" s="128"/>
      <c r="M499" s="129"/>
      <c r="N499" s="95"/>
      <c r="O499" s="95"/>
      <c r="P499" s="130"/>
    </row>
    <row r="500" spans="2:16" s="89" customFormat="1" ht="12.75">
      <c r="B500" s="125"/>
      <c r="C500" s="126"/>
      <c r="D500" s="126"/>
      <c r="E500" s="126"/>
      <c r="F500" s="126"/>
      <c r="G500" s="126"/>
      <c r="H500" s="126"/>
      <c r="I500" s="126"/>
      <c r="J500" s="126"/>
      <c r="K500" s="127"/>
      <c r="L500" s="128"/>
      <c r="M500" s="129"/>
      <c r="N500" s="95"/>
      <c r="O500" s="95"/>
      <c r="P500" s="130"/>
    </row>
    <row r="501" spans="2:16" s="89" customFormat="1" ht="12.75">
      <c r="B501" s="125"/>
      <c r="C501" s="126"/>
      <c r="D501" s="126"/>
      <c r="E501" s="126"/>
      <c r="F501" s="126"/>
      <c r="G501" s="126"/>
      <c r="H501" s="126"/>
      <c r="I501" s="126"/>
      <c r="J501" s="126"/>
      <c r="K501" s="127"/>
      <c r="L501" s="128"/>
      <c r="M501" s="129"/>
      <c r="N501" s="95"/>
      <c r="O501" s="95"/>
      <c r="P501" s="130"/>
    </row>
    <row r="502" spans="2:16" s="89" customFormat="1" ht="12.75">
      <c r="B502" s="125"/>
      <c r="C502" s="126"/>
      <c r="D502" s="126"/>
      <c r="E502" s="126"/>
      <c r="F502" s="126"/>
      <c r="G502" s="126"/>
      <c r="H502" s="126"/>
      <c r="I502" s="126"/>
      <c r="J502" s="126"/>
      <c r="K502" s="127"/>
      <c r="L502" s="128"/>
      <c r="M502" s="129"/>
      <c r="N502" s="95"/>
      <c r="O502" s="95"/>
      <c r="P502" s="130"/>
    </row>
    <row r="503" spans="2:16" s="89" customFormat="1" ht="12.75">
      <c r="B503" s="125"/>
      <c r="C503" s="126"/>
      <c r="D503" s="126"/>
      <c r="E503" s="126"/>
      <c r="F503" s="126"/>
      <c r="G503" s="126"/>
      <c r="H503" s="126"/>
      <c r="I503" s="126"/>
      <c r="J503" s="126"/>
      <c r="K503" s="127"/>
      <c r="L503" s="128"/>
      <c r="M503" s="129"/>
      <c r="N503" s="95"/>
      <c r="O503" s="95"/>
      <c r="P503" s="130"/>
    </row>
    <row r="504" spans="2:16" s="89" customFormat="1" ht="12.75">
      <c r="B504" s="125"/>
      <c r="C504" s="126"/>
      <c r="D504" s="126"/>
      <c r="E504" s="126"/>
      <c r="F504" s="126"/>
      <c r="G504" s="126"/>
      <c r="H504" s="126"/>
      <c r="I504" s="126"/>
      <c r="J504" s="126"/>
      <c r="K504" s="127"/>
      <c r="L504" s="128"/>
      <c r="M504" s="129"/>
      <c r="N504" s="95"/>
      <c r="O504" s="95"/>
      <c r="P504" s="130"/>
    </row>
    <row r="505" spans="2:16" s="89" customFormat="1" ht="12.75">
      <c r="B505" s="125"/>
      <c r="C505" s="126"/>
      <c r="D505" s="126"/>
      <c r="E505" s="126"/>
      <c r="F505" s="126"/>
      <c r="G505" s="126"/>
      <c r="H505" s="126"/>
      <c r="I505" s="126"/>
      <c r="J505" s="126"/>
      <c r="K505" s="127"/>
      <c r="L505" s="128"/>
      <c r="M505" s="129"/>
      <c r="N505" s="95"/>
      <c r="O505" s="95"/>
      <c r="P505" s="130"/>
    </row>
    <row r="506" spans="2:16" s="89" customFormat="1" ht="12.75">
      <c r="B506" s="125"/>
      <c r="C506" s="126"/>
      <c r="D506" s="126"/>
      <c r="E506" s="126"/>
      <c r="F506" s="126"/>
      <c r="G506" s="126"/>
      <c r="H506" s="126"/>
      <c r="I506" s="126"/>
      <c r="J506" s="126"/>
      <c r="K506" s="127"/>
      <c r="L506" s="128"/>
      <c r="M506" s="129"/>
      <c r="N506" s="95"/>
      <c r="O506" s="95"/>
      <c r="P506" s="130"/>
    </row>
    <row r="507" spans="2:16" s="89" customFormat="1" ht="12.75">
      <c r="B507" s="125"/>
      <c r="C507" s="126"/>
      <c r="D507" s="126"/>
      <c r="E507" s="126"/>
      <c r="F507" s="126"/>
      <c r="G507" s="126"/>
      <c r="H507" s="126"/>
      <c r="I507" s="126"/>
      <c r="J507" s="126"/>
      <c r="K507" s="127"/>
      <c r="L507" s="128"/>
      <c r="M507" s="129"/>
      <c r="N507" s="95"/>
      <c r="O507" s="95"/>
      <c r="P507" s="130"/>
    </row>
    <row r="508" spans="2:16" s="89" customFormat="1" ht="12.75">
      <c r="B508" s="125"/>
      <c r="C508" s="126"/>
      <c r="D508" s="126"/>
      <c r="E508" s="126"/>
      <c r="F508" s="126"/>
      <c r="G508" s="126"/>
      <c r="H508" s="126"/>
      <c r="I508" s="126"/>
      <c r="J508" s="126"/>
      <c r="K508" s="127"/>
      <c r="L508" s="128"/>
      <c r="M508" s="129"/>
      <c r="N508" s="95"/>
      <c r="O508" s="95"/>
      <c r="P508" s="130"/>
    </row>
    <row r="509" spans="2:16" s="89" customFormat="1" ht="12.75">
      <c r="B509" s="125"/>
      <c r="C509" s="126"/>
      <c r="D509" s="126"/>
      <c r="E509" s="126"/>
      <c r="F509" s="126"/>
      <c r="G509" s="126"/>
      <c r="H509" s="126"/>
      <c r="I509" s="126"/>
      <c r="J509" s="126"/>
      <c r="K509" s="127"/>
      <c r="L509" s="128"/>
      <c r="M509" s="129"/>
      <c r="N509" s="95"/>
      <c r="O509" s="95"/>
      <c r="P509" s="130"/>
    </row>
    <row r="510" spans="2:16" s="89" customFormat="1" ht="12.75">
      <c r="B510" s="125"/>
      <c r="C510" s="126"/>
      <c r="D510" s="126"/>
      <c r="E510" s="126"/>
      <c r="F510" s="126"/>
      <c r="G510" s="126"/>
      <c r="H510" s="126"/>
      <c r="I510" s="126"/>
      <c r="J510" s="126"/>
      <c r="K510" s="127"/>
      <c r="L510" s="128"/>
      <c r="M510" s="129"/>
      <c r="N510" s="95"/>
      <c r="O510" s="95"/>
      <c r="P510" s="130"/>
    </row>
    <row r="511" spans="2:16" s="89" customFormat="1" ht="12.75">
      <c r="B511" s="125"/>
      <c r="C511" s="126"/>
      <c r="D511" s="126"/>
      <c r="E511" s="126"/>
      <c r="F511" s="126"/>
      <c r="G511" s="126"/>
      <c r="H511" s="126"/>
      <c r="I511" s="126"/>
      <c r="J511" s="126"/>
      <c r="K511" s="127"/>
      <c r="L511" s="128"/>
      <c r="M511" s="129"/>
      <c r="N511" s="95"/>
      <c r="O511" s="95"/>
      <c r="P511" s="130"/>
    </row>
    <row r="512" spans="2:16" s="89" customFormat="1" ht="12.75">
      <c r="B512" s="125"/>
      <c r="C512" s="126"/>
      <c r="D512" s="126"/>
      <c r="E512" s="126"/>
      <c r="F512" s="126"/>
      <c r="G512" s="126"/>
      <c r="H512" s="126"/>
      <c r="I512" s="126"/>
      <c r="J512" s="126"/>
      <c r="K512" s="127"/>
      <c r="L512" s="128"/>
      <c r="M512" s="129"/>
      <c r="N512" s="95"/>
      <c r="O512" s="95"/>
      <c r="P512" s="130"/>
    </row>
    <row r="513" spans="2:16" s="89" customFormat="1" ht="12.75">
      <c r="B513" s="125"/>
      <c r="C513" s="126"/>
      <c r="D513" s="126"/>
      <c r="E513" s="126"/>
      <c r="F513" s="126"/>
      <c r="G513" s="126"/>
      <c r="H513" s="126"/>
      <c r="I513" s="126"/>
      <c r="J513" s="126"/>
      <c r="K513" s="127"/>
      <c r="L513" s="128"/>
      <c r="M513" s="129"/>
      <c r="N513" s="95"/>
      <c r="O513" s="95"/>
      <c r="P513" s="130"/>
    </row>
    <row r="514" spans="2:16" s="89" customFormat="1" ht="12.75">
      <c r="B514" s="125"/>
      <c r="C514" s="126"/>
      <c r="D514" s="126"/>
      <c r="E514" s="126"/>
      <c r="F514" s="126"/>
      <c r="G514" s="126"/>
      <c r="H514" s="126"/>
      <c r="I514" s="126"/>
      <c r="J514" s="126"/>
      <c r="K514" s="127"/>
      <c r="L514" s="128"/>
      <c r="M514" s="129"/>
      <c r="N514" s="95"/>
      <c r="O514" s="95"/>
      <c r="P514" s="130"/>
    </row>
    <row r="515" spans="2:16" s="89" customFormat="1" ht="12.75">
      <c r="B515" s="125"/>
      <c r="C515" s="126"/>
      <c r="D515" s="126"/>
      <c r="E515" s="126"/>
      <c r="F515" s="126"/>
      <c r="G515" s="126"/>
      <c r="H515" s="126"/>
      <c r="I515" s="126"/>
      <c r="J515" s="126"/>
      <c r="K515" s="127"/>
      <c r="L515" s="128"/>
      <c r="M515" s="129"/>
      <c r="N515" s="95"/>
      <c r="O515" s="95"/>
      <c r="P515" s="130"/>
    </row>
    <row r="516" spans="2:16" s="89" customFormat="1" ht="12.75">
      <c r="B516" s="125"/>
      <c r="C516" s="126"/>
      <c r="D516" s="126"/>
      <c r="E516" s="126"/>
      <c r="F516" s="126"/>
      <c r="G516" s="126"/>
      <c r="H516" s="126"/>
      <c r="I516" s="126"/>
      <c r="J516" s="126"/>
      <c r="K516" s="127"/>
      <c r="L516" s="128"/>
      <c r="M516" s="129"/>
      <c r="N516" s="95"/>
      <c r="O516" s="95"/>
      <c r="P516" s="130"/>
    </row>
    <row r="517" spans="2:16" s="89" customFormat="1" ht="12.75">
      <c r="B517" s="125"/>
      <c r="C517" s="126"/>
      <c r="D517" s="126"/>
      <c r="E517" s="126"/>
      <c r="F517" s="126"/>
      <c r="G517" s="126"/>
      <c r="H517" s="126"/>
      <c r="I517" s="126"/>
      <c r="J517" s="126"/>
      <c r="K517" s="127"/>
      <c r="L517" s="128"/>
      <c r="M517" s="129"/>
      <c r="N517" s="95"/>
      <c r="O517" s="95"/>
      <c r="P517" s="130"/>
    </row>
    <row r="518" spans="2:16" s="89" customFormat="1" ht="12.75">
      <c r="B518" s="125"/>
      <c r="C518" s="126"/>
      <c r="D518" s="126"/>
      <c r="E518" s="126"/>
      <c r="F518" s="126"/>
      <c r="G518" s="126"/>
      <c r="H518" s="126"/>
      <c r="I518" s="126"/>
      <c r="J518" s="126"/>
      <c r="K518" s="127"/>
      <c r="L518" s="128"/>
      <c r="M518" s="129"/>
      <c r="N518" s="95"/>
      <c r="O518" s="95"/>
      <c r="P518" s="130"/>
    </row>
    <row r="519" spans="2:16" s="89" customFormat="1" ht="12.75">
      <c r="B519" s="125"/>
      <c r="C519" s="126"/>
      <c r="D519" s="126"/>
      <c r="E519" s="126"/>
      <c r="F519" s="126"/>
      <c r="G519" s="126"/>
      <c r="H519" s="126"/>
      <c r="I519" s="126"/>
      <c r="J519" s="126"/>
      <c r="K519" s="127"/>
      <c r="L519" s="128"/>
      <c r="M519" s="129"/>
      <c r="N519" s="95"/>
      <c r="O519" s="95"/>
      <c r="P519" s="130"/>
    </row>
    <row r="520" spans="2:16" s="89" customFormat="1" ht="12.75">
      <c r="B520" s="125"/>
      <c r="C520" s="126"/>
      <c r="D520" s="126"/>
      <c r="E520" s="126"/>
      <c r="F520" s="126"/>
      <c r="G520" s="126"/>
      <c r="H520" s="126"/>
      <c r="I520" s="126"/>
      <c r="J520" s="126"/>
      <c r="K520" s="127"/>
      <c r="L520" s="128"/>
      <c r="M520" s="129"/>
      <c r="N520" s="95"/>
      <c r="O520" s="95"/>
      <c r="P520" s="130"/>
    </row>
    <row r="521" spans="2:16" s="89" customFormat="1" ht="12.75">
      <c r="B521" s="125"/>
      <c r="C521" s="126"/>
      <c r="D521" s="126"/>
      <c r="E521" s="126"/>
      <c r="F521" s="126"/>
      <c r="G521" s="126"/>
      <c r="H521" s="126"/>
      <c r="I521" s="126"/>
      <c r="J521" s="126"/>
      <c r="K521" s="127"/>
      <c r="L521" s="128"/>
      <c r="M521" s="129"/>
      <c r="N521" s="95"/>
      <c r="O521" s="95"/>
      <c r="P521" s="130"/>
    </row>
    <row r="522" spans="2:16" s="89" customFormat="1" ht="12.75">
      <c r="B522" s="125"/>
      <c r="C522" s="126"/>
      <c r="D522" s="126"/>
      <c r="E522" s="126"/>
      <c r="F522" s="126"/>
      <c r="G522" s="126"/>
      <c r="H522" s="126"/>
      <c r="I522" s="126"/>
      <c r="J522" s="126"/>
      <c r="K522" s="127"/>
      <c r="L522" s="128"/>
      <c r="M522" s="129"/>
      <c r="N522" s="95"/>
      <c r="O522" s="95"/>
      <c r="P522" s="130"/>
    </row>
    <row r="523" spans="2:16" s="89" customFormat="1" ht="12.75">
      <c r="B523" s="125"/>
      <c r="C523" s="126"/>
      <c r="D523" s="126"/>
      <c r="E523" s="126"/>
      <c r="F523" s="126"/>
      <c r="G523" s="126"/>
      <c r="H523" s="126"/>
      <c r="I523" s="126"/>
      <c r="J523" s="126"/>
      <c r="K523" s="127"/>
      <c r="L523" s="128"/>
      <c r="M523" s="129"/>
      <c r="N523" s="95"/>
      <c r="O523" s="95"/>
      <c r="P523" s="130"/>
    </row>
    <row r="524" spans="2:16" s="89" customFormat="1" ht="12.75">
      <c r="B524" s="125"/>
      <c r="C524" s="126"/>
      <c r="D524" s="126"/>
      <c r="E524" s="126"/>
      <c r="F524" s="126"/>
      <c r="G524" s="126"/>
      <c r="H524" s="126"/>
      <c r="I524" s="126"/>
      <c r="J524" s="126"/>
      <c r="K524" s="127"/>
      <c r="L524" s="128"/>
      <c r="M524" s="129"/>
      <c r="N524" s="95"/>
      <c r="O524" s="95"/>
      <c r="P524" s="130"/>
    </row>
    <row r="525" spans="2:16" s="89" customFormat="1" ht="12.75">
      <c r="B525" s="125"/>
      <c r="C525" s="126"/>
      <c r="D525" s="126"/>
      <c r="E525" s="126"/>
      <c r="F525" s="126"/>
      <c r="G525" s="126"/>
      <c r="H525" s="126"/>
      <c r="I525" s="126"/>
      <c r="J525" s="126"/>
      <c r="K525" s="127"/>
      <c r="L525" s="128"/>
      <c r="M525" s="129"/>
      <c r="N525" s="95"/>
      <c r="O525" s="95"/>
      <c r="P525" s="130"/>
    </row>
    <row r="526" spans="2:16" s="89" customFormat="1" ht="12.75">
      <c r="B526" s="125"/>
      <c r="C526" s="126"/>
      <c r="D526" s="126"/>
      <c r="E526" s="126"/>
      <c r="F526" s="126"/>
      <c r="G526" s="126"/>
      <c r="H526" s="126"/>
      <c r="I526" s="126"/>
      <c r="J526" s="126"/>
      <c r="K526" s="127"/>
      <c r="L526" s="128"/>
      <c r="M526" s="129"/>
      <c r="N526" s="95"/>
      <c r="O526" s="95"/>
      <c r="P526" s="130"/>
    </row>
    <row r="527" spans="2:16" s="89" customFormat="1" ht="12.75">
      <c r="B527" s="125"/>
      <c r="C527" s="126"/>
      <c r="D527" s="126"/>
      <c r="E527" s="126"/>
      <c r="F527" s="126"/>
      <c r="G527" s="126"/>
      <c r="H527" s="126"/>
      <c r="I527" s="126"/>
      <c r="J527" s="126"/>
      <c r="K527" s="127"/>
      <c r="L527" s="128"/>
      <c r="M527" s="129"/>
      <c r="N527" s="95"/>
      <c r="O527" s="95"/>
      <c r="P527" s="130"/>
    </row>
    <row r="528" spans="2:16" s="89" customFormat="1" ht="12.75">
      <c r="B528" s="125"/>
      <c r="C528" s="126"/>
      <c r="D528" s="126"/>
      <c r="E528" s="126"/>
      <c r="F528" s="126"/>
      <c r="G528" s="126"/>
      <c r="H528" s="126"/>
      <c r="I528" s="126"/>
      <c r="J528" s="126"/>
      <c r="K528" s="127"/>
      <c r="L528" s="128"/>
      <c r="M528" s="129"/>
      <c r="N528" s="95"/>
      <c r="O528" s="95"/>
      <c r="P528" s="130"/>
    </row>
    <row r="529" spans="2:16" s="89" customFormat="1" ht="12.75">
      <c r="B529" s="125"/>
      <c r="C529" s="126"/>
      <c r="D529" s="126"/>
      <c r="E529" s="126"/>
      <c r="F529" s="126"/>
      <c r="G529" s="126"/>
      <c r="H529" s="126"/>
      <c r="I529" s="126"/>
      <c r="J529" s="126"/>
      <c r="K529" s="127"/>
      <c r="L529" s="128"/>
      <c r="M529" s="129"/>
      <c r="N529" s="95"/>
      <c r="O529" s="95"/>
      <c r="P529" s="130"/>
    </row>
    <row r="530" spans="2:16" s="89" customFormat="1" ht="12.75">
      <c r="B530" s="125"/>
      <c r="C530" s="126"/>
      <c r="D530" s="126"/>
      <c r="E530" s="126"/>
      <c r="F530" s="126"/>
      <c r="G530" s="126"/>
      <c r="H530" s="126"/>
      <c r="I530" s="126"/>
      <c r="J530" s="126"/>
      <c r="K530" s="127"/>
      <c r="L530" s="128"/>
      <c r="M530" s="129"/>
      <c r="N530" s="95"/>
      <c r="O530" s="95"/>
      <c r="P530" s="130"/>
    </row>
    <row r="531" spans="2:16" s="89" customFormat="1" ht="12.75">
      <c r="B531" s="125"/>
      <c r="C531" s="126"/>
      <c r="D531" s="126"/>
      <c r="E531" s="126"/>
      <c r="F531" s="126"/>
      <c r="G531" s="126"/>
      <c r="H531" s="126"/>
      <c r="I531" s="126"/>
      <c r="J531" s="126"/>
      <c r="K531" s="127"/>
      <c r="L531" s="128"/>
      <c r="M531" s="129"/>
      <c r="N531" s="95"/>
      <c r="O531" s="95"/>
      <c r="P531" s="130"/>
    </row>
    <row r="532" spans="2:16" s="89" customFormat="1" ht="12.75">
      <c r="B532" s="125"/>
      <c r="C532" s="126"/>
      <c r="D532" s="126"/>
      <c r="E532" s="126"/>
      <c r="F532" s="126"/>
      <c r="G532" s="126"/>
      <c r="H532" s="126"/>
      <c r="I532" s="126"/>
      <c r="J532" s="126"/>
      <c r="K532" s="127"/>
      <c r="L532" s="128"/>
      <c r="M532" s="129"/>
      <c r="N532" s="95"/>
      <c r="O532" s="95"/>
      <c r="P532" s="130"/>
    </row>
    <row r="533" spans="2:16" s="89" customFormat="1" ht="12.75">
      <c r="B533" s="125"/>
      <c r="C533" s="126"/>
      <c r="D533" s="126"/>
      <c r="E533" s="126"/>
      <c r="F533" s="126"/>
      <c r="G533" s="126"/>
      <c r="H533" s="126"/>
      <c r="I533" s="126"/>
      <c r="J533" s="126"/>
      <c r="K533" s="127"/>
      <c r="L533" s="128"/>
      <c r="M533" s="129"/>
      <c r="N533" s="95"/>
      <c r="O533" s="95"/>
      <c r="P533" s="130"/>
    </row>
    <row r="534" spans="2:16" s="89" customFormat="1" ht="12.75">
      <c r="B534" s="125"/>
      <c r="C534" s="126"/>
      <c r="D534" s="126"/>
      <c r="E534" s="126"/>
      <c r="F534" s="126"/>
      <c r="G534" s="126"/>
      <c r="H534" s="126"/>
      <c r="I534" s="126"/>
      <c r="J534" s="126"/>
      <c r="K534" s="127"/>
      <c r="L534" s="128"/>
      <c r="M534" s="129"/>
      <c r="N534" s="95"/>
      <c r="O534" s="95"/>
      <c r="P534" s="130"/>
    </row>
    <row r="535" spans="2:16" s="89" customFormat="1" ht="12.75">
      <c r="B535" s="125"/>
      <c r="C535" s="126"/>
      <c r="D535" s="126"/>
      <c r="E535" s="126"/>
      <c r="F535" s="126"/>
      <c r="G535" s="126"/>
      <c r="H535" s="126"/>
      <c r="I535" s="126"/>
      <c r="J535" s="126"/>
      <c r="K535" s="127"/>
      <c r="L535" s="128"/>
      <c r="M535" s="129"/>
      <c r="N535" s="95"/>
      <c r="O535" s="95"/>
      <c r="P535" s="130"/>
    </row>
    <row r="536" spans="2:16" s="89" customFormat="1" ht="12.75">
      <c r="B536" s="125"/>
      <c r="C536" s="126"/>
      <c r="D536" s="126"/>
      <c r="E536" s="126"/>
      <c r="F536" s="126"/>
      <c r="G536" s="126"/>
      <c r="H536" s="126"/>
      <c r="I536" s="126"/>
      <c r="J536" s="126"/>
      <c r="K536" s="127"/>
      <c r="L536" s="128"/>
      <c r="M536" s="129"/>
      <c r="N536" s="95"/>
      <c r="O536" s="95"/>
      <c r="P536" s="130"/>
    </row>
    <row r="537" spans="2:16" s="89" customFormat="1" ht="12.75">
      <c r="B537" s="125"/>
      <c r="C537" s="126"/>
      <c r="D537" s="126"/>
      <c r="E537" s="126"/>
      <c r="F537" s="126"/>
      <c r="G537" s="126"/>
      <c r="H537" s="126"/>
      <c r="I537" s="126"/>
      <c r="J537" s="126"/>
      <c r="K537" s="127"/>
      <c r="L537" s="128"/>
      <c r="M537" s="129"/>
      <c r="N537" s="95"/>
      <c r="O537" s="95"/>
      <c r="P537" s="130"/>
    </row>
    <row r="538" spans="2:16" s="89" customFormat="1" ht="12.75">
      <c r="B538" s="125"/>
      <c r="C538" s="126"/>
      <c r="D538" s="126"/>
      <c r="E538" s="126"/>
      <c r="F538" s="126"/>
      <c r="G538" s="126"/>
      <c r="H538" s="126"/>
      <c r="I538" s="126"/>
      <c r="J538" s="126"/>
      <c r="K538" s="127"/>
      <c r="L538" s="128"/>
      <c r="M538" s="129"/>
      <c r="N538" s="95"/>
      <c r="O538" s="95"/>
      <c r="P538" s="130"/>
    </row>
    <row r="539" spans="2:16" s="89" customFormat="1" ht="12.75">
      <c r="B539" s="125"/>
      <c r="C539" s="126"/>
      <c r="D539" s="126"/>
      <c r="E539" s="126"/>
      <c r="F539" s="126"/>
      <c r="G539" s="126"/>
      <c r="H539" s="126"/>
      <c r="I539" s="126"/>
      <c r="J539" s="126"/>
      <c r="K539" s="127"/>
      <c r="L539" s="128"/>
      <c r="M539" s="129"/>
      <c r="N539" s="95"/>
      <c r="O539" s="95"/>
      <c r="P539" s="130"/>
    </row>
    <row r="540" spans="2:16" s="89" customFormat="1" ht="12.75">
      <c r="B540" s="125"/>
      <c r="C540" s="126"/>
      <c r="D540" s="126"/>
      <c r="E540" s="126"/>
      <c r="F540" s="126"/>
      <c r="G540" s="126"/>
      <c r="H540" s="126"/>
      <c r="I540" s="126"/>
      <c r="J540" s="126"/>
      <c r="K540" s="127"/>
      <c r="L540" s="128"/>
      <c r="M540" s="129"/>
      <c r="N540" s="95"/>
      <c r="O540" s="95"/>
      <c r="P540" s="130"/>
    </row>
    <row r="541" spans="2:16" s="89" customFormat="1" ht="12.75">
      <c r="B541" s="125"/>
      <c r="C541" s="126"/>
      <c r="D541" s="126"/>
      <c r="E541" s="126"/>
      <c r="F541" s="126"/>
      <c r="G541" s="126"/>
      <c r="H541" s="126"/>
      <c r="I541" s="126"/>
      <c r="J541" s="126"/>
      <c r="K541" s="127"/>
      <c r="L541" s="128"/>
      <c r="M541" s="129"/>
      <c r="N541" s="95"/>
      <c r="O541" s="95"/>
      <c r="P541" s="130"/>
    </row>
    <row r="542" spans="2:16" s="89" customFormat="1" ht="12.75">
      <c r="B542" s="125"/>
      <c r="C542" s="126"/>
      <c r="D542" s="126"/>
      <c r="E542" s="126"/>
      <c r="F542" s="126"/>
      <c r="G542" s="126"/>
      <c r="H542" s="126"/>
      <c r="I542" s="126"/>
      <c r="J542" s="126"/>
      <c r="K542" s="127"/>
      <c r="L542" s="128"/>
      <c r="M542" s="129"/>
      <c r="N542" s="95"/>
      <c r="O542" s="95"/>
      <c r="P542" s="130"/>
    </row>
    <row r="543" spans="2:16" s="89" customFormat="1" ht="12.75">
      <c r="B543" s="125"/>
      <c r="C543" s="126"/>
      <c r="D543" s="126"/>
      <c r="E543" s="126"/>
      <c r="F543" s="126"/>
      <c r="G543" s="126"/>
      <c r="H543" s="126"/>
      <c r="I543" s="126"/>
      <c r="J543" s="126"/>
      <c r="K543" s="127"/>
      <c r="L543" s="128"/>
      <c r="M543" s="129"/>
      <c r="N543" s="95"/>
      <c r="O543" s="95"/>
      <c r="P543" s="130"/>
    </row>
    <row r="544" spans="2:16" s="89" customFormat="1" ht="12.75">
      <c r="B544" s="125"/>
      <c r="C544" s="126"/>
      <c r="D544" s="126"/>
      <c r="E544" s="126"/>
      <c r="F544" s="126"/>
      <c r="G544" s="126"/>
      <c r="H544" s="126"/>
      <c r="I544" s="126"/>
      <c r="J544" s="126"/>
      <c r="K544" s="127"/>
      <c r="L544" s="128"/>
      <c r="M544" s="129"/>
      <c r="N544" s="95"/>
      <c r="O544" s="95"/>
      <c r="P544" s="130"/>
    </row>
    <row r="545" spans="2:16" s="89" customFormat="1" ht="12.75">
      <c r="B545" s="125"/>
      <c r="C545" s="126"/>
      <c r="D545" s="126"/>
      <c r="E545" s="126"/>
      <c r="F545" s="126"/>
      <c r="G545" s="126"/>
      <c r="H545" s="126"/>
      <c r="I545" s="126"/>
      <c r="J545" s="126"/>
      <c r="K545" s="127"/>
      <c r="L545" s="128"/>
      <c r="M545" s="129"/>
      <c r="N545" s="95"/>
      <c r="O545" s="95"/>
      <c r="P545" s="130"/>
    </row>
    <row r="546" spans="2:16" s="89" customFormat="1" ht="12.75">
      <c r="B546" s="125"/>
      <c r="C546" s="126"/>
      <c r="D546" s="126"/>
      <c r="E546" s="126"/>
      <c r="F546" s="126"/>
      <c r="G546" s="126"/>
      <c r="H546" s="126"/>
      <c r="I546" s="126"/>
      <c r="J546" s="126"/>
      <c r="K546" s="127"/>
      <c r="L546" s="128"/>
      <c r="M546" s="129"/>
      <c r="N546" s="95"/>
      <c r="O546" s="95"/>
      <c r="P546" s="130"/>
    </row>
    <row r="547" spans="2:16" s="89" customFormat="1" ht="12.75">
      <c r="B547" s="125"/>
      <c r="C547" s="126"/>
      <c r="D547" s="126"/>
      <c r="E547" s="126"/>
      <c r="F547" s="126"/>
      <c r="G547" s="126"/>
      <c r="H547" s="126"/>
      <c r="I547" s="126"/>
      <c r="J547" s="126"/>
      <c r="K547" s="127"/>
      <c r="L547" s="128"/>
      <c r="M547" s="129"/>
      <c r="N547" s="95"/>
      <c r="O547" s="95"/>
      <c r="P547" s="130"/>
    </row>
    <row r="548" spans="2:16" s="89" customFormat="1" ht="12.75">
      <c r="B548" s="125"/>
      <c r="C548" s="126"/>
      <c r="D548" s="126"/>
      <c r="E548" s="126"/>
      <c r="F548" s="126"/>
      <c r="G548" s="126"/>
      <c r="H548" s="126"/>
      <c r="I548" s="126"/>
      <c r="J548" s="126"/>
      <c r="K548" s="127"/>
      <c r="L548" s="128"/>
      <c r="M548" s="129"/>
      <c r="N548" s="95"/>
      <c r="O548" s="95"/>
      <c r="P548" s="130"/>
    </row>
    <row r="549" spans="2:16" s="89" customFormat="1" ht="12.75">
      <c r="B549" s="125"/>
      <c r="C549" s="126"/>
      <c r="D549" s="126"/>
      <c r="E549" s="126"/>
      <c r="F549" s="126"/>
      <c r="G549" s="126"/>
      <c r="H549" s="126"/>
      <c r="I549" s="126"/>
      <c r="J549" s="126"/>
      <c r="K549" s="127"/>
      <c r="L549" s="128"/>
      <c r="M549" s="129"/>
      <c r="N549" s="95"/>
      <c r="O549" s="95"/>
      <c r="P549" s="130"/>
    </row>
    <row r="550" spans="2:16" s="89" customFormat="1" ht="12.75">
      <c r="B550" s="125"/>
      <c r="C550" s="126"/>
      <c r="D550" s="126"/>
      <c r="E550" s="126"/>
      <c r="F550" s="126"/>
      <c r="G550" s="126"/>
      <c r="H550" s="126"/>
      <c r="I550" s="126"/>
      <c r="J550" s="126"/>
      <c r="K550" s="127"/>
      <c r="L550" s="128"/>
      <c r="M550" s="129"/>
      <c r="N550" s="95"/>
      <c r="O550" s="95"/>
      <c r="P550" s="130"/>
    </row>
    <row r="551" spans="2:16" s="89" customFormat="1" ht="12.75">
      <c r="B551" s="125"/>
      <c r="C551" s="126"/>
      <c r="D551" s="126"/>
      <c r="E551" s="126"/>
      <c r="F551" s="126"/>
      <c r="G551" s="126"/>
      <c r="H551" s="126"/>
      <c r="I551" s="126"/>
      <c r="J551" s="126"/>
      <c r="K551" s="127"/>
      <c r="L551" s="128"/>
      <c r="M551" s="129"/>
      <c r="N551" s="95"/>
      <c r="O551" s="95"/>
      <c r="P551" s="130"/>
    </row>
    <row r="552" spans="2:16" s="89" customFormat="1" ht="12.75">
      <c r="B552" s="125"/>
      <c r="C552" s="126"/>
      <c r="D552" s="126"/>
      <c r="E552" s="126"/>
      <c r="F552" s="126"/>
      <c r="G552" s="126"/>
      <c r="H552" s="126"/>
      <c r="I552" s="126"/>
      <c r="J552" s="126"/>
      <c r="K552" s="127"/>
      <c r="L552" s="128"/>
      <c r="M552" s="129"/>
      <c r="N552" s="95"/>
      <c r="O552" s="95"/>
      <c r="P552" s="130"/>
    </row>
    <row r="553" spans="2:16" s="89" customFormat="1" ht="12.75">
      <c r="B553" s="125"/>
      <c r="C553" s="126"/>
      <c r="D553" s="126"/>
      <c r="E553" s="126"/>
      <c r="F553" s="126"/>
      <c r="G553" s="126"/>
      <c r="H553" s="126"/>
      <c r="I553" s="126"/>
      <c r="J553" s="126"/>
      <c r="K553" s="127"/>
      <c r="L553" s="128"/>
      <c r="M553" s="129"/>
      <c r="N553" s="95"/>
      <c r="O553" s="95"/>
      <c r="P553" s="130"/>
    </row>
    <row r="554" spans="2:16" s="89" customFormat="1" ht="12.75">
      <c r="B554" s="125"/>
      <c r="C554" s="126"/>
      <c r="D554" s="126"/>
      <c r="E554" s="126"/>
      <c r="F554" s="126"/>
      <c r="G554" s="126"/>
      <c r="H554" s="126"/>
      <c r="I554" s="126"/>
      <c r="J554" s="126"/>
      <c r="K554" s="127"/>
      <c r="L554" s="128"/>
      <c r="M554" s="129"/>
      <c r="N554" s="95"/>
      <c r="O554" s="95"/>
      <c r="P554" s="130"/>
    </row>
    <row r="555" spans="2:16" s="89" customFormat="1" ht="12.75">
      <c r="B555" s="125"/>
      <c r="C555" s="126"/>
      <c r="D555" s="126"/>
      <c r="E555" s="126"/>
      <c r="F555" s="126"/>
      <c r="G555" s="126"/>
      <c r="H555" s="126"/>
      <c r="I555" s="126"/>
      <c r="J555" s="126"/>
      <c r="K555" s="127"/>
      <c r="L555" s="128"/>
      <c r="M555" s="129"/>
      <c r="N555" s="95"/>
      <c r="O555" s="95"/>
      <c r="P555" s="130"/>
    </row>
    <row r="556" spans="2:16" s="89" customFormat="1" ht="12.75">
      <c r="B556" s="125"/>
      <c r="C556" s="126"/>
      <c r="D556" s="126"/>
      <c r="E556" s="126"/>
      <c r="F556" s="126"/>
      <c r="G556" s="126"/>
      <c r="H556" s="126"/>
      <c r="I556" s="126"/>
      <c r="J556" s="126"/>
      <c r="K556" s="127"/>
      <c r="L556" s="128"/>
      <c r="M556" s="129"/>
      <c r="N556" s="95"/>
      <c r="O556" s="95"/>
      <c r="P556" s="130"/>
    </row>
    <row r="557" spans="2:16" s="89" customFormat="1" ht="12.75">
      <c r="B557" s="125"/>
      <c r="C557" s="126"/>
      <c r="D557" s="126"/>
      <c r="E557" s="126"/>
      <c r="F557" s="126"/>
      <c r="G557" s="126"/>
      <c r="H557" s="126"/>
      <c r="I557" s="126"/>
      <c r="J557" s="126"/>
      <c r="K557" s="127"/>
      <c r="L557" s="128"/>
      <c r="M557" s="129"/>
      <c r="N557" s="95"/>
      <c r="O557" s="95"/>
      <c r="P557" s="130"/>
    </row>
    <row r="558" spans="2:16" s="89" customFormat="1" ht="12.75">
      <c r="B558" s="125"/>
      <c r="C558" s="126"/>
      <c r="D558" s="126"/>
      <c r="E558" s="126"/>
      <c r="F558" s="126"/>
      <c r="G558" s="126"/>
      <c r="H558" s="126"/>
      <c r="I558" s="126"/>
      <c r="J558" s="126"/>
      <c r="K558" s="127"/>
      <c r="L558" s="128"/>
      <c r="M558" s="129"/>
      <c r="N558" s="95"/>
      <c r="O558" s="95"/>
      <c r="P558" s="130"/>
    </row>
    <row r="559" spans="2:16" s="89" customFormat="1" ht="12.75">
      <c r="B559" s="125"/>
      <c r="C559" s="126"/>
      <c r="D559" s="126"/>
      <c r="E559" s="126"/>
      <c r="F559" s="126"/>
      <c r="G559" s="126"/>
      <c r="H559" s="126"/>
      <c r="I559" s="126"/>
      <c r="J559" s="126"/>
      <c r="K559" s="127"/>
      <c r="L559" s="128"/>
      <c r="M559" s="129"/>
      <c r="N559" s="95"/>
      <c r="O559" s="95"/>
      <c r="P559" s="130"/>
    </row>
    <row r="560" spans="2:16" s="89" customFormat="1" ht="12.75">
      <c r="B560" s="125"/>
      <c r="C560" s="126"/>
      <c r="D560" s="126"/>
      <c r="E560" s="126"/>
      <c r="F560" s="126"/>
      <c r="G560" s="126"/>
      <c r="H560" s="126"/>
      <c r="I560" s="126"/>
      <c r="J560" s="126"/>
      <c r="K560" s="127"/>
      <c r="L560" s="128"/>
      <c r="M560" s="129"/>
      <c r="N560" s="95"/>
      <c r="O560" s="95"/>
      <c r="P560" s="130"/>
    </row>
    <row r="561" spans="2:16" s="89" customFormat="1" ht="12.75">
      <c r="B561" s="125"/>
      <c r="C561" s="126"/>
      <c r="D561" s="126"/>
      <c r="E561" s="126"/>
      <c r="F561" s="126"/>
      <c r="G561" s="126"/>
      <c r="H561" s="126"/>
      <c r="I561" s="126"/>
      <c r="J561" s="126"/>
      <c r="K561" s="127"/>
      <c r="L561" s="128"/>
      <c r="M561" s="129"/>
      <c r="N561" s="95"/>
      <c r="O561" s="95"/>
      <c r="P561" s="130"/>
    </row>
    <row r="562" spans="2:16" s="89" customFormat="1" ht="12.75">
      <c r="B562" s="125"/>
      <c r="C562" s="126"/>
      <c r="D562" s="126"/>
      <c r="E562" s="126"/>
      <c r="F562" s="126"/>
      <c r="G562" s="126"/>
      <c r="H562" s="126"/>
      <c r="I562" s="126"/>
      <c r="J562" s="126"/>
      <c r="K562" s="127"/>
      <c r="L562" s="128"/>
      <c r="M562" s="129"/>
      <c r="N562" s="95"/>
      <c r="O562" s="95"/>
      <c r="P562" s="130"/>
    </row>
    <row r="563" spans="2:16" s="89" customFormat="1" ht="12.75">
      <c r="B563" s="125"/>
      <c r="C563" s="126"/>
      <c r="D563" s="126"/>
      <c r="E563" s="126"/>
      <c r="F563" s="126"/>
      <c r="G563" s="126"/>
      <c r="H563" s="126"/>
      <c r="I563" s="126"/>
      <c r="J563" s="126"/>
      <c r="K563" s="127"/>
      <c r="L563" s="128"/>
      <c r="M563" s="129"/>
      <c r="N563" s="95"/>
      <c r="O563" s="95"/>
      <c r="P563" s="130"/>
    </row>
    <row r="564" spans="2:16" s="89" customFormat="1" ht="12.75">
      <c r="B564" s="125"/>
      <c r="C564" s="126"/>
      <c r="D564" s="126"/>
      <c r="E564" s="126"/>
      <c r="F564" s="126"/>
      <c r="G564" s="126"/>
      <c r="H564" s="126"/>
      <c r="I564" s="126"/>
      <c r="J564" s="126"/>
      <c r="K564" s="127"/>
      <c r="L564" s="128"/>
      <c r="M564" s="129"/>
      <c r="N564" s="95"/>
      <c r="O564" s="95"/>
      <c r="P564" s="130"/>
    </row>
    <row r="565" spans="2:16" s="89" customFormat="1" ht="12.75">
      <c r="B565" s="125"/>
      <c r="C565" s="126"/>
      <c r="D565" s="126"/>
      <c r="E565" s="126"/>
      <c r="F565" s="126"/>
      <c r="G565" s="126"/>
      <c r="H565" s="126"/>
      <c r="I565" s="126"/>
      <c r="J565" s="126"/>
      <c r="K565" s="127"/>
      <c r="L565" s="128"/>
      <c r="M565" s="129"/>
      <c r="N565" s="95"/>
      <c r="O565" s="95"/>
      <c r="P565" s="130"/>
    </row>
    <row r="566" spans="2:16" s="89" customFormat="1" ht="12.75">
      <c r="B566" s="125"/>
      <c r="C566" s="126"/>
      <c r="D566" s="126"/>
      <c r="E566" s="126"/>
      <c r="F566" s="126"/>
      <c r="G566" s="126"/>
      <c r="H566" s="126"/>
      <c r="I566" s="126"/>
      <c r="J566" s="126"/>
      <c r="K566" s="127"/>
      <c r="L566" s="128"/>
      <c r="M566" s="129"/>
      <c r="N566" s="95"/>
      <c r="O566" s="95"/>
      <c r="P566" s="130"/>
    </row>
    <row r="567" spans="2:16" s="89" customFormat="1" ht="12.75">
      <c r="B567" s="125"/>
      <c r="C567" s="126"/>
      <c r="D567" s="126"/>
      <c r="E567" s="126"/>
      <c r="F567" s="126"/>
      <c r="G567" s="126"/>
      <c r="H567" s="126"/>
      <c r="I567" s="126"/>
      <c r="J567" s="126"/>
      <c r="K567" s="127"/>
      <c r="L567" s="128"/>
      <c r="M567" s="129"/>
      <c r="N567" s="95"/>
      <c r="O567" s="95"/>
      <c r="P567" s="130"/>
    </row>
    <row r="568" spans="2:16" s="89" customFormat="1" ht="12.75">
      <c r="B568" s="125"/>
      <c r="C568" s="126"/>
      <c r="D568" s="126"/>
      <c r="E568" s="126"/>
      <c r="F568" s="126"/>
      <c r="G568" s="126"/>
      <c r="H568" s="126"/>
      <c r="I568" s="126"/>
      <c r="J568" s="126"/>
      <c r="K568" s="127"/>
      <c r="L568" s="128"/>
      <c r="M568" s="129"/>
      <c r="N568" s="95"/>
      <c r="O568" s="95"/>
      <c r="P568" s="130"/>
    </row>
    <row r="569" spans="2:16" s="89" customFormat="1" ht="12.75">
      <c r="B569" s="125"/>
      <c r="C569" s="126"/>
      <c r="D569" s="126"/>
      <c r="E569" s="126"/>
      <c r="F569" s="126"/>
      <c r="G569" s="126"/>
      <c r="H569" s="126"/>
      <c r="I569" s="126"/>
      <c r="J569" s="126"/>
      <c r="K569" s="127"/>
      <c r="L569" s="128"/>
      <c r="M569" s="129"/>
      <c r="N569" s="95"/>
      <c r="O569" s="95"/>
      <c r="P569" s="130"/>
    </row>
    <row r="570" spans="2:16" s="89" customFormat="1" ht="12.75">
      <c r="B570" s="125"/>
      <c r="C570" s="126"/>
      <c r="D570" s="126"/>
      <c r="E570" s="126"/>
      <c r="F570" s="126"/>
      <c r="G570" s="126"/>
      <c r="H570" s="126"/>
      <c r="I570" s="126"/>
      <c r="J570" s="126"/>
      <c r="K570" s="127"/>
      <c r="L570" s="128"/>
      <c r="M570" s="129"/>
      <c r="N570" s="95"/>
      <c r="O570" s="95"/>
      <c r="P570" s="130"/>
    </row>
    <row r="571" spans="2:16" s="89" customFormat="1" ht="12.75">
      <c r="B571" s="125"/>
      <c r="C571" s="126"/>
      <c r="D571" s="126"/>
      <c r="E571" s="126"/>
      <c r="F571" s="126"/>
      <c r="G571" s="126"/>
      <c r="H571" s="126"/>
      <c r="I571" s="126"/>
      <c r="J571" s="126"/>
      <c r="K571" s="127"/>
      <c r="L571" s="128"/>
      <c r="M571" s="129"/>
      <c r="N571" s="95"/>
      <c r="O571" s="95"/>
      <c r="P571" s="130"/>
    </row>
    <row r="572" spans="2:16" s="89" customFormat="1" ht="12.75">
      <c r="B572" s="125"/>
      <c r="C572" s="126"/>
      <c r="D572" s="126"/>
      <c r="E572" s="126"/>
      <c r="F572" s="126"/>
      <c r="G572" s="126"/>
      <c r="H572" s="126"/>
      <c r="I572" s="126"/>
      <c r="J572" s="126"/>
      <c r="K572" s="127"/>
      <c r="L572" s="128"/>
      <c r="M572" s="129"/>
      <c r="N572" s="95"/>
      <c r="O572" s="95"/>
      <c r="P572" s="130"/>
    </row>
    <row r="573" spans="2:16" s="89" customFormat="1" ht="12.75">
      <c r="B573" s="125"/>
      <c r="C573" s="126"/>
      <c r="D573" s="126"/>
      <c r="E573" s="126"/>
      <c r="F573" s="126"/>
      <c r="G573" s="126"/>
      <c r="H573" s="126"/>
      <c r="I573" s="126"/>
      <c r="J573" s="126"/>
      <c r="K573" s="127"/>
      <c r="L573" s="128"/>
      <c r="M573" s="129"/>
      <c r="N573" s="95"/>
      <c r="O573" s="95"/>
      <c r="P573" s="130"/>
    </row>
    <row r="574" spans="2:16" s="89" customFormat="1" ht="12.75">
      <c r="B574" s="125"/>
      <c r="C574" s="126"/>
      <c r="D574" s="126"/>
      <c r="E574" s="126"/>
      <c r="F574" s="126"/>
      <c r="G574" s="126"/>
      <c r="H574" s="126"/>
      <c r="I574" s="126"/>
      <c r="J574" s="126"/>
      <c r="K574" s="127"/>
      <c r="L574" s="128"/>
      <c r="M574" s="129"/>
      <c r="N574" s="95"/>
      <c r="O574" s="95"/>
      <c r="P574" s="130"/>
    </row>
    <row r="575" spans="2:16" s="89" customFormat="1" ht="12.75">
      <c r="B575" s="125"/>
      <c r="C575" s="126"/>
      <c r="D575" s="126"/>
      <c r="E575" s="126"/>
      <c r="F575" s="126"/>
      <c r="G575" s="126"/>
      <c r="H575" s="126"/>
      <c r="I575" s="126"/>
      <c r="J575" s="126"/>
      <c r="K575" s="127"/>
      <c r="L575" s="128"/>
      <c r="M575" s="129"/>
      <c r="N575" s="95"/>
      <c r="O575" s="95"/>
      <c r="P575" s="130"/>
    </row>
    <row r="576" spans="2:16" s="89" customFormat="1" ht="12.75">
      <c r="B576" s="125"/>
      <c r="C576" s="126"/>
      <c r="D576" s="126"/>
      <c r="E576" s="126"/>
      <c r="F576" s="126"/>
      <c r="G576" s="126"/>
      <c r="H576" s="126"/>
      <c r="I576" s="126"/>
      <c r="J576" s="126"/>
      <c r="K576" s="127"/>
      <c r="L576" s="128"/>
      <c r="M576" s="129"/>
      <c r="N576" s="95"/>
      <c r="O576" s="95"/>
      <c r="P576" s="130"/>
    </row>
    <row r="577" spans="2:16" s="89" customFormat="1" ht="12.75">
      <c r="B577" s="125"/>
      <c r="C577" s="126"/>
      <c r="D577" s="126"/>
      <c r="E577" s="126"/>
      <c r="F577" s="126"/>
      <c r="G577" s="126"/>
      <c r="H577" s="126"/>
      <c r="I577" s="126"/>
      <c r="J577" s="126"/>
      <c r="K577" s="127"/>
      <c r="L577" s="128"/>
      <c r="M577" s="129"/>
      <c r="N577" s="95"/>
      <c r="O577" s="95"/>
      <c r="P577" s="130"/>
    </row>
    <row r="578" spans="2:16" s="89" customFormat="1" ht="12.75">
      <c r="B578" s="125"/>
      <c r="C578" s="126"/>
      <c r="D578" s="126"/>
      <c r="E578" s="126"/>
      <c r="F578" s="126"/>
      <c r="G578" s="126"/>
      <c r="H578" s="126"/>
      <c r="I578" s="126"/>
      <c r="J578" s="126"/>
      <c r="K578" s="127"/>
      <c r="L578" s="128"/>
      <c r="M578" s="129"/>
      <c r="N578" s="95"/>
      <c r="O578" s="95"/>
      <c r="P578" s="130"/>
    </row>
    <row r="579" spans="2:16" s="89" customFormat="1" ht="12.75">
      <c r="B579" s="125"/>
      <c r="C579" s="126"/>
      <c r="D579" s="126"/>
      <c r="E579" s="126"/>
      <c r="F579" s="126"/>
      <c r="G579" s="126"/>
      <c r="H579" s="126"/>
      <c r="I579" s="126"/>
      <c r="J579" s="126"/>
      <c r="K579" s="127"/>
      <c r="L579" s="128"/>
      <c r="M579" s="129"/>
      <c r="N579" s="95"/>
      <c r="O579" s="95"/>
      <c r="P579" s="130"/>
    </row>
    <row r="580" spans="2:16" s="89" customFormat="1" ht="12.75">
      <c r="B580" s="125"/>
      <c r="C580" s="126"/>
      <c r="D580" s="126"/>
      <c r="E580" s="126"/>
      <c r="F580" s="126"/>
      <c r="G580" s="126"/>
      <c r="H580" s="126"/>
      <c r="I580" s="126"/>
      <c r="J580" s="126"/>
      <c r="K580" s="127"/>
      <c r="L580" s="128"/>
      <c r="M580" s="129"/>
      <c r="N580" s="95"/>
      <c r="O580" s="95"/>
      <c r="P580" s="130"/>
    </row>
    <row r="581" spans="2:16" s="89" customFormat="1" ht="12.75">
      <c r="B581" s="125"/>
      <c r="C581" s="126"/>
      <c r="D581" s="126"/>
      <c r="E581" s="126"/>
      <c r="F581" s="126"/>
      <c r="G581" s="126"/>
      <c r="H581" s="126"/>
      <c r="I581" s="126"/>
      <c r="J581" s="126"/>
      <c r="K581" s="127"/>
      <c r="L581" s="128"/>
      <c r="M581" s="129"/>
      <c r="N581" s="95"/>
      <c r="O581" s="95"/>
      <c r="P581" s="130"/>
    </row>
    <row r="582" spans="2:16" s="89" customFormat="1" ht="12.75">
      <c r="B582" s="125"/>
      <c r="C582" s="126"/>
      <c r="D582" s="126"/>
      <c r="E582" s="126"/>
      <c r="F582" s="126"/>
      <c r="G582" s="126"/>
      <c r="H582" s="126"/>
      <c r="I582" s="126"/>
      <c r="J582" s="126"/>
      <c r="K582" s="127"/>
      <c r="L582" s="128"/>
      <c r="M582" s="129"/>
      <c r="N582" s="95"/>
      <c r="O582" s="95"/>
      <c r="P582" s="130"/>
    </row>
    <row r="583" spans="2:16" s="89" customFormat="1" ht="12.75">
      <c r="B583" s="125"/>
      <c r="C583" s="126"/>
      <c r="D583" s="126"/>
      <c r="E583" s="126"/>
      <c r="F583" s="126"/>
      <c r="G583" s="126"/>
      <c r="H583" s="126"/>
      <c r="I583" s="126"/>
      <c r="J583" s="126"/>
      <c r="K583" s="127"/>
      <c r="L583" s="128"/>
      <c r="M583" s="129"/>
      <c r="N583" s="95"/>
      <c r="O583" s="95"/>
      <c r="P583" s="130"/>
    </row>
    <row r="584" spans="2:16" s="89" customFormat="1" ht="12.75">
      <c r="B584" s="125"/>
      <c r="C584" s="126"/>
      <c r="D584" s="126"/>
      <c r="E584" s="126"/>
      <c r="F584" s="126"/>
      <c r="G584" s="126"/>
      <c r="H584" s="126"/>
      <c r="I584" s="126"/>
      <c r="J584" s="126"/>
      <c r="K584" s="127"/>
      <c r="L584" s="128"/>
      <c r="M584" s="129"/>
      <c r="N584" s="95"/>
      <c r="O584" s="95"/>
      <c r="P584" s="130"/>
    </row>
    <row r="585" spans="2:16" s="89" customFormat="1" ht="12.75">
      <c r="B585" s="125"/>
      <c r="C585" s="126"/>
      <c r="D585" s="126"/>
      <c r="E585" s="126"/>
      <c r="F585" s="126"/>
      <c r="G585" s="126"/>
      <c r="H585" s="126"/>
      <c r="I585" s="126"/>
      <c r="J585" s="126"/>
      <c r="K585" s="127"/>
      <c r="L585" s="128"/>
      <c r="M585" s="129"/>
      <c r="N585" s="95"/>
      <c r="O585" s="95"/>
      <c r="P585" s="130"/>
    </row>
    <row r="586" spans="2:16" s="89" customFormat="1" ht="12.75">
      <c r="B586" s="125"/>
      <c r="C586" s="126"/>
      <c r="D586" s="126"/>
      <c r="E586" s="126"/>
      <c r="F586" s="126"/>
      <c r="G586" s="126"/>
      <c r="H586" s="126"/>
      <c r="I586" s="126"/>
      <c r="J586" s="126"/>
      <c r="K586" s="127"/>
      <c r="L586" s="128"/>
      <c r="M586" s="129"/>
      <c r="N586" s="95"/>
      <c r="O586" s="95"/>
      <c r="P586" s="130"/>
    </row>
    <row r="587" spans="2:16" s="89" customFormat="1" ht="12.75">
      <c r="B587" s="125"/>
      <c r="C587" s="126"/>
      <c r="D587" s="126"/>
      <c r="E587" s="126"/>
      <c r="F587" s="126"/>
      <c r="G587" s="126"/>
      <c r="H587" s="126"/>
      <c r="I587" s="126"/>
      <c r="J587" s="126"/>
      <c r="K587" s="127"/>
      <c r="L587" s="128"/>
      <c r="M587" s="129"/>
      <c r="N587" s="95"/>
      <c r="O587" s="95"/>
      <c r="P587" s="130"/>
    </row>
    <row r="588" spans="2:16" s="89" customFormat="1" ht="12.75">
      <c r="B588" s="125"/>
      <c r="C588" s="126"/>
      <c r="D588" s="126"/>
      <c r="E588" s="126"/>
      <c r="F588" s="126"/>
      <c r="G588" s="126"/>
      <c r="H588" s="126"/>
      <c r="I588" s="126"/>
      <c r="J588" s="126"/>
      <c r="K588" s="127"/>
      <c r="L588" s="128"/>
      <c r="M588" s="129"/>
      <c r="N588" s="95"/>
      <c r="O588" s="95"/>
      <c r="P588" s="130"/>
    </row>
    <row r="589" spans="2:16" s="89" customFormat="1" ht="12.75">
      <c r="B589" s="125"/>
      <c r="C589" s="126"/>
      <c r="D589" s="126"/>
      <c r="E589" s="126"/>
      <c r="F589" s="126"/>
      <c r="G589" s="126"/>
      <c r="H589" s="126"/>
      <c r="I589" s="126"/>
      <c r="J589" s="126"/>
      <c r="K589" s="127"/>
      <c r="L589" s="128"/>
      <c r="M589" s="129"/>
      <c r="N589" s="95"/>
      <c r="O589" s="95"/>
      <c r="P589" s="130"/>
    </row>
    <row r="590" spans="2:16" s="89" customFormat="1" ht="12.75">
      <c r="B590" s="125"/>
      <c r="C590" s="126"/>
      <c r="D590" s="126"/>
      <c r="E590" s="126"/>
      <c r="F590" s="126"/>
      <c r="G590" s="126"/>
      <c r="H590" s="126"/>
      <c r="I590" s="126"/>
      <c r="J590" s="126"/>
      <c r="K590" s="127"/>
      <c r="L590" s="128"/>
      <c r="M590" s="129"/>
      <c r="N590" s="95"/>
      <c r="O590" s="95"/>
      <c r="P590" s="130"/>
    </row>
    <row r="591" spans="2:16" s="89" customFormat="1" ht="12.75">
      <c r="B591" s="125"/>
      <c r="C591" s="126"/>
      <c r="D591" s="126"/>
      <c r="E591" s="126"/>
      <c r="F591" s="126"/>
      <c r="G591" s="126"/>
      <c r="H591" s="126"/>
      <c r="I591" s="126"/>
      <c r="J591" s="126"/>
      <c r="K591" s="127"/>
      <c r="L591" s="128"/>
      <c r="M591" s="129"/>
      <c r="N591" s="95"/>
      <c r="O591" s="95"/>
      <c r="P591" s="130"/>
    </row>
    <row r="592" spans="2:16" s="89" customFormat="1" ht="12.75">
      <c r="B592" s="125"/>
      <c r="C592" s="126"/>
      <c r="D592" s="126"/>
      <c r="E592" s="126"/>
      <c r="F592" s="126"/>
      <c r="G592" s="126"/>
      <c r="H592" s="126"/>
      <c r="I592" s="126"/>
      <c r="J592" s="126"/>
      <c r="K592" s="127"/>
      <c r="L592" s="128"/>
      <c r="M592" s="129"/>
      <c r="N592" s="95"/>
      <c r="O592" s="95"/>
      <c r="P592" s="130"/>
    </row>
    <row r="593" spans="2:16" s="89" customFormat="1" ht="12.75">
      <c r="B593" s="125"/>
      <c r="C593" s="126"/>
      <c r="D593" s="126"/>
      <c r="E593" s="126"/>
      <c r="F593" s="126"/>
      <c r="G593" s="126"/>
      <c r="H593" s="126"/>
      <c r="I593" s="126"/>
      <c r="J593" s="126"/>
      <c r="K593" s="127"/>
      <c r="L593" s="128"/>
      <c r="M593" s="129"/>
      <c r="N593" s="95"/>
      <c r="O593" s="95"/>
      <c r="P593" s="130"/>
    </row>
    <row r="594" spans="2:16" s="89" customFormat="1" ht="12.75">
      <c r="B594" s="125"/>
      <c r="C594" s="126"/>
      <c r="D594" s="126"/>
      <c r="E594" s="126"/>
      <c r="F594" s="126"/>
      <c r="G594" s="126"/>
      <c r="H594" s="126"/>
      <c r="I594" s="126"/>
      <c r="J594" s="126"/>
      <c r="K594" s="127"/>
      <c r="L594" s="128"/>
      <c r="M594" s="129"/>
      <c r="N594" s="95"/>
      <c r="O594" s="95"/>
      <c r="P594" s="130"/>
    </row>
    <row r="595" spans="2:16" s="89" customFormat="1" ht="12.75">
      <c r="B595" s="125"/>
      <c r="C595" s="126"/>
      <c r="D595" s="126"/>
      <c r="E595" s="126"/>
      <c r="F595" s="126"/>
      <c r="G595" s="126"/>
      <c r="H595" s="126"/>
      <c r="I595" s="126"/>
      <c r="J595" s="126"/>
      <c r="K595" s="127"/>
      <c r="L595" s="128"/>
      <c r="M595" s="129"/>
      <c r="N595" s="95"/>
      <c r="O595" s="95"/>
      <c r="P595" s="130"/>
    </row>
    <row r="596" spans="2:16" s="89" customFormat="1" ht="12.75">
      <c r="B596" s="125"/>
      <c r="C596" s="126"/>
      <c r="D596" s="126"/>
      <c r="E596" s="126"/>
      <c r="F596" s="126"/>
      <c r="G596" s="126"/>
      <c r="H596" s="126"/>
      <c r="I596" s="126"/>
      <c r="J596" s="126"/>
      <c r="K596" s="127"/>
      <c r="L596" s="128"/>
      <c r="M596" s="129"/>
      <c r="N596" s="95"/>
      <c r="O596" s="95"/>
      <c r="P596" s="130"/>
    </row>
    <row r="597" spans="2:16" s="89" customFormat="1" ht="12.75">
      <c r="B597" s="125"/>
      <c r="C597" s="126"/>
      <c r="D597" s="126"/>
      <c r="E597" s="126"/>
      <c r="F597" s="126"/>
      <c r="G597" s="126"/>
      <c r="H597" s="126"/>
      <c r="I597" s="126"/>
      <c r="J597" s="126"/>
      <c r="K597" s="127"/>
      <c r="L597" s="128"/>
      <c r="M597" s="129"/>
      <c r="N597" s="95"/>
      <c r="O597" s="95"/>
      <c r="P597" s="130"/>
    </row>
    <row r="598" spans="2:16" s="89" customFormat="1" ht="12.75">
      <c r="B598" s="125"/>
      <c r="C598" s="126"/>
      <c r="D598" s="126"/>
      <c r="E598" s="126"/>
      <c r="F598" s="126"/>
      <c r="G598" s="126"/>
      <c r="H598" s="126"/>
      <c r="I598" s="126"/>
      <c r="J598" s="126"/>
      <c r="K598" s="127"/>
      <c r="L598" s="128"/>
      <c r="M598" s="129"/>
      <c r="N598" s="95"/>
      <c r="O598" s="95"/>
      <c r="P598" s="130"/>
    </row>
    <row r="599" spans="2:16" s="89" customFormat="1" ht="12.75">
      <c r="B599" s="125"/>
      <c r="C599" s="126"/>
      <c r="D599" s="126"/>
      <c r="E599" s="126"/>
      <c r="F599" s="126"/>
      <c r="G599" s="126"/>
      <c r="H599" s="126"/>
      <c r="I599" s="126"/>
      <c r="J599" s="126"/>
      <c r="K599" s="127"/>
      <c r="L599" s="128"/>
      <c r="M599" s="129"/>
      <c r="N599" s="95"/>
      <c r="O599" s="95"/>
      <c r="P599" s="130"/>
    </row>
    <row r="600" spans="2:16" s="89" customFormat="1" ht="12.75">
      <c r="B600" s="125"/>
      <c r="C600" s="126"/>
      <c r="D600" s="126"/>
      <c r="E600" s="126"/>
      <c r="F600" s="126"/>
      <c r="G600" s="126"/>
      <c r="H600" s="126"/>
      <c r="I600" s="126"/>
      <c r="J600" s="126"/>
      <c r="K600" s="127"/>
      <c r="L600" s="128"/>
      <c r="M600" s="129"/>
      <c r="N600" s="95"/>
      <c r="O600" s="95"/>
      <c r="P600" s="130"/>
    </row>
    <row r="601" spans="2:16" s="89" customFormat="1" ht="12.75">
      <c r="B601" s="125"/>
      <c r="C601" s="126"/>
      <c r="D601" s="126"/>
      <c r="E601" s="126"/>
      <c r="F601" s="126"/>
      <c r="G601" s="126"/>
      <c r="H601" s="126"/>
      <c r="I601" s="126"/>
      <c r="J601" s="126"/>
      <c r="K601" s="127"/>
      <c r="L601" s="128"/>
      <c r="M601" s="129"/>
      <c r="N601" s="95"/>
      <c r="O601" s="95"/>
      <c r="P601" s="130"/>
    </row>
    <row r="602" spans="2:16" s="89" customFormat="1" ht="12.75">
      <c r="B602" s="125"/>
      <c r="C602" s="126"/>
      <c r="D602" s="126"/>
      <c r="E602" s="126"/>
      <c r="F602" s="126"/>
      <c r="G602" s="126"/>
      <c r="H602" s="126"/>
      <c r="I602" s="126"/>
      <c r="J602" s="126"/>
      <c r="K602" s="127"/>
      <c r="L602" s="128"/>
      <c r="M602" s="129"/>
      <c r="N602" s="95"/>
      <c r="O602" s="95"/>
      <c r="P602" s="130"/>
    </row>
    <row r="603" spans="2:16" s="89" customFormat="1" ht="12.75">
      <c r="B603" s="125"/>
      <c r="C603" s="126"/>
      <c r="D603" s="126"/>
      <c r="E603" s="126"/>
      <c r="F603" s="126"/>
      <c r="G603" s="126"/>
      <c r="H603" s="126"/>
      <c r="I603" s="126"/>
      <c r="J603" s="126"/>
      <c r="K603" s="127"/>
      <c r="L603" s="128"/>
      <c r="M603" s="129"/>
      <c r="N603" s="95"/>
      <c r="O603" s="95"/>
      <c r="P603" s="130"/>
    </row>
    <row r="604" spans="2:16" s="89" customFormat="1" ht="12.75">
      <c r="B604" s="125"/>
      <c r="C604" s="126"/>
      <c r="D604" s="126"/>
      <c r="E604" s="126"/>
      <c r="F604" s="126"/>
      <c r="G604" s="126"/>
      <c r="H604" s="126"/>
      <c r="I604" s="126"/>
      <c r="J604" s="126"/>
      <c r="K604" s="127"/>
      <c r="L604" s="128"/>
      <c r="M604" s="129"/>
      <c r="N604" s="95"/>
      <c r="O604" s="95"/>
      <c r="P604" s="130"/>
    </row>
    <row r="605" spans="2:16" s="89" customFormat="1" ht="12.75">
      <c r="B605" s="125"/>
      <c r="C605" s="126"/>
      <c r="D605" s="126"/>
      <c r="E605" s="126"/>
      <c r="F605" s="126"/>
      <c r="G605" s="126"/>
      <c r="H605" s="126"/>
      <c r="I605" s="126"/>
      <c r="J605" s="126"/>
      <c r="K605" s="127"/>
      <c r="L605" s="128"/>
      <c r="M605" s="129"/>
      <c r="N605" s="95"/>
      <c r="O605" s="95"/>
      <c r="P605" s="130"/>
    </row>
    <row r="606" spans="2:16" s="89" customFormat="1" ht="12.75">
      <c r="B606" s="125"/>
      <c r="C606" s="126"/>
      <c r="D606" s="126"/>
      <c r="E606" s="126"/>
      <c r="F606" s="126"/>
      <c r="G606" s="126"/>
      <c r="H606" s="126"/>
      <c r="I606" s="126"/>
      <c r="J606" s="126"/>
      <c r="K606" s="127"/>
      <c r="L606" s="128"/>
      <c r="M606" s="129"/>
      <c r="N606" s="95"/>
      <c r="O606" s="95"/>
      <c r="P606" s="130"/>
    </row>
    <row r="607" spans="2:16" s="89" customFormat="1" ht="12.75">
      <c r="B607" s="125"/>
      <c r="C607" s="126"/>
      <c r="D607" s="126"/>
      <c r="E607" s="126"/>
      <c r="F607" s="126"/>
      <c r="G607" s="126"/>
      <c r="H607" s="126"/>
      <c r="I607" s="126"/>
      <c r="J607" s="126"/>
      <c r="K607" s="127"/>
      <c r="L607" s="128"/>
      <c r="M607" s="129"/>
      <c r="N607" s="95"/>
      <c r="O607" s="95"/>
      <c r="P607" s="130"/>
    </row>
    <row r="608" spans="2:16" s="89" customFormat="1" ht="12.75">
      <c r="B608" s="125"/>
      <c r="C608" s="126"/>
      <c r="D608" s="126"/>
      <c r="E608" s="126"/>
      <c r="F608" s="126"/>
      <c r="G608" s="126"/>
      <c r="H608" s="126"/>
      <c r="I608" s="126"/>
      <c r="J608" s="126"/>
      <c r="K608" s="127"/>
      <c r="L608" s="128"/>
      <c r="M608" s="129"/>
      <c r="N608" s="95"/>
      <c r="O608" s="95"/>
      <c r="P608" s="130"/>
    </row>
    <row r="609" spans="2:16" s="89" customFormat="1" ht="12.75">
      <c r="B609" s="125"/>
      <c r="C609" s="126"/>
      <c r="D609" s="126"/>
      <c r="E609" s="126"/>
      <c r="F609" s="126"/>
      <c r="G609" s="126"/>
      <c r="H609" s="126"/>
      <c r="I609" s="126"/>
      <c r="J609" s="126"/>
      <c r="K609" s="127"/>
      <c r="L609" s="128"/>
      <c r="M609" s="129"/>
      <c r="N609" s="95"/>
      <c r="O609" s="95"/>
      <c r="P609" s="130"/>
    </row>
    <row r="610" spans="2:16" s="89" customFormat="1" ht="12.75">
      <c r="B610" s="125"/>
      <c r="C610" s="126"/>
      <c r="D610" s="126"/>
      <c r="E610" s="126"/>
      <c r="F610" s="126"/>
      <c r="G610" s="126"/>
      <c r="H610" s="126"/>
      <c r="I610" s="126"/>
      <c r="J610" s="126"/>
      <c r="K610" s="127"/>
      <c r="L610" s="128"/>
      <c r="M610" s="129"/>
      <c r="N610" s="95"/>
      <c r="O610" s="95"/>
      <c r="P610" s="130"/>
    </row>
    <row r="611" spans="2:16" s="89" customFormat="1" ht="12.75">
      <c r="B611" s="125"/>
      <c r="C611" s="126"/>
      <c r="D611" s="126"/>
      <c r="E611" s="126"/>
      <c r="F611" s="126"/>
      <c r="G611" s="126"/>
      <c r="H611" s="126"/>
      <c r="I611" s="126"/>
      <c r="J611" s="126"/>
      <c r="K611" s="127"/>
      <c r="L611" s="128"/>
      <c r="M611" s="129"/>
      <c r="N611" s="95"/>
      <c r="O611" s="95"/>
      <c r="P611" s="130"/>
    </row>
    <row r="612" spans="2:16" s="89" customFormat="1" ht="12.75">
      <c r="B612" s="125"/>
      <c r="C612" s="126"/>
      <c r="D612" s="126"/>
      <c r="E612" s="126"/>
      <c r="F612" s="126"/>
      <c r="G612" s="126"/>
      <c r="H612" s="126"/>
      <c r="I612" s="126"/>
      <c r="J612" s="126"/>
      <c r="K612" s="127"/>
      <c r="L612" s="128"/>
      <c r="M612" s="129"/>
      <c r="N612" s="95"/>
      <c r="O612" s="95"/>
      <c r="P612" s="130"/>
    </row>
    <row r="613" spans="2:16" s="89" customFormat="1" ht="12.75">
      <c r="B613" s="125"/>
      <c r="C613" s="126"/>
      <c r="D613" s="126"/>
      <c r="E613" s="126"/>
      <c r="F613" s="126"/>
      <c r="G613" s="126"/>
      <c r="H613" s="126"/>
      <c r="I613" s="126"/>
      <c r="J613" s="126"/>
      <c r="K613" s="127"/>
      <c r="L613" s="128"/>
      <c r="M613" s="129"/>
      <c r="N613" s="95"/>
      <c r="O613" s="95"/>
      <c r="P613" s="130"/>
    </row>
    <row r="614" spans="2:16" s="89" customFormat="1" ht="12.75">
      <c r="B614" s="125"/>
      <c r="C614" s="126"/>
      <c r="D614" s="126"/>
      <c r="E614" s="126"/>
      <c r="F614" s="126"/>
      <c r="G614" s="126"/>
      <c r="H614" s="126"/>
      <c r="I614" s="126"/>
      <c r="J614" s="126"/>
      <c r="K614" s="127"/>
      <c r="L614" s="128"/>
      <c r="M614" s="129"/>
      <c r="N614" s="95"/>
      <c r="O614" s="95"/>
      <c r="P614" s="130"/>
    </row>
    <row r="615" spans="2:16" s="89" customFormat="1" ht="12.75">
      <c r="B615" s="125"/>
      <c r="C615" s="126"/>
      <c r="D615" s="126"/>
      <c r="E615" s="126"/>
      <c r="F615" s="126"/>
      <c r="G615" s="126"/>
      <c r="H615" s="126"/>
      <c r="I615" s="126"/>
      <c r="J615" s="126"/>
      <c r="K615" s="127"/>
      <c r="L615" s="128"/>
      <c r="M615" s="129"/>
      <c r="N615" s="95"/>
      <c r="O615" s="95"/>
      <c r="P615" s="130"/>
    </row>
    <row r="616" spans="2:16" s="89" customFormat="1" ht="12.75">
      <c r="B616" s="125"/>
      <c r="C616" s="126"/>
      <c r="D616" s="126"/>
      <c r="E616" s="126"/>
      <c r="F616" s="126"/>
      <c r="G616" s="126"/>
      <c r="H616" s="126"/>
      <c r="I616" s="126"/>
      <c r="J616" s="126"/>
      <c r="K616" s="127"/>
      <c r="L616" s="128"/>
      <c r="M616" s="129"/>
      <c r="N616" s="95"/>
      <c r="O616" s="95"/>
      <c r="P616" s="130"/>
    </row>
    <row r="617" spans="2:16" s="89" customFormat="1" ht="12.75">
      <c r="B617" s="125"/>
      <c r="C617" s="126"/>
      <c r="D617" s="126"/>
      <c r="E617" s="126"/>
      <c r="F617" s="126"/>
      <c r="G617" s="126"/>
      <c r="H617" s="126"/>
      <c r="I617" s="126"/>
      <c r="J617" s="126"/>
      <c r="K617" s="127"/>
      <c r="L617" s="128"/>
      <c r="M617" s="129"/>
      <c r="N617" s="95"/>
      <c r="O617" s="95"/>
      <c r="P617" s="130"/>
    </row>
    <row r="618" spans="2:16" s="89" customFormat="1" ht="12.75">
      <c r="B618" s="125"/>
      <c r="C618" s="126"/>
      <c r="D618" s="126"/>
      <c r="E618" s="126"/>
      <c r="F618" s="126"/>
      <c r="G618" s="126"/>
      <c r="H618" s="126"/>
      <c r="I618" s="126"/>
      <c r="J618" s="126"/>
      <c r="K618" s="127"/>
      <c r="L618" s="128"/>
      <c r="M618" s="129"/>
      <c r="N618" s="95"/>
      <c r="O618" s="95"/>
      <c r="P618" s="130"/>
    </row>
    <row r="619" spans="2:16" s="89" customFormat="1" ht="12.75">
      <c r="B619" s="125"/>
      <c r="C619" s="126"/>
      <c r="D619" s="126"/>
      <c r="E619" s="126"/>
      <c r="F619" s="126"/>
      <c r="G619" s="126"/>
      <c r="H619" s="126"/>
      <c r="I619" s="126"/>
      <c r="J619" s="126"/>
      <c r="K619" s="127"/>
      <c r="L619" s="128"/>
      <c r="M619" s="129"/>
      <c r="N619" s="95"/>
      <c r="O619" s="95"/>
      <c r="P619" s="130"/>
    </row>
    <row r="620" spans="2:16" s="89" customFormat="1" ht="12.75">
      <c r="B620" s="125"/>
      <c r="C620" s="126"/>
      <c r="D620" s="126"/>
      <c r="E620" s="126"/>
      <c r="F620" s="126"/>
      <c r="G620" s="126"/>
      <c r="H620" s="126"/>
      <c r="I620" s="126"/>
      <c r="J620" s="126"/>
      <c r="K620" s="127"/>
      <c r="L620" s="128"/>
      <c r="M620" s="129"/>
      <c r="N620" s="95"/>
      <c r="O620" s="95"/>
      <c r="P620" s="130"/>
    </row>
    <row r="621" spans="2:16" s="89" customFormat="1" ht="12.75">
      <c r="B621" s="125"/>
      <c r="C621" s="126"/>
      <c r="D621" s="126"/>
      <c r="E621" s="126"/>
      <c r="F621" s="126"/>
      <c r="G621" s="126"/>
      <c r="H621" s="126"/>
      <c r="I621" s="126"/>
      <c r="J621" s="126"/>
      <c r="K621" s="127"/>
      <c r="L621" s="128"/>
      <c r="M621" s="129"/>
      <c r="N621" s="95"/>
      <c r="O621" s="95"/>
      <c r="P621" s="130"/>
    </row>
    <row r="622" spans="2:16" s="89" customFormat="1" ht="12.75">
      <c r="B622" s="125"/>
      <c r="C622" s="126"/>
      <c r="D622" s="126"/>
      <c r="E622" s="126"/>
      <c r="F622" s="126"/>
      <c r="G622" s="126"/>
      <c r="H622" s="126"/>
      <c r="I622" s="126"/>
      <c r="J622" s="126"/>
      <c r="K622" s="127"/>
      <c r="L622" s="128"/>
      <c r="M622" s="129"/>
      <c r="N622" s="95"/>
      <c r="O622" s="95"/>
      <c r="P622" s="130"/>
    </row>
    <row r="623" spans="2:16" s="89" customFormat="1" ht="12.75">
      <c r="B623" s="125"/>
      <c r="C623" s="126"/>
      <c r="D623" s="126"/>
      <c r="E623" s="126"/>
      <c r="F623" s="126"/>
      <c r="G623" s="126"/>
      <c r="H623" s="126"/>
      <c r="I623" s="126"/>
      <c r="J623" s="126"/>
      <c r="K623" s="127"/>
      <c r="L623" s="128"/>
      <c r="M623" s="129"/>
      <c r="N623" s="95"/>
      <c r="O623" s="95"/>
      <c r="P623" s="130"/>
    </row>
    <row r="624" spans="2:16" s="89" customFormat="1" ht="12.75">
      <c r="B624" s="125"/>
      <c r="C624" s="126"/>
      <c r="D624" s="126"/>
      <c r="E624" s="126"/>
      <c r="F624" s="126"/>
      <c r="G624" s="126"/>
      <c r="H624" s="126"/>
      <c r="I624" s="126"/>
      <c r="J624" s="126"/>
      <c r="K624" s="127"/>
      <c r="L624" s="128"/>
      <c r="M624" s="129"/>
      <c r="N624" s="95"/>
      <c r="O624" s="95"/>
      <c r="P624" s="130"/>
    </row>
    <row r="625" spans="2:16" s="89" customFormat="1" ht="12.75">
      <c r="B625" s="125"/>
      <c r="C625" s="126"/>
      <c r="D625" s="126"/>
      <c r="E625" s="126"/>
      <c r="F625" s="126"/>
      <c r="G625" s="126"/>
      <c r="H625" s="126"/>
      <c r="I625" s="126"/>
      <c r="J625" s="126"/>
      <c r="K625" s="127"/>
      <c r="L625" s="128"/>
      <c r="M625" s="129"/>
      <c r="N625" s="95"/>
      <c r="O625" s="95"/>
      <c r="P625" s="130"/>
    </row>
    <row r="626" spans="2:16" s="89" customFormat="1" ht="12.75">
      <c r="B626" s="125"/>
      <c r="C626" s="126"/>
      <c r="D626" s="126"/>
      <c r="E626" s="126"/>
      <c r="F626" s="126"/>
      <c r="G626" s="126"/>
      <c r="H626" s="126"/>
      <c r="I626" s="126"/>
      <c r="J626" s="126"/>
      <c r="K626" s="127"/>
      <c r="L626" s="128"/>
      <c r="M626" s="129"/>
      <c r="N626" s="95"/>
      <c r="O626" s="95"/>
      <c r="P626" s="130"/>
    </row>
    <row r="627" spans="2:16" s="89" customFormat="1" ht="12.75">
      <c r="B627" s="125"/>
      <c r="C627" s="126"/>
      <c r="D627" s="126"/>
      <c r="E627" s="126"/>
      <c r="F627" s="126"/>
      <c r="G627" s="126"/>
      <c r="H627" s="126"/>
      <c r="I627" s="126"/>
      <c r="J627" s="126"/>
      <c r="K627" s="127"/>
      <c r="L627" s="128"/>
      <c r="M627" s="129"/>
      <c r="N627" s="95"/>
      <c r="O627" s="95"/>
      <c r="P627" s="130"/>
    </row>
    <row r="628" spans="2:16" s="89" customFormat="1" ht="12.75">
      <c r="B628" s="125"/>
      <c r="C628" s="126"/>
      <c r="D628" s="126"/>
      <c r="E628" s="126"/>
      <c r="F628" s="126"/>
      <c r="G628" s="126"/>
      <c r="H628" s="126"/>
      <c r="I628" s="126"/>
      <c r="J628" s="126"/>
      <c r="K628" s="127"/>
      <c r="L628" s="128"/>
      <c r="M628" s="129"/>
      <c r="N628" s="95"/>
      <c r="O628" s="95"/>
      <c r="P628" s="130"/>
    </row>
    <row r="629" spans="2:16" s="89" customFormat="1" ht="12.75">
      <c r="B629" s="125"/>
      <c r="C629" s="126"/>
      <c r="D629" s="126"/>
      <c r="E629" s="126"/>
      <c r="F629" s="126"/>
      <c r="G629" s="126"/>
      <c r="H629" s="126"/>
      <c r="I629" s="126"/>
      <c r="J629" s="126"/>
      <c r="K629" s="127"/>
      <c r="L629" s="128"/>
      <c r="M629" s="129"/>
      <c r="N629" s="95"/>
      <c r="O629" s="95"/>
      <c r="P629" s="130"/>
    </row>
    <row r="630" spans="2:16" s="89" customFormat="1" ht="12.75">
      <c r="B630" s="125"/>
      <c r="C630" s="126"/>
      <c r="D630" s="126"/>
      <c r="E630" s="126"/>
      <c r="F630" s="126"/>
      <c r="G630" s="126"/>
      <c r="H630" s="126"/>
      <c r="I630" s="126"/>
      <c r="J630" s="126"/>
      <c r="K630" s="127"/>
      <c r="L630" s="128"/>
      <c r="M630" s="129"/>
      <c r="N630" s="95"/>
      <c r="O630" s="95"/>
      <c r="P630" s="130"/>
    </row>
    <row r="631" spans="2:16" s="89" customFormat="1" ht="12.75">
      <c r="B631" s="125"/>
      <c r="C631" s="126"/>
      <c r="D631" s="126"/>
      <c r="E631" s="126"/>
      <c r="F631" s="126"/>
      <c r="G631" s="126"/>
      <c r="H631" s="126"/>
      <c r="I631" s="126"/>
      <c r="J631" s="126"/>
      <c r="K631" s="127"/>
      <c r="L631" s="128"/>
      <c r="M631" s="129"/>
      <c r="N631" s="95"/>
      <c r="O631" s="95"/>
      <c r="P631" s="130"/>
    </row>
    <row r="632" spans="2:16" s="89" customFormat="1" ht="12.75">
      <c r="B632" s="125"/>
      <c r="C632" s="126"/>
      <c r="D632" s="126"/>
      <c r="E632" s="126"/>
      <c r="F632" s="126"/>
      <c r="G632" s="126"/>
      <c r="H632" s="126"/>
      <c r="I632" s="126"/>
      <c r="J632" s="126"/>
      <c r="K632" s="127"/>
      <c r="L632" s="128"/>
      <c r="M632" s="129"/>
      <c r="N632" s="95"/>
      <c r="O632" s="95"/>
      <c r="P632" s="130"/>
    </row>
    <row r="633" spans="2:16" s="89" customFormat="1" ht="12.75">
      <c r="B633" s="125"/>
      <c r="C633" s="126"/>
      <c r="D633" s="126"/>
      <c r="E633" s="126"/>
      <c r="F633" s="126"/>
      <c r="G633" s="126"/>
      <c r="H633" s="126"/>
      <c r="I633" s="126"/>
      <c r="J633" s="126"/>
      <c r="K633" s="127"/>
      <c r="L633" s="128"/>
      <c r="M633" s="129"/>
      <c r="N633" s="95"/>
      <c r="O633" s="95"/>
      <c r="P633" s="130"/>
    </row>
    <row r="634" spans="2:16" s="89" customFormat="1" ht="12.75">
      <c r="B634" s="125"/>
      <c r="C634" s="126"/>
      <c r="D634" s="126"/>
      <c r="E634" s="126"/>
      <c r="F634" s="126"/>
      <c r="G634" s="126"/>
      <c r="H634" s="126"/>
      <c r="I634" s="126"/>
      <c r="J634" s="126"/>
      <c r="K634" s="127"/>
      <c r="L634" s="128"/>
      <c r="M634" s="129"/>
      <c r="N634" s="95"/>
      <c r="O634" s="95"/>
      <c r="P634" s="130"/>
    </row>
    <row r="635" spans="2:16" s="89" customFormat="1" ht="12.75">
      <c r="B635" s="125"/>
      <c r="C635" s="126"/>
      <c r="D635" s="126"/>
      <c r="E635" s="126"/>
      <c r="F635" s="126"/>
      <c r="G635" s="126"/>
      <c r="H635" s="126"/>
      <c r="I635" s="126"/>
      <c r="J635" s="126"/>
      <c r="K635" s="127"/>
      <c r="L635" s="128"/>
      <c r="M635" s="129"/>
      <c r="N635" s="95"/>
      <c r="O635" s="95"/>
      <c r="P635" s="130"/>
    </row>
    <row r="636" spans="2:16" s="89" customFormat="1" ht="12.75">
      <c r="B636" s="125"/>
      <c r="C636" s="126"/>
      <c r="D636" s="126"/>
      <c r="E636" s="126"/>
      <c r="F636" s="126"/>
      <c r="G636" s="126"/>
      <c r="H636" s="126"/>
      <c r="I636" s="126"/>
      <c r="J636" s="126"/>
      <c r="K636" s="127"/>
      <c r="L636" s="128"/>
      <c r="M636" s="129"/>
      <c r="N636" s="95"/>
      <c r="O636" s="95"/>
      <c r="P636" s="130"/>
    </row>
    <row r="637" spans="2:16" s="89" customFormat="1" ht="12.75">
      <c r="B637" s="125"/>
      <c r="C637" s="126"/>
      <c r="D637" s="126"/>
      <c r="E637" s="126"/>
      <c r="F637" s="126"/>
      <c r="G637" s="126"/>
      <c r="H637" s="126"/>
      <c r="I637" s="126"/>
      <c r="J637" s="126"/>
      <c r="K637" s="127"/>
      <c r="L637" s="128"/>
      <c r="M637" s="129"/>
      <c r="N637" s="95"/>
      <c r="O637" s="95"/>
      <c r="P637" s="130"/>
    </row>
    <row r="638" spans="2:16" s="89" customFormat="1" ht="12.75">
      <c r="B638" s="125"/>
      <c r="C638" s="126"/>
      <c r="D638" s="126"/>
      <c r="E638" s="126"/>
      <c r="F638" s="126"/>
      <c r="G638" s="126"/>
      <c r="H638" s="126"/>
      <c r="I638" s="126"/>
      <c r="J638" s="126"/>
      <c r="K638" s="127"/>
      <c r="L638" s="128"/>
      <c r="M638" s="129"/>
      <c r="N638" s="95"/>
      <c r="O638" s="95"/>
      <c r="P638" s="130"/>
    </row>
    <row r="639" spans="2:16" s="89" customFormat="1" ht="12.75">
      <c r="B639" s="125"/>
      <c r="C639" s="126"/>
      <c r="D639" s="126"/>
      <c r="E639" s="126"/>
      <c r="F639" s="126"/>
      <c r="G639" s="126"/>
      <c r="H639" s="126"/>
      <c r="I639" s="126"/>
      <c r="J639" s="126"/>
      <c r="K639" s="127"/>
      <c r="L639" s="128"/>
      <c r="M639" s="129"/>
      <c r="N639" s="95"/>
      <c r="O639" s="95"/>
      <c r="P639" s="130"/>
    </row>
    <row r="640" spans="2:16" s="89" customFormat="1" ht="12.75">
      <c r="B640" s="125"/>
      <c r="C640" s="126"/>
      <c r="D640" s="126"/>
      <c r="E640" s="126"/>
      <c r="F640" s="126"/>
      <c r="G640" s="126"/>
      <c r="H640" s="126"/>
      <c r="I640" s="126"/>
      <c r="J640" s="126"/>
      <c r="K640" s="127"/>
      <c r="L640" s="128"/>
      <c r="M640" s="129"/>
      <c r="N640" s="95"/>
      <c r="O640" s="95"/>
      <c r="P640" s="130"/>
    </row>
    <row r="641" spans="2:16" s="89" customFormat="1" ht="12.75">
      <c r="B641" s="125"/>
      <c r="C641" s="126"/>
      <c r="D641" s="126"/>
      <c r="E641" s="126"/>
      <c r="F641" s="126"/>
      <c r="G641" s="126"/>
      <c r="H641" s="126"/>
      <c r="I641" s="126"/>
      <c r="J641" s="126"/>
      <c r="K641" s="127"/>
      <c r="L641" s="128"/>
      <c r="M641" s="129"/>
      <c r="N641" s="95"/>
      <c r="O641" s="95"/>
      <c r="P641" s="130"/>
    </row>
    <row r="642" spans="2:16" s="89" customFormat="1" ht="12.75">
      <c r="B642" s="125"/>
      <c r="C642" s="126"/>
      <c r="D642" s="126"/>
      <c r="E642" s="126"/>
      <c r="F642" s="126"/>
      <c r="G642" s="126"/>
      <c r="H642" s="126"/>
      <c r="I642" s="126"/>
      <c r="J642" s="126"/>
      <c r="K642" s="127"/>
      <c r="L642" s="128"/>
      <c r="M642" s="129"/>
      <c r="N642" s="95"/>
      <c r="O642" s="95"/>
      <c r="P642" s="130"/>
    </row>
    <row r="643" spans="2:16" s="89" customFormat="1" ht="12.75">
      <c r="B643" s="125"/>
      <c r="C643" s="126"/>
      <c r="D643" s="126"/>
      <c r="E643" s="126"/>
      <c r="F643" s="126"/>
      <c r="G643" s="126"/>
      <c r="H643" s="126"/>
      <c r="I643" s="126"/>
      <c r="J643" s="126"/>
      <c r="K643" s="127"/>
      <c r="L643" s="128"/>
      <c r="M643" s="129"/>
      <c r="N643" s="95"/>
      <c r="O643" s="95"/>
      <c r="P643" s="130"/>
    </row>
    <row r="644" spans="2:16" s="89" customFormat="1" ht="12.75">
      <c r="B644" s="125"/>
      <c r="C644" s="126"/>
      <c r="D644" s="126"/>
      <c r="E644" s="126"/>
      <c r="F644" s="126"/>
      <c r="G644" s="126"/>
      <c r="H644" s="126"/>
      <c r="I644" s="126"/>
      <c r="J644" s="126"/>
      <c r="K644" s="127"/>
      <c r="L644" s="128"/>
      <c r="M644" s="129"/>
      <c r="N644" s="95"/>
      <c r="O644" s="95"/>
      <c r="P644" s="130"/>
    </row>
    <row r="645" spans="2:16" s="89" customFormat="1" ht="12.75">
      <c r="B645" s="125"/>
      <c r="C645" s="126"/>
      <c r="D645" s="126"/>
      <c r="E645" s="126"/>
      <c r="F645" s="126"/>
      <c r="G645" s="126"/>
      <c r="H645" s="126"/>
      <c r="I645" s="126"/>
      <c r="J645" s="126"/>
      <c r="K645" s="127"/>
      <c r="L645" s="128"/>
      <c r="M645" s="129"/>
      <c r="N645" s="95"/>
      <c r="O645" s="95"/>
      <c r="P645" s="130"/>
    </row>
    <row r="646" spans="2:16" s="89" customFormat="1" ht="12.75">
      <c r="B646" s="125"/>
      <c r="C646" s="126"/>
      <c r="D646" s="126"/>
      <c r="E646" s="126"/>
      <c r="F646" s="126"/>
      <c r="G646" s="126"/>
      <c r="H646" s="126"/>
      <c r="I646" s="126"/>
      <c r="J646" s="126"/>
      <c r="K646" s="127"/>
      <c r="L646" s="128"/>
      <c r="M646" s="129"/>
      <c r="N646" s="95"/>
      <c r="O646" s="95"/>
      <c r="P646" s="130"/>
    </row>
    <row r="647" spans="2:16" s="89" customFormat="1" ht="12.75">
      <c r="B647" s="125"/>
      <c r="C647" s="126"/>
      <c r="D647" s="126"/>
      <c r="E647" s="126"/>
      <c r="F647" s="126"/>
      <c r="G647" s="126"/>
      <c r="H647" s="126"/>
      <c r="I647" s="126"/>
      <c r="J647" s="126"/>
      <c r="K647" s="127"/>
      <c r="L647" s="128"/>
      <c r="M647" s="129"/>
      <c r="N647" s="95"/>
      <c r="O647" s="95"/>
      <c r="P647" s="130"/>
    </row>
    <row r="648" spans="2:16" s="89" customFormat="1" ht="12.75">
      <c r="B648" s="125"/>
      <c r="C648" s="126"/>
      <c r="D648" s="126"/>
      <c r="E648" s="126"/>
      <c r="F648" s="126"/>
      <c r="G648" s="126"/>
      <c r="H648" s="126"/>
      <c r="I648" s="126"/>
      <c r="J648" s="126"/>
      <c r="K648" s="127"/>
      <c r="L648" s="128"/>
      <c r="M648" s="129"/>
      <c r="N648" s="95"/>
      <c r="O648" s="95"/>
      <c r="P648" s="130"/>
    </row>
    <row r="649" spans="2:16" s="89" customFormat="1" ht="12.75">
      <c r="B649" s="125"/>
      <c r="C649" s="126"/>
      <c r="D649" s="126"/>
      <c r="E649" s="126"/>
      <c r="F649" s="126"/>
      <c r="G649" s="126"/>
      <c r="H649" s="126"/>
      <c r="I649" s="126"/>
      <c r="J649" s="126"/>
      <c r="K649" s="127"/>
      <c r="L649" s="128"/>
      <c r="M649" s="129"/>
      <c r="N649" s="95"/>
      <c r="O649" s="95"/>
      <c r="P649" s="130"/>
    </row>
    <row r="650" spans="2:16" s="89" customFormat="1" ht="12.75">
      <c r="B650" s="125"/>
      <c r="C650" s="126"/>
      <c r="D650" s="126"/>
      <c r="E650" s="126"/>
      <c r="F650" s="126"/>
      <c r="G650" s="126"/>
      <c r="H650" s="126"/>
      <c r="I650" s="126"/>
      <c r="J650" s="126"/>
      <c r="K650" s="127"/>
      <c r="L650" s="128"/>
      <c r="M650" s="129"/>
      <c r="N650" s="95"/>
      <c r="O650" s="95"/>
      <c r="P650" s="130"/>
    </row>
    <row r="651" spans="2:16" s="89" customFormat="1" ht="12.75">
      <c r="B651" s="125"/>
      <c r="C651" s="126"/>
      <c r="D651" s="126"/>
      <c r="E651" s="126"/>
      <c r="F651" s="126"/>
      <c r="G651" s="126"/>
      <c r="H651" s="126"/>
      <c r="I651" s="126"/>
      <c r="J651" s="126"/>
      <c r="K651" s="127"/>
      <c r="L651" s="128"/>
      <c r="M651" s="129"/>
      <c r="N651" s="95"/>
      <c r="O651" s="95"/>
      <c r="P651" s="130"/>
    </row>
    <row r="652" spans="2:16" s="89" customFormat="1" ht="12.75">
      <c r="B652" s="125"/>
      <c r="C652" s="126"/>
      <c r="D652" s="126"/>
      <c r="E652" s="126"/>
      <c r="F652" s="126"/>
      <c r="G652" s="126"/>
      <c r="H652" s="126"/>
      <c r="I652" s="126"/>
      <c r="J652" s="126"/>
      <c r="K652" s="127"/>
      <c r="L652" s="128"/>
      <c r="M652" s="129"/>
      <c r="N652" s="95"/>
      <c r="O652" s="95"/>
      <c r="P652" s="130"/>
    </row>
    <row r="653" spans="2:16" s="89" customFormat="1" ht="12.75">
      <c r="B653" s="125"/>
      <c r="C653" s="126"/>
      <c r="D653" s="126"/>
      <c r="E653" s="126"/>
      <c r="F653" s="126"/>
      <c r="G653" s="126"/>
      <c r="H653" s="126"/>
      <c r="I653" s="126"/>
      <c r="J653" s="126"/>
      <c r="K653" s="127"/>
      <c r="L653" s="128"/>
      <c r="M653" s="129"/>
      <c r="N653" s="95"/>
      <c r="O653" s="95"/>
      <c r="P653" s="130"/>
    </row>
    <row r="654" spans="2:16" s="89" customFormat="1" ht="12.75">
      <c r="B654" s="125"/>
      <c r="C654" s="126"/>
      <c r="D654" s="126"/>
      <c r="E654" s="126"/>
      <c r="F654" s="126"/>
      <c r="G654" s="126"/>
      <c r="H654" s="126"/>
      <c r="I654" s="126"/>
      <c r="J654" s="126"/>
      <c r="K654" s="127"/>
      <c r="L654" s="128"/>
      <c r="M654" s="129"/>
      <c r="N654" s="95"/>
      <c r="O654" s="95"/>
      <c r="P654" s="130"/>
    </row>
    <row r="655" spans="2:16" s="89" customFormat="1" ht="12.75">
      <c r="B655" s="125"/>
      <c r="C655" s="126"/>
      <c r="D655" s="126"/>
      <c r="E655" s="126"/>
      <c r="F655" s="126"/>
      <c r="G655" s="126"/>
      <c r="H655" s="126"/>
      <c r="I655" s="126"/>
      <c r="J655" s="126"/>
      <c r="K655" s="127"/>
      <c r="L655" s="128"/>
      <c r="M655" s="129"/>
      <c r="N655" s="95"/>
      <c r="O655" s="95"/>
      <c r="P655" s="130"/>
    </row>
    <row r="656" spans="2:16" s="89" customFormat="1" ht="12.75">
      <c r="B656" s="125"/>
      <c r="C656" s="126"/>
      <c r="D656" s="126"/>
      <c r="E656" s="126"/>
      <c r="F656" s="126"/>
      <c r="G656" s="126"/>
      <c r="H656" s="126"/>
      <c r="I656" s="126"/>
      <c r="J656" s="126"/>
      <c r="K656" s="127"/>
      <c r="L656" s="128"/>
      <c r="M656" s="129"/>
      <c r="N656" s="95"/>
      <c r="O656" s="95"/>
      <c r="P656" s="130"/>
    </row>
    <row r="657" spans="2:16" s="89" customFormat="1" ht="12.75">
      <c r="B657" s="125"/>
      <c r="C657" s="126"/>
      <c r="D657" s="126"/>
      <c r="E657" s="126"/>
      <c r="F657" s="126"/>
      <c r="G657" s="126"/>
      <c r="H657" s="126"/>
      <c r="I657" s="126"/>
      <c r="J657" s="126"/>
      <c r="K657" s="127"/>
      <c r="L657" s="128"/>
      <c r="M657" s="129"/>
      <c r="N657" s="95"/>
      <c r="O657" s="95"/>
      <c r="P657" s="130"/>
    </row>
    <row r="658" spans="2:16" s="89" customFormat="1" ht="12.75">
      <c r="B658" s="125"/>
      <c r="C658" s="126"/>
      <c r="D658" s="126"/>
      <c r="E658" s="126"/>
      <c r="F658" s="126"/>
      <c r="G658" s="126"/>
      <c r="H658" s="126"/>
      <c r="I658" s="126"/>
      <c r="J658" s="126"/>
      <c r="K658" s="127"/>
      <c r="L658" s="128"/>
      <c r="M658" s="129"/>
      <c r="N658" s="95"/>
      <c r="O658" s="95"/>
      <c r="P658" s="130"/>
    </row>
    <row r="659" spans="2:16" s="89" customFormat="1" ht="12.75">
      <c r="B659" s="125"/>
      <c r="C659" s="126"/>
      <c r="D659" s="126"/>
      <c r="E659" s="126"/>
      <c r="F659" s="126"/>
      <c r="G659" s="126"/>
      <c r="H659" s="126"/>
      <c r="I659" s="126"/>
      <c r="J659" s="126"/>
      <c r="K659" s="127"/>
      <c r="L659" s="128"/>
      <c r="M659" s="129"/>
      <c r="N659" s="95"/>
      <c r="O659" s="95"/>
      <c r="P659" s="130"/>
    </row>
    <row r="660" spans="2:16" s="89" customFormat="1" ht="12.75">
      <c r="B660" s="125"/>
      <c r="C660" s="126"/>
      <c r="D660" s="126"/>
      <c r="E660" s="126"/>
      <c r="F660" s="126"/>
      <c r="G660" s="126"/>
      <c r="H660" s="126"/>
      <c r="I660" s="126"/>
      <c r="J660" s="126"/>
      <c r="K660" s="127"/>
      <c r="L660" s="128"/>
      <c r="M660" s="129"/>
      <c r="N660" s="95"/>
      <c r="O660" s="95"/>
      <c r="P660" s="130"/>
    </row>
    <row r="661" spans="2:16" s="89" customFormat="1" ht="12.75">
      <c r="B661" s="125"/>
      <c r="C661" s="126"/>
      <c r="D661" s="126"/>
      <c r="E661" s="126"/>
      <c r="F661" s="126"/>
      <c r="G661" s="126"/>
      <c r="H661" s="126"/>
      <c r="I661" s="126"/>
      <c r="J661" s="126"/>
      <c r="K661" s="127"/>
      <c r="L661" s="128"/>
      <c r="M661" s="129"/>
      <c r="N661" s="95"/>
      <c r="O661" s="95"/>
      <c r="P661" s="130"/>
    </row>
    <row r="662" spans="2:16" s="89" customFormat="1" ht="12.75">
      <c r="B662" s="125"/>
      <c r="C662" s="126"/>
      <c r="D662" s="126"/>
      <c r="E662" s="126"/>
      <c r="F662" s="126"/>
      <c r="G662" s="126"/>
      <c r="H662" s="126"/>
      <c r="I662" s="126"/>
      <c r="J662" s="126"/>
      <c r="K662" s="127"/>
      <c r="L662" s="128"/>
      <c r="M662" s="129"/>
      <c r="N662" s="95"/>
      <c r="O662" s="95"/>
      <c r="P662" s="130"/>
    </row>
    <row r="663" spans="2:16" s="89" customFormat="1" ht="12.75">
      <c r="B663" s="125"/>
      <c r="C663" s="126"/>
      <c r="D663" s="126"/>
      <c r="E663" s="126"/>
      <c r="F663" s="126"/>
      <c r="G663" s="126"/>
      <c r="H663" s="126"/>
      <c r="I663" s="126"/>
      <c r="J663" s="126"/>
      <c r="K663" s="127"/>
      <c r="L663" s="128"/>
      <c r="M663" s="129"/>
      <c r="N663" s="95"/>
      <c r="O663" s="95"/>
      <c r="P663" s="130"/>
    </row>
    <row r="664" spans="2:16" s="89" customFormat="1" ht="12.75">
      <c r="B664" s="125"/>
      <c r="C664" s="126"/>
      <c r="D664" s="126"/>
      <c r="E664" s="126"/>
      <c r="F664" s="126"/>
      <c r="G664" s="126"/>
      <c r="H664" s="126"/>
      <c r="I664" s="126"/>
      <c r="J664" s="126"/>
      <c r="K664" s="127"/>
      <c r="L664" s="128"/>
      <c r="M664" s="129"/>
      <c r="N664" s="95"/>
      <c r="O664" s="95"/>
      <c r="P664" s="130"/>
    </row>
    <row r="665" spans="2:16" s="89" customFormat="1" ht="12.75">
      <c r="B665" s="125"/>
      <c r="C665" s="126"/>
      <c r="D665" s="126"/>
      <c r="E665" s="126"/>
      <c r="F665" s="126"/>
      <c r="G665" s="126"/>
      <c r="H665" s="126"/>
      <c r="I665" s="126"/>
      <c r="J665" s="126"/>
      <c r="K665" s="127"/>
      <c r="L665" s="128"/>
      <c r="M665" s="129"/>
      <c r="N665" s="95"/>
      <c r="O665" s="95"/>
      <c r="P665" s="130"/>
    </row>
    <row r="666" spans="2:16" s="89" customFormat="1" ht="12.75">
      <c r="B666" s="125"/>
      <c r="C666" s="126"/>
      <c r="D666" s="126"/>
      <c r="E666" s="126"/>
      <c r="F666" s="126"/>
      <c r="G666" s="126"/>
      <c r="H666" s="126"/>
      <c r="I666" s="126"/>
      <c r="J666" s="126"/>
      <c r="K666" s="127"/>
      <c r="L666" s="128"/>
      <c r="M666" s="129"/>
      <c r="N666" s="95"/>
      <c r="O666" s="95"/>
      <c r="P666" s="130"/>
    </row>
    <row r="667" spans="2:16" s="89" customFormat="1" ht="12.75">
      <c r="B667" s="125"/>
      <c r="C667" s="126"/>
      <c r="D667" s="126"/>
      <c r="E667" s="126"/>
      <c r="F667" s="126"/>
      <c r="G667" s="126"/>
      <c r="H667" s="126"/>
      <c r="I667" s="126"/>
      <c r="J667" s="126"/>
      <c r="K667" s="127"/>
      <c r="L667" s="128"/>
      <c r="M667" s="129"/>
      <c r="N667" s="95"/>
      <c r="O667" s="95"/>
      <c r="P667" s="130"/>
    </row>
    <row r="668" spans="2:16" s="89" customFormat="1" ht="12.75">
      <c r="B668" s="125"/>
      <c r="C668" s="126"/>
      <c r="D668" s="126"/>
      <c r="E668" s="126"/>
      <c r="F668" s="126"/>
      <c r="G668" s="126"/>
      <c r="H668" s="126"/>
      <c r="I668" s="126"/>
      <c r="J668" s="126"/>
      <c r="K668" s="127"/>
      <c r="L668" s="128"/>
      <c r="M668" s="129"/>
      <c r="N668" s="95"/>
      <c r="O668" s="95"/>
      <c r="P668" s="130"/>
    </row>
    <row r="669" spans="2:16" s="89" customFormat="1" ht="12.75">
      <c r="B669" s="125"/>
      <c r="C669" s="126"/>
      <c r="D669" s="126"/>
      <c r="E669" s="126"/>
      <c r="F669" s="126"/>
      <c r="G669" s="126"/>
      <c r="H669" s="126"/>
      <c r="I669" s="126"/>
      <c r="J669" s="126"/>
      <c r="K669" s="127"/>
      <c r="L669" s="128"/>
      <c r="M669" s="129"/>
      <c r="N669" s="95"/>
      <c r="O669" s="95"/>
      <c r="P669" s="130"/>
    </row>
    <row r="670" spans="2:16" s="89" customFormat="1" ht="12.75">
      <c r="B670" s="125"/>
      <c r="C670" s="126"/>
      <c r="D670" s="126"/>
      <c r="E670" s="126"/>
      <c r="F670" s="126"/>
      <c r="G670" s="126"/>
      <c r="H670" s="126"/>
      <c r="I670" s="126"/>
      <c r="J670" s="126"/>
      <c r="K670" s="127"/>
      <c r="L670" s="128"/>
      <c r="M670" s="129"/>
      <c r="N670" s="95"/>
      <c r="O670" s="95"/>
      <c r="P670" s="130"/>
    </row>
    <row r="671" spans="2:16" s="89" customFormat="1" ht="12.75">
      <c r="B671" s="125"/>
      <c r="C671" s="126"/>
      <c r="D671" s="126"/>
      <c r="E671" s="126"/>
      <c r="F671" s="126"/>
      <c r="G671" s="126"/>
      <c r="H671" s="126"/>
      <c r="I671" s="126"/>
      <c r="J671" s="126"/>
      <c r="K671" s="127"/>
      <c r="L671" s="128"/>
      <c r="M671" s="129"/>
      <c r="N671" s="95"/>
      <c r="O671" s="95"/>
      <c r="P671" s="130"/>
    </row>
    <row r="672" spans="2:16" s="89" customFormat="1" ht="12.75">
      <c r="B672" s="125"/>
      <c r="C672" s="126"/>
      <c r="D672" s="126"/>
      <c r="E672" s="126"/>
      <c r="F672" s="126"/>
      <c r="G672" s="126"/>
      <c r="H672" s="126"/>
      <c r="I672" s="126"/>
      <c r="J672" s="126"/>
      <c r="K672" s="127"/>
      <c r="L672" s="128"/>
      <c r="M672" s="129"/>
      <c r="N672" s="95"/>
      <c r="O672" s="95"/>
      <c r="P672" s="130"/>
    </row>
    <row r="673" spans="2:16" s="89" customFormat="1" ht="12.75">
      <c r="B673" s="125"/>
      <c r="C673" s="126"/>
      <c r="D673" s="126"/>
      <c r="E673" s="126"/>
      <c r="F673" s="126"/>
      <c r="G673" s="126"/>
      <c r="H673" s="126"/>
      <c r="I673" s="126"/>
      <c r="J673" s="126"/>
      <c r="K673" s="127"/>
      <c r="L673" s="128"/>
      <c r="M673" s="129"/>
      <c r="N673" s="95"/>
      <c r="O673" s="95"/>
      <c r="P673" s="130"/>
    </row>
    <row r="674" spans="2:16" s="89" customFormat="1" ht="12.75">
      <c r="B674" s="125"/>
      <c r="C674" s="126"/>
      <c r="D674" s="126"/>
      <c r="E674" s="126"/>
      <c r="F674" s="126"/>
      <c r="G674" s="126"/>
      <c r="H674" s="126"/>
      <c r="I674" s="126"/>
      <c r="J674" s="126"/>
      <c r="K674" s="127"/>
      <c r="L674" s="128"/>
      <c r="M674" s="129"/>
      <c r="N674" s="95"/>
      <c r="O674" s="95"/>
      <c r="P674" s="130"/>
    </row>
    <row r="675" spans="2:16" s="89" customFormat="1" ht="12.75">
      <c r="B675" s="125"/>
      <c r="C675" s="126"/>
      <c r="D675" s="126"/>
      <c r="E675" s="126"/>
      <c r="F675" s="126"/>
      <c r="G675" s="126"/>
      <c r="H675" s="126"/>
      <c r="I675" s="126"/>
      <c r="J675" s="126"/>
      <c r="K675" s="127"/>
      <c r="L675" s="128"/>
      <c r="M675" s="129"/>
      <c r="N675" s="95"/>
      <c r="O675" s="95"/>
      <c r="P675" s="130"/>
    </row>
    <row r="676" spans="2:16" s="89" customFormat="1" ht="12.75">
      <c r="B676" s="125"/>
      <c r="C676" s="126"/>
      <c r="D676" s="126"/>
      <c r="E676" s="126"/>
      <c r="F676" s="126"/>
      <c r="G676" s="126"/>
      <c r="H676" s="126"/>
      <c r="I676" s="126"/>
      <c r="J676" s="126"/>
      <c r="K676" s="127"/>
      <c r="L676" s="128"/>
      <c r="M676" s="129"/>
      <c r="N676" s="95"/>
      <c r="O676" s="95"/>
      <c r="P676" s="130"/>
    </row>
    <row r="677" spans="2:16" s="89" customFormat="1" ht="12.75">
      <c r="B677" s="125"/>
      <c r="C677" s="126"/>
      <c r="D677" s="126"/>
      <c r="E677" s="126"/>
      <c r="F677" s="126"/>
      <c r="G677" s="126"/>
      <c r="H677" s="126"/>
      <c r="I677" s="126"/>
      <c r="J677" s="126"/>
      <c r="K677" s="127"/>
      <c r="L677" s="128"/>
      <c r="M677" s="129"/>
      <c r="N677" s="95"/>
      <c r="O677" s="95"/>
      <c r="P677" s="130"/>
    </row>
    <row r="678" spans="2:16" s="89" customFormat="1" ht="12.75">
      <c r="B678" s="125"/>
      <c r="C678" s="126"/>
      <c r="D678" s="126"/>
      <c r="E678" s="126"/>
      <c r="F678" s="126"/>
      <c r="G678" s="126"/>
      <c r="H678" s="126"/>
      <c r="I678" s="126"/>
      <c r="J678" s="126"/>
      <c r="K678" s="127"/>
      <c r="L678" s="128"/>
      <c r="M678" s="129"/>
      <c r="N678" s="95"/>
      <c r="O678" s="95"/>
      <c r="P678" s="130"/>
    </row>
    <row r="679" spans="2:16" s="89" customFormat="1" ht="12.75">
      <c r="B679" s="125"/>
      <c r="C679" s="126"/>
      <c r="D679" s="126"/>
      <c r="E679" s="126"/>
      <c r="F679" s="126"/>
      <c r="G679" s="126"/>
      <c r="H679" s="126"/>
      <c r="I679" s="126"/>
      <c r="J679" s="126"/>
      <c r="K679" s="127"/>
      <c r="L679" s="128"/>
      <c r="M679" s="129"/>
      <c r="N679" s="95"/>
      <c r="O679" s="95"/>
      <c r="P679" s="130"/>
    </row>
    <row r="680" spans="2:16" s="89" customFormat="1" ht="12.75">
      <c r="B680" s="125"/>
      <c r="C680" s="126"/>
      <c r="D680" s="126"/>
      <c r="E680" s="126"/>
      <c r="F680" s="126"/>
      <c r="G680" s="126"/>
      <c r="H680" s="126"/>
      <c r="I680" s="126"/>
      <c r="J680" s="126"/>
      <c r="K680" s="127"/>
      <c r="L680" s="128"/>
      <c r="M680" s="129"/>
      <c r="N680" s="95"/>
      <c r="O680" s="95"/>
      <c r="P680" s="130"/>
    </row>
    <row r="681" spans="2:16" s="89" customFormat="1" ht="12.75">
      <c r="B681" s="125"/>
      <c r="C681" s="126"/>
      <c r="D681" s="126"/>
      <c r="E681" s="126"/>
      <c r="F681" s="126"/>
      <c r="G681" s="126"/>
      <c r="H681" s="126"/>
      <c r="I681" s="126"/>
      <c r="J681" s="126"/>
      <c r="K681" s="127"/>
      <c r="L681" s="128"/>
      <c r="M681" s="129"/>
      <c r="N681" s="95"/>
      <c r="O681" s="95"/>
      <c r="P681" s="130"/>
    </row>
    <row r="682" spans="2:16" s="89" customFormat="1" ht="12.75">
      <c r="B682" s="125"/>
      <c r="C682" s="126"/>
      <c r="D682" s="126"/>
      <c r="E682" s="126"/>
      <c r="F682" s="126"/>
      <c r="G682" s="126"/>
      <c r="H682" s="126"/>
      <c r="I682" s="126"/>
      <c r="J682" s="126"/>
      <c r="K682" s="127"/>
      <c r="L682" s="128"/>
      <c r="M682" s="129"/>
      <c r="N682" s="95"/>
      <c r="O682" s="95"/>
      <c r="P682" s="130"/>
    </row>
    <row r="683" spans="2:16" s="89" customFormat="1" ht="12.75">
      <c r="B683" s="125"/>
      <c r="C683" s="126"/>
      <c r="D683" s="126"/>
      <c r="E683" s="126"/>
      <c r="F683" s="126"/>
      <c r="G683" s="126"/>
      <c r="H683" s="126"/>
      <c r="I683" s="126"/>
      <c r="J683" s="126"/>
      <c r="K683" s="127"/>
      <c r="L683" s="128"/>
      <c r="M683" s="129"/>
      <c r="N683" s="95"/>
      <c r="O683" s="95"/>
      <c r="P683" s="130"/>
    </row>
    <row r="684" spans="2:16" s="89" customFormat="1" ht="12.75">
      <c r="B684" s="125"/>
      <c r="C684" s="126"/>
      <c r="D684" s="126"/>
      <c r="E684" s="126"/>
      <c r="F684" s="126"/>
      <c r="G684" s="126"/>
      <c r="H684" s="126"/>
      <c r="I684" s="126"/>
      <c r="J684" s="126"/>
      <c r="K684" s="127"/>
      <c r="L684" s="128"/>
      <c r="M684" s="129"/>
      <c r="N684" s="95"/>
      <c r="O684" s="95"/>
      <c r="P684" s="130"/>
    </row>
    <row r="685" spans="2:16" s="89" customFormat="1" ht="12.75">
      <c r="B685" s="125"/>
      <c r="C685" s="126"/>
      <c r="D685" s="126"/>
      <c r="E685" s="126"/>
      <c r="F685" s="126"/>
      <c r="G685" s="126"/>
      <c r="H685" s="126"/>
      <c r="I685" s="126"/>
      <c r="J685" s="126"/>
      <c r="K685" s="127"/>
      <c r="L685" s="128"/>
      <c r="M685" s="129"/>
      <c r="N685" s="95"/>
      <c r="O685" s="95"/>
      <c r="P685" s="130"/>
    </row>
    <row r="686" spans="2:16" s="89" customFormat="1" ht="12.75">
      <c r="B686" s="125"/>
      <c r="C686" s="126"/>
      <c r="D686" s="126"/>
      <c r="E686" s="126"/>
      <c r="F686" s="126"/>
      <c r="G686" s="126"/>
      <c r="H686" s="126"/>
      <c r="I686" s="126"/>
      <c r="J686" s="126"/>
      <c r="K686" s="127"/>
      <c r="L686" s="128"/>
      <c r="M686" s="129"/>
      <c r="N686" s="95"/>
      <c r="O686" s="95"/>
      <c r="P686" s="130"/>
    </row>
    <row r="687" spans="2:16" s="89" customFormat="1" ht="12.75">
      <c r="B687" s="125"/>
      <c r="C687" s="126"/>
      <c r="D687" s="126"/>
      <c r="E687" s="126"/>
      <c r="F687" s="126"/>
      <c r="G687" s="126"/>
      <c r="H687" s="126"/>
      <c r="I687" s="126"/>
      <c r="J687" s="126"/>
      <c r="K687" s="127"/>
      <c r="L687" s="128"/>
      <c r="M687" s="129"/>
      <c r="N687" s="95"/>
      <c r="O687" s="95"/>
      <c r="P687" s="130"/>
    </row>
    <row r="688" spans="2:16" s="89" customFormat="1" ht="12.75">
      <c r="B688" s="125"/>
      <c r="C688" s="126"/>
      <c r="D688" s="126"/>
      <c r="E688" s="126"/>
      <c r="F688" s="126"/>
      <c r="G688" s="126"/>
      <c r="H688" s="126"/>
      <c r="I688" s="126"/>
      <c r="J688" s="126"/>
      <c r="K688" s="127"/>
      <c r="L688" s="128"/>
      <c r="M688" s="129"/>
      <c r="N688" s="95"/>
      <c r="O688" s="95"/>
      <c r="P688" s="130"/>
    </row>
    <row r="689" spans="2:16" s="89" customFormat="1" ht="12.75">
      <c r="B689" s="125"/>
      <c r="C689" s="126"/>
      <c r="D689" s="126"/>
      <c r="E689" s="126"/>
      <c r="F689" s="126"/>
      <c r="G689" s="126"/>
      <c r="H689" s="126"/>
      <c r="I689" s="126"/>
      <c r="J689" s="126"/>
      <c r="K689" s="127"/>
      <c r="L689" s="128"/>
      <c r="M689" s="129"/>
      <c r="N689" s="95"/>
      <c r="O689" s="95"/>
      <c r="P689" s="130"/>
    </row>
    <row r="690" spans="2:16" s="89" customFormat="1" ht="12.75">
      <c r="B690" s="125"/>
      <c r="C690" s="126"/>
      <c r="D690" s="126"/>
      <c r="E690" s="126"/>
      <c r="F690" s="126"/>
      <c r="G690" s="126"/>
      <c r="H690" s="126"/>
      <c r="I690" s="126"/>
      <c r="J690" s="126"/>
      <c r="K690" s="127"/>
      <c r="L690" s="128"/>
      <c r="M690" s="129"/>
      <c r="N690" s="95"/>
      <c r="O690" s="95"/>
      <c r="P690" s="130"/>
    </row>
    <row r="691" spans="2:16" s="89" customFormat="1" ht="12.75">
      <c r="B691" s="125"/>
      <c r="C691" s="126"/>
      <c r="D691" s="126"/>
      <c r="E691" s="126"/>
      <c r="F691" s="126"/>
      <c r="G691" s="126"/>
      <c r="H691" s="126"/>
      <c r="I691" s="126"/>
      <c r="J691" s="126"/>
      <c r="K691" s="127"/>
      <c r="L691" s="128"/>
      <c r="M691" s="129"/>
      <c r="N691" s="95"/>
      <c r="O691" s="95"/>
      <c r="P691" s="130"/>
    </row>
    <row r="692" spans="2:16" s="89" customFormat="1" ht="12.75">
      <c r="B692" s="125"/>
      <c r="C692" s="126"/>
      <c r="D692" s="126"/>
      <c r="E692" s="126"/>
      <c r="F692" s="126"/>
      <c r="G692" s="126"/>
      <c r="H692" s="126"/>
      <c r="I692" s="126"/>
      <c r="J692" s="126"/>
      <c r="K692" s="127"/>
      <c r="L692" s="128"/>
      <c r="M692" s="129"/>
      <c r="N692" s="95"/>
      <c r="O692" s="95"/>
      <c r="P692" s="130"/>
    </row>
    <row r="693" spans="2:16" s="89" customFormat="1" ht="12.75">
      <c r="B693" s="125"/>
      <c r="C693" s="126"/>
      <c r="D693" s="126"/>
      <c r="E693" s="126"/>
      <c r="F693" s="126"/>
      <c r="G693" s="126"/>
      <c r="H693" s="126"/>
      <c r="I693" s="126"/>
      <c r="J693" s="126"/>
      <c r="K693" s="127"/>
      <c r="L693" s="128"/>
      <c r="M693" s="129"/>
      <c r="N693" s="95"/>
      <c r="O693" s="95"/>
      <c r="P693" s="130"/>
    </row>
    <row r="694" spans="2:16" s="89" customFormat="1" ht="12.75">
      <c r="B694" s="125"/>
      <c r="C694" s="126"/>
      <c r="D694" s="126"/>
      <c r="E694" s="126"/>
      <c r="F694" s="126"/>
      <c r="G694" s="126"/>
      <c r="H694" s="126"/>
      <c r="I694" s="126"/>
      <c r="J694" s="126"/>
      <c r="K694" s="127"/>
      <c r="L694" s="128"/>
      <c r="M694" s="129"/>
      <c r="N694" s="95"/>
      <c r="O694" s="95"/>
      <c r="P694" s="130"/>
    </row>
    <row r="695" spans="2:16" s="89" customFormat="1" ht="12.75">
      <c r="B695" s="125"/>
      <c r="C695" s="126"/>
      <c r="D695" s="126"/>
      <c r="E695" s="126"/>
      <c r="F695" s="126"/>
      <c r="G695" s="126"/>
      <c r="H695" s="126"/>
      <c r="I695" s="126"/>
      <c r="J695" s="126"/>
      <c r="K695" s="127"/>
      <c r="L695" s="128"/>
      <c r="M695" s="129"/>
      <c r="N695" s="95"/>
      <c r="O695" s="95"/>
      <c r="P695" s="130"/>
    </row>
    <row r="696" spans="2:16" s="89" customFormat="1" ht="12.75">
      <c r="B696" s="125"/>
      <c r="C696" s="126"/>
      <c r="D696" s="126"/>
      <c r="E696" s="126"/>
      <c r="F696" s="126"/>
      <c r="G696" s="126"/>
      <c r="H696" s="126"/>
      <c r="I696" s="126"/>
      <c r="J696" s="126"/>
      <c r="K696" s="127"/>
      <c r="L696" s="128"/>
      <c r="M696" s="129"/>
      <c r="N696" s="95"/>
      <c r="O696" s="95"/>
      <c r="P696" s="130"/>
    </row>
    <row r="697" spans="2:16" s="89" customFormat="1" ht="12.75">
      <c r="B697" s="125"/>
      <c r="C697" s="126"/>
      <c r="D697" s="126"/>
      <c r="E697" s="126"/>
      <c r="F697" s="126"/>
      <c r="G697" s="126"/>
      <c r="H697" s="126"/>
      <c r="I697" s="126"/>
      <c r="J697" s="126"/>
      <c r="K697" s="127"/>
      <c r="L697" s="128"/>
      <c r="M697" s="129"/>
      <c r="N697" s="95"/>
      <c r="O697" s="95"/>
      <c r="P697" s="130"/>
    </row>
    <row r="698" spans="2:16" s="89" customFormat="1" ht="12.75">
      <c r="B698" s="125"/>
      <c r="C698" s="126"/>
      <c r="D698" s="126"/>
      <c r="E698" s="126"/>
      <c r="F698" s="126"/>
      <c r="G698" s="126"/>
      <c r="H698" s="126"/>
      <c r="I698" s="126"/>
      <c r="J698" s="126"/>
      <c r="K698" s="127"/>
      <c r="L698" s="128"/>
      <c r="M698" s="129"/>
      <c r="N698" s="95"/>
      <c r="O698" s="95"/>
      <c r="P698" s="130"/>
    </row>
    <row r="699" spans="2:16" s="89" customFormat="1" ht="12.75">
      <c r="B699" s="125"/>
      <c r="C699" s="126"/>
      <c r="D699" s="126"/>
      <c r="E699" s="126"/>
      <c r="F699" s="126"/>
      <c r="G699" s="126"/>
      <c r="H699" s="126"/>
      <c r="I699" s="126"/>
      <c r="J699" s="126"/>
      <c r="K699" s="127"/>
      <c r="L699" s="128"/>
      <c r="M699" s="129"/>
      <c r="N699" s="95"/>
      <c r="O699" s="95"/>
      <c r="P699" s="130"/>
    </row>
    <row r="700" spans="2:16" s="89" customFormat="1" ht="12.75">
      <c r="B700" s="125"/>
      <c r="C700" s="126"/>
      <c r="D700" s="126"/>
      <c r="E700" s="126"/>
      <c r="F700" s="126"/>
      <c r="G700" s="126"/>
      <c r="H700" s="126"/>
      <c r="I700" s="126"/>
      <c r="J700" s="126"/>
      <c r="K700" s="127"/>
      <c r="L700" s="128"/>
      <c r="M700" s="129"/>
      <c r="N700" s="95"/>
      <c r="O700" s="95"/>
      <c r="P700" s="130"/>
    </row>
    <row r="701" spans="2:16" s="89" customFormat="1" ht="12.75">
      <c r="B701" s="125"/>
      <c r="C701" s="126"/>
      <c r="D701" s="126"/>
      <c r="E701" s="126"/>
      <c r="F701" s="126"/>
      <c r="G701" s="126"/>
      <c r="H701" s="126"/>
      <c r="I701" s="126"/>
      <c r="J701" s="126"/>
      <c r="K701" s="127"/>
      <c r="L701" s="128"/>
      <c r="M701" s="129"/>
      <c r="N701" s="95"/>
      <c r="O701" s="95"/>
      <c r="P701" s="130"/>
    </row>
    <row r="702" spans="2:16" s="89" customFormat="1" ht="12.75">
      <c r="B702" s="125"/>
      <c r="C702" s="126"/>
      <c r="D702" s="126"/>
      <c r="E702" s="126"/>
      <c r="F702" s="126"/>
      <c r="G702" s="126"/>
      <c r="H702" s="126"/>
      <c r="I702" s="126"/>
      <c r="J702" s="126"/>
      <c r="K702" s="127"/>
      <c r="L702" s="128"/>
      <c r="M702" s="129"/>
      <c r="N702" s="95"/>
      <c r="O702" s="95"/>
      <c r="P702" s="130"/>
    </row>
    <row r="703" spans="2:16" s="89" customFormat="1" ht="12.75">
      <c r="B703" s="125"/>
      <c r="C703" s="126"/>
      <c r="D703" s="126"/>
      <c r="E703" s="126"/>
      <c r="F703" s="126"/>
      <c r="G703" s="126"/>
      <c r="H703" s="126"/>
      <c r="I703" s="126"/>
      <c r="J703" s="126"/>
      <c r="K703" s="127"/>
      <c r="L703" s="128"/>
      <c r="M703" s="129"/>
      <c r="N703" s="95"/>
      <c r="O703" s="95"/>
      <c r="P703" s="130"/>
    </row>
    <row r="704" spans="2:16" s="89" customFormat="1" ht="12.75">
      <c r="B704" s="125"/>
      <c r="C704" s="126"/>
      <c r="D704" s="126"/>
      <c r="E704" s="126"/>
      <c r="F704" s="126"/>
      <c r="G704" s="126"/>
      <c r="H704" s="126"/>
      <c r="I704" s="126"/>
      <c r="J704" s="126"/>
      <c r="K704" s="127"/>
      <c r="L704" s="128"/>
      <c r="M704" s="129"/>
      <c r="N704" s="95"/>
      <c r="O704" s="95"/>
      <c r="P704" s="130"/>
    </row>
    <row r="705" spans="2:16" s="89" customFormat="1" ht="12.75">
      <c r="B705" s="125"/>
      <c r="C705" s="126"/>
      <c r="D705" s="126"/>
      <c r="E705" s="126"/>
      <c r="F705" s="126"/>
      <c r="G705" s="126"/>
      <c r="H705" s="126"/>
      <c r="I705" s="126"/>
      <c r="J705" s="126"/>
      <c r="K705" s="127"/>
      <c r="L705" s="128"/>
      <c r="M705" s="129"/>
      <c r="N705" s="95"/>
      <c r="O705" s="95"/>
      <c r="P705" s="130"/>
    </row>
    <row r="706" spans="2:16" s="89" customFormat="1" ht="12.75">
      <c r="B706" s="125"/>
      <c r="C706" s="126"/>
      <c r="D706" s="126"/>
      <c r="E706" s="126"/>
      <c r="F706" s="126"/>
      <c r="G706" s="126"/>
      <c r="H706" s="126"/>
      <c r="I706" s="126"/>
      <c r="J706" s="126"/>
      <c r="K706" s="127"/>
      <c r="L706" s="128"/>
      <c r="M706" s="129"/>
      <c r="N706" s="95"/>
      <c r="O706" s="95"/>
      <c r="P706" s="130"/>
    </row>
    <row r="707" spans="2:16" s="89" customFormat="1" ht="12.75">
      <c r="B707" s="125"/>
      <c r="C707" s="126"/>
      <c r="D707" s="126"/>
      <c r="E707" s="126"/>
      <c r="F707" s="126"/>
      <c r="G707" s="126"/>
      <c r="H707" s="126"/>
      <c r="I707" s="126"/>
      <c r="J707" s="126"/>
      <c r="K707" s="127"/>
      <c r="L707" s="128"/>
      <c r="M707" s="129"/>
      <c r="N707" s="95"/>
      <c r="O707" s="95"/>
      <c r="P707" s="130"/>
    </row>
    <row r="708" spans="2:16" s="89" customFormat="1" ht="12.75">
      <c r="B708" s="125"/>
      <c r="C708" s="126"/>
      <c r="D708" s="126"/>
      <c r="E708" s="126"/>
      <c r="F708" s="126"/>
      <c r="G708" s="126"/>
      <c r="H708" s="126"/>
      <c r="I708" s="126"/>
      <c r="J708" s="126"/>
      <c r="K708" s="127"/>
      <c r="L708" s="128"/>
      <c r="M708" s="129"/>
      <c r="N708" s="95"/>
      <c r="O708" s="95"/>
      <c r="P708" s="130"/>
    </row>
    <row r="709" spans="2:16" s="89" customFormat="1" ht="12.75">
      <c r="B709" s="125"/>
      <c r="C709" s="126"/>
      <c r="D709" s="126"/>
      <c r="E709" s="126"/>
      <c r="F709" s="126"/>
      <c r="G709" s="126"/>
      <c r="H709" s="126"/>
      <c r="I709" s="126"/>
      <c r="J709" s="126"/>
      <c r="K709" s="127"/>
      <c r="L709" s="128"/>
      <c r="M709" s="129"/>
      <c r="N709" s="95"/>
      <c r="O709" s="95"/>
      <c r="P709" s="130"/>
    </row>
    <row r="710" spans="2:16" s="89" customFormat="1" ht="12.75">
      <c r="B710" s="125"/>
      <c r="C710" s="126"/>
      <c r="D710" s="126"/>
      <c r="E710" s="126"/>
      <c r="F710" s="126"/>
      <c r="G710" s="126"/>
      <c r="H710" s="126"/>
      <c r="I710" s="126"/>
      <c r="J710" s="126"/>
      <c r="K710" s="127"/>
      <c r="L710" s="128"/>
      <c r="M710" s="129"/>
      <c r="N710" s="95"/>
      <c r="O710" s="95"/>
      <c r="P710" s="130"/>
    </row>
    <row r="711" spans="2:16" s="89" customFormat="1" ht="12.75">
      <c r="B711" s="125"/>
      <c r="C711" s="126"/>
      <c r="D711" s="126"/>
      <c r="E711" s="126"/>
      <c r="F711" s="126"/>
      <c r="G711" s="126"/>
      <c r="H711" s="126"/>
      <c r="I711" s="126"/>
      <c r="J711" s="126"/>
      <c r="K711" s="127"/>
      <c r="L711" s="128"/>
      <c r="M711" s="129"/>
      <c r="N711" s="95"/>
      <c r="O711" s="95"/>
      <c r="P711" s="130"/>
    </row>
    <row r="712" spans="2:16" s="89" customFormat="1" ht="12.75">
      <c r="B712" s="125"/>
      <c r="C712" s="126"/>
      <c r="D712" s="126"/>
      <c r="E712" s="126"/>
      <c r="F712" s="126"/>
      <c r="G712" s="126"/>
      <c r="H712" s="126"/>
      <c r="I712" s="126"/>
      <c r="J712" s="126"/>
      <c r="K712" s="127"/>
      <c r="L712" s="128"/>
      <c r="M712" s="129"/>
      <c r="N712" s="95"/>
      <c r="O712" s="95"/>
      <c r="P712" s="130"/>
    </row>
    <row r="713" spans="2:16" s="89" customFormat="1" ht="12.75">
      <c r="B713" s="125"/>
      <c r="C713" s="126"/>
      <c r="D713" s="126"/>
      <c r="E713" s="126"/>
      <c r="F713" s="126"/>
      <c r="G713" s="126"/>
      <c r="H713" s="126"/>
      <c r="I713" s="126"/>
      <c r="J713" s="126"/>
      <c r="K713" s="127"/>
      <c r="L713" s="128"/>
      <c r="M713" s="129"/>
      <c r="N713" s="95"/>
      <c r="O713" s="95"/>
      <c r="P713" s="130"/>
    </row>
    <row r="714" spans="2:16" s="89" customFormat="1" ht="12.75">
      <c r="B714" s="125"/>
      <c r="C714" s="126"/>
      <c r="D714" s="126"/>
      <c r="E714" s="126"/>
      <c r="F714" s="126"/>
      <c r="G714" s="126"/>
      <c r="H714" s="126"/>
      <c r="I714" s="126"/>
      <c r="J714" s="126"/>
      <c r="K714" s="127"/>
      <c r="L714" s="128"/>
      <c r="M714" s="129"/>
      <c r="N714" s="95"/>
      <c r="O714" s="95"/>
      <c r="P714" s="130"/>
    </row>
    <row r="715" spans="2:16" s="89" customFormat="1" ht="12.75">
      <c r="B715" s="125"/>
      <c r="C715" s="126"/>
      <c r="D715" s="126"/>
      <c r="E715" s="126"/>
      <c r="F715" s="126"/>
      <c r="G715" s="126"/>
      <c r="H715" s="126"/>
      <c r="I715" s="126"/>
      <c r="J715" s="126"/>
      <c r="K715" s="127"/>
      <c r="L715" s="128"/>
      <c r="M715" s="129"/>
      <c r="N715" s="95"/>
      <c r="O715" s="95"/>
      <c r="P715" s="130"/>
    </row>
    <row r="716" spans="2:16" s="89" customFormat="1" ht="12.75">
      <c r="B716" s="125"/>
      <c r="C716" s="126"/>
      <c r="D716" s="126"/>
      <c r="E716" s="126"/>
      <c r="F716" s="126"/>
      <c r="G716" s="126"/>
      <c r="H716" s="126"/>
      <c r="I716" s="126"/>
      <c r="J716" s="126"/>
      <c r="K716" s="127"/>
      <c r="L716" s="128"/>
      <c r="M716" s="129"/>
      <c r="N716" s="95"/>
      <c r="O716" s="95"/>
      <c r="P716" s="130"/>
    </row>
    <row r="717" spans="2:16" s="89" customFormat="1" ht="12.75">
      <c r="B717" s="125"/>
      <c r="C717" s="126"/>
      <c r="D717" s="126"/>
      <c r="E717" s="126"/>
      <c r="F717" s="126"/>
      <c r="G717" s="126"/>
      <c r="H717" s="126"/>
      <c r="I717" s="126"/>
      <c r="J717" s="126"/>
      <c r="K717" s="127"/>
      <c r="L717" s="128"/>
      <c r="M717" s="129"/>
      <c r="N717" s="95"/>
      <c r="O717" s="95"/>
      <c r="P717" s="130"/>
    </row>
    <row r="718" spans="2:16" s="89" customFormat="1" ht="12.75">
      <c r="B718" s="125"/>
      <c r="C718" s="126"/>
      <c r="D718" s="126"/>
      <c r="E718" s="126"/>
      <c r="F718" s="126"/>
      <c r="G718" s="126"/>
      <c r="H718" s="126"/>
      <c r="I718" s="126"/>
      <c r="J718" s="126"/>
      <c r="K718" s="127"/>
      <c r="L718" s="128"/>
      <c r="M718" s="129"/>
      <c r="N718" s="95"/>
      <c r="O718" s="95"/>
      <c r="P718" s="130"/>
    </row>
    <row r="719" spans="2:16" s="89" customFormat="1" ht="12.75">
      <c r="B719" s="125"/>
      <c r="C719" s="126"/>
      <c r="D719" s="126"/>
      <c r="E719" s="126"/>
      <c r="F719" s="126"/>
      <c r="G719" s="126"/>
      <c r="H719" s="126"/>
      <c r="I719" s="126"/>
      <c r="J719" s="126"/>
      <c r="K719" s="127"/>
      <c r="L719" s="128"/>
      <c r="M719" s="129"/>
      <c r="N719" s="95"/>
      <c r="O719" s="95"/>
      <c r="P719" s="130"/>
    </row>
    <row r="720" spans="2:16" s="89" customFormat="1" ht="12.75">
      <c r="B720" s="125"/>
      <c r="C720" s="126"/>
      <c r="D720" s="126"/>
      <c r="E720" s="126"/>
      <c r="F720" s="126"/>
      <c r="G720" s="126"/>
      <c r="H720" s="126"/>
      <c r="I720" s="126"/>
      <c r="J720" s="126"/>
      <c r="K720" s="127"/>
      <c r="L720" s="128"/>
      <c r="M720" s="129"/>
      <c r="N720" s="95"/>
      <c r="O720" s="95"/>
      <c r="P720" s="130"/>
    </row>
    <row r="721" spans="2:16" s="89" customFormat="1" ht="12.75">
      <c r="B721" s="125"/>
      <c r="C721" s="126"/>
      <c r="D721" s="126"/>
      <c r="E721" s="126"/>
      <c r="F721" s="126"/>
      <c r="G721" s="126"/>
      <c r="H721" s="126"/>
      <c r="I721" s="126"/>
      <c r="J721" s="126"/>
      <c r="K721" s="127"/>
      <c r="L721" s="128"/>
      <c r="M721" s="129"/>
      <c r="N721" s="95"/>
      <c r="O721" s="95"/>
      <c r="P721" s="130"/>
    </row>
    <row r="722" spans="2:16" s="89" customFormat="1" ht="12.75">
      <c r="B722" s="125"/>
      <c r="C722" s="126"/>
      <c r="D722" s="126"/>
      <c r="E722" s="126"/>
      <c r="F722" s="126"/>
      <c r="G722" s="126"/>
      <c r="H722" s="126"/>
      <c r="I722" s="126"/>
      <c r="J722" s="126"/>
      <c r="K722" s="127"/>
      <c r="L722" s="128"/>
      <c r="M722" s="129"/>
      <c r="N722" s="95"/>
      <c r="O722" s="95"/>
      <c r="P722" s="130"/>
    </row>
    <row r="723" spans="2:16" s="89" customFormat="1" ht="12.75">
      <c r="B723" s="125"/>
      <c r="C723" s="126"/>
      <c r="D723" s="126"/>
      <c r="E723" s="126"/>
      <c r="F723" s="126"/>
      <c r="G723" s="126"/>
      <c r="H723" s="126"/>
      <c r="I723" s="126"/>
      <c r="J723" s="126"/>
      <c r="K723" s="127"/>
      <c r="L723" s="128"/>
      <c r="M723" s="129"/>
      <c r="N723" s="95"/>
      <c r="O723" s="95"/>
      <c r="P723" s="130"/>
    </row>
    <row r="724" spans="2:16" s="89" customFormat="1" ht="12.75">
      <c r="B724" s="125"/>
      <c r="C724" s="126"/>
      <c r="D724" s="126"/>
      <c r="E724" s="126"/>
      <c r="F724" s="126"/>
      <c r="G724" s="126"/>
      <c r="H724" s="126"/>
      <c r="I724" s="126"/>
      <c r="J724" s="126"/>
      <c r="K724" s="127"/>
      <c r="L724" s="128"/>
      <c r="M724" s="129"/>
      <c r="N724" s="95"/>
      <c r="O724" s="95"/>
      <c r="P724" s="130"/>
    </row>
    <row r="725" spans="2:16" s="89" customFormat="1" ht="12.75">
      <c r="B725" s="125"/>
      <c r="C725" s="126"/>
      <c r="D725" s="126"/>
      <c r="E725" s="126"/>
      <c r="F725" s="126"/>
      <c r="G725" s="126"/>
      <c r="H725" s="126"/>
      <c r="I725" s="126"/>
      <c r="J725" s="126"/>
      <c r="K725" s="127"/>
      <c r="L725" s="128"/>
      <c r="M725" s="129"/>
      <c r="N725" s="95"/>
      <c r="O725" s="95"/>
      <c r="P725" s="130"/>
    </row>
    <row r="726" spans="2:16" s="89" customFormat="1" ht="12.75">
      <c r="B726" s="125"/>
      <c r="C726" s="126"/>
      <c r="D726" s="126"/>
      <c r="E726" s="126"/>
      <c r="F726" s="126"/>
      <c r="G726" s="126"/>
      <c r="H726" s="126"/>
      <c r="I726" s="126"/>
      <c r="J726" s="126"/>
      <c r="K726" s="127"/>
      <c r="L726" s="128"/>
      <c r="M726" s="129"/>
      <c r="N726" s="95"/>
      <c r="O726" s="95"/>
      <c r="P726" s="130"/>
    </row>
    <row r="727" spans="2:16" s="89" customFormat="1" ht="12.75">
      <c r="B727" s="125"/>
      <c r="C727" s="126"/>
      <c r="D727" s="126"/>
      <c r="E727" s="126"/>
      <c r="F727" s="126"/>
      <c r="G727" s="126"/>
      <c r="H727" s="126"/>
      <c r="I727" s="126"/>
      <c r="J727" s="126"/>
      <c r="K727" s="127"/>
      <c r="L727" s="128"/>
      <c r="M727" s="129"/>
      <c r="N727" s="95"/>
      <c r="O727" s="95"/>
      <c r="P727" s="130"/>
    </row>
    <row r="728" spans="2:16" s="89" customFormat="1" ht="12.75">
      <c r="B728" s="125"/>
      <c r="C728" s="126"/>
      <c r="D728" s="126"/>
      <c r="E728" s="126"/>
      <c r="F728" s="126"/>
      <c r="G728" s="126"/>
      <c r="H728" s="126"/>
      <c r="I728" s="126"/>
      <c r="J728" s="126"/>
      <c r="K728" s="127"/>
      <c r="L728" s="128"/>
      <c r="M728" s="129"/>
      <c r="N728" s="95"/>
      <c r="O728" s="95"/>
      <c r="P728" s="130"/>
    </row>
    <row r="729" spans="2:16" s="89" customFormat="1" ht="12.75">
      <c r="B729" s="125"/>
      <c r="C729" s="126"/>
      <c r="D729" s="126"/>
      <c r="E729" s="126"/>
      <c r="F729" s="126"/>
      <c r="G729" s="126"/>
      <c r="H729" s="126"/>
      <c r="I729" s="126"/>
      <c r="J729" s="126"/>
      <c r="K729" s="127"/>
      <c r="L729" s="128"/>
      <c r="M729" s="129"/>
      <c r="N729" s="95"/>
      <c r="O729" s="95"/>
      <c r="P729" s="130"/>
    </row>
    <row r="730" spans="2:16" s="89" customFormat="1" ht="12.75">
      <c r="B730" s="125"/>
      <c r="C730" s="126"/>
      <c r="D730" s="126"/>
      <c r="E730" s="126"/>
      <c r="F730" s="126"/>
      <c r="G730" s="126"/>
      <c r="H730" s="126"/>
      <c r="I730" s="126"/>
      <c r="J730" s="126"/>
      <c r="K730" s="127"/>
      <c r="L730" s="128"/>
      <c r="M730" s="129"/>
      <c r="N730" s="95"/>
      <c r="O730" s="95"/>
      <c r="P730" s="130"/>
    </row>
    <row r="731" spans="2:16" s="89" customFormat="1" ht="12.75">
      <c r="B731" s="125"/>
      <c r="C731" s="126"/>
      <c r="D731" s="126"/>
      <c r="E731" s="126"/>
      <c r="F731" s="126"/>
      <c r="G731" s="126"/>
      <c r="H731" s="126"/>
      <c r="I731" s="126"/>
      <c r="J731" s="126"/>
      <c r="K731" s="127"/>
      <c r="L731" s="128"/>
      <c r="M731" s="129"/>
      <c r="N731" s="95"/>
      <c r="O731" s="95"/>
      <c r="P731" s="130"/>
    </row>
    <row r="732" spans="2:16" s="89" customFormat="1" ht="12.75">
      <c r="B732" s="125"/>
      <c r="C732" s="126"/>
      <c r="D732" s="126"/>
      <c r="E732" s="126"/>
      <c r="F732" s="126"/>
      <c r="G732" s="126"/>
      <c r="H732" s="126"/>
      <c r="I732" s="126"/>
      <c r="J732" s="126"/>
      <c r="K732" s="127"/>
      <c r="L732" s="128"/>
      <c r="M732" s="129"/>
      <c r="N732" s="95"/>
      <c r="O732" s="95"/>
      <c r="P732" s="130"/>
    </row>
    <row r="733" spans="2:16" s="89" customFormat="1" ht="12.75">
      <c r="B733" s="125"/>
      <c r="C733" s="126"/>
      <c r="D733" s="126"/>
      <c r="E733" s="126"/>
      <c r="F733" s="126"/>
      <c r="G733" s="126"/>
      <c r="H733" s="126"/>
      <c r="I733" s="126"/>
      <c r="J733" s="126"/>
      <c r="K733" s="127"/>
      <c r="L733" s="128"/>
      <c r="M733" s="129"/>
      <c r="N733" s="95"/>
      <c r="O733" s="95"/>
      <c r="P733" s="130"/>
    </row>
    <row r="734" spans="2:16" s="89" customFormat="1" ht="12.75">
      <c r="B734" s="125"/>
      <c r="C734" s="126"/>
      <c r="D734" s="126"/>
      <c r="E734" s="126"/>
      <c r="F734" s="126"/>
      <c r="G734" s="126"/>
      <c r="H734" s="126"/>
      <c r="I734" s="126"/>
      <c r="J734" s="126"/>
      <c r="K734" s="127"/>
      <c r="L734" s="128"/>
      <c r="M734" s="129"/>
      <c r="N734" s="95"/>
      <c r="O734" s="95"/>
      <c r="P734" s="130"/>
    </row>
    <row r="735" spans="2:16" s="89" customFormat="1" ht="12.75">
      <c r="B735" s="125"/>
      <c r="C735" s="126"/>
      <c r="D735" s="126"/>
      <c r="E735" s="126"/>
      <c r="F735" s="126"/>
      <c r="G735" s="126"/>
      <c r="H735" s="126"/>
      <c r="I735" s="126"/>
      <c r="J735" s="126"/>
      <c r="K735" s="127"/>
      <c r="L735" s="128"/>
      <c r="M735" s="129"/>
      <c r="N735" s="95"/>
      <c r="O735" s="95"/>
      <c r="P735" s="130"/>
    </row>
    <row r="736" spans="2:16" s="89" customFormat="1" ht="12.75">
      <c r="B736" s="125"/>
      <c r="C736" s="126"/>
      <c r="D736" s="126"/>
      <c r="E736" s="126"/>
      <c r="F736" s="126"/>
      <c r="G736" s="126"/>
      <c r="H736" s="126"/>
      <c r="I736" s="126"/>
      <c r="J736" s="126"/>
      <c r="K736" s="127"/>
      <c r="L736" s="128"/>
      <c r="M736" s="129"/>
      <c r="N736" s="95"/>
      <c r="O736" s="95"/>
      <c r="P736" s="130"/>
    </row>
    <row r="737" spans="2:16" s="89" customFormat="1" ht="12.75">
      <c r="B737" s="125"/>
      <c r="C737" s="126"/>
      <c r="D737" s="126"/>
      <c r="E737" s="126"/>
      <c r="F737" s="126"/>
      <c r="G737" s="126"/>
      <c r="H737" s="126"/>
      <c r="I737" s="126"/>
      <c r="J737" s="126"/>
      <c r="K737" s="127"/>
      <c r="L737" s="128"/>
      <c r="M737" s="129"/>
      <c r="N737" s="95"/>
      <c r="O737" s="95"/>
      <c r="P737" s="130"/>
    </row>
    <row r="738" spans="2:16" s="89" customFormat="1" ht="12.75">
      <c r="B738" s="125"/>
      <c r="C738" s="126"/>
      <c r="D738" s="126"/>
      <c r="E738" s="126"/>
      <c r="F738" s="126"/>
      <c r="G738" s="126"/>
      <c r="H738" s="126"/>
      <c r="I738" s="126"/>
      <c r="J738" s="126"/>
      <c r="K738" s="127"/>
      <c r="L738" s="128"/>
      <c r="M738" s="129"/>
      <c r="N738" s="95"/>
      <c r="O738" s="95"/>
      <c r="P738" s="130"/>
    </row>
    <row r="739" spans="2:16" s="89" customFormat="1" ht="12.75">
      <c r="B739" s="125"/>
      <c r="C739" s="126"/>
      <c r="D739" s="126"/>
      <c r="E739" s="126"/>
      <c r="F739" s="126"/>
      <c r="G739" s="126"/>
      <c r="H739" s="126"/>
      <c r="I739" s="126"/>
      <c r="J739" s="126"/>
      <c r="K739" s="127"/>
      <c r="L739" s="128"/>
      <c r="M739" s="129"/>
      <c r="N739" s="95"/>
      <c r="O739" s="95"/>
      <c r="P739" s="130"/>
    </row>
    <row r="740" spans="2:16" s="89" customFormat="1" ht="12.75">
      <c r="B740" s="125"/>
      <c r="C740" s="126"/>
      <c r="D740" s="126"/>
      <c r="E740" s="126"/>
      <c r="F740" s="126"/>
      <c r="G740" s="126"/>
      <c r="H740" s="126"/>
      <c r="I740" s="126"/>
      <c r="J740" s="126"/>
      <c r="K740" s="127"/>
      <c r="L740" s="128"/>
      <c r="M740" s="129"/>
      <c r="N740" s="95"/>
      <c r="O740" s="95"/>
      <c r="P740" s="130"/>
    </row>
    <row r="741" spans="2:16" s="89" customFormat="1" ht="12.75">
      <c r="B741" s="125"/>
      <c r="C741" s="126"/>
      <c r="D741" s="126"/>
      <c r="E741" s="126"/>
      <c r="F741" s="126"/>
      <c r="G741" s="126"/>
      <c r="H741" s="126"/>
      <c r="I741" s="126"/>
      <c r="J741" s="126"/>
      <c r="K741" s="127"/>
      <c r="L741" s="128"/>
      <c r="M741" s="129"/>
      <c r="N741" s="95"/>
      <c r="O741" s="95"/>
      <c r="P741" s="130"/>
    </row>
    <row r="742" spans="2:16" s="89" customFormat="1" ht="12.75">
      <c r="B742" s="125"/>
      <c r="C742" s="126"/>
      <c r="D742" s="126"/>
      <c r="E742" s="126"/>
      <c r="F742" s="126"/>
      <c r="G742" s="126"/>
      <c r="H742" s="126"/>
      <c r="I742" s="126"/>
      <c r="J742" s="126"/>
      <c r="K742" s="127"/>
      <c r="L742" s="128"/>
      <c r="M742" s="129"/>
      <c r="N742" s="95"/>
      <c r="O742" s="95"/>
      <c r="P742" s="130"/>
    </row>
    <row r="743" spans="2:16" s="89" customFormat="1" ht="12.75">
      <c r="B743" s="125"/>
      <c r="C743" s="126"/>
      <c r="D743" s="126"/>
      <c r="E743" s="126"/>
      <c r="F743" s="126"/>
      <c r="G743" s="126"/>
      <c r="H743" s="126"/>
      <c r="I743" s="126"/>
      <c r="J743" s="126"/>
      <c r="K743" s="127"/>
      <c r="L743" s="128"/>
      <c r="M743" s="129"/>
      <c r="N743" s="95"/>
      <c r="O743" s="95"/>
      <c r="P743" s="130"/>
    </row>
    <row r="744" spans="2:16" s="89" customFormat="1" ht="12.75">
      <c r="B744" s="125"/>
      <c r="C744" s="126"/>
      <c r="D744" s="126"/>
      <c r="E744" s="126"/>
      <c r="F744" s="126"/>
      <c r="G744" s="126"/>
      <c r="H744" s="126"/>
      <c r="I744" s="126"/>
      <c r="J744" s="126"/>
      <c r="K744" s="127"/>
      <c r="L744" s="128"/>
      <c r="M744" s="129"/>
      <c r="N744" s="95"/>
      <c r="O744" s="95"/>
      <c r="P744" s="130"/>
    </row>
    <row r="745" spans="2:16" s="89" customFormat="1" ht="12.75">
      <c r="B745" s="125"/>
      <c r="C745" s="126"/>
      <c r="D745" s="126"/>
      <c r="E745" s="126"/>
      <c r="F745" s="126"/>
      <c r="G745" s="126"/>
      <c r="H745" s="126"/>
      <c r="I745" s="126"/>
      <c r="J745" s="126"/>
      <c r="K745" s="127"/>
      <c r="L745" s="128"/>
      <c r="M745" s="129"/>
      <c r="N745" s="95"/>
      <c r="O745" s="95"/>
      <c r="P745" s="130"/>
    </row>
    <row r="746" spans="2:16" s="89" customFormat="1" ht="12.75">
      <c r="B746" s="125"/>
      <c r="C746" s="126"/>
      <c r="D746" s="126"/>
      <c r="E746" s="126"/>
      <c r="F746" s="126"/>
      <c r="G746" s="126"/>
      <c r="H746" s="126"/>
      <c r="I746" s="126"/>
      <c r="J746" s="126"/>
      <c r="K746" s="127"/>
      <c r="L746" s="128"/>
      <c r="M746" s="129"/>
      <c r="N746" s="95"/>
      <c r="O746" s="95"/>
      <c r="P746" s="130"/>
    </row>
    <row r="747" spans="2:16" s="89" customFormat="1" ht="12.75">
      <c r="B747" s="125"/>
      <c r="C747" s="126"/>
      <c r="D747" s="126"/>
      <c r="E747" s="126"/>
      <c r="F747" s="126"/>
      <c r="G747" s="126"/>
      <c r="H747" s="126"/>
      <c r="I747" s="126"/>
      <c r="J747" s="126"/>
      <c r="K747" s="127"/>
      <c r="L747" s="128"/>
      <c r="M747" s="129"/>
      <c r="N747" s="95"/>
      <c r="O747" s="95"/>
      <c r="P747" s="130"/>
    </row>
    <row r="748" spans="2:16" s="89" customFormat="1" ht="12.75">
      <c r="B748" s="125"/>
      <c r="C748" s="126"/>
      <c r="D748" s="126"/>
      <c r="E748" s="126"/>
      <c r="F748" s="126"/>
      <c r="G748" s="126"/>
      <c r="H748" s="126"/>
      <c r="I748" s="126"/>
      <c r="J748" s="126"/>
      <c r="K748" s="127"/>
      <c r="L748" s="128"/>
      <c r="M748" s="129"/>
      <c r="N748" s="95"/>
      <c r="O748" s="95"/>
      <c r="P748" s="130"/>
    </row>
    <row r="749" spans="2:16" s="89" customFormat="1" ht="12.75">
      <c r="B749" s="125"/>
      <c r="C749" s="126"/>
      <c r="D749" s="126"/>
      <c r="E749" s="126"/>
      <c r="F749" s="126"/>
      <c r="G749" s="126"/>
      <c r="H749" s="126"/>
      <c r="I749" s="126"/>
      <c r="J749" s="126"/>
      <c r="K749" s="127"/>
      <c r="L749" s="128"/>
      <c r="M749" s="129"/>
      <c r="N749" s="95"/>
      <c r="O749" s="95"/>
      <c r="P749" s="130"/>
    </row>
    <row r="750" spans="2:16" s="89" customFormat="1" ht="12.75">
      <c r="B750" s="125"/>
      <c r="C750" s="126"/>
      <c r="D750" s="126"/>
      <c r="E750" s="126"/>
      <c r="F750" s="126"/>
      <c r="G750" s="126"/>
      <c r="H750" s="126"/>
      <c r="I750" s="126"/>
      <c r="J750" s="126"/>
      <c r="K750" s="127"/>
      <c r="L750" s="128"/>
      <c r="M750" s="129"/>
      <c r="N750" s="95"/>
      <c r="O750" s="95"/>
      <c r="P750" s="130"/>
    </row>
    <row r="751" spans="2:16" s="89" customFormat="1" ht="12.75">
      <c r="B751" s="125"/>
      <c r="C751" s="126"/>
      <c r="D751" s="126"/>
      <c r="E751" s="126"/>
      <c r="F751" s="126"/>
      <c r="G751" s="126"/>
      <c r="H751" s="126"/>
      <c r="I751" s="126"/>
      <c r="J751" s="126"/>
      <c r="K751" s="127"/>
      <c r="L751" s="128"/>
      <c r="M751" s="129"/>
      <c r="N751" s="95"/>
      <c r="O751" s="95"/>
      <c r="P751" s="130"/>
    </row>
    <row r="752" spans="2:16" s="89" customFormat="1" ht="12.75">
      <c r="B752" s="125"/>
      <c r="C752" s="126"/>
      <c r="D752" s="126"/>
      <c r="E752" s="126"/>
      <c r="F752" s="126"/>
      <c r="G752" s="126"/>
      <c r="H752" s="126"/>
      <c r="I752" s="126"/>
      <c r="J752" s="126"/>
      <c r="K752" s="127"/>
      <c r="L752" s="128"/>
      <c r="M752" s="129"/>
      <c r="N752" s="95"/>
      <c r="O752" s="95"/>
      <c r="P752" s="130"/>
    </row>
    <row r="753" spans="2:16" s="89" customFormat="1" ht="12.75">
      <c r="B753" s="125"/>
      <c r="C753" s="126"/>
      <c r="D753" s="126"/>
      <c r="E753" s="126"/>
      <c r="F753" s="126"/>
      <c r="G753" s="126"/>
      <c r="H753" s="126"/>
      <c r="I753" s="126"/>
      <c r="J753" s="126"/>
      <c r="K753" s="127"/>
      <c r="L753" s="128"/>
      <c r="M753" s="129"/>
      <c r="N753" s="95"/>
      <c r="O753" s="95"/>
      <c r="P753" s="130"/>
    </row>
    <row r="754" spans="2:16" s="89" customFormat="1" ht="12.75">
      <c r="B754" s="125"/>
      <c r="C754" s="126"/>
      <c r="D754" s="126"/>
      <c r="E754" s="126"/>
      <c r="F754" s="126"/>
      <c r="G754" s="126"/>
      <c r="H754" s="126"/>
      <c r="I754" s="126"/>
      <c r="J754" s="126"/>
      <c r="K754" s="127"/>
      <c r="L754" s="128"/>
      <c r="M754" s="129"/>
      <c r="N754" s="95"/>
      <c r="O754" s="95"/>
      <c r="P754" s="130"/>
    </row>
    <row r="755" spans="2:16" s="89" customFormat="1" ht="12.75">
      <c r="B755" s="125"/>
      <c r="C755" s="126"/>
      <c r="D755" s="126"/>
      <c r="E755" s="126"/>
      <c r="F755" s="126"/>
      <c r="G755" s="126"/>
      <c r="H755" s="126"/>
      <c r="I755" s="126"/>
      <c r="J755" s="126"/>
      <c r="K755" s="127"/>
      <c r="L755" s="128"/>
      <c r="M755" s="129"/>
      <c r="N755" s="95"/>
      <c r="O755" s="95"/>
      <c r="P755" s="130"/>
    </row>
    <row r="756" spans="2:16" s="89" customFormat="1" ht="12.75">
      <c r="B756" s="125"/>
      <c r="C756" s="126"/>
      <c r="D756" s="126"/>
      <c r="E756" s="126"/>
      <c r="F756" s="126"/>
      <c r="G756" s="126"/>
      <c r="H756" s="126"/>
      <c r="I756" s="126"/>
      <c r="J756" s="126"/>
      <c r="K756" s="127"/>
      <c r="L756" s="128"/>
      <c r="M756" s="129"/>
      <c r="N756" s="95"/>
      <c r="O756" s="95"/>
      <c r="P756" s="130"/>
    </row>
    <row r="757" spans="2:16" s="89" customFormat="1" ht="12.75">
      <c r="B757" s="125"/>
      <c r="C757" s="126"/>
      <c r="D757" s="126"/>
      <c r="E757" s="126"/>
      <c r="F757" s="126"/>
      <c r="G757" s="126"/>
      <c r="H757" s="126"/>
      <c r="I757" s="126"/>
      <c r="J757" s="126"/>
      <c r="K757" s="127"/>
      <c r="L757" s="128"/>
      <c r="M757" s="129"/>
      <c r="N757" s="95"/>
      <c r="O757" s="95"/>
      <c r="P757" s="130"/>
    </row>
    <row r="758" spans="2:16" s="89" customFormat="1" ht="12.75">
      <c r="B758" s="125"/>
      <c r="C758" s="126"/>
      <c r="D758" s="126"/>
      <c r="E758" s="126"/>
      <c r="F758" s="126"/>
      <c r="G758" s="126"/>
      <c r="H758" s="126"/>
      <c r="I758" s="126"/>
      <c r="J758" s="126"/>
      <c r="K758" s="127"/>
      <c r="L758" s="128"/>
      <c r="M758" s="129"/>
      <c r="N758" s="95"/>
      <c r="O758" s="95"/>
      <c r="P758" s="130"/>
    </row>
    <row r="759" spans="2:16" s="89" customFormat="1" ht="12.75">
      <c r="B759" s="125"/>
      <c r="C759" s="126"/>
      <c r="D759" s="126"/>
      <c r="E759" s="126"/>
      <c r="F759" s="126"/>
      <c r="G759" s="126"/>
      <c r="H759" s="126"/>
      <c r="I759" s="126"/>
      <c r="J759" s="126"/>
      <c r="K759" s="127"/>
      <c r="L759" s="128"/>
      <c r="M759" s="129"/>
      <c r="N759" s="95"/>
      <c r="O759" s="95"/>
      <c r="P759" s="130"/>
    </row>
    <row r="760" spans="2:16" s="89" customFormat="1" ht="12.75">
      <c r="B760" s="125"/>
      <c r="C760" s="126"/>
      <c r="D760" s="126"/>
      <c r="E760" s="126"/>
      <c r="F760" s="126"/>
      <c r="G760" s="126"/>
      <c r="H760" s="126"/>
      <c r="I760" s="126"/>
      <c r="J760" s="126"/>
      <c r="K760" s="127"/>
      <c r="L760" s="128"/>
      <c r="M760" s="129"/>
      <c r="N760" s="95"/>
      <c r="O760" s="95"/>
      <c r="P760" s="130"/>
    </row>
    <row r="761" spans="2:16" s="89" customFormat="1" ht="12.75">
      <c r="B761" s="125"/>
      <c r="C761" s="126"/>
      <c r="D761" s="126"/>
      <c r="E761" s="126"/>
      <c r="F761" s="126"/>
      <c r="G761" s="126"/>
      <c r="H761" s="126"/>
      <c r="I761" s="126"/>
      <c r="J761" s="126"/>
      <c r="K761" s="127"/>
      <c r="L761" s="128"/>
      <c r="M761" s="129"/>
      <c r="N761" s="95"/>
      <c r="O761" s="95"/>
      <c r="P761" s="130"/>
    </row>
    <row r="762" spans="2:16" s="89" customFormat="1" ht="12.75">
      <c r="B762" s="125"/>
      <c r="C762" s="126"/>
      <c r="D762" s="126"/>
      <c r="E762" s="126"/>
      <c r="F762" s="126"/>
      <c r="G762" s="126"/>
      <c r="H762" s="126"/>
      <c r="I762" s="126"/>
      <c r="J762" s="126"/>
      <c r="K762" s="127"/>
      <c r="L762" s="128"/>
      <c r="M762" s="129"/>
      <c r="N762" s="95"/>
      <c r="O762" s="95"/>
      <c r="P762" s="130"/>
    </row>
    <row r="763" spans="2:16" s="89" customFormat="1" ht="12.75">
      <c r="B763" s="125"/>
      <c r="C763" s="126"/>
      <c r="D763" s="126"/>
      <c r="E763" s="126"/>
      <c r="F763" s="126"/>
      <c r="G763" s="126"/>
      <c r="H763" s="126"/>
      <c r="I763" s="126"/>
      <c r="J763" s="126"/>
      <c r="K763" s="127"/>
      <c r="L763" s="128"/>
      <c r="M763" s="129"/>
      <c r="N763" s="95"/>
      <c r="O763" s="95"/>
      <c r="P763" s="130"/>
    </row>
    <row r="764" spans="2:16" s="89" customFormat="1" ht="12.75">
      <c r="B764" s="125"/>
      <c r="C764" s="126"/>
      <c r="D764" s="126"/>
      <c r="E764" s="126"/>
      <c r="F764" s="126"/>
      <c r="G764" s="126"/>
      <c r="H764" s="126"/>
      <c r="I764" s="126"/>
      <c r="J764" s="126"/>
      <c r="K764" s="127"/>
      <c r="L764" s="128"/>
      <c r="M764" s="129"/>
      <c r="N764" s="95"/>
      <c r="O764" s="95"/>
      <c r="P764" s="130"/>
    </row>
    <row r="765" spans="2:16" s="89" customFormat="1" ht="12.75">
      <c r="B765" s="125"/>
      <c r="C765" s="126"/>
      <c r="D765" s="126"/>
      <c r="E765" s="126"/>
      <c r="F765" s="126"/>
      <c r="G765" s="126"/>
      <c r="H765" s="126"/>
      <c r="I765" s="126"/>
      <c r="J765" s="126"/>
      <c r="K765" s="127"/>
      <c r="L765" s="128"/>
      <c r="M765" s="129"/>
      <c r="N765" s="95"/>
      <c r="O765" s="95"/>
      <c r="P765" s="130"/>
    </row>
    <row r="766" spans="2:16" s="89" customFormat="1" ht="12.75">
      <c r="B766" s="125"/>
      <c r="C766" s="126"/>
      <c r="D766" s="126"/>
      <c r="E766" s="126"/>
      <c r="F766" s="126"/>
      <c r="G766" s="126"/>
      <c r="H766" s="126"/>
      <c r="I766" s="126"/>
      <c r="J766" s="126"/>
      <c r="K766" s="127"/>
      <c r="L766" s="128"/>
      <c r="M766" s="129"/>
      <c r="N766" s="95"/>
      <c r="O766" s="95"/>
      <c r="P766" s="130"/>
    </row>
    <row r="767" spans="2:16" s="89" customFormat="1" ht="12.75">
      <c r="B767" s="125"/>
      <c r="C767" s="126"/>
      <c r="D767" s="126"/>
      <c r="E767" s="126"/>
      <c r="F767" s="126"/>
      <c r="G767" s="126"/>
      <c r="H767" s="126"/>
      <c r="I767" s="126"/>
      <c r="J767" s="126"/>
      <c r="K767" s="127"/>
      <c r="L767" s="128"/>
      <c r="M767" s="129"/>
      <c r="N767" s="95"/>
      <c r="O767" s="95"/>
      <c r="P767" s="130"/>
    </row>
    <row r="768" spans="2:16" s="89" customFormat="1" ht="12.75">
      <c r="B768" s="125"/>
      <c r="C768" s="126"/>
      <c r="D768" s="126"/>
      <c r="E768" s="126"/>
      <c r="F768" s="126"/>
      <c r="G768" s="126"/>
      <c r="H768" s="126"/>
      <c r="I768" s="126"/>
      <c r="J768" s="126"/>
      <c r="K768" s="127"/>
      <c r="L768" s="128"/>
      <c r="M768" s="129"/>
      <c r="N768" s="95"/>
      <c r="O768" s="95"/>
      <c r="P768" s="130"/>
    </row>
    <row r="769" spans="2:16" s="89" customFormat="1" ht="12.75">
      <c r="B769" s="125"/>
      <c r="C769" s="126"/>
      <c r="D769" s="126"/>
      <c r="E769" s="126"/>
      <c r="F769" s="126"/>
      <c r="G769" s="126"/>
      <c r="H769" s="126"/>
      <c r="I769" s="126"/>
      <c r="J769" s="126"/>
      <c r="K769" s="127"/>
      <c r="L769" s="128"/>
      <c r="M769" s="129"/>
      <c r="N769" s="95"/>
      <c r="O769" s="95"/>
      <c r="P769" s="130"/>
    </row>
    <row r="770" spans="2:16" s="89" customFormat="1" ht="12.75">
      <c r="B770" s="125"/>
      <c r="C770" s="126"/>
      <c r="D770" s="126"/>
      <c r="E770" s="126"/>
      <c r="F770" s="126"/>
      <c r="G770" s="126"/>
      <c r="H770" s="126"/>
      <c r="I770" s="126"/>
      <c r="J770" s="126"/>
      <c r="K770" s="127"/>
      <c r="L770" s="128"/>
      <c r="M770" s="129"/>
      <c r="N770" s="95"/>
      <c r="O770" s="95"/>
      <c r="P770" s="130"/>
    </row>
    <row r="771" spans="2:16" s="89" customFormat="1" ht="12.75">
      <c r="B771" s="125"/>
      <c r="C771" s="126"/>
      <c r="D771" s="126"/>
      <c r="E771" s="126"/>
      <c r="F771" s="126"/>
      <c r="G771" s="126"/>
      <c r="H771" s="126"/>
      <c r="I771" s="126"/>
      <c r="J771" s="126"/>
      <c r="K771" s="127"/>
      <c r="L771" s="128"/>
      <c r="M771" s="129"/>
      <c r="N771" s="95"/>
      <c r="O771" s="95"/>
      <c r="P771" s="130"/>
    </row>
    <row r="772" spans="2:16" s="89" customFormat="1" ht="12.75">
      <c r="B772" s="125"/>
      <c r="C772" s="126"/>
      <c r="D772" s="126"/>
      <c r="E772" s="126"/>
      <c r="F772" s="126"/>
      <c r="G772" s="126"/>
      <c r="H772" s="126"/>
      <c r="I772" s="126"/>
      <c r="J772" s="126"/>
      <c r="K772" s="127"/>
      <c r="L772" s="128"/>
      <c r="M772" s="129"/>
      <c r="N772" s="95"/>
      <c r="O772" s="95"/>
      <c r="P772" s="130"/>
    </row>
    <row r="773" spans="2:16" s="89" customFormat="1" ht="12.75">
      <c r="B773" s="125"/>
      <c r="C773" s="126"/>
      <c r="D773" s="126"/>
      <c r="E773" s="126"/>
      <c r="F773" s="126"/>
      <c r="G773" s="126"/>
      <c r="H773" s="126"/>
      <c r="I773" s="126"/>
      <c r="J773" s="126"/>
      <c r="K773" s="127"/>
      <c r="L773" s="128"/>
      <c r="M773" s="129"/>
      <c r="N773" s="95"/>
      <c r="O773" s="95"/>
      <c r="P773" s="130"/>
    </row>
    <row r="774" spans="2:16" s="89" customFormat="1" ht="12.75">
      <c r="B774" s="125"/>
      <c r="C774" s="126"/>
      <c r="D774" s="126"/>
      <c r="E774" s="126"/>
      <c r="F774" s="126"/>
      <c r="G774" s="126"/>
      <c r="H774" s="126"/>
      <c r="I774" s="126"/>
      <c r="J774" s="126"/>
      <c r="K774" s="127"/>
      <c r="L774" s="128"/>
      <c r="M774" s="129"/>
      <c r="N774" s="95"/>
      <c r="O774" s="95"/>
      <c r="P774" s="130"/>
    </row>
    <row r="775" spans="2:16" s="89" customFormat="1" ht="12.75">
      <c r="B775" s="125"/>
      <c r="C775" s="126"/>
      <c r="D775" s="126"/>
      <c r="E775" s="126"/>
      <c r="F775" s="126"/>
      <c r="G775" s="126"/>
      <c r="H775" s="126"/>
      <c r="I775" s="126"/>
      <c r="J775" s="126"/>
      <c r="K775" s="127"/>
      <c r="L775" s="128"/>
      <c r="M775" s="129"/>
      <c r="N775" s="95"/>
      <c r="O775" s="95"/>
      <c r="P775" s="130"/>
    </row>
    <row r="776" spans="2:16" s="89" customFormat="1" ht="12.75">
      <c r="B776" s="125"/>
      <c r="C776" s="126"/>
      <c r="D776" s="126"/>
      <c r="E776" s="126"/>
      <c r="F776" s="126"/>
      <c r="G776" s="126"/>
      <c r="H776" s="126"/>
      <c r="I776" s="126"/>
      <c r="J776" s="126"/>
      <c r="K776" s="127"/>
      <c r="L776" s="128"/>
      <c r="M776" s="129"/>
      <c r="N776" s="95"/>
      <c r="O776" s="95"/>
      <c r="P776" s="130"/>
    </row>
    <row r="777" spans="2:16" s="89" customFormat="1" ht="12.75">
      <c r="B777" s="125"/>
      <c r="C777" s="126"/>
      <c r="D777" s="126"/>
      <c r="E777" s="126"/>
      <c r="F777" s="126"/>
      <c r="G777" s="126"/>
      <c r="H777" s="126"/>
      <c r="I777" s="126"/>
      <c r="J777" s="126"/>
      <c r="K777" s="127"/>
      <c r="L777" s="128"/>
      <c r="M777" s="129"/>
      <c r="N777" s="95"/>
      <c r="O777" s="95"/>
      <c r="P777" s="130"/>
    </row>
    <row r="778" spans="2:16" s="89" customFormat="1" ht="12.75">
      <c r="B778" s="125"/>
      <c r="C778" s="126"/>
      <c r="D778" s="126"/>
      <c r="E778" s="126"/>
      <c r="F778" s="126"/>
      <c r="G778" s="126"/>
      <c r="H778" s="126"/>
      <c r="I778" s="126"/>
      <c r="J778" s="126"/>
      <c r="K778" s="127"/>
      <c r="L778" s="128"/>
      <c r="M778" s="129"/>
      <c r="N778" s="95"/>
      <c r="O778" s="95"/>
      <c r="P778" s="130"/>
    </row>
    <row r="779" spans="2:16" s="89" customFormat="1" ht="12.75">
      <c r="B779" s="125"/>
      <c r="C779" s="126"/>
      <c r="D779" s="126"/>
      <c r="E779" s="126"/>
      <c r="F779" s="126"/>
      <c r="G779" s="126"/>
      <c r="H779" s="126"/>
      <c r="I779" s="126"/>
      <c r="J779" s="126"/>
      <c r="K779" s="127"/>
      <c r="L779" s="128"/>
      <c r="M779" s="129"/>
      <c r="N779" s="95"/>
      <c r="O779" s="95"/>
      <c r="P779" s="130"/>
    </row>
    <row r="780" spans="2:16" s="89" customFormat="1" ht="12.75">
      <c r="B780" s="125"/>
      <c r="C780" s="126"/>
      <c r="D780" s="126"/>
      <c r="E780" s="126"/>
      <c r="F780" s="126"/>
      <c r="G780" s="126"/>
      <c r="H780" s="126"/>
      <c r="I780" s="126"/>
      <c r="J780" s="126"/>
      <c r="K780" s="127"/>
      <c r="L780" s="128"/>
      <c r="M780" s="129"/>
      <c r="N780" s="95"/>
      <c r="O780" s="95"/>
      <c r="P780" s="130"/>
    </row>
    <row r="781" spans="2:16" s="89" customFormat="1" ht="12.75">
      <c r="B781" s="125"/>
      <c r="C781" s="126"/>
      <c r="D781" s="126"/>
      <c r="E781" s="126"/>
      <c r="F781" s="126"/>
      <c r="G781" s="126"/>
      <c r="H781" s="126"/>
      <c r="I781" s="126"/>
      <c r="J781" s="126"/>
      <c r="K781" s="127"/>
      <c r="L781" s="128"/>
      <c r="M781" s="129"/>
      <c r="N781" s="95"/>
      <c r="O781" s="95"/>
      <c r="P781" s="130"/>
    </row>
    <row r="782" spans="2:16" s="89" customFormat="1" ht="12.75">
      <c r="B782" s="125"/>
      <c r="C782" s="126"/>
      <c r="D782" s="126"/>
      <c r="E782" s="126"/>
      <c r="F782" s="126"/>
      <c r="G782" s="126"/>
      <c r="H782" s="126"/>
      <c r="I782" s="126"/>
      <c r="J782" s="126"/>
      <c r="K782" s="127"/>
      <c r="L782" s="128"/>
      <c r="M782" s="129"/>
      <c r="N782" s="95"/>
      <c r="O782" s="95"/>
      <c r="P782" s="130"/>
    </row>
    <row r="783" spans="2:16" s="89" customFormat="1" ht="12.75">
      <c r="B783" s="125"/>
      <c r="C783" s="126"/>
      <c r="D783" s="126"/>
      <c r="E783" s="126"/>
      <c r="F783" s="126"/>
      <c r="G783" s="126"/>
      <c r="H783" s="126"/>
      <c r="I783" s="126"/>
      <c r="J783" s="126"/>
      <c r="K783" s="127"/>
      <c r="L783" s="128"/>
      <c r="M783" s="129"/>
      <c r="N783" s="95"/>
      <c r="O783" s="95"/>
      <c r="P783" s="130"/>
    </row>
    <row r="784" spans="2:16" s="89" customFormat="1" ht="12.75">
      <c r="B784" s="125"/>
      <c r="C784" s="126"/>
      <c r="D784" s="126"/>
      <c r="E784" s="126"/>
      <c r="F784" s="126"/>
      <c r="G784" s="126"/>
      <c r="H784" s="126"/>
      <c r="I784" s="126"/>
      <c r="J784" s="126"/>
      <c r="K784" s="127"/>
      <c r="L784" s="128"/>
      <c r="M784" s="129"/>
      <c r="N784" s="95"/>
      <c r="O784" s="95"/>
      <c r="P784" s="130"/>
    </row>
    <row r="785" spans="2:16" s="89" customFormat="1" ht="12.75">
      <c r="B785" s="125"/>
      <c r="C785" s="126"/>
      <c r="D785" s="126"/>
      <c r="E785" s="126"/>
      <c r="F785" s="126"/>
      <c r="G785" s="126"/>
      <c r="H785" s="126"/>
      <c r="I785" s="126"/>
      <c r="J785" s="126"/>
      <c r="K785" s="127"/>
      <c r="L785" s="128"/>
      <c r="M785" s="129"/>
      <c r="N785" s="95"/>
      <c r="O785" s="95"/>
      <c r="P785" s="130"/>
    </row>
    <row r="786" spans="2:16" s="89" customFormat="1" ht="12.75">
      <c r="B786" s="125"/>
      <c r="C786" s="126"/>
      <c r="D786" s="126"/>
      <c r="E786" s="126"/>
      <c r="F786" s="126"/>
      <c r="G786" s="126"/>
      <c r="H786" s="126"/>
      <c r="I786" s="126"/>
      <c r="J786" s="126"/>
      <c r="K786" s="127"/>
      <c r="L786" s="128"/>
      <c r="M786" s="129"/>
      <c r="N786" s="95"/>
      <c r="O786" s="95"/>
      <c r="P786" s="130"/>
    </row>
    <row r="787" spans="2:16" s="89" customFormat="1" ht="12.75">
      <c r="B787" s="125"/>
      <c r="C787" s="126"/>
      <c r="D787" s="126"/>
      <c r="E787" s="126"/>
      <c r="F787" s="126"/>
      <c r="G787" s="126"/>
      <c r="H787" s="126"/>
      <c r="I787" s="126"/>
      <c r="J787" s="126"/>
      <c r="K787" s="127"/>
      <c r="L787" s="128"/>
      <c r="M787" s="129"/>
      <c r="N787" s="95"/>
      <c r="O787" s="95"/>
      <c r="P787" s="130"/>
    </row>
    <row r="788" spans="2:16" s="89" customFormat="1" ht="12.75">
      <c r="B788" s="125"/>
      <c r="C788" s="126"/>
      <c r="D788" s="126"/>
      <c r="E788" s="126"/>
      <c r="F788" s="126"/>
      <c r="G788" s="126"/>
      <c r="H788" s="126"/>
      <c r="I788" s="126"/>
      <c r="J788" s="126"/>
      <c r="K788" s="127"/>
      <c r="L788" s="128"/>
      <c r="M788" s="129"/>
      <c r="N788" s="95"/>
      <c r="O788" s="95"/>
      <c r="P788" s="130"/>
    </row>
    <row r="789" spans="2:16" s="89" customFormat="1" ht="12.75">
      <c r="B789" s="125"/>
      <c r="C789" s="126"/>
      <c r="D789" s="126"/>
      <c r="E789" s="126"/>
      <c r="F789" s="126"/>
      <c r="G789" s="126"/>
      <c r="H789" s="126"/>
      <c r="I789" s="126"/>
      <c r="J789" s="126"/>
      <c r="K789" s="127"/>
      <c r="L789" s="128"/>
      <c r="M789" s="129"/>
      <c r="N789" s="95"/>
      <c r="O789" s="95"/>
      <c r="P789" s="130"/>
    </row>
    <row r="790" spans="2:16" s="89" customFormat="1" ht="12.75">
      <c r="B790" s="125"/>
      <c r="C790" s="126"/>
      <c r="D790" s="126"/>
      <c r="E790" s="126"/>
      <c r="F790" s="126"/>
      <c r="G790" s="126"/>
      <c r="H790" s="126"/>
      <c r="I790" s="126"/>
      <c r="J790" s="126"/>
      <c r="K790" s="127"/>
      <c r="L790" s="128"/>
      <c r="M790" s="129"/>
      <c r="N790" s="95"/>
      <c r="O790" s="95"/>
      <c r="P790" s="130"/>
    </row>
    <row r="791" spans="2:16" s="89" customFormat="1" ht="12.75">
      <c r="B791" s="125"/>
      <c r="C791" s="126"/>
      <c r="D791" s="126"/>
      <c r="E791" s="126"/>
      <c r="F791" s="126"/>
      <c r="G791" s="126"/>
      <c r="H791" s="126"/>
      <c r="I791" s="126"/>
      <c r="J791" s="126"/>
      <c r="K791" s="127"/>
      <c r="L791" s="128"/>
      <c r="M791" s="129"/>
      <c r="N791" s="95"/>
      <c r="O791" s="95"/>
      <c r="P791" s="130"/>
    </row>
    <row r="792" spans="2:16" s="89" customFormat="1" ht="12.75">
      <c r="B792" s="125"/>
      <c r="C792" s="126"/>
      <c r="D792" s="126"/>
      <c r="E792" s="126"/>
      <c r="F792" s="126"/>
      <c r="G792" s="126"/>
      <c r="H792" s="126"/>
      <c r="I792" s="126"/>
      <c r="J792" s="126"/>
      <c r="K792" s="127"/>
      <c r="L792" s="128"/>
      <c r="M792" s="129"/>
      <c r="N792" s="95"/>
      <c r="O792" s="95"/>
      <c r="P792" s="130"/>
    </row>
    <row r="793" spans="2:16" s="89" customFormat="1" ht="12.75">
      <c r="B793" s="125"/>
      <c r="C793" s="126"/>
      <c r="D793" s="126"/>
      <c r="E793" s="126"/>
      <c r="F793" s="126"/>
      <c r="G793" s="126"/>
      <c r="H793" s="126"/>
      <c r="I793" s="126"/>
      <c r="J793" s="126"/>
      <c r="K793" s="127"/>
      <c r="L793" s="128"/>
      <c r="M793" s="129"/>
      <c r="N793" s="95"/>
      <c r="O793" s="95"/>
      <c r="P793" s="130"/>
    </row>
    <row r="794" spans="2:16" s="89" customFormat="1" ht="12.75">
      <c r="B794" s="125"/>
      <c r="C794" s="126"/>
      <c r="D794" s="126"/>
      <c r="E794" s="126"/>
      <c r="F794" s="126"/>
      <c r="G794" s="126"/>
      <c r="H794" s="126"/>
      <c r="I794" s="126"/>
      <c r="J794" s="126"/>
      <c r="K794" s="127"/>
      <c r="L794" s="128"/>
      <c r="M794" s="129"/>
      <c r="N794" s="95"/>
      <c r="O794" s="95"/>
      <c r="P794" s="130"/>
    </row>
    <row r="795" spans="2:16" s="89" customFormat="1" ht="12.75">
      <c r="B795" s="125"/>
      <c r="C795" s="126"/>
      <c r="D795" s="126"/>
      <c r="E795" s="126"/>
      <c r="F795" s="126"/>
      <c r="G795" s="126"/>
      <c r="H795" s="126"/>
      <c r="I795" s="126"/>
      <c r="J795" s="126"/>
      <c r="K795" s="127"/>
      <c r="L795" s="128"/>
      <c r="M795" s="129"/>
      <c r="N795" s="95"/>
      <c r="O795" s="95"/>
      <c r="P795" s="130"/>
    </row>
    <row r="796" spans="2:16" s="89" customFormat="1" ht="12.75">
      <c r="B796" s="125"/>
      <c r="C796" s="126"/>
      <c r="D796" s="126"/>
      <c r="E796" s="126"/>
      <c r="F796" s="126"/>
      <c r="G796" s="126"/>
      <c r="H796" s="126"/>
      <c r="I796" s="126"/>
      <c r="J796" s="126"/>
      <c r="K796" s="127"/>
      <c r="L796" s="128"/>
      <c r="M796" s="129"/>
      <c r="N796" s="95"/>
      <c r="O796" s="95"/>
      <c r="P796" s="130"/>
    </row>
    <row r="797" spans="2:16" s="89" customFormat="1" ht="12.75">
      <c r="B797" s="125"/>
      <c r="C797" s="126"/>
      <c r="D797" s="126"/>
      <c r="E797" s="126"/>
      <c r="F797" s="126"/>
      <c r="G797" s="126"/>
      <c r="H797" s="126"/>
      <c r="I797" s="126"/>
      <c r="J797" s="126"/>
      <c r="K797" s="127"/>
      <c r="L797" s="128"/>
      <c r="M797" s="129"/>
      <c r="N797" s="95"/>
      <c r="O797" s="95"/>
      <c r="P797" s="130"/>
    </row>
    <row r="798" spans="2:16" s="89" customFormat="1" ht="12.75">
      <c r="B798" s="125"/>
      <c r="C798" s="126"/>
      <c r="D798" s="126"/>
      <c r="E798" s="126"/>
      <c r="F798" s="126"/>
      <c r="G798" s="126"/>
      <c r="H798" s="126"/>
      <c r="I798" s="126"/>
      <c r="J798" s="126"/>
      <c r="K798" s="127"/>
      <c r="L798" s="128"/>
      <c r="M798" s="129"/>
      <c r="N798" s="95"/>
      <c r="O798" s="95"/>
      <c r="P798" s="130"/>
    </row>
    <row r="799" spans="2:16" s="89" customFormat="1" ht="12.75">
      <c r="B799" s="125"/>
      <c r="C799" s="126"/>
      <c r="D799" s="126"/>
      <c r="E799" s="126"/>
      <c r="F799" s="126"/>
      <c r="G799" s="126"/>
      <c r="H799" s="126"/>
      <c r="I799" s="126"/>
      <c r="J799" s="126"/>
      <c r="K799" s="127"/>
      <c r="L799" s="128"/>
      <c r="M799" s="129"/>
      <c r="N799" s="95"/>
      <c r="O799" s="95"/>
      <c r="P799" s="130"/>
    </row>
    <row r="800" spans="2:16" s="89" customFormat="1" ht="12.75">
      <c r="B800" s="125"/>
      <c r="C800" s="126"/>
      <c r="D800" s="126"/>
      <c r="E800" s="126"/>
      <c r="F800" s="126"/>
      <c r="G800" s="126"/>
      <c r="H800" s="126"/>
      <c r="I800" s="126"/>
      <c r="J800" s="126"/>
      <c r="K800" s="127"/>
      <c r="L800" s="128"/>
      <c r="M800" s="129"/>
      <c r="N800" s="95"/>
      <c r="O800" s="95"/>
      <c r="P800" s="130"/>
    </row>
    <row r="801" spans="2:16" s="89" customFormat="1" ht="12.75">
      <c r="B801" s="125"/>
      <c r="C801" s="126"/>
      <c r="D801" s="126"/>
      <c r="E801" s="126"/>
      <c r="F801" s="126"/>
      <c r="G801" s="126"/>
      <c r="H801" s="126"/>
      <c r="I801" s="126"/>
      <c r="J801" s="126"/>
      <c r="K801" s="127"/>
      <c r="L801" s="128"/>
      <c r="M801" s="129"/>
      <c r="N801" s="95"/>
      <c r="O801" s="95"/>
      <c r="P801" s="130"/>
    </row>
    <row r="802" spans="2:16" s="89" customFormat="1" ht="12.75">
      <c r="B802" s="125"/>
      <c r="C802" s="126"/>
      <c r="D802" s="126"/>
      <c r="E802" s="126"/>
      <c r="F802" s="126"/>
      <c r="G802" s="126"/>
      <c r="H802" s="126"/>
      <c r="I802" s="126"/>
      <c r="J802" s="126"/>
      <c r="K802" s="127"/>
      <c r="L802" s="128"/>
      <c r="M802" s="129"/>
      <c r="N802" s="95"/>
      <c r="O802" s="95"/>
      <c r="P802" s="130"/>
    </row>
    <row r="803" spans="2:16" s="89" customFormat="1" ht="12.75">
      <c r="B803" s="125"/>
      <c r="C803" s="126"/>
      <c r="D803" s="126"/>
      <c r="E803" s="126"/>
      <c r="F803" s="126"/>
      <c r="G803" s="126"/>
      <c r="H803" s="126"/>
      <c r="I803" s="126"/>
      <c r="J803" s="126"/>
      <c r="K803" s="127"/>
      <c r="L803" s="128"/>
      <c r="M803" s="129"/>
      <c r="N803" s="95"/>
      <c r="O803" s="95"/>
      <c r="P803" s="130"/>
    </row>
    <row r="804" spans="2:16" s="89" customFormat="1" ht="12.75">
      <c r="B804" s="125"/>
      <c r="C804" s="126"/>
      <c r="D804" s="126"/>
      <c r="E804" s="126"/>
      <c r="F804" s="126"/>
      <c r="G804" s="126"/>
      <c r="H804" s="126"/>
      <c r="I804" s="126"/>
      <c r="J804" s="126"/>
      <c r="K804" s="127"/>
      <c r="L804" s="128"/>
      <c r="M804" s="129"/>
      <c r="N804" s="95"/>
      <c r="O804" s="95"/>
      <c r="P804" s="130"/>
    </row>
    <row r="805" spans="2:16" s="89" customFormat="1" ht="12.75">
      <c r="B805" s="125"/>
      <c r="C805" s="126"/>
      <c r="D805" s="126"/>
      <c r="E805" s="126"/>
      <c r="F805" s="126"/>
      <c r="G805" s="126"/>
      <c r="H805" s="126"/>
      <c r="I805" s="126"/>
      <c r="J805" s="126"/>
      <c r="K805" s="127"/>
      <c r="L805" s="128"/>
      <c r="M805" s="129"/>
      <c r="N805" s="95"/>
      <c r="O805" s="95"/>
      <c r="P805" s="130"/>
    </row>
    <row r="806" spans="2:16" s="89" customFormat="1" ht="12.75">
      <c r="B806" s="125"/>
      <c r="C806" s="126"/>
      <c r="D806" s="126"/>
      <c r="E806" s="126"/>
      <c r="F806" s="126"/>
      <c r="G806" s="126"/>
      <c r="H806" s="126"/>
      <c r="I806" s="126"/>
      <c r="J806" s="126"/>
      <c r="K806" s="127"/>
      <c r="L806" s="128"/>
      <c r="M806" s="129"/>
      <c r="N806" s="95"/>
      <c r="O806" s="95"/>
      <c r="P806" s="130"/>
    </row>
    <row r="807" spans="2:16" s="89" customFormat="1" ht="12.75">
      <c r="B807" s="125"/>
      <c r="C807" s="126"/>
      <c r="D807" s="126"/>
      <c r="E807" s="126"/>
      <c r="F807" s="126"/>
      <c r="G807" s="126"/>
      <c r="H807" s="126"/>
      <c r="I807" s="126"/>
      <c r="J807" s="126"/>
      <c r="K807" s="127"/>
      <c r="L807" s="128"/>
      <c r="M807" s="129"/>
      <c r="N807" s="95"/>
      <c r="O807" s="95"/>
      <c r="P807" s="130"/>
    </row>
    <row r="808" spans="2:16" s="89" customFormat="1" ht="12.75">
      <c r="B808" s="125"/>
      <c r="C808" s="126"/>
      <c r="D808" s="126"/>
      <c r="E808" s="126"/>
      <c r="F808" s="126"/>
      <c r="G808" s="126"/>
      <c r="H808" s="126"/>
      <c r="I808" s="126"/>
      <c r="J808" s="126"/>
      <c r="K808" s="127"/>
      <c r="L808" s="128"/>
      <c r="M808" s="129"/>
      <c r="N808" s="95"/>
      <c r="O808" s="95"/>
      <c r="P808" s="130"/>
    </row>
    <row r="809" spans="2:16" s="89" customFormat="1" ht="12.75">
      <c r="B809" s="125"/>
      <c r="C809" s="126"/>
      <c r="D809" s="126"/>
      <c r="E809" s="126"/>
      <c r="F809" s="126"/>
      <c r="G809" s="126"/>
      <c r="H809" s="126"/>
      <c r="I809" s="126"/>
      <c r="J809" s="126"/>
      <c r="K809" s="127"/>
      <c r="L809" s="128"/>
      <c r="M809" s="129"/>
      <c r="N809" s="95"/>
      <c r="O809" s="95"/>
      <c r="P809" s="130"/>
    </row>
    <row r="810" spans="2:16" s="89" customFormat="1" ht="12.75">
      <c r="B810" s="125"/>
      <c r="C810" s="126"/>
      <c r="D810" s="126"/>
      <c r="E810" s="126"/>
      <c r="F810" s="126"/>
      <c r="G810" s="126"/>
      <c r="H810" s="126"/>
      <c r="I810" s="126"/>
      <c r="J810" s="126"/>
      <c r="K810" s="127"/>
      <c r="L810" s="128"/>
      <c r="M810" s="129"/>
      <c r="N810" s="95"/>
      <c r="O810" s="95"/>
      <c r="P810" s="130"/>
    </row>
    <row r="811" spans="2:16" s="89" customFormat="1" ht="12.75">
      <c r="B811" s="125"/>
      <c r="C811" s="126"/>
      <c r="D811" s="126"/>
      <c r="E811" s="126"/>
      <c r="F811" s="126"/>
      <c r="G811" s="126"/>
      <c r="H811" s="126"/>
      <c r="I811" s="126"/>
      <c r="J811" s="126"/>
      <c r="K811" s="127"/>
      <c r="L811" s="128"/>
      <c r="M811" s="129"/>
      <c r="N811" s="95"/>
      <c r="O811" s="95"/>
      <c r="P811" s="130"/>
    </row>
    <row r="812" spans="2:16" s="89" customFormat="1" ht="12.75">
      <c r="B812" s="125"/>
      <c r="C812" s="126"/>
      <c r="D812" s="126"/>
      <c r="E812" s="126"/>
      <c r="F812" s="126"/>
      <c r="G812" s="126"/>
      <c r="H812" s="126"/>
      <c r="I812" s="126"/>
      <c r="J812" s="126"/>
      <c r="K812" s="127"/>
      <c r="L812" s="128"/>
      <c r="M812" s="129"/>
      <c r="N812" s="95"/>
      <c r="O812" s="95"/>
      <c r="P812" s="130"/>
    </row>
    <row r="813" spans="2:16" s="89" customFormat="1" ht="12.75">
      <c r="B813" s="125"/>
      <c r="C813" s="126"/>
      <c r="D813" s="126"/>
      <c r="E813" s="126"/>
      <c r="F813" s="126"/>
      <c r="G813" s="126"/>
      <c r="H813" s="126"/>
      <c r="I813" s="126"/>
      <c r="J813" s="126"/>
      <c r="K813" s="127"/>
      <c r="L813" s="128"/>
      <c r="M813" s="129"/>
      <c r="N813" s="95"/>
      <c r="O813" s="95"/>
      <c r="P813" s="130"/>
    </row>
    <row r="814" spans="2:16" s="89" customFormat="1" ht="12.75">
      <c r="B814" s="125"/>
      <c r="C814" s="126"/>
      <c r="D814" s="126"/>
      <c r="E814" s="126"/>
      <c r="F814" s="126"/>
      <c r="G814" s="126"/>
      <c r="H814" s="126"/>
      <c r="I814" s="126"/>
      <c r="J814" s="126"/>
      <c r="K814" s="127"/>
      <c r="L814" s="128"/>
      <c r="M814" s="129"/>
      <c r="N814" s="95"/>
      <c r="O814" s="95"/>
      <c r="P814" s="130"/>
    </row>
    <row r="815" spans="2:16" s="89" customFormat="1" ht="12.75">
      <c r="B815" s="125"/>
      <c r="C815" s="126"/>
      <c r="D815" s="126"/>
      <c r="E815" s="126"/>
      <c r="F815" s="126"/>
      <c r="G815" s="126"/>
      <c r="H815" s="126"/>
      <c r="I815" s="126"/>
      <c r="J815" s="126"/>
      <c r="K815" s="127"/>
      <c r="L815" s="128"/>
      <c r="M815" s="129"/>
      <c r="N815" s="95"/>
      <c r="O815" s="95"/>
      <c r="P815" s="130"/>
    </row>
    <row r="816" spans="2:16" s="89" customFormat="1" ht="12.75">
      <c r="B816" s="125"/>
      <c r="C816" s="126"/>
      <c r="D816" s="126"/>
      <c r="E816" s="126"/>
      <c r="F816" s="126"/>
      <c r="G816" s="126"/>
      <c r="H816" s="126"/>
      <c r="I816" s="126"/>
      <c r="J816" s="126"/>
      <c r="K816" s="127"/>
      <c r="L816" s="128"/>
      <c r="M816" s="129"/>
      <c r="N816" s="95"/>
      <c r="O816" s="95"/>
      <c r="P816" s="130"/>
    </row>
    <row r="817" spans="2:16" s="89" customFormat="1" ht="12.75">
      <c r="B817" s="125"/>
      <c r="C817" s="126"/>
      <c r="D817" s="126"/>
      <c r="E817" s="126"/>
      <c r="F817" s="126"/>
      <c r="G817" s="126"/>
      <c r="H817" s="126"/>
      <c r="I817" s="126"/>
      <c r="J817" s="126"/>
      <c r="K817" s="127"/>
      <c r="L817" s="128"/>
      <c r="M817" s="129"/>
      <c r="N817" s="95"/>
      <c r="O817" s="95"/>
      <c r="P817" s="130"/>
    </row>
    <row r="818" spans="2:16" s="89" customFormat="1" ht="12.75">
      <c r="B818" s="125"/>
      <c r="C818" s="126"/>
      <c r="D818" s="126"/>
      <c r="E818" s="126"/>
      <c r="F818" s="126"/>
      <c r="G818" s="126"/>
      <c r="H818" s="126"/>
      <c r="I818" s="126"/>
      <c r="J818" s="126"/>
      <c r="K818" s="127"/>
      <c r="L818" s="128"/>
      <c r="M818" s="129"/>
      <c r="N818" s="95"/>
      <c r="O818" s="95"/>
      <c r="P818" s="130"/>
    </row>
    <row r="819" spans="2:16" s="89" customFormat="1" ht="12.75">
      <c r="B819" s="125"/>
      <c r="C819" s="126"/>
      <c r="D819" s="126"/>
      <c r="E819" s="126"/>
      <c r="F819" s="126"/>
      <c r="G819" s="126"/>
      <c r="H819" s="126"/>
      <c r="I819" s="126"/>
      <c r="J819" s="126"/>
      <c r="K819" s="127"/>
      <c r="L819" s="128"/>
      <c r="M819" s="129"/>
      <c r="N819" s="95"/>
      <c r="O819" s="95"/>
      <c r="P819" s="130"/>
    </row>
    <row r="820" spans="2:16" s="89" customFormat="1" ht="12.75">
      <c r="B820" s="125"/>
      <c r="C820" s="126"/>
      <c r="D820" s="126"/>
      <c r="E820" s="126"/>
      <c r="F820" s="126"/>
      <c r="G820" s="126"/>
      <c r="H820" s="126"/>
      <c r="I820" s="126"/>
      <c r="J820" s="126"/>
      <c r="K820" s="127"/>
      <c r="L820" s="128"/>
      <c r="M820" s="129"/>
      <c r="N820" s="95"/>
      <c r="O820" s="95"/>
      <c r="P820" s="130"/>
    </row>
    <row r="821" spans="2:16" s="89" customFormat="1" ht="12.75">
      <c r="B821" s="125"/>
      <c r="C821" s="126"/>
      <c r="D821" s="126"/>
      <c r="E821" s="126"/>
      <c r="F821" s="126"/>
      <c r="G821" s="126"/>
      <c r="H821" s="126"/>
      <c r="I821" s="126"/>
      <c r="J821" s="126"/>
      <c r="K821" s="127"/>
      <c r="L821" s="128"/>
      <c r="M821" s="129"/>
      <c r="N821" s="95"/>
      <c r="O821" s="95"/>
      <c r="P821" s="130"/>
    </row>
    <row r="822" spans="2:16" s="89" customFormat="1" ht="12.75">
      <c r="B822" s="125"/>
      <c r="C822" s="126"/>
      <c r="D822" s="126"/>
      <c r="E822" s="126"/>
      <c r="F822" s="126"/>
      <c r="G822" s="126"/>
      <c r="H822" s="126"/>
      <c r="I822" s="126"/>
      <c r="J822" s="126"/>
      <c r="K822" s="127"/>
      <c r="L822" s="128"/>
      <c r="M822" s="129"/>
      <c r="N822" s="95"/>
      <c r="O822" s="95"/>
      <c r="P822" s="130"/>
    </row>
    <row r="823" spans="2:16" s="89" customFormat="1" ht="12.75">
      <c r="B823" s="125"/>
      <c r="C823" s="126"/>
      <c r="D823" s="126"/>
      <c r="E823" s="126"/>
      <c r="F823" s="126"/>
      <c r="G823" s="126"/>
      <c r="H823" s="126"/>
      <c r="I823" s="126"/>
      <c r="J823" s="126"/>
      <c r="K823" s="127"/>
      <c r="L823" s="128"/>
      <c r="M823" s="129"/>
      <c r="N823" s="95"/>
      <c r="O823" s="95"/>
      <c r="P823" s="130"/>
    </row>
    <row r="824" spans="2:16" s="89" customFormat="1" ht="12.75">
      <c r="B824" s="125"/>
      <c r="C824" s="126"/>
      <c r="D824" s="126"/>
      <c r="E824" s="126"/>
      <c r="F824" s="126"/>
      <c r="G824" s="126"/>
      <c r="H824" s="126"/>
      <c r="I824" s="126"/>
      <c r="J824" s="126"/>
      <c r="K824" s="127"/>
      <c r="L824" s="128"/>
      <c r="M824" s="129"/>
      <c r="N824" s="95"/>
      <c r="O824" s="95"/>
      <c r="P824" s="130"/>
    </row>
    <row r="825" spans="2:16" s="89" customFormat="1" ht="12.75">
      <c r="B825" s="125"/>
      <c r="C825" s="126"/>
      <c r="D825" s="126"/>
      <c r="E825" s="126"/>
      <c r="F825" s="126"/>
      <c r="G825" s="126"/>
      <c r="H825" s="126"/>
      <c r="I825" s="126"/>
      <c r="J825" s="126"/>
      <c r="K825" s="127"/>
      <c r="L825" s="128"/>
      <c r="M825" s="129"/>
      <c r="N825" s="95"/>
      <c r="O825" s="95"/>
      <c r="P825" s="130"/>
    </row>
    <row r="826" spans="2:16" s="89" customFormat="1" ht="12.75">
      <c r="B826" s="125"/>
      <c r="C826" s="126"/>
      <c r="D826" s="126"/>
      <c r="E826" s="126"/>
      <c r="F826" s="126"/>
      <c r="G826" s="126"/>
      <c r="H826" s="126"/>
      <c r="I826" s="126"/>
      <c r="J826" s="126"/>
      <c r="K826" s="127"/>
      <c r="L826" s="128"/>
      <c r="M826" s="129"/>
      <c r="N826" s="95"/>
      <c r="O826" s="95"/>
      <c r="P826" s="130"/>
    </row>
    <row r="827" spans="2:16" s="89" customFormat="1" ht="12.75">
      <c r="B827" s="125"/>
      <c r="C827" s="126"/>
      <c r="D827" s="126"/>
      <c r="E827" s="126"/>
      <c r="F827" s="126"/>
      <c r="G827" s="126"/>
      <c r="H827" s="126"/>
      <c r="I827" s="126"/>
      <c r="J827" s="126"/>
      <c r="K827" s="127"/>
      <c r="L827" s="128"/>
      <c r="M827" s="129"/>
      <c r="N827" s="95"/>
      <c r="O827" s="95"/>
      <c r="P827" s="130"/>
    </row>
    <row r="828" spans="2:16" s="89" customFormat="1" ht="12.75">
      <c r="B828" s="125"/>
      <c r="C828" s="126"/>
      <c r="D828" s="126"/>
      <c r="E828" s="126"/>
      <c r="F828" s="126"/>
      <c r="G828" s="126"/>
      <c r="H828" s="126"/>
      <c r="I828" s="126"/>
      <c r="J828" s="126"/>
      <c r="K828" s="127"/>
      <c r="L828" s="128"/>
      <c r="M828" s="129"/>
      <c r="N828" s="95"/>
      <c r="O828" s="95"/>
      <c r="P828" s="130"/>
    </row>
    <row r="829" spans="2:16" s="89" customFormat="1" ht="12.75">
      <c r="B829" s="125"/>
      <c r="C829" s="126"/>
      <c r="D829" s="126"/>
      <c r="E829" s="126"/>
      <c r="F829" s="126"/>
      <c r="G829" s="126"/>
      <c r="H829" s="126"/>
      <c r="I829" s="126"/>
      <c r="J829" s="126"/>
      <c r="K829" s="127"/>
      <c r="L829" s="128"/>
      <c r="M829" s="129"/>
      <c r="N829" s="95"/>
      <c r="O829" s="95"/>
      <c r="P829" s="130"/>
    </row>
    <row r="830" spans="2:16" s="89" customFormat="1" ht="12.75">
      <c r="B830" s="125"/>
      <c r="C830" s="126"/>
      <c r="D830" s="126"/>
      <c r="E830" s="126"/>
      <c r="F830" s="126"/>
      <c r="G830" s="126"/>
      <c r="H830" s="126"/>
      <c r="I830" s="126"/>
      <c r="J830" s="126"/>
      <c r="K830" s="127"/>
      <c r="L830" s="128"/>
      <c r="M830" s="129"/>
      <c r="N830" s="95"/>
      <c r="O830" s="95"/>
      <c r="P830" s="130"/>
    </row>
    <row r="831" spans="2:16" s="89" customFormat="1" ht="12.75">
      <c r="B831" s="125"/>
      <c r="C831" s="126"/>
      <c r="D831" s="126"/>
      <c r="E831" s="126"/>
      <c r="F831" s="126"/>
      <c r="G831" s="126"/>
      <c r="H831" s="126"/>
      <c r="I831" s="126"/>
      <c r="J831" s="126"/>
      <c r="K831" s="127"/>
      <c r="L831" s="128"/>
      <c r="M831" s="129"/>
      <c r="N831" s="95"/>
      <c r="O831" s="95"/>
      <c r="P831" s="130"/>
    </row>
    <row r="832" spans="2:16" s="89" customFormat="1" ht="12.75">
      <c r="B832" s="125"/>
      <c r="C832" s="126"/>
      <c r="D832" s="126"/>
      <c r="E832" s="126"/>
      <c r="F832" s="126"/>
      <c r="G832" s="126"/>
      <c r="H832" s="126"/>
      <c r="I832" s="126"/>
      <c r="J832" s="126"/>
      <c r="K832" s="127"/>
      <c r="L832" s="128"/>
      <c r="M832" s="129"/>
      <c r="N832" s="95"/>
      <c r="O832" s="95"/>
      <c r="P832" s="130"/>
    </row>
    <row r="833" spans="2:16" s="89" customFormat="1" ht="12.75">
      <c r="B833" s="125"/>
      <c r="C833" s="126"/>
      <c r="D833" s="126"/>
      <c r="E833" s="126"/>
      <c r="F833" s="126"/>
      <c r="G833" s="126"/>
      <c r="H833" s="126"/>
      <c r="I833" s="126"/>
      <c r="J833" s="126"/>
      <c r="K833" s="127"/>
      <c r="L833" s="128"/>
      <c r="M833" s="129"/>
      <c r="N833" s="95"/>
      <c r="O833" s="95"/>
      <c r="P833" s="130"/>
    </row>
    <row r="834" spans="2:16" s="89" customFormat="1" ht="12.75">
      <c r="B834" s="125"/>
      <c r="C834" s="126"/>
      <c r="D834" s="126"/>
      <c r="E834" s="126"/>
      <c r="F834" s="126"/>
      <c r="G834" s="126"/>
      <c r="H834" s="126"/>
      <c r="I834" s="126"/>
      <c r="J834" s="126"/>
      <c r="K834" s="127"/>
      <c r="L834" s="128"/>
      <c r="M834" s="129"/>
      <c r="N834" s="95"/>
      <c r="O834" s="95"/>
      <c r="P834" s="130"/>
    </row>
    <row r="835" spans="2:16" s="89" customFormat="1" ht="12.75">
      <c r="B835" s="125"/>
      <c r="C835" s="126"/>
      <c r="D835" s="126"/>
      <c r="E835" s="126"/>
      <c r="F835" s="126"/>
      <c r="G835" s="126"/>
      <c r="H835" s="126"/>
      <c r="I835" s="126"/>
      <c r="J835" s="126"/>
      <c r="K835" s="127"/>
      <c r="L835" s="128"/>
      <c r="M835" s="129"/>
      <c r="N835" s="95"/>
      <c r="O835" s="95"/>
      <c r="P835" s="130"/>
    </row>
    <row r="836" spans="2:16" s="89" customFormat="1" ht="12.75">
      <c r="B836" s="125"/>
      <c r="C836" s="126"/>
      <c r="D836" s="126"/>
      <c r="E836" s="126"/>
      <c r="F836" s="126"/>
      <c r="G836" s="126"/>
      <c r="H836" s="126"/>
      <c r="I836" s="126"/>
      <c r="J836" s="126"/>
      <c r="K836" s="127"/>
      <c r="L836" s="128"/>
      <c r="M836" s="129"/>
      <c r="N836" s="95"/>
      <c r="O836" s="95"/>
      <c r="P836" s="130"/>
    </row>
    <row r="837" spans="2:16" s="89" customFormat="1" ht="12.75">
      <c r="B837" s="125"/>
      <c r="C837" s="126"/>
      <c r="D837" s="126"/>
      <c r="E837" s="126"/>
      <c r="F837" s="126"/>
      <c r="G837" s="126"/>
      <c r="H837" s="126"/>
      <c r="I837" s="126"/>
      <c r="J837" s="126"/>
      <c r="K837" s="127"/>
      <c r="L837" s="128"/>
      <c r="M837" s="129"/>
      <c r="N837" s="95"/>
      <c r="O837" s="95"/>
      <c r="P837" s="130"/>
    </row>
    <row r="838" spans="2:16" s="89" customFormat="1" ht="12.75">
      <c r="B838" s="125"/>
      <c r="C838" s="126"/>
      <c r="D838" s="126"/>
      <c r="E838" s="126"/>
      <c r="F838" s="126"/>
      <c r="G838" s="126"/>
      <c r="H838" s="126"/>
      <c r="I838" s="126"/>
      <c r="J838" s="126"/>
      <c r="K838" s="127"/>
      <c r="L838" s="128"/>
      <c r="M838" s="129"/>
      <c r="N838" s="95"/>
      <c r="O838" s="95"/>
      <c r="P838" s="130"/>
    </row>
    <row r="839" spans="2:16" s="89" customFormat="1" ht="12.75">
      <c r="B839" s="125"/>
      <c r="C839" s="126"/>
      <c r="D839" s="126"/>
      <c r="E839" s="126"/>
      <c r="F839" s="126"/>
      <c r="G839" s="126"/>
      <c r="H839" s="126"/>
      <c r="I839" s="126"/>
      <c r="J839" s="126"/>
      <c r="K839" s="127"/>
      <c r="L839" s="128"/>
      <c r="M839" s="129"/>
      <c r="N839" s="95"/>
      <c r="O839" s="95"/>
      <c r="P839" s="130"/>
    </row>
    <row r="840" spans="2:16" s="89" customFormat="1" ht="12.75">
      <c r="B840" s="125"/>
      <c r="C840" s="126"/>
      <c r="D840" s="126"/>
      <c r="E840" s="126"/>
      <c r="F840" s="126"/>
      <c r="G840" s="126"/>
      <c r="H840" s="126"/>
      <c r="I840" s="126"/>
      <c r="J840" s="126"/>
      <c r="K840" s="127"/>
      <c r="L840" s="128"/>
      <c r="M840" s="129"/>
      <c r="N840" s="95"/>
      <c r="O840" s="95"/>
      <c r="P840" s="130"/>
    </row>
    <row r="841" spans="2:16" s="89" customFormat="1" ht="12.75">
      <c r="B841" s="125"/>
      <c r="C841" s="126"/>
      <c r="D841" s="126"/>
      <c r="E841" s="126"/>
      <c r="F841" s="126"/>
      <c r="G841" s="126"/>
      <c r="H841" s="126"/>
      <c r="I841" s="126"/>
      <c r="J841" s="126"/>
      <c r="K841" s="127"/>
      <c r="L841" s="128"/>
      <c r="M841" s="129"/>
      <c r="N841" s="95"/>
      <c r="O841" s="95"/>
      <c r="P841" s="130"/>
    </row>
    <row r="842" spans="2:16" s="89" customFormat="1" ht="12.75">
      <c r="B842" s="125"/>
      <c r="C842" s="126"/>
      <c r="D842" s="126"/>
      <c r="E842" s="126"/>
      <c r="F842" s="126"/>
      <c r="G842" s="126"/>
      <c r="H842" s="126"/>
      <c r="I842" s="126"/>
      <c r="J842" s="126"/>
      <c r="K842" s="127"/>
      <c r="L842" s="128"/>
      <c r="M842" s="129"/>
      <c r="N842" s="95"/>
      <c r="O842" s="95"/>
      <c r="P842" s="130"/>
    </row>
    <row r="843" spans="2:16" s="89" customFormat="1" ht="12.75">
      <c r="B843" s="125"/>
      <c r="C843" s="126"/>
      <c r="D843" s="126"/>
      <c r="E843" s="126"/>
      <c r="F843" s="126"/>
      <c r="G843" s="126"/>
      <c r="H843" s="126"/>
      <c r="I843" s="126"/>
      <c r="J843" s="126"/>
      <c r="K843" s="127"/>
      <c r="L843" s="128"/>
      <c r="M843" s="129"/>
      <c r="N843" s="95"/>
      <c r="O843" s="95"/>
      <c r="P843" s="130"/>
    </row>
    <row r="844" spans="2:16" s="89" customFormat="1" ht="12.75">
      <c r="B844" s="125"/>
      <c r="C844" s="126"/>
      <c r="D844" s="126"/>
      <c r="E844" s="126"/>
      <c r="F844" s="126"/>
      <c r="G844" s="126"/>
      <c r="H844" s="126"/>
      <c r="I844" s="126"/>
      <c r="J844" s="126"/>
      <c r="K844" s="127"/>
      <c r="L844" s="128"/>
      <c r="M844" s="129"/>
      <c r="N844" s="95"/>
      <c r="O844" s="95"/>
      <c r="P844" s="130"/>
    </row>
    <row r="845" spans="2:16" s="89" customFormat="1" ht="12.75">
      <c r="B845" s="125"/>
      <c r="C845" s="126"/>
      <c r="D845" s="126"/>
      <c r="E845" s="126"/>
      <c r="F845" s="126"/>
      <c r="G845" s="126"/>
      <c r="H845" s="126"/>
      <c r="I845" s="126"/>
      <c r="J845" s="126"/>
      <c r="K845" s="127"/>
      <c r="L845" s="128"/>
      <c r="M845" s="129"/>
      <c r="N845" s="95"/>
      <c r="O845" s="95"/>
      <c r="P845" s="130"/>
    </row>
    <row r="846" spans="2:16" s="89" customFormat="1" ht="12.75">
      <c r="B846" s="125"/>
      <c r="C846" s="126"/>
      <c r="D846" s="126"/>
      <c r="E846" s="126"/>
      <c r="F846" s="126"/>
      <c r="G846" s="126"/>
      <c r="H846" s="126"/>
      <c r="I846" s="126"/>
      <c r="J846" s="126"/>
      <c r="K846" s="127"/>
      <c r="L846" s="128"/>
      <c r="M846" s="129"/>
      <c r="N846" s="95"/>
      <c r="O846" s="95"/>
      <c r="P846" s="130"/>
    </row>
    <row r="847" spans="2:16" s="89" customFormat="1" ht="12.75">
      <c r="B847" s="125"/>
      <c r="C847" s="126"/>
      <c r="D847" s="126"/>
      <c r="E847" s="126"/>
      <c r="F847" s="126"/>
      <c r="G847" s="126"/>
      <c r="H847" s="126"/>
      <c r="I847" s="126"/>
      <c r="J847" s="126"/>
      <c r="K847" s="127"/>
      <c r="L847" s="128"/>
      <c r="M847" s="129"/>
      <c r="N847" s="95"/>
      <c r="O847" s="95"/>
      <c r="P847" s="130"/>
    </row>
    <row r="848" spans="2:16" s="89" customFormat="1" ht="12.75">
      <c r="B848" s="125"/>
      <c r="C848" s="126"/>
      <c r="D848" s="126"/>
      <c r="E848" s="126"/>
      <c r="F848" s="126"/>
      <c r="G848" s="126"/>
      <c r="H848" s="126"/>
      <c r="I848" s="126"/>
      <c r="J848" s="126"/>
      <c r="K848" s="127"/>
      <c r="L848" s="128"/>
      <c r="M848" s="129"/>
      <c r="N848" s="95"/>
      <c r="O848" s="95"/>
      <c r="P848" s="130"/>
    </row>
    <row r="849" spans="2:16" s="89" customFormat="1" ht="12.75">
      <c r="B849" s="125"/>
      <c r="C849" s="126"/>
      <c r="D849" s="126"/>
      <c r="E849" s="126"/>
      <c r="F849" s="126"/>
      <c r="G849" s="126"/>
      <c r="H849" s="126"/>
      <c r="I849" s="126"/>
      <c r="J849" s="126"/>
      <c r="K849" s="127"/>
      <c r="L849" s="128"/>
      <c r="M849" s="129"/>
      <c r="N849" s="95"/>
      <c r="O849" s="95"/>
      <c r="P849" s="130"/>
    </row>
    <row r="850" spans="2:16" s="89" customFormat="1" ht="12.75">
      <c r="B850" s="125"/>
      <c r="C850" s="126"/>
      <c r="D850" s="126"/>
      <c r="E850" s="126"/>
      <c r="F850" s="126"/>
      <c r="G850" s="126"/>
      <c r="H850" s="126"/>
      <c r="I850" s="126"/>
      <c r="J850" s="126"/>
      <c r="K850" s="127"/>
      <c r="L850" s="128"/>
      <c r="M850" s="129"/>
      <c r="N850" s="95"/>
      <c r="O850" s="95"/>
      <c r="P850" s="130"/>
    </row>
    <row r="851" spans="2:16" s="89" customFormat="1" ht="12.75">
      <c r="B851" s="125"/>
      <c r="C851" s="126"/>
      <c r="D851" s="126"/>
      <c r="E851" s="126"/>
      <c r="F851" s="126"/>
      <c r="G851" s="126"/>
      <c r="H851" s="126"/>
      <c r="I851" s="126"/>
      <c r="J851" s="126"/>
      <c r="K851" s="127"/>
      <c r="L851" s="128"/>
      <c r="M851" s="129"/>
      <c r="N851" s="95"/>
      <c r="O851" s="95"/>
      <c r="P851" s="130"/>
    </row>
    <row r="852" spans="2:16" s="89" customFormat="1" ht="12.75">
      <c r="B852" s="125"/>
      <c r="C852" s="126"/>
      <c r="D852" s="126"/>
      <c r="E852" s="126"/>
      <c r="F852" s="126"/>
      <c r="G852" s="126"/>
      <c r="H852" s="126"/>
      <c r="I852" s="126"/>
      <c r="J852" s="126"/>
      <c r="K852" s="127"/>
      <c r="L852" s="128"/>
      <c r="M852" s="129"/>
      <c r="N852" s="95"/>
      <c r="O852" s="95"/>
      <c r="P852" s="130"/>
    </row>
    <row r="853" spans="2:16" s="89" customFormat="1" ht="12.75">
      <c r="B853" s="125"/>
      <c r="C853" s="126"/>
      <c r="D853" s="126"/>
      <c r="E853" s="126"/>
      <c r="F853" s="126"/>
      <c r="G853" s="126"/>
      <c r="H853" s="126"/>
      <c r="I853" s="126"/>
      <c r="J853" s="126"/>
      <c r="K853" s="127"/>
      <c r="L853" s="128"/>
      <c r="M853" s="129"/>
      <c r="N853" s="95"/>
      <c r="O853" s="95"/>
      <c r="P853" s="130"/>
    </row>
    <row r="854" spans="2:16" s="89" customFormat="1" ht="12.75">
      <c r="B854" s="125"/>
      <c r="C854" s="126"/>
      <c r="D854" s="126"/>
      <c r="E854" s="126"/>
      <c r="F854" s="126"/>
      <c r="G854" s="126"/>
      <c r="H854" s="126"/>
      <c r="I854" s="126"/>
      <c r="J854" s="126"/>
      <c r="K854" s="127"/>
      <c r="L854" s="128"/>
      <c r="M854" s="129"/>
      <c r="N854" s="95"/>
      <c r="O854" s="95"/>
      <c r="P854" s="130"/>
    </row>
    <row r="855" spans="2:16" s="89" customFormat="1" ht="12.75">
      <c r="B855" s="125"/>
      <c r="C855" s="126"/>
      <c r="D855" s="126"/>
      <c r="E855" s="126"/>
      <c r="F855" s="126"/>
      <c r="G855" s="126"/>
      <c r="H855" s="126"/>
      <c r="I855" s="126"/>
      <c r="J855" s="126"/>
      <c r="K855" s="127"/>
      <c r="L855" s="128"/>
      <c r="M855" s="129"/>
      <c r="N855" s="95"/>
      <c r="O855" s="95"/>
      <c r="P855" s="130"/>
    </row>
    <row r="856" spans="2:16" s="89" customFormat="1" ht="12.75">
      <c r="B856" s="125"/>
      <c r="C856" s="126"/>
      <c r="D856" s="126"/>
      <c r="E856" s="126"/>
      <c r="F856" s="126"/>
      <c r="G856" s="126"/>
      <c r="H856" s="126"/>
      <c r="I856" s="126"/>
      <c r="J856" s="126"/>
      <c r="K856" s="127"/>
      <c r="L856" s="128"/>
      <c r="M856" s="129"/>
      <c r="N856" s="95"/>
      <c r="O856" s="95"/>
      <c r="P856" s="130"/>
    </row>
    <row r="857" spans="2:16" s="89" customFormat="1" ht="12.75">
      <c r="B857" s="125"/>
      <c r="C857" s="126"/>
      <c r="D857" s="126"/>
      <c r="E857" s="126"/>
      <c r="F857" s="126"/>
      <c r="G857" s="126"/>
      <c r="H857" s="126"/>
      <c r="I857" s="126"/>
      <c r="J857" s="126"/>
      <c r="K857" s="127"/>
      <c r="L857" s="128"/>
      <c r="M857" s="129"/>
      <c r="N857" s="95"/>
      <c r="O857" s="95"/>
      <c r="P857" s="130"/>
    </row>
    <row r="858" spans="2:16" s="89" customFormat="1" ht="12.75">
      <c r="B858" s="125"/>
      <c r="C858" s="126"/>
      <c r="D858" s="126"/>
      <c r="E858" s="126"/>
      <c r="F858" s="126"/>
      <c r="G858" s="126"/>
      <c r="H858" s="126"/>
      <c r="I858" s="126"/>
      <c r="J858" s="126"/>
      <c r="K858" s="127"/>
      <c r="L858" s="128"/>
      <c r="M858" s="129"/>
      <c r="N858" s="95"/>
      <c r="O858" s="95"/>
      <c r="P858" s="130"/>
    </row>
    <row r="859" spans="2:16" s="89" customFormat="1" ht="12.75">
      <c r="B859" s="125"/>
      <c r="C859" s="126"/>
      <c r="D859" s="126"/>
      <c r="E859" s="126"/>
      <c r="F859" s="126"/>
      <c r="G859" s="126"/>
      <c r="H859" s="126"/>
      <c r="I859" s="126"/>
      <c r="J859" s="126"/>
      <c r="K859" s="127"/>
      <c r="L859" s="128"/>
      <c r="M859" s="129"/>
      <c r="N859" s="95"/>
      <c r="O859" s="95"/>
      <c r="P859" s="130"/>
    </row>
    <row r="860" spans="2:16" s="89" customFormat="1" ht="12.75">
      <c r="B860" s="125"/>
      <c r="C860" s="126"/>
      <c r="D860" s="126"/>
      <c r="E860" s="126"/>
      <c r="F860" s="126"/>
      <c r="G860" s="126"/>
      <c r="H860" s="126"/>
      <c r="I860" s="126"/>
      <c r="J860" s="126"/>
      <c r="K860" s="127"/>
      <c r="L860" s="128"/>
      <c r="M860" s="129"/>
      <c r="N860" s="95"/>
      <c r="O860" s="95"/>
      <c r="P860" s="130"/>
    </row>
    <row r="861" spans="2:16" s="89" customFormat="1" ht="12.75">
      <c r="B861" s="125"/>
      <c r="C861" s="126"/>
      <c r="D861" s="126"/>
      <c r="E861" s="126"/>
      <c r="F861" s="126"/>
      <c r="G861" s="126"/>
      <c r="H861" s="126"/>
      <c r="I861" s="126"/>
      <c r="J861" s="126"/>
      <c r="K861" s="127"/>
      <c r="L861" s="128"/>
      <c r="M861" s="129"/>
      <c r="N861" s="95"/>
      <c r="O861" s="95"/>
      <c r="P861" s="130"/>
    </row>
    <row r="862" spans="2:16" s="89" customFormat="1" ht="12.75">
      <c r="B862" s="125"/>
      <c r="C862" s="126"/>
      <c r="D862" s="126"/>
      <c r="E862" s="126"/>
      <c r="F862" s="126"/>
      <c r="G862" s="126"/>
      <c r="H862" s="126"/>
      <c r="I862" s="126"/>
      <c r="J862" s="126"/>
      <c r="K862" s="127"/>
      <c r="L862" s="128"/>
      <c r="M862" s="129"/>
      <c r="N862" s="95"/>
      <c r="O862" s="95"/>
      <c r="P862" s="130"/>
    </row>
    <row r="863" spans="2:16" s="89" customFormat="1" ht="12.75">
      <c r="B863" s="125"/>
      <c r="C863" s="126"/>
      <c r="D863" s="126"/>
      <c r="E863" s="126"/>
      <c r="F863" s="126"/>
      <c r="G863" s="126"/>
      <c r="H863" s="126"/>
      <c r="I863" s="126"/>
      <c r="J863" s="126"/>
      <c r="K863" s="127"/>
      <c r="L863" s="128"/>
      <c r="M863" s="129"/>
      <c r="N863" s="95"/>
      <c r="O863" s="95"/>
      <c r="P863" s="130"/>
    </row>
    <row r="864" spans="2:16" s="89" customFormat="1" ht="12.75">
      <c r="B864" s="125"/>
      <c r="C864" s="126"/>
      <c r="D864" s="126"/>
      <c r="E864" s="126"/>
      <c r="F864" s="126"/>
      <c r="G864" s="126"/>
      <c r="H864" s="126"/>
      <c r="I864" s="126"/>
      <c r="J864" s="126"/>
      <c r="K864" s="127"/>
      <c r="L864" s="128"/>
      <c r="M864" s="129"/>
      <c r="N864" s="95"/>
      <c r="O864" s="95"/>
      <c r="P864" s="130"/>
    </row>
    <row r="865" spans="2:16" s="89" customFormat="1" ht="12.75">
      <c r="B865" s="125"/>
      <c r="C865" s="126"/>
      <c r="D865" s="126"/>
      <c r="E865" s="126"/>
      <c r="F865" s="126"/>
      <c r="G865" s="126"/>
      <c r="H865" s="126"/>
      <c r="I865" s="126"/>
      <c r="J865" s="126"/>
      <c r="K865" s="127"/>
      <c r="L865" s="128"/>
      <c r="M865" s="129"/>
      <c r="N865" s="95"/>
      <c r="O865" s="95"/>
      <c r="P865" s="130"/>
    </row>
    <row r="866" spans="2:16" s="89" customFormat="1" ht="12.75">
      <c r="B866" s="125"/>
      <c r="C866" s="126"/>
      <c r="D866" s="126"/>
      <c r="E866" s="126"/>
      <c r="F866" s="126"/>
      <c r="G866" s="126"/>
      <c r="H866" s="126"/>
      <c r="I866" s="126"/>
      <c r="J866" s="126"/>
      <c r="K866" s="127"/>
      <c r="L866" s="128"/>
      <c r="M866" s="129"/>
      <c r="N866" s="95"/>
      <c r="O866" s="95"/>
      <c r="P866" s="130"/>
    </row>
    <row r="867" spans="2:16" s="89" customFormat="1" ht="12.75">
      <c r="B867" s="125"/>
      <c r="C867" s="126"/>
      <c r="D867" s="126"/>
      <c r="E867" s="126"/>
      <c r="F867" s="126"/>
      <c r="G867" s="126"/>
      <c r="H867" s="126"/>
      <c r="I867" s="126"/>
      <c r="J867" s="126"/>
      <c r="K867" s="127"/>
      <c r="L867" s="128"/>
      <c r="M867" s="129"/>
      <c r="N867" s="95"/>
      <c r="O867" s="95"/>
      <c r="P867" s="130"/>
    </row>
    <row r="868" spans="2:16" s="89" customFormat="1" ht="12.75">
      <c r="B868" s="125"/>
      <c r="C868" s="126"/>
      <c r="D868" s="126"/>
      <c r="E868" s="126"/>
      <c r="F868" s="126"/>
      <c r="G868" s="126"/>
      <c r="H868" s="126"/>
      <c r="I868" s="126"/>
      <c r="J868" s="126"/>
      <c r="K868" s="127"/>
      <c r="L868" s="128"/>
      <c r="M868" s="129"/>
      <c r="N868" s="95"/>
      <c r="O868" s="95"/>
      <c r="P868" s="130"/>
    </row>
    <row r="869" spans="2:16" s="89" customFormat="1" ht="12.75">
      <c r="B869" s="125"/>
      <c r="C869" s="126"/>
      <c r="D869" s="126"/>
      <c r="E869" s="126"/>
      <c r="F869" s="126"/>
      <c r="G869" s="126"/>
      <c r="H869" s="126"/>
      <c r="I869" s="126"/>
      <c r="J869" s="126"/>
      <c r="K869" s="127"/>
      <c r="L869" s="128"/>
      <c r="M869" s="129"/>
      <c r="N869" s="95"/>
      <c r="O869" s="95"/>
      <c r="P869" s="130"/>
    </row>
    <row r="870" spans="2:16" s="89" customFormat="1" ht="12.75">
      <c r="B870" s="125"/>
      <c r="C870" s="126"/>
      <c r="D870" s="126"/>
      <c r="E870" s="126"/>
      <c r="F870" s="126"/>
      <c r="G870" s="126"/>
      <c r="H870" s="126"/>
      <c r="I870" s="126"/>
      <c r="J870" s="126"/>
      <c r="K870" s="127"/>
      <c r="L870" s="128"/>
      <c r="M870" s="129"/>
      <c r="N870" s="95"/>
      <c r="O870" s="95"/>
      <c r="P870" s="130"/>
    </row>
    <row r="871" spans="2:16" s="89" customFormat="1" ht="12.75">
      <c r="B871" s="125"/>
      <c r="C871" s="126"/>
      <c r="D871" s="126"/>
      <c r="E871" s="126"/>
      <c r="F871" s="126"/>
      <c r="G871" s="126"/>
      <c r="H871" s="126"/>
      <c r="I871" s="126"/>
      <c r="J871" s="126"/>
      <c r="K871" s="127"/>
      <c r="L871" s="128"/>
      <c r="M871" s="129"/>
      <c r="N871" s="95"/>
      <c r="O871" s="95"/>
      <c r="P871" s="130"/>
    </row>
    <row r="872" spans="2:16" s="89" customFormat="1" ht="12.75">
      <c r="B872" s="125"/>
      <c r="C872" s="126"/>
      <c r="D872" s="126"/>
      <c r="E872" s="126"/>
      <c r="F872" s="126"/>
      <c r="G872" s="126"/>
      <c r="H872" s="126"/>
      <c r="I872" s="126"/>
      <c r="J872" s="126"/>
      <c r="K872" s="127"/>
      <c r="L872" s="128"/>
      <c r="M872" s="129"/>
      <c r="N872" s="95"/>
      <c r="O872" s="95"/>
      <c r="P872" s="130"/>
    </row>
    <row r="873" spans="2:16" s="89" customFormat="1" ht="12.75">
      <c r="B873" s="125"/>
      <c r="C873" s="126"/>
      <c r="D873" s="126"/>
      <c r="E873" s="126"/>
      <c r="F873" s="126"/>
      <c r="G873" s="126"/>
      <c r="H873" s="126"/>
      <c r="I873" s="126"/>
      <c r="J873" s="126"/>
      <c r="K873" s="127"/>
      <c r="L873" s="128"/>
      <c r="M873" s="129"/>
      <c r="N873" s="95"/>
      <c r="O873" s="95"/>
      <c r="P873" s="130"/>
    </row>
    <row r="874" spans="2:16" s="89" customFormat="1" ht="12.75">
      <c r="B874" s="125"/>
      <c r="C874" s="126"/>
      <c r="D874" s="126"/>
      <c r="E874" s="126"/>
      <c r="F874" s="126"/>
      <c r="G874" s="126"/>
      <c r="H874" s="126"/>
      <c r="I874" s="126"/>
      <c r="J874" s="126"/>
      <c r="K874" s="127"/>
      <c r="L874" s="128"/>
      <c r="M874" s="129"/>
      <c r="N874" s="95"/>
      <c r="O874" s="95"/>
      <c r="P874" s="130"/>
    </row>
    <row r="875" spans="2:16" s="89" customFormat="1" ht="12.75">
      <c r="B875" s="125"/>
      <c r="C875" s="126"/>
      <c r="D875" s="126"/>
      <c r="E875" s="126"/>
      <c r="F875" s="126"/>
      <c r="G875" s="126"/>
      <c r="H875" s="126"/>
      <c r="I875" s="126"/>
      <c r="J875" s="126"/>
      <c r="K875" s="127"/>
      <c r="L875" s="128"/>
      <c r="M875" s="129"/>
      <c r="N875" s="95"/>
      <c r="O875" s="95"/>
      <c r="P875" s="130"/>
    </row>
    <row r="876" spans="2:16" s="89" customFormat="1" ht="12.75">
      <c r="B876" s="125"/>
      <c r="C876" s="126"/>
      <c r="D876" s="126"/>
      <c r="E876" s="126"/>
      <c r="F876" s="126"/>
      <c r="G876" s="126"/>
      <c r="H876" s="126"/>
      <c r="I876" s="126"/>
      <c r="J876" s="126"/>
      <c r="K876" s="127"/>
      <c r="L876" s="128"/>
      <c r="M876" s="129"/>
      <c r="N876" s="95"/>
      <c r="O876" s="95"/>
      <c r="P876" s="130"/>
    </row>
    <row r="877" spans="2:16" s="89" customFormat="1" ht="12.75">
      <c r="B877" s="125"/>
      <c r="C877" s="126"/>
      <c r="D877" s="126"/>
      <c r="E877" s="126"/>
      <c r="F877" s="126"/>
      <c r="G877" s="126"/>
      <c r="H877" s="126"/>
      <c r="I877" s="126"/>
      <c r="J877" s="126"/>
      <c r="K877" s="127"/>
      <c r="L877" s="128"/>
      <c r="M877" s="129"/>
      <c r="N877" s="95"/>
      <c r="O877" s="95"/>
      <c r="P877" s="130"/>
    </row>
    <row r="878" spans="2:16" s="89" customFormat="1" ht="12.75">
      <c r="B878" s="125"/>
      <c r="C878" s="126"/>
      <c r="D878" s="126"/>
      <c r="E878" s="126"/>
      <c r="F878" s="126"/>
      <c r="G878" s="126"/>
      <c r="H878" s="126"/>
      <c r="I878" s="126"/>
      <c r="J878" s="126"/>
      <c r="K878" s="127"/>
      <c r="L878" s="128"/>
      <c r="M878" s="129"/>
      <c r="N878" s="95"/>
      <c r="O878" s="95"/>
      <c r="P878" s="130"/>
    </row>
    <row r="879" spans="2:16" s="89" customFormat="1" ht="12.75">
      <c r="B879" s="125"/>
      <c r="C879" s="126"/>
      <c r="D879" s="126"/>
      <c r="E879" s="126"/>
      <c r="F879" s="126"/>
      <c r="G879" s="126"/>
      <c r="H879" s="126"/>
      <c r="I879" s="126"/>
      <c r="J879" s="126"/>
      <c r="K879" s="127"/>
      <c r="L879" s="128"/>
      <c r="M879" s="129"/>
      <c r="N879" s="95"/>
      <c r="O879" s="95"/>
      <c r="P879" s="130"/>
    </row>
    <row r="880" spans="2:16" s="89" customFormat="1" ht="12.75">
      <c r="B880" s="125"/>
      <c r="C880" s="126"/>
      <c r="D880" s="126"/>
      <c r="E880" s="126"/>
      <c r="F880" s="126"/>
      <c r="G880" s="126"/>
      <c r="H880" s="126"/>
      <c r="I880" s="126"/>
      <c r="J880" s="126"/>
      <c r="K880" s="127"/>
      <c r="L880" s="128"/>
      <c r="M880" s="129"/>
      <c r="N880" s="95"/>
      <c r="O880" s="95"/>
      <c r="P880" s="130"/>
    </row>
    <row r="881" spans="2:16" s="89" customFormat="1" ht="12.75">
      <c r="B881" s="125"/>
      <c r="C881" s="126"/>
      <c r="D881" s="126"/>
      <c r="E881" s="126"/>
      <c r="F881" s="126"/>
      <c r="G881" s="126"/>
      <c r="H881" s="126"/>
      <c r="I881" s="126"/>
      <c r="J881" s="126"/>
      <c r="K881" s="127"/>
      <c r="L881" s="128"/>
      <c r="M881" s="129"/>
      <c r="N881" s="95"/>
      <c r="O881" s="95"/>
      <c r="P881" s="130"/>
    </row>
    <row r="882" spans="2:16" s="89" customFormat="1" ht="12.75">
      <c r="B882" s="125"/>
      <c r="C882" s="126"/>
      <c r="D882" s="126"/>
      <c r="E882" s="126"/>
      <c r="F882" s="126"/>
      <c r="G882" s="126"/>
      <c r="H882" s="126"/>
      <c r="I882" s="126"/>
      <c r="J882" s="126"/>
      <c r="K882" s="127"/>
      <c r="L882" s="128"/>
      <c r="M882" s="129"/>
      <c r="N882" s="95"/>
      <c r="O882" s="95"/>
      <c r="P882" s="130"/>
    </row>
    <row r="883" spans="2:16" s="89" customFormat="1" ht="12.75">
      <c r="B883" s="125"/>
      <c r="C883" s="126"/>
      <c r="D883" s="126"/>
      <c r="E883" s="126"/>
      <c r="F883" s="126"/>
      <c r="G883" s="126"/>
      <c r="H883" s="126"/>
      <c r="I883" s="126"/>
      <c r="J883" s="126"/>
      <c r="K883" s="127"/>
      <c r="L883" s="128"/>
      <c r="M883" s="129"/>
      <c r="N883" s="95"/>
      <c r="O883" s="95"/>
      <c r="P883" s="130"/>
    </row>
    <row r="884" spans="2:16" s="89" customFormat="1" ht="12.75">
      <c r="B884" s="125"/>
      <c r="C884" s="126"/>
      <c r="D884" s="126"/>
      <c r="E884" s="126"/>
      <c r="F884" s="126"/>
      <c r="G884" s="126"/>
      <c r="H884" s="126"/>
      <c r="I884" s="126"/>
      <c r="J884" s="126"/>
      <c r="K884" s="127"/>
      <c r="L884" s="128"/>
      <c r="M884" s="129"/>
      <c r="N884" s="95"/>
      <c r="O884" s="95"/>
      <c r="P884" s="130"/>
    </row>
    <row r="885" spans="2:16" s="89" customFormat="1" ht="12.75">
      <c r="B885" s="125"/>
      <c r="C885" s="126"/>
      <c r="D885" s="126"/>
      <c r="E885" s="126"/>
      <c r="F885" s="126"/>
      <c r="G885" s="126"/>
      <c r="H885" s="126"/>
      <c r="I885" s="126"/>
      <c r="J885" s="126"/>
      <c r="K885" s="127"/>
      <c r="L885" s="128"/>
      <c r="M885" s="129"/>
      <c r="N885" s="95"/>
      <c r="O885" s="95"/>
      <c r="P885" s="130"/>
    </row>
    <row r="886" spans="2:16" s="89" customFormat="1" ht="12.75">
      <c r="B886" s="125"/>
      <c r="C886" s="126"/>
      <c r="D886" s="126"/>
      <c r="E886" s="126"/>
      <c r="F886" s="126"/>
      <c r="G886" s="126"/>
      <c r="H886" s="126"/>
      <c r="I886" s="126"/>
      <c r="J886" s="126"/>
      <c r="K886" s="127"/>
      <c r="L886" s="128"/>
      <c r="M886" s="129"/>
      <c r="N886" s="95"/>
      <c r="O886" s="95"/>
      <c r="P886" s="130"/>
    </row>
    <row r="887" spans="2:16" s="89" customFormat="1" ht="12.75">
      <c r="B887" s="125"/>
      <c r="C887" s="126"/>
      <c r="D887" s="126"/>
      <c r="E887" s="126"/>
      <c r="F887" s="126"/>
      <c r="G887" s="126"/>
      <c r="H887" s="126"/>
      <c r="I887" s="126"/>
      <c r="J887" s="126"/>
      <c r="K887" s="127"/>
      <c r="L887" s="128"/>
      <c r="M887" s="129"/>
      <c r="N887" s="95"/>
      <c r="O887" s="95"/>
      <c r="P887" s="130"/>
    </row>
    <row r="888" spans="2:16" s="89" customFormat="1" ht="12.75">
      <c r="B888" s="125"/>
      <c r="C888" s="126"/>
      <c r="D888" s="126"/>
      <c r="E888" s="126"/>
      <c r="F888" s="126"/>
      <c r="G888" s="126"/>
      <c r="H888" s="126"/>
      <c r="I888" s="126"/>
      <c r="J888" s="126"/>
      <c r="K888" s="127"/>
      <c r="L888" s="128"/>
      <c r="M888" s="129"/>
      <c r="N888" s="95"/>
      <c r="O888" s="95"/>
      <c r="P888" s="130"/>
    </row>
    <row r="889" spans="2:16" s="89" customFormat="1" ht="12.75">
      <c r="B889" s="125"/>
      <c r="C889" s="126"/>
      <c r="D889" s="126"/>
      <c r="E889" s="126"/>
      <c r="F889" s="126"/>
      <c r="G889" s="126"/>
      <c r="H889" s="126"/>
      <c r="I889" s="126"/>
      <c r="J889" s="126"/>
      <c r="K889" s="127"/>
      <c r="L889" s="128"/>
      <c r="M889" s="129"/>
      <c r="N889" s="95"/>
      <c r="O889" s="95"/>
      <c r="P889" s="130"/>
    </row>
    <row r="890" spans="2:16" s="89" customFormat="1" ht="12.75">
      <c r="B890" s="125"/>
      <c r="C890" s="126"/>
      <c r="D890" s="126"/>
      <c r="E890" s="126"/>
      <c r="F890" s="126"/>
      <c r="G890" s="126"/>
      <c r="H890" s="126"/>
      <c r="I890" s="126"/>
      <c r="J890" s="126"/>
      <c r="K890" s="127"/>
      <c r="L890" s="128"/>
      <c r="M890" s="129"/>
      <c r="N890" s="95"/>
      <c r="O890" s="95"/>
      <c r="P890" s="130"/>
    </row>
    <row r="891" spans="2:16" s="89" customFormat="1" ht="12.75">
      <c r="B891" s="125"/>
      <c r="C891" s="126"/>
      <c r="D891" s="126"/>
      <c r="E891" s="126"/>
      <c r="F891" s="126"/>
      <c r="G891" s="126"/>
      <c r="H891" s="126"/>
      <c r="I891" s="126"/>
      <c r="J891" s="126"/>
      <c r="K891" s="127"/>
      <c r="L891" s="128"/>
      <c r="M891" s="129"/>
      <c r="N891" s="95"/>
      <c r="O891" s="95"/>
      <c r="P891" s="130"/>
    </row>
    <row r="892" spans="2:16" s="89" customFormat="1" ht="12.75">
      <c r="B892" s="125"/>
      <c r="C892" s="126"/>
      <c r="D892" s="126"/>
      <c r="E892" s="126"/>
      <c r="F892" s="126"/>
      <c r="G892" s="126"/>
      <c r="H892" s="126"/>
      <c r="I892" s="126"/>
      <c r="J892" s="126"/>
      <c r="K892" s="127"/>
      <c r="L892" s="128"/>
      <c r="M892" s="129"/>
      <c r="N892" s="95"/>
      <c r="O892" s="95"/>
      <c r="P892" s="130"/>
    </row>
    <row r="893" spans="2:16" s="89" customFormat="1" ht="12.75">
      <c r="B893" s="125"/>
      <c r="C893" s="126"/>
      <c r="D893" s="126"/>
      <c r="E893" s="126"/>
      <c r="F893" s="126"/>
      <c r="G893" s="126"/>
      <c r="H893" s="126"/>
      <c r="I893" s="126"/>
      <c r="J893" s="126"/>
      <c r="K893" s="127"/>
      <c r="L893" s="128"/>
      <c r="M893" s="129"/>
      <c r="N893" s="95"/>
      <c r="O893" s="95"/>
      <c r="P893" s="130"/>
    </row>
    <row r="894" spans="2:16" s="89" customFormat="1" ht="12.75">
      <c r="B894" s="125"/>
      <c r="C894" s="126"/>
      <c r="D894" s="126"/>
      <c r="E894" s="126"/>
      <c r="F894" s="126"/>
      <c r="G894" s="126"/>
      <c r="H894" s="126"/>
      <c r="I894" s="126"/>
      <c r="J894" s="126"/>
      <c r="K894" s="127"/>
      <c r="L894" s="128"/>
      <c r="M894" s="129"/>
      <c r="N894" s="95"/>
      <c r="O894" s="95"/>
      <c r="P894" s="130"/>
    </row>
    <row r="895" spans="2:16" s="89" customFormat="1" ht="12.75">
      <c r="B895" s="125"/>
      <c r="C895" s="126"/>
      <c r="D895" s="126"/>
      <c r="E895" s="126"/>
      <c r="F895" s="126"/>
      <c r="G895" s="126"/>
      <c r="H895" s="126"/>
      <c r="I895" s="126"/>
      <c r="J895" s="126"/>
      <c r="K895" s="127"/>
      <c r="L895" s="128"/>
      <c r="M895" s="129"/>
      <c r="N895" s="95"/>
      <c r="O895" s="95"/>
      <c r="P895" s="130"/>
    </row>
    <row r="896" spans="2:16" s="89" customFormat="1" ht="12.75">
      <c r="B896" s="125"/>
      <c r="C896" s="126"/>
      <c r="D896" s="126"/>
      <c r="E896" s="126"/>
      <c r="F896" s="126"/>
      <c r="G896" s="126"/>
      <c r="H896" s="126"/>
      <c r="I896" s="126"/>
      <c r="J896" s="126"/>
      <c r="K896" s="127"/>
      <c r="L896" s="128"/>
      <c r="M896" s="129"/>
      <c r="N896" s="95"/>
      <c r="O896" s="95"/>
      <c r="P896" s="130"/>
    </row>
    <row r="897" spans="2:16" s="89" customFormat="1" ht="12.75">
      <c r="B897" s="125"/>
      <c r="C897" s="126"/>
      <c r="D897" s="126"/>
      <c r="E897" s="126"/>
      <c r="F897" s="126"/>
      <c r="G897" s="126"/>
      <c r="H897" s="126"/>
      <c r="I897" s="126"/>
      <c r="J897" s="126"/>
      <c r="K897" s="127"/>
      <c r="L897" s="128"/>
      <c r="M897" s="129"/>
      <c r="N897" s="95"/>
      <c r="O897" s="95"/>
      <c r="P897" s="130"/>
    </row>
    <row r="898" spans="2:16" s="89" customFormat="1" ht="12.75">
      <c r="B898" s="125"/>
      <c r="C898" s="126"/>
      <c r="D898" s="126"/>
      <c r="E898" s="126"/>
      <c r="F898" s="126"/>
      <c r="G898" s="126"/>
      <c r="H898" s="126"/>
      <c r="I898" s="126"/>
      <c r="J898" s="126"/>
      <c r="K898" s="127"/>
      <c r="L898" s="128"/>
      <c r="M898" s="129"/>
      <c r="N898" s="95"/>
      <c r="O898" s="95"/>
      <c r="P898" s="130"/>
    </row>
    <row r="899" spans="2:16" s="89" customFormat="1" ht="12.75">
      <c r="B899" s="125"/>
      <c r="C899" s="126"/>
      <c r="D899" s="126"/>
      <c r="E899" s="126"/>
      <c r="F899" s="126"/>
      <c r="G899" s="126"/>
      <c r="H899" s="126"/>
      <c r="I899" s="126"/>
      <c r="J899" s="126"/>
      <c r="K899" s="127"/>
      <c r="L899" s="128"/>
      <c r="M899" s="129"/>
      <c r="N899" s="95"/>
      <c r="O899" s="95"/>
      <c r="P899" s="130"/>
    </row>
    <row r="900" spans="2:16" s="89" customFormat="1" ht="12.75">
      <c r="B900" s="125"/>
      <c r="C900" s="126"/>
      <c r="D900" s="126"/>
      <c r="E900" s="126"/>
      <c r="F900" s="126"/>
      <c r="G900" s="126"/>
      <c r="H900" s="126"/>
      <c r="I900" s="126"/>
      <c r="J900" s="126"/>
      <c r="K900" s="127"/>
      <c r="L900" s="128"/>
      <c r="M900" s="129"/>
      <c r="N900" s="95"/>
      <c r="O900" s="95"/>
      <c r="P900" s="130"/>
    </row>
    <row r="901" spans="2:16" s="89" customFormat="1" ht="12.75">
      <c r="B901" s="125"/>
      <c r="C901" s="126"/>
      <c r="D901" s="126"/>
      <c r="E901" s="126"/>
      <c r="F901" s="126"/>
      <c r="G901" s="126"/>
      <c r="H901" s="126"/>
      <c r="I901" s="126"/>
      <c r="J901" s="126"/>
      <c r="K901" s="127"/>
      <c r="L901" s="128"/>
      <c r="M901" s="129"/>
      <c r="N901" s="95"/>
      <c r="O901" s="95"/>
      <c r="P901" s="130"/>
    </row>
    <row r="902" spans="2:16" s="89" customFormat="1" ht="12.75">
      <c r="B902" s="125"/>
      <c r="C902" s="126"/>
      <c r="D902" s="126"/>
      <c r="E902" s="126"/>
      <c r="F902" s="126"/>
      <c r="G902" s="126"/>
      <c r="H902" s="126"/>
      <c r="I902" s="126"/>
      <c r="J902" s="126"/>
      <c r="K902" s="127"/>
      <c r="L902" s="128"/>
      <c r="M902" s="129"/>
      <c r="N902" s="95"/>
      <c r="O902" s="95"/>
      <c r="P902" s="130"/>
    </row>
    <row r="903" spans="2:16" s="89" customFormat="1" ht="12.75">
      <c r="B903" s="125"/>
      <c r="C903" s="126"/>
      <c r="D903" s="126"/>
      <c r="E903" s="126"/>
      <c r="F903" s="126"/>
      <c r="G903" s="126"/>
      <c r="H903" s="126"/>
      <c r="I903" s="126"/>
      <c r="J903" s="126"/>
      <c r="K903" s="127"/>
      <c r="L903" s="128"/>
      <c r="M903" s="129"/>
      <c r="N903" s="95"/>
      <c r="O903" s="95"/>
      <c r="P903" s="130"/>
    </row>
    <row r="904" spans="2:16" s="89" customFormat="1" ht="12.75">
      <c r="B904" s="125"/>
      <c r="C904" s="126"/>
      <c r="D904" s="126"/>
      <c r="E904" s="126"/>
      <c r="F904" s="126"/>
      <c r="G904" s="126"/>
      <c r="H904" s="126"/>
      <c r="I904" s="126"/>
      <c r="J904" s="126"/>
      <c r="K904" s="127"/>
      <c r="L904" s="128"/>
      <c r="M904" s="129"/>
      <c r="N904" s="95"/>
      <c r="O904" s="95"/>
      <c r="P904" s="130"/>
    </row>
    <row r="905" spans="2:16" s="89" customFormat="1" ht="12.75">
      <c r="B905" s="125"/>
      <c r="C905" s="126"/>
      <c r="D905" s="126"/>
      <c r="E905" s="126"/>
      <c r="F905" s="126"/>
      <c r="G905" s="126"/>
      <c r="H905" s="126"/>
      <c r="I905" s="126"/>
      <c r="J905" s="126"/>
      <c r="K905" s="127"/>
      <c r="L905" s="128"/>
      <c r="M905" s="129"/>
      <c r="N905" s="95"/>
      <c r="O905" s="95"/>
      <c r="P905" s="130"/>
    </row>
    <row r="906" spans="2:16" s="89" customFormat="1" ht="12.75">
      <c r="B906" s="125"/>
      <c r="C906" s="126"/>
      <c r="D906" s="126"/>
      <c r="E906" s="126"/>
      <c r="F906" s="126"/>
      <c r="G906" s="126"/>
      <c r="H906" s="126"/>
      <c r="I906" s="126"/>
      <c r="J906" s="126"/>
      <c r="K906" s="127"/>
      <c r="L906" s="128"/>
      <c r="M906" s="129"/>
      <c r="N906" s="95"/>
      <c r="O906" s="95"/>
      <c r="P906" s="130"/>
    </row>
    <row r="907" spans="2:16" s="89" customFormat="1" ht="12.75">
      <c r="B907" s="125"/>
      <c r="C907" s="126"/>
      <c r="D907" s="126"/>
      <c r="E907" s="126"/>
      <c r="F907" s="126"/>
      <c r="G907" s="126"/>
      <c r="H907" s="126"/>
      <c r="I907" s="126"/>
      <c r="J907" s="126"/>
      <c r="K907" s="127"/>
      <c r="L907" s="128"/>
      <c r="M907" s="129"/>
      <c r="N907" s="95"/>
      <c r="O907" s="95"/>
      <c r="P907" s="130"/>
    </row>
    <row r="908" spans="2:16" s="89" customFormat="1" ht="12.75">
      <c r="B908" s="125"/>
      <c r="C908" s="126"/>
      <c r="D908" s="126"/>
      <c r="E908" s="126"/>
      <c r="F908" s="126"/>
      <c r="G908" s="126"/>
      <c r="H908" s="126"/>
      <c r="I908" s="126"/>
      <c r="J908" s="126"/>
      <c r="K908" s="127"/>
      <c r="L908" s="128"/>
      <c r="M908" s="129"/>
      <c r="N908" s="95"/>
      <c r="O908" s="95"/>
      <c r="P908" s="130"/>
    </row>
    <row r="909" spans="2:16" s="89" customFormat="1" ht="12.75">
      <c r="B909" s="125"/>
      <c r="C909" s="126"/>
      <c r="D909" s="126"/>
      <c r="E909" s="126"/>
      <c r="F909" s="126"/>
      <c r="G909" s="126"/>
      <c r="H909" s="126"/>
      <c r="I909" s="126"/>
      <c r="J909" s="126"/>
      <c r="K909" s="127"/>
      <c r="L909" s="128"/>
      <c r="M909" s="129"/>
      <c r="N909" s="95"/>
      <c r="O909" s="95"/>
      <c r="P909" s="130"/>
    </row>
    <row r="910" spans="2:16" s="89" customFormat="1" ht="12.75">
      <c r="B910" s="125"/>
      <c r="C910" s="126"/>
      <c r="D910" s="126"/>
      <c r="E910" s="126"/>
      <c r="F910" s="126"/>
      <c r="G910" s="126"/>
      <c r="H910" s="126"/>
      <c r="I910" s="126"/>
      <c r="J910" s="126"/>
      <c r="K910" s="127"/>
      <c r="L910" s="128"/>
      <c r="M910" s="129"/>
      <c r="N910" s="95"/>
      <c r="O910" s="95"/>
      <c r="P910" s="130"/>
    </row>
    <row r="911" spans="2:16" s="89" customFormat="1" ht="12.75">
      <c r="B911" s="125"/>
      <c r="C911" s="126"/>
      <c r="D911" s="126"/>
      <c r="E911" s="126"/>
      <c r="F911" s="126"/>
      <c r="G911" s="126"/>
      <c r="H911" s="126"/>
      <c r="I911" s="126"/>
      <c r="J911" s="126"/>
      <c r="K911" s="127"/>
      <c r="L911" s="128"/>
      <c r="M911" s="129"/>
      <c r="N911" s="95"/>
      <c r="O911" s="95"/>
      <c r="P911" s="130"/>
    </row>
    <row r="912" spans="2:16" s="89" customFormat="1" ht="12.75">
      <c r="B912" s="125"/>
      <c r="C912" s="126"/>
      <c r="D912" s="126"/>
      <c r="E912" s="126"/>
      <c r="F912" s="126"/>
      <c r="G912" s="126"/>
      <c r="H912" s="126"/>
      <c r="I912" s="126"/>
      <c r="J912" s="126"/>
      <c r="K912" s="127"/>
      <c r="L912" s="128"/>
      <c r="M912" s="129"/>
      <c r="N912" s="95"/>
      <c r="O912" s="95"/>
      <c r="P912" s="130"/>
    </row>
    <row r="913" spans="2:16" s="89" customFormat="1" ht="12.75">
      <c r="B913" s="125"/>
      <c r="C913" s="126"/>
      <c r="D913" s="126"/>
      <c r="E913" s="126"/>
      <c r="F913" s="126"/>
      <c r="G913" s="126"/>
      <c r="H913" s="126"/>
      <c r="I913" s="126"/>
      <c r="J913" s="126"/>
      <c r="K913" s="127"/>
      <c r="L913" s="128"/>
      <c r="M913" s="129"/>
      <c r="N913" s="95"/>
      <c r="O913" s="95"/>
      <c r="P913" s="130"/>
    </row>
    <row r="914" spans="2:16" s="89" customFormat="1" ht="12.75">
      <c r="B914" s="125"/>
      <c r="C914" s="126"/>
      <c r="D914" s="126"/>
      <c r="E914" s="126"/>
      <c r="F914" s="126"/>
      <c r="G914" s="126"/>
      <c r="H914" s="126"/>
      <c r="I914" s="126"/>
      <c r="J914" s="126"/>
      <c r="K914" s="127"/>
      <c r="L914" s="128"/>
      <c r="M914" s="129"/>
      <c r="N914" s="95"/>
      <c r="O914" s="95"/>
      <c r="P914" s="130"/>
    </row>
    <row r="915" spans="2:16" s="89" customFormat="1" ht="12.75">
      <c r="B915" s="125"/>
      <c r="C915" s="126"/>
      <c r="D915" s="126"/>
      <c r="E915" s="126"/>
      <c r="F915" s="126"/>
      <c r="G915" s="126"/>
      <c r="H915" s="126"/>
      <c r="I915" s="126"/>
      <c r="J915" s="126"/>
      <c r="K915" s="127"/>
      <c r="L915" s="128"/>
      <c r="M915" s="129"/>
      <c r="N915" s="95"/>
      <c r="O915" s="95"/>
      <c r="P915" s="130"/>
    </row>
    <row r="916" spans="2:16" s="89" customFormat="1" ht="12.75">
      <c r="B916" s="125"/>
      <c r="C916" s="126"/>
      <c r="D916" s="126"/>
      <c r="E916" s="126"/>
      <c r="F916" s="126"/>
      <c r="G916" s="126"/>
      <c r="H916" s="126"/>
      <c r="I916" s="126"/>
      <c r="J916" s="126"/>
      <c r="K916" s="127"/>
      <c r="L916" s="128"/>
      <c r="M916" s="129"/>
      <c r="N916" s="95"/>
      <c r="O916" s="95"/>
      <c r="P916" s="130"/>
    </row>
    <row r="917" spans="2:16" s="89" customFormat="1" ht="12.75">
      <c r="B917" s="125"/>
      <c r="C917" s="126"/>
      <c r="D917" s="126"/>
      <c r="E917" s="126"/>
      <c r="F917" s="126"/>
      <c r="G917" s="126"/>
      <c r="H917" s="126"/>
      <c r="I917" s="126"/>
      <c r="J917" s="126"/>
      <c r="K917" s="127"/>
      <c r="L917" s="128"/>
      <c r="M917" s="129"/>
      <c r="N917" s="95"/>
      <c r="O917" s="95"/>
      <c r="P917" s="130"/>
    </row>
    <row r="918" spans="2:16" s="89" customFormat="1" ht="12.75">
      <c r="B918" s="125"/>
      <c r="C918" s="126"/>
      <c r="D918" s="126"/>
      <c r="E918" s="126"/>
      <c r="F918" s="126"/>
      <c r="G918" s="126"/>
      <c r="H918" s="126"/>
      <c r="I918" s="126"/>
      <c r="J918" s="126"/>
      <c r="K918" s="127"/>
      <c r="L918" s="128"/>
      <c r="M918" s="129"/>
      <c r="N918" s="95"/>
      <c r="O918" s="95"/>
      <c r="P918" s="130"/>
    </row>
    <row r="919" spans="2:16" s="89" customFormat="1" ht="12.75">
      <c r="B919" s="125"/>
      <c r="C919" s="126"/>
      <c r="D919" s="126"/>
      <c r="E919" s="126"/>
      <c r="F919" s="126"/>
      <c r="G919" s="126"/>
      <c r="H919" s="126"/>
      <c r="I919" s="126"/>
      <c r="J919" s="126"/>
      <c r="K919" s="127"/>
      <c r="L919" s="128"/>
      <c r="M919" s="129"/>
      <c r="N919" s="95"/>
      <c r="O919" s="95"/>
      <c r="P919" s="130"/>
    </row>
    <row r="920" spans="2:16" s="89" customFormat="1" ht="12.75">
      <c r="B920" s="125"/>
      <c r="C920" s="126"/>
      <c r="D920" s="126"/>
      <c r="E920" s="126"/>
      <c r="F920" s="126"/>
      <c r="G920" s="126"/>
      <c r="H920" s="126"/>
      <c r="I920" s="126"/>
      <c r="J920" s="126"/>
      <c r="K920" s="127"/>
      <c r="L920" s="128"/>
      <c r="M920" s="129"/>
      <c r="N920" s="95"/>
      <c r="O920" s="95"/>
      <c r="P920" s="130"/>
    </row>
    <row r="921" spans="2:16" s="89" customFormat="1" ht="12.75">
      <c r="B921" s="125"/>
      <c r="C921" s="126"/>
      <c r="D921" s="126"/>
      <c r="E921" s="126"/>
      <c r="F921" s="126"/>
      <c r="G921" s="126"/>
      <c r="H921" s="126"/>
      <c r="I921" s="126"/>
      <c r="J921" s="126"/>
      <c r="K921" s="127"/>
      <c r="L921" s="128"/>
      <c r="M921" s="129"/>
      <c r="N921" s="95"/>
      <c r="O921" s="95"/>
      <c r="P921" s="130"/>
    </row>
    <row r="922" spans="2:16" s="89" customFormat="1" ht="12.75">
      <c r="B922" s="125"/>
      <c r="C922" s="126"/>
      <c r="D922" s="126"/>
      <c r="E922" s="126"/>
      <c r="F922" s="126"/>
      <c r="G922" s="126"/>
      <c r="H922" s="126"/>
      <c r="I922" s="126"/>
      <c r="J922" s="126"/>
      <c r="K922" s="127"/>
      <c r="L922" s="128"/>
      <c r="M922" s="129"/>
      <c r="N922" s="95"/>
      <c r="O922" s="95"/>
      <c r="P922" s="130"/>
    </row>
    <row r="923" spans="2:16" s="89" customFormat="1" ht="12.75">
      <c r="B923" s="125"/>
      <c r="C923" s="126"/>
      <c r="D923" s="126"/>
      <c r="E923" s="126"/>
      <c r="F923" s="126"/>
      <c r="G923" s="126"/>
      <c r="H923" s="126"/>
      <c r="I923" s="126"/>
      <c r="J923" s="126"/>
      <c r="K923" s="127"/>
      <c r="L923" s="128"/>
      <c r="M923" s="129"/>
      <c r="N923" s="95"/>
      <c r="O923" s="95"/>
      <c r="P923" s="130"/>
    </row>
    <row r="924" spans="2:16" s="89" customFormat="1" ht="12.75">
      <c r="B924" s="125"/>
      <c r="C924" s="126"/>
      <c r="D924" s="126"/>
      <c r="E924" s="126"/>
      <c r="F924" s="126"/>
      <c r="G924" s="126"/>
      <c r="H924" s="126"/>
      <c r="I924" s="126"/>
      <c r="J924" s="126"/>
      <c r="K924" s="127"/>
      <c r="L924" s="128"/>
      <c r="M924" s="129"/>
      <c r="N924" s="95"/>
      <c r="O924" s="95"/>
      <c r="P924" s="130"/>
    </row>
    <row r="925" spans="2:16" s="89" customFormat="1" ht="12.75">
      <c r="B925" s="125"/>
      <c r="C925" s="126"/>
      <c r="D925" s="126"/>
      <c r="E925" s="126"/>
      <c r="F925" s="126"/>
      <c r="G925" s="126"/>
      <c r="H925" s="126"/>
      <c r="I925" s="126"/>
      <c r="J925" s="126"/>
      <c r="K925" s="127"/>
      <c r="L925" s="128"/>
      <c r="M925" s="129"/>
      <c r="N925" s="95"/>
      <c r="O925" s="95"/>
      <c r="P925" s="130"/>
    </row>
    <row r="926" spans="2:16" s="89" customFormat="1" ht="12.75">
      <c r="B926" s="125"/>
      <c r="C926" s="126"/>
      <c r="D926" s="126"/>
      <c r="E926" s="126"/>
      <c r="F926" s="126"/>
      <c r="G926" s="126"/>
      <c r="H926" s="126"/>
      <c r="I926" s="126"/>
      <c r="J926" s="126"/>
      <c r="K926" s="127"/>
      <c r="L926" s="128"/>
      <c r="M926" s="129"/>
      <c r="N926" s="95"/>
      <c r="O926" s="95"/>
      <c r="P926" s="130"/>
    </row>
    <row r="927" spans="2:16" s="89" customFormat="1" ht="12.75">
      <c r="B927" s="125"/>
      <c r="C927" s="126"/>
      <c r="D927" s="126"/>
      <c r="E927" s="126"/>
      <c r="F927" s="126"/>
      <c r="G927" s="126"/>
      <c r="H927" s="126"/>
      <c r="I927" s="126"/>
      <c r="J927" s="126"/>
      <c r="K927" s="127"/>
      <c r="L927" s="128"/>
      <c r="M927" s="129"/>
      <c r="N927" s="95"/>
      <c r="O927" s="95"/>
      <c r="P927" s="130"/>
    </row>
    <row r="928" spans="2:16" s="89" customFormat="1" ht="12.75">
      <c r="B928" s="125"/>
      <c r="C928" s="126"/>
      <c r="D928" s="126"/>
      <c r="E928" s="126"/>
      <c r="F928" s="126"/>
      <c r="G928" s="126"/>
      <c r="H928" s="126"/>
      <c r="I928" s="126"/>
      <c r="J928" s="126"/>
      <c r="K928" s="127"/>
      <c r="L928" s="128"/>
      <c r="M928" s="129"/>
      <c r="N928" s="95"/>
      <c r="O928" s="95"/>
      <c r="P928" s="130"/>
    </row>
    <row r="929" spans="2:16" s="89" customFormat="1" ht="12.75">
      <c r="B929" s="125"/>
      <c r="C929" s="126"/>
      <c r="D929" s="126"/>
      <c r="E929" s="126"/>
      <c r="F929" s="126"/>
      <c r="G929" s="126"/>
      <c r="H929" s="126"/>
      <c r="I929" s="126"/>
      <c r="J929" s="126"/>
      <c r="K929" s="127"/>
      <c r="L929" s="128"/>
      <c r="M929" s="129"/>
      <c r="N929" s="95"/>
      <c r="O929" s="95"/>
      <c r="P929" s="130"/>
    </row>
    <row r="930" spans="2:16" s="89" customFormat="1" ht="12.75">
      <c r="B930" s="125"/>
      <c r="C930" s="126"/>
      <c r="D930" s="126"/>
      <c r="E930" s="126"/>
      <c r="F930" s="126"/>
      <c r="G930" s="126"/>
      <c r="H930" s="126"/>
      <c r="I930" s="126"/>
      <c r="J930" s="126"/>
      <c r="K930" s="127"/>
      <c r="L930" s="128"/>
      <c r="M930" s="129"/>
      <c r="N930" s="95"/>
      <c r="O930" s="95"/>
      <c r="P930" s="130"/>
    </row>
    <row r="931" spans="2:16" s="89" customFormat="1" ht="12.75">
      <c r="B931" s="125"/>
      <c r="C931" s="126"/>
      <c r="D931" s="126"/>
      <c r="E931" s="126"/>
      <c r="F931" s="126"/>
      <c r="G931" s="126"/>
      <c r="H931" s="126"/>
      <c r="I931" s="126"/>
      <c r="J931" s="126"/>
      <c r="K931" s="127"/>
      <c r="L931" s="128"/>
      <c r="M931" s="129"/>
      <c r="N931" s="95"/>
      <c r="O931" s="95"/>
      <c r="P931" s="130"/>
    </row>
    <row r="932" spans="2:16" s="89" customFormat="1" ht="12.75">
      <c r="B932" s="125"/>
      <c r="C932" s="126"/>
      <c r="D932" s="126"/>
      <c r="E932" s="126"/>
      <c r="F932" s="126"/>
      <c r="G932" s="126"/>
      <c r="H932" s="126"/>
      <c r="I932" s="126"/>
      <c r="J932" s="126"/>
      <c r="K932" s="127"/>
      <c r="L932" s="128"/>
      <c r="M932" s="129"/>
      <c r="N932" s="95"/>
      <c r="O932" s="95"/>
      <c r="P932" s="130"/>
    </row>
    <row r="933" spans="2:16" s="89" customFormat="1" ht="12.75">
      <c r="B933" s="125"/>
      <c r="C933" s="126"/>
      <c r="D933" s="126"/>
      <c r="E933" s="126"/>
      <c r="F933" s="126"/>
      <c r="G933" s="126"/>
      <c r="H933" s="126"/>
      <c r="I933" s="126"/>
      <c r="J933" s="126"/>
      <c r="K933" s="127"/>
      <c r="L933" s="128"/>
      <c r="M933" s="129"/>
      <c r="N933" s="95"/>
      <c r="O933" s="95"/>
      <c r="P933" s="130"/>
    </row>
    <row r="934" spans="2:16" s="89" customFormat="1" ht="12.75">
      <c r="B934" s="125"/>
      <c r="C934" s="126"/>
      <c r="D934" s="126"/>
      <c r="E934" s="126"/>
      <c r="F934" s="126"/>
      <c r="G934" s="126"/>
      <c r="H934" s="126"/>
      <c r="I934" s="126"/>
      <c r="J934" s="126"/>
      <c r="K934" s="127"/>
      <c r="L934" s="128"/>
      <c r="M934" s="129"/>
      <c r="N934" s="95"/>
      <c r="O934" s="95"/>
      <c r="P934" s="130"/>
    </row>
    <row r="935" spans="2:16" s="89" customFormat="1" ht="12.75">
      <c r="B935" s="125"/>
      <c r="C935" s="126"/>
      <c r="D935" s="126"/>
      <c r="E935" s="126"/>
      <c r="F935" s="126"/>
      <c r="G935" s="126"/>
      <c r="H935" s="126"/>
      <c r="I935" s="126"/>
      <c r="J935" s="126"/>
      <c r="K935" s="127"/>
      <c r="L935" s="128"/>
      <c r="M935" s="129"/>
      <c r="N935" s="95"/>
      <c r="O935" s="95"/>
      <c r="P935" s="130"/>
    </row>
    <row r="936" spans="2:16" s="89" customFormat="1" ht="12.75">
      <c r="B936" s="125"/>
      <c r="C936" s="126"/>
      <c r="D936" s="126"/>
      <c r="E936" s="126"/>
      <c r="F936" s="126"/>
      <c r="G936" s="126"/>
      <c r="H936" s="126"/>
      <c r="I936" s="126"/>
      <c r="J936" s="126"/>
      <c r="K936" s="127"/>
      <c r="L936" s="128"/>
      <c r="M936" s="129"/>
      <c r="N936" s="95"/>
      <c r="O936" s="95"/>
      <c r="P936" s="130"/>
    </row>
    <row r="937" spans="2:16" s="89" customFormat="1" ht="12.75">
      <c r="B937" s="125"/>
      <c r="C937" s="126"/>
      <c r="D937" s="126"/>
      <c r="E937" s="126"/>
      <c r="F937" s="126"/>
      <c r="G937" s="126"/>
      <c r="H937" s="126"/>
      <c r="I937" s="126"/>
      <c r="J937" s="126"/>
      <c r="K937" s="127"/>
      <c r="L937" s="128"/>
      <c r="M937" s="129"/>
      <c r="N937" s="95"/>
      <c r="O937" s="95"/>
      <c r="P937" s="130"/>
    </row>
    <row r="938" spans="2:16" s="89" customFormat="1" ht="12.75">
      <c r="B938" s="125"/>
      <c r="C938" s="126"/>
      <c r="D938" s="126"/>
      <c r="E938" s="126"/>
      <c r="F938" s="126"/>
      <c r="G938" s="126"/>
      <c r="H938" s="126"/>
      <c r="I938" s="126"/>
      <c r="J938" s="126"/>
      <c r="K938" s="127"/>
      <c r="L938" s="128"/>
      <c r="M938" s="129"/>
      <c r="N938" s="95"/>
      <c r="O938" s="95"/>
      <c r="P938" s="130"/>
    </row>
    <row r="939" spans="2:16" s="89" customFormat="1" ht="12.75">
      <c r="B939" s="125"/>
      <c r="C939" s="126"/>
      <c r="D939" s="126"/>
      <c r="E939" s="126"/>
      <c r="F939" s="126"/>
      <c r="G939" s="126"/>
      <c r="H939" s="126"/>
      <c r="I939" s="126"/>
      <c r="J939" s="126"/>
      <c r="K939" s="127"/>
      <c r="L939" s="128"/>
      <c r="M939" s="129"/>
      <c r="N939" s="95"/>
      <c r="O939" s="95"/>
      <c r="P939" s="130"/>
    </row>
    <row r="940" spans="2:16" s="89" customFormat="1" ht="12.75">
      <c r="B940" s="125"/>
      <c r="C940" s="126"/>
      <c r="D940" s="126"/>
      <c r="E940" s="126"/>
      <c r="F940" s="126"/>
      <c r="G940" s="126"/>
      <c r="H940" s="126"/>
      <c r="I940" s="126"/>
      <c r="J940" s="126"/>
      <c r="K940" s="127"/>
      <c r="L940" s="128"/>
      <c r="M940" s="129"/>
      <c r="N940" s="95"/>
      <c r="O940" s="95"/>
      <c r="P940" s="130"/>
    </row>
    <row r="941" spans="2:16" s="89" customFormat="1" ht="12.75">
      <c r="B941" s="125"/>
      <c r="C941" s="126"/>
      <c r="D941" s="126"/>
      <c r="E941" s="126"/>
      <c r="F941" s="126"/>
      <c r="G941" s="126"/>
      <c r="H941" s="126"/>
      <c r="I941" s="126"/>
      <c r="J941" s="126"/>
      <c r="K941" s="127"/>
      <c r="L941" s="128"/>
      <c r="M941" s="129"/>
      <c r="N941" s="95"/>
      <c r="O941" s="95"/>
      <c r="P941" s="130"/>
    </row>
    <row r="942" spans="2:16" s="89" customFormat="1" ht="12.75">
      <c r="B942" s="125"/>
      <c r="C942" s="126"/>
      <c r="D942" s="126"/>
      <c r="E942" s="126"/>
      <c r="F942" s="126"/>
      <c r="G942" s="126"/>
      <c r="H942" s="126"/>
      <c r="I942" s="126"/>
      <c r="J942" s="126"/>
      <c r="K942" s="127"/>
      <c r="L942" s="128"/>
      <c r="M942" s="129"/>
      <c r="N942" s="95"/>
      <c r="O942" s="95"/>
      <c r="P942" s="130"/>
    </row>
    <row r="943" spans="2:16" s="89" customFormat="1" ht="12.75">
      <c r="B943" s="125"/>
      <c r="C943" s="126"/>
      <c r="D943" s="126"/>
      <c r="E943" s="126"/>
      <c r="F943" s="126"/>
      <c r="G943" s="126"/>
      <c r="H943" s="126"/>
      <c r="I943" s="126"/>
      <c r="J943" s="126"/>
      <c r="K943" s="127"/>
      <c r="L943" s="128"/>
      <c r="M943" s="129"/>
      <c r="N943" s="95"/>
      <c r="O943" s="95"/>
      <c r="P943" s="130"/>
    </row>
    <row r="944" spans="2:16" s="89" customFormat="1" ht="12.75">
      <c r="B944" s="125"/>
      <c r="C944" s="126"/>
      <c r="D944" s="126"/>
      <c r="E944" s="126"/>
      <c r="F944" s="126"/>
      <c r="G944" s="126"/>
      <c r="H944" s="126"/>
      <c r="I944" s="126"/>
      <c r="J944" s="126"/>
      <c r="K944" s="127"/>
      <c r="L944" s="128"/>
      <c r="M944" s="129"/>
      <c r="N944" s="95"/>
      <c r="O944" s="95"/>
      <c r="P944" s="130"/>
    </row>
    <row r="945" spans="2:16" s="89" customFormat="1" ht="12.75">
      <c r="B945" s="125"/>
      <c r="C945" s="126"/>
      <c r="D945" s="126"/>
      <c r="E945" s="126"/>
      <c r="F945" s="126"/>
      <c r="G945" s="126"/>
      <c r="H945" s="126"/>
      <c r="I945" s="126"/>
      <c r="J945" s="126"/>
      <c r="K945" s="127"/>
      <c r="L945" s="128"/>
      <c r="M945" s="129"/>
      <c r="N945" s="95"/>
      <c r="O945" s="95"/>
      <c r="P945" s="130"/>
    </row>
    <row r="946" spans="2:16" s="89" customFormat="1" ht="12.75">
      <c r="B946" s="125"/>
      <c r="C946" s="126"/>
      <c r="D946" s="126"/>
      <c r="E946" s="126"/>
      <c r="F946" s="126"/>
      <c r="G946" s="126"/>
      <c r="H946" s="126"/>
      <c r="I946" s="126"/>
      <c r="J946" s="126"/>
      <c r="K946" s="127"/>
      <c r="L946" s="128"/>
      <c r="M946" s="129"/>
      <c r="N946" s="95"/>
      <c r="O946" s="95"/>
      <c r="P946" s="130"/>
    </row>
    <row r="947" spans="2:16" s="89" customFormat="1" ht="12.75">
      <c r="B947" s="125"/>
      <c r="C947" s="126"/>
      <c r="D947" s="126"/>
      <c r="E947" s="126"/>
      <c r="F947" s="126"/>
      <c r="G947" s="126"/>
      <c r="H947" s="126"/>
      <c r="I947" s="126"/>
      <c r="J947" s="126"/>
      <c r="K947" s="127"/>
      <c r="L947" s="128"/>
      <c r="M947" s="129"/>
      <c r="N947" s="95"/>
      <c r="O947" s="95"/>
      <c r="P947" s="130"/>
    </row>
    <row r="948" spans="2:16" s="89" customFormat="1" ht="12.75">
      <c r="B948" s="125"/>
      <c r="C948" s="126"/>
      <c r="D948" s="126"/>
      <c r="E948" s="126"/>
      <c r="F948" s="126"/>
      <c r="G948" s="126"/>
      <c r="H948" s="126"/>
      <c r="I948" s="126"/>
      <c r="J948" s="126"/>
      <c r="K948" s="127"/>
      <c r="L948" s="128"/>
      <c r="M948" s="129"/>
      <c r="N948" s="95"/>
      <c r="O948" s="95"/>
      <c r="P948" s="130"/>
    </row>
    <row r="949" spans="2:16" s="89" customFormat="1" ht="12.75">
      <c r="B949" s="125"/>
      <c r="C949" s="126"/>
      <c r="D949" s="126"/>
      <c r="E949" s="126"/>
      <c r="F949" s="126"/>
      <c r="G949" s="126"/>
      <c r="H949" s="126"/>
      <c r="I949" s="126"/>
      <c r="J949" s="126"/>
      <c r="K949" s="127"/>
      <c r="L949" s="128"/>
      <c r="M949" s="129"/>
      <c r="N949" s="95"/>
      <c r="O949" s="95"/>
      <c r="P949" s="130"/>
    </row>
    <row r="950" spans="2:16" s="89" customFormat="1" ht="12.75">
      <c r="B950" s="125"/>
      <c r="C950" s="126"/>
      <c r="D950" s="126"/>
      <c r="E950" s="126"/>
      <c r="F950" s="126"/>
      <c r="G950" s="126"/>
      <c r="H950" s="126"/>
      <c r="I950" s="126"/>
      <c r="J950" s="126"/>
      <c r="K950" s="127"/>
      <c r="L950" s="128"/>
      <c r="M950" s="129"/>
      <c r="N950" s="95"/>
      <c r="O950" s="95"/>
      <c r="P950" s="130"/>
    </row>
    <row r="951" spans="2:16" s="89" customFormat="1" ht="12.75">
      <c r="B951" s="125"/>
      <c r="C951" s="126"/>
      <c r="D951" s="126"/>
      <c r="E951" s="126"/>
      <c r="F951" s="126"/>
      <c r="G951" s="126"/>
      <c r="H951" s="126"/>
      <c r="I951" s="126"/>
      <c r="J951" s="126"/>
      <c r="K951" s="127"/>
      <c r="L951" s="128"/>
      <c r="M951" s="129"/>
      <c r="N951" s="95"/>
      <c r="O951" s="95"/>
      <c r="P951" s="130"/>
    </row>
    <row r="952" spans="2:16" s="89" customFormat="1" ht="12.75">
      <c r="B952" s="125"/>
      <c r="C952" s="126"/>
      <c r="D952" s="126"/>
      <c r="E952" s="126"/>
      <c r="F952" s="126"/>
      <c r="G952" s="126"/>
      <c r="H952" s="126"/>
      <c r="I952" s="126"/>
      <c r="J952" s="126"/>
      <c r="K952" s="127"/>
      <c r="L952" s="128"/>
      <c r="M952" s="129"/>
      <c r="N952" s="95"/>
      <c r="O952" s="95"/>
      <c r="P952" s="130"/>
    </row>
    <row r="953" spans="2:16" s="89" customFormat="1" ht="12.75">
      <c r="B953" s="125"/>
      <c r="C953" s="126"/>
      <c r="D953" s="126"/>
      <c r="E953" s="126"/>
      <c r="F953" s="126"/>
      <c r="G953" s="126"/>
      <c r="H953" s="126"/>
      <c r="I953" s="126"/>
      <c r="J953" s="126"/>
      <c r="K953" s="127"/>
      <c r="L953" s="128"/>
      <c r="M953" s="129"/>
      <c r="N953" s="95"/>
      <c r="O953" s="95"/>
      <c r="P953" s="130"/>
    </row>
    <row r="954" spans="2:16" s="89" customFormat="1" ht="12.75">
      <c r="B954" s="125"/>
      <c r="C954" s="126"/>
      <c r="D954" s="126"/>
      <c r="E954" s="126"/>
      <c r="F954" s="126"/>
      <c r="G954" s="126"/>
      <c r="H954" s="126"/>
      <c r="I954" s="126"/>
      <c r="J954" s="126"/>
      <c r="K954" s="127"/>
      <c r="L954" s="128"/>
      <c r="M954" s="129"/>
      <c r="N954" s="95"/>
      <c r="O954" s="95"/>
      <c r="P954" s="130"/>
    </row>
    <row r="955" spans="2:16" s="89" customFormat="1" ht="12.75">
      <c r="B955" s="125"/>
      <c r="C955" s="126"/>
      <c r="D955" s="126"/>
      <c r="E955" s="126"/>
      <c r="F955" s="126"/>
      <c r="G955" s="126"/>
      <c r="H955" s="126"/>
      <c r="I955" s="126"/>
      <c r="J955" s="126"/>
      <c r="K955" s="127"/>
      <c r="L955" s="128"/>
      <c r="M955" s="129"/>
      <c r="N955" s="95"/>
      <c r="O955" s="95"/>
      <c r="P955" s="130"/>
    </row>
    <row r="956" spans="2:16" s="89" customFormat="1" ht="12.75">
      <c r="B956" s="125"/>
      <c r="C956" s="126"/>
      <c r="D956" s="126"/>
      <c r="E956" s="126"/>
      <c r="F956" s="126"/>
      <c r="G956" s="126"/>
      <c r="H956" s="126"/>
      <c r="I956" s="126"/>
      <c r="J956" s="126"/>
      <c r="K956" s="127"/>
      <c r="L956" s="128"/>
      <c r="M956" s="129"/>
      <c r="N956" s="95"/>
      <c r="O956" s="95"/>
      <c r="P956" s="130"/>
    </row>
    <row r="957" spans="2:16" s="89" customFormat="1" ht="12.75">
      <c r="B957" s="125"/>
      <c r="C957" s="126"/>
      <c r="D957" s="126"/>
      <c r="E957" s="126"/>
      <c r="F957" s="126"/>
      <c r="G957" s="126"/>
      <c r="H957" s="126"/>
      <c r="I957" s="126"/>
      <c r="J957" s="126"/>
      <c r="K957" s="127"/>
      <c r="L957" s="128"/>
      <c r="M957" s="129"/>
      <c r="N957" s="95"/>
      <c r="O957" s="95"/>
      <c r="P957" s="130"/>
    </row>
    <row r="958" spans="2:16" s="89" customFormat="1" ht="12.75">
      <c r="B958" s="125"/>
      <c r="C958" s="126"/>
      <c r="D958" s="126"/>
      <c r="E958" s="126"/>
      <c r="F958" s="126"/>
      <c r="G958" s="126"/>
      <c r="H958" s="126"/>
      <c r="I958" s="126"/>
      <c r="J958" s="126"/>
      <c r="K958" s="127"/>
      <c r="L958" s="128"/>
      <c r="M958" s="129"/>
      <c r="N958" s="95"/>
      <c r="O958" s="95"/>
      <c r="P958" s="130"/>
    </row>
    <row r="959" spans="2:16" s="89" customFormat="1" ht="12.75">
      <c r="B959" s="125"/>
      <c r="C959" s="126"/>
      <c r="D959" s="126"/>
      <c r="E959" s="126"/>
      <c r="F959" s="126"/>
      <c r="G959" s="126"/>
      <c r="H959" s="126"/>
      <c r="I959" s="126"/>
      <c r="J959" s="126"/>
      <c r="K959" s="127"/>
      <c r="L959" s="128"/>
      <c r="M959" s="129"/>
      <c r="N959" s="95"/>
      <c r="O959" s="95"/>
      <c r="P959" s="130"/>
    </row>
    <row r="960" spans="2:16" s="89" customFormat="1" ht="12.75">
      <c r="B960" s="125"/>
      <c r="C960" s="126"/>
      <c r="D960" s="126"/>
      <c r="E960" s="126"/>
      <c r="F960" s="126"/>
      <c r="G960" s="126"/>
      <c r="H960" s="126"/>
      <c r="I960" s="126"/>
      <c r="J960" s="126"/>
      <c r="K960" s="127"/>
      <c r="L960" s="128"/>
      <c r="M960" s="129"/>
      <c r="N960" s="95"/>
      <c r="O960" s="95"/>
      <c r="P960" s="130"/>
    </row>
    <row r="961" spans="2:16" s="89" customFormat="1" ht="12.75">
      <c r="B961" s="125"/>
      <c r="C961" s="126"/>
      <c r="D961" s="126"/>
      <c r="E961" s="126"/>
      <c r="F961" s="126"/>
      <c r="G961" s="126"/>
      <c r="H961" s="126"/>
      <c r="I961" s="126"/>
      <c r="J961" s="126"/>
      <c r="K961" s="127"/>
      <c r="L961" s="128"/>
      <c r="M961" s="129"/>
      <c r="N961" s="95"/>
      <c r="O961" s="95"/>
      <c r="P961" s="130"/>
    </row>
    <row r="962" spans="2:16" s="89" customFormat="1" ht="12.75">
      <c r="B962" s="125"/>
      <c r="C962" s="126"/>
      <c r="D962" s="126"/>
      <c r="E962" s="126"/>
      <c r="F962" s="126"/>
      <c r="G962" s="126"/>
      <c r="H962" s="126"/>
      <c r="I962" s="126"/>
      <c r="J962" s="126"/>
      <c r="K962" s="127"/>
      <c r="L962" s="128"/>
      <c r="M962" s="129"/>
      <c r="N962" s="95"/>
      <c r="O962" s="95"/>
      <c r="P962" s="130"/>
    </row>
    <row r="963" spans="2:16" s="89" customFormat="1" ht="12.75">
      <c r="B963" s="125"/>
      <c r="C963" s="126"/>
      <c r="D963" s="126"/>
      <c r="E963" s="126"/>
      <c r="F963" s="126"/>
      <c r="G963" s="126"/>
      <c r="H963" s="126"/>
      <c r="I963" s="126"/>
      <c r="J963" s="126"/>
      <c r="K963" s="127"/>
      <c r="L963" s="128"/>
      <c r="M963" s="129"/>
      <c r="N963" s="95"/>
      <c r="O963" s="95"/>
      <c r="P963" s="130"/>
    </row>
    <row r="964" spans="2:16" s="89" customFormat="1" ht="12.75">
      <c r="B964" s="125"/>
      <c r="C964" s="126"/>
      <c r="D964" s="126"/>
      <c r="E964" s="126"/>
      <c r="F964" s="126"/>
      <c r="G964" s="126"/>
      <c r="H964" s="126"/>
      <c r="I964" s="126"/>
      <c r="J964" s="126"/>
      <c r="K964" s="127"/>
      <c r="L964" s="128"/>
      <c r="M964" s="129"/>
      <c r="N964" s="95"/>
      <c r="O964" s="95"/>
      <c r="P964" s="130"/>
    </row>
    <row r="965" spans="2:16" s="89" customFormat="1" ht="12.75">
      <c r="B965" s="125"/>
      <c r="C965" s="126"/>
      <c r="D965" s="126"/>
      <c r="E965" s="126"/>
      <c r="F965" s="126"/>
      <c r="G965" s="126"/>
      <c r="H965" s="126"/>
      <c r="I965" s="126"/>
      <c r="J965" s="126"/>
      <c r="K965" s="127"/>
      <c r="L965" s="128"/>
      <c r="M965" s="129"/>
      <c r="N965" s="95"/>
      <c r="O965" s="95"/>
      <c r="P965" s="130"/>
    </row>
    <row r="966" spans="2:16" s="89" customFormat="1" ht="12.75">
      <c r="B966" s="125"/>
      <c r="C966" s="126"/>
      <c r="D966" s="126"/>
      <c r="E966" s="126"/>
      <c r="F966" s="126"/>
      <c r="G966" s="126"/>
      <c r="H966" s="126"/>
      <c r="I966" s="126"/>
      <c r="J966" s="126"/>
      <c r="K966" s="127"/>
      <c r="L966" s="128"/>
      <c r="M966" s="129"/>
      <c r="N966" s="95"/>
      <c r="O966" s="95"/>
      <c r="P966" s="130"/>
    </row>
    <row r="967" spans="2:16" s="89" customFormat="1" ht="12.75">
      <c r="B967" s="125"/>
      <c r="C967" s="126"/>
      <c r="D967" s="126"/>
      <c r="E967" s="126"/>
      <c r="F967" s="126"/>
      <c r="G967" s="126"/>
      <c r="H967" s="126"/>
      <c r="I967" s="126"/>
      <c r="J967" s="126"/>
      <c r="K967" s="127"/>
      <c r="L967" s="128"/>
      <c r="M967" s="129"/>
      <c r="N967" s="95"/>
      <c r="O967" s="95"/>
      <c r="P967" s="130"/>
    </row>
    <row r="968" spans="2:16" s="89" customFormat="1" ht="12.75">
      <c r="B968" s="125"/>
      <c r="C968" s="126"/>
      <c r="D968" s="126"/>
      <c r="E968" s="126"/>
      <c r="F968" s="126"/>
      <c r="G968" s="126"/>
      <c r="H968" s="126"/>
      <c r="I968" s="126"/>
      <c r="J968" s="126"/>
      <c r="K968" s="127"/>
      <c r="L968" s="128"/>
      <c r="M968" s="129"/>
      <c r="N968" s="95"/>
      <c r="O968" s="95"/>
      <c r="P968" s="130"/>
    </row>
    <row r="969" spans="2:16" s="89" customFormat="1" ht="12.75">
      <c r="B969" s="125"/>
      <c r="C969" s="126"/>
      <c r="D969" s="126"/>
      <c r="E969" s="126"/>
      <c r="F969" s="126"/>
      <c r="G969" s="126"/>
      <c r="H969" s="126"/>
      <c r="I969" s="126"/>
      <c r="J969" s="126"/>
      <c r="K969" s="127"/>
      <c r="L969" s="128"/>
      <c r="M969" s="129"/>
      <c r="N969" s="95"/>
      <c r="O969" s="95"/>
      <c r="P969" s="130"/>
    </row>
    <row r="970" spans="2:16" s="89" customFormat="1" ht="12.75">
      <c r="B970" s="125"/>
      <c r="C970" s="126"/>
      <c r="D970" s="126"/>
      <c r="E970" s="126"/>
      <c r="F970" s="126"/>
      <c r="G970" s="126"/>
      <c r="H970" s="126"/>
      <c r="I970" s="126"/>
      <c r="J970" s="126"/>
      <c r="K970" s="127"/>
      <c r="L970" s="128"/>
      <c r="M970" s="129"/>
      <c r="N970" s="95"/>
      <c r="O970" s="95"/>
      <c r="P970" s="130"/>
    </row>
    <row r="971" spans="2:16" s="89" customFormat="1" ht="12.75">
      <c r="B971" s="125"/>
      <c r="C971" s="126"/>
      <c r="D971" s="126"/>
      <c r="E971" s="126"/>
      <c r="F971" s="126"/>
      <c r="G971" s="126"/>
      <c r="H971" s="126"/>
      <c r="I971" s="126"/>
      <c r="J971" s="126"/>
      <c r="K971" s="127"/>
      <c r="L971" s="128"/>
      <c r="M971" s="129"/>
      <c r="N971" s="95"/>
      <c r="O971" s="95"/>
      <c r="P971" s="130"/>
    </row>
    <row r="972" spans="2:16" s="89" customFormat="1" ht="12.75">
      <c r="B972" s="125"/>
      <c r="C972" s="126"/>
      <c r="D972" s="126"/>
      <c r="E972" s="126"/>
      <c r="F972" s="126"/>
      <c r="G972" s="126"/>
      <c r="H972" s="126"/>
      <c r="I972" s="126"/>
      <c r="J972" s="126"/>
      <c r="K972" s="127"/>
      <c r="L972" s="128"/>
      <c r="M972" s="129"/>
      <c r="N972" s="95"/>
      <c r="O972" s="95"/>
      <c r="P972" s="130"/>
    </row>
    <row r="973" spans="2:16" s="89" customFormat="1" ht="12.75">
      <c r="B973" s="125"/>
      <c r="C973" s="126"/>
      <c r="D973" s="126"/>
      <c r="E973" s="126"/>
      <c r="F973" s="126"/>
      <c r="G973" s="126"/>
      <c r="H973" s="126"/>
      <c r="I973" s="126"/>
      <c r="J973" s="126"/>
      <c r="K973" s="127"/>
      <c r="L973" s="128"/>
      <c r="M973" s="129"/>
      <c r="N973" s="95"/>
      <c r="O973" s="95"/>
      <c r="P973" s="130"/>
    </row>
    <row r="974" spans="2:16" s="89" customFormat="1" ht="12.75">
      <c r="B974" s="125"/>
      <c r="C974" s="126"/>
      <c r="D974" s="126"/>
      <c r="E974" s="126"/>
      <c r="F974" s="126"/>
      <c r="G974" s="126"/>
      <c r="H974" s="126"/>
      <c r="I974" s="126"/>
      <c r="J974" s="126"/>
      <c r="K974" s="127"/>
      <c r="L974" s="128"/>
      <c r="M974" s="129"/>
      <c r="N974" s="95"/>
      <c r="O974" s="95"/>
      <c r="P974" s="130"/>
    </row>
    <row r="975" spans="2:16" s="89" customFormat="1" ht="12.75">
      <c r="B975" s="125"/>
      <c r="C975" s="126"/>
      <c r="D975" s="126"/>
      <c r="E975" s="126"/>
      <c r="F975" s="126"/>
      <c r="G975" s="126"/>
      <c r="H975" s="126"/>
      <c r="I975" s="126"/>
      <c r="J975" s="126"/>
      <c r="K975" s="127"/>
      <c r="L975" s="128"/>
      <c r="M975" s="129"/>
      <c r="N975" s="95"/>
      <c r="O975" s="95"/>
      <c r="P975" s="130"/>
    </row>
    <row r="976" spans="2:16" s="89" customFormat="1" ht="12.75">
      <c r="B976" s="125"/>
      <c r="C976" s="126"/>
      <c r="D976" s="126"/>
      <c r="E976" s="126"/>
      <c r="F976" s="126"/>
      <c r="G976" s="126"/>
      <c r="H976" s="126"/>
      <c r="I976" s="126"/>
      <c r="J976" s="126"/>
      <c r="K976" s="127"/>
      <c r="L976" s="128"/>
      <c r="M976" s="129"/>
      <c r="N976" s="95"/>
      <c r="O976" s="95"/>
      <c r="P976" s="130"/>
    </row>
    <row r="977" spans="2:16" s="89" customFormat="1" ht="12.75">
      <c r="B977" s="125"/>
      <c r="C977" s="126"/>
      <c r="D977" s="126"/>
      <c r="E977" s="126"/>
      <c r="F977" s="126"/>
      <c r="G977" s="126"/>
      <c r="H977" s="126"/>
      <c r="I977" s="126"/>
      <c r="J977" s="126"/>
      <c r="K977" s="127"/>
      <c r="L977" s="128"/>
      <c r="M977" s="129"/>
      <c r="N977" s="95"/>
      <c r="O977" s="95"/>
      <c r="P977" s="130"/>
    </row>
    <row r="978" spans="2:16" s="89" customFormat="1" ht="12.75">
      <c r="B978" s="125"/>
      <c r="C978" s="126"/>
      <c r="D978" s="126"/>
      <c r="E978" s="126"/>
      <c r="F978" s="126"/>
      <c r="G978" s="126"/>
      <c r="H978" s="126"/>
      <c r="I978" s="126"/>
      <c r="J978" s="126"/>
      <c r="K978" s="127"/>
      <c r="L978" s="128"/>
      <c r="M978" s="129"/>
      <c r="N978" s="95"/>
      <c r="O978" s="95"/>
      <c r="P978" s="130"/>
    </row>
    <row r="979" spans="2:16" s="89" customFormat="1" ht="12.75">
      <c r="B979" s="125"/>
      <c r="C979" s="126"/>
      <c r="D979" s="126"/>
      <c r="E979" s="126"/>
      <c r="F979" s="126"/>
      <c r="G979" s="126"/>
      <c r="H979" s="126"/>
      <c r="I979" s="126"/>
      <c r="J979" s="126"/>
      <c r="K979" s="127"/>
      <c r="L979" s="128"/>
      <c r="M979" s="129"/>
      <c r="N979" s="95"/>
      <c r="O979" s="95"/>
      <c r="P979" s="130"/>
    </row>
    <row r="980" spans="2:16" s="89" customFormat="1" ht="12.75">
      <c r="B980" s="125"/>
      <c r="C980" s="126"/>
      <c r="D980" s="126"/>
      <c r="E980" s="126"/>
      <c r="F980" s="126"/>
      <c r="G980" s="126"/>
      <c r="H980" s="126"/>
      <c r="I980" s="126"/>
      <c r="J980" s="126"/>
      <c r="K980" s="127"/>
      <c r="L980" s="128"/>
      <c r="M980" s="129"/>
      <c r="N980" s="95"/>
      <c r="O980" s="95"/>
      <c r="P980" s="130"/>
    </row>
    <row r="981" spans="2:16" s="89" customFormat="1" ht="12.75">
      <c r="B981" s="125"/>
      <c r="C981" s="126"/>
      <c r="D981" s="126"/>
      <c r="E981" s="126"/>
      <c r="F981" s="126"/>
      <c r="G981" s="126"/>
      <c r="H981" s="126"/>
      <c r="I981" s="126"/>
      <c r="J981" s="126"/>
      <c r="K981" s="127"/>
      <c r="L981" s="128"/>
      <c r="M981" s="129"/>
      <c r="N981" s="95"/>
      <c r="O981" s="95"/>
      <c r="P981" s="130"/>
    </row>
    <row r="982" spans="2:16" s="89" customFormat="1" ht="12.75">
      <c r="B982" s="125"/>
      <c r="C982" s="126"/>
      <c r="D982" s="126"/>
      <c r="E982" s="126"/>
      <c r="F982" s="126"/>
      <c r="G982" s="126"/>
      <c r="H982" s="126"/>
      <c r="I982" s="126"/>
      <c r="J982" s="126"/>
      <c r="K982" s="127"/>
      <c r="L982" s="128"/>
      <c r="M982" s="129"/>
      <c r="N982" s="95"/>
      <c r="O982" s="95"/>
      <c r="P982" s="130"/>
    </row>
    <row r="983" spans="2:16" s="89" customFormat="1" ht="12.75">
      <c r="B983" s="125"/>
      <c r="C983" s="126"/>
      <c r="D983" s="126"/>
      <c r="E983" s="126"/>
      <c r="F983" s="126"/>
      <c r="G983" s="126"/>
      <c r="H983" s="126"/>
      <c r="I983" s="126"/>
      <c r="J983" s="126"/>
      <c r="K983" s="127"/>
      <c r="L983" s="128"/>
      <c r="M983" s="129"/>
      <c r="N983" s="95"/>
      <c r="O983" s="95"/>
      <c r="P983" s="130"/>
    </row>
    <row r="984" spans="2:16" s="89" customFormat="1" ht="12.75">
      <c r="B984" s="125"/>
      <c r="C984" s="126"/>
      <c r="D984" s="126"/>
      <c r="E984" s="126"/>
      <c r="F984" s="126"/>
      <c r="G984" s="126"/>
      <c r="H984" s="126"/>
      <c r="I984" s="126"/>
      <c r="J984" s="126"/>
      <c r="K984" s="127"/>
      <c r="L984" s="128"/>
      <c r="M984" s="129"/>
      <c r="N984" s="95"/>
      <c r="O984" s="95"/>
      <c r="P984" s="130"/>
    </row>
    <row r="985" spans="2:16" s="89" customFormat="1" ht="12.75">
      <c r="B985" s="125"/>
      <c r="C985" s="126"/>
      <c r="D985" s="126"/>
      <c r="E985" s="126"/>
      <c r="F985" s="126"/>
      <c r="G985" s="126"/>
      <c r="H985" s="126"/>
      <c r="I985" s="126"/>
      <c r="J985" s="126"/>
      <c r="K985" s="127"/>
      <c r="L985" s="128"/>
      <c r="M985" s="129"/>
      <c r="N985" s="95"/>
      <c r="O985" s="95"/>
      <c r="P985" s="130"/>
    </row>
    <row r="986" spans="2:16" s="89" customFormat="1" ht="12.75">
      <c r="B986" s="125"/>
      <c r="C986" s="126"/>
      <c r="D986" s="126"/>
      <c r="E986" s="126"/>
      <c r="F986" s="126"/>
      <c r="G986" s="126"/>
      <c r="H986" s="126"/>
      <c r="I986" s="126"/>
      <c r="J986" s="126"/>
      <c r="K986" s="127"/>
      <c r="L986" s="128"/>
      <c r="M986" s="129"/>
      <c r="N986" s="95"/>
      <c r="O986" s="95"/>
      <c r="P986" s="130"/>
    </row>
    <row r="987" spans="2:16" s="89" customFormat="1" ht="12.75">
      <c r="B987" s="125"/>
      <c r="C987" s="126"/>
      <c r="D987" s="126"/>
      <c r="E987" s="126"/>
      <c r="F987" s="126"/>
      <c r="G987" s="126"/>
      <c r="H987" s="126"/>
      <c r="I987" s="126"/>
      <c r="J987" s="126"/>
      <c r="K987" s="127"/>
      <c r="L987" s="128"/>
      <c r="M987" s="129"/>
      <c r="N987" s="95"/>
      <c r="O987" s="95"/>
      <c r="P987" s="130"/>
    </row>
    <row r="988" spans="2:16" s="89" customFormat="1" ht="12.75">
      <c r="B988" s="125"/>
      <c r="C988" s="126"/>
      <c r="D988" s="126"/>
      <c r="E988" s="126"/>
      <c r="F988" s="126"/>
      <c r="G988" s="126"/>
      <c r="H988" s="126"/>
      <c r="I988" s="126"/>
      <c r="J988" s="126"/>
      <c r="K988" s="127"/>
      <c r="L988" s="128"/>
      <c r="M988" s="129"/>
      <c r="N988" s="95"/>
      <c r="O988" s="95"/>
      <c r="P988" s="130"/>
    </row>
    <row r="989" spans="2:16" s="89" customFormat="1" ht="12.75">
      <c r="B989" s="125"/>
      <c r="C989" s="126"/>
      <c r="D989" s="126"/>
      <c r="E989" s="126"/>
      <c r="F989" s="126"/>
      <c r="G989" s="126"/>
      <c r="H989" s="126"/>
      <c r="I989" s="126"/>
      <c r="J989" s="126"/>
      <c r="K989" s="127"/>
      <c r="L989" s="128"/>
      <c r="M989" s="129"/>
      <c r="N989" s="95"/>
      <c r="O989" s="95"/>
      <c r="P989" s="130"/>
    </row>
    <row r="990" spans="2:16" s="89" customFormat="1" ht="12.75">
      <c r="B990" s="125"/>
      <c r="C990" s="126"/>
      <c r="D990" s="126"/>
      <c r="E990" s="126"/>
      <c r="F990" s="126"/>
      <c r="G990" s="126"/>
      <c r="H990" s="126"/>
      <c r="I990" s="126"/>
      <c r="J990" s="126"/>
      <c r="K990" s="127"/>
      <c r="L990" s="128"/>
      <c r="M990" s="129"/>
      <c r="N990" s="95"/>
      <c r="O990" s="95"/>
      <c r="P990" s="130"/>
    </row>
    <row r="991" spans="2:16" s="89" customFormat="1" ht="12.75">
      <c r="B991" s="125"/>
      <c r="C991" s="126"/>
      <c r="D991" s="126"/>
      <c r="E991" s="126"/>
      <c r="F991" s="126"/>
      <c r="G991" s="126"/>
      <c r="H991" s="126"/>
      <c r="I991" s="126"/>
      <c r="J991" s="126"/>
      <c r="K991" s="127"/>
      <c r="L991" s="128"/>
      <c r="M991" s="129"/>
      <c r="N991" s="95"/>
      <c r="O991" s="95"/>
      <c r="P991" s="130"/>
    </row>
    <row r="992" spans="2:16" s="89" customFormat="1" ht="12.75">
      <c r="B992" s="125"/>
      <c r="C992" s="126"/>
      <c r="D992" s="126"/>
      <c r="E992" s="126"/>
      <c r="F992" s="126"/>
      <c r="G992" s="126"/>
      <c r="H992" s="126"/>
      <c r="I992" s="126"/>
      <c r="J992" s="126"/>
      <c r="K992" s="127"/>
      <c r="L992" s="128"/>
      <c r="M992" s="129"/>
      <c r="N992" s="95"/>
      <c r="O992" s="95"/>
      <c r="P992" s="130"/>
    </row>
    <row r="993" spans="2:16" s="89" customFormat="1" ht="12.75">
      <c r="B993" s="125"/>
      <c r="C993" s="126"/>
      <c r="D993" s="126"/>
      <c r="E993" s="126"/>
      <c r="F993" s="126"/>
      <c r="G993" s="126"/>
      <c r="H993" s="126"/>
      <c r="I993" s="126"/>
      <c r="J993" s="126"/>
      <c r="K993" s="127"/>
      <c r="L993" s="128"/>
      <c r="M993" s="129"/>
      <c r="N993" s="95"/>
      <c r="O993" s="95"/>
      <c r="P993" s="130"/>
    </row>
    <row r="994" spans="2:16" s="89" customFormat="1" ht="12.75">
      <c r="B994" s="125"/>
      <c r="C994" s="126"/>
      <c r="D994" s="126"/>
      <c r="E994" s="126"/>
      <c r="F994" s="126"/>
      <c r="G994" s="126"/>
      <c r="H994" s="126"/>
      <c r="I994" s="126"/>
      <c r="J994" s="126"/>
      <c r="K994" s="127"/>
      <c r="L994" s="128"/>
      <c r="M994" s="129"/>
      <c r="N994" s="95"/>
      <c r="O994" s="95"/>
      <c r="P994" s="130"/>
    </row>
    <row r="995" spans="2:16" s="89" customFormat="1" ht="12.75">
      <c r="B995" s="125"/>
      <c r="C995" s="126"/>
      <c r="D995" s="126"/>
      <c r="E995" s="126"/>
      <c r="F995" s="126"/>
      <c r="G995" s="126"/>
      <c r="H995" s="126"/>
      <c r="I995" s="126"/>
      <c r="J995" s="126"/>
      <c r="K995" s="127"/>
      <c r="L995" s="128"/>
      <c r="M995" s="129"/>
      <c r="N995" s="95"/>
      <c r="O995" s="95"/>
      <c r="P995" s="130"/>
    </row>
    <row r="996" spans="2:16" s="89" customFormat="1" ht="12.75">
      <c r="B996" s="125"/>
      <c r="C996" s="126"/>
      <c r="D996" s="126"/>
      <c r="E996" s="126"/>
      <c r="F996" s="126"/>
      <c r="G996" s="126"/>
      <c r="H996" s="126"/>
      <c r="I996" s="126"/>
      <c r="J996" s="126"/>
      <c r="K996" s="127"/>
      <c r="L996" s="128"/>
      <c r="M996" s="129"/>
      <c r="N996" s="95"/>
      <c r="O996" s="95"/>
      <c r="P996" s="130"/>
    </row>
    <row r="997" spans="2:16" s="89" customFormat="1" ht="12.75">
      <c r="B997" s="125"/>
      <c r="C997" s="126"/>
      <c r="D997" s="126"/>
      <c r="E997" s="126"/>
      <c r="F997" s="126"/>
      <c r="G997" s="126"/>
      <c r="H997" s="126"/>
      <c r="I997" s="126"/>
      <c r="J997" s="126"/>
      <c r="K997" s="127"/>
      <c r="L997" s="128"/>
      <c r="M997" s="129"/>
      <c r="N997" s="95"/>
      <c r="O997" s="95"/>
      <c r="P997" s="130"/>
    </row>
    <row r="998" spans="2:16" s="89" customFormat="1" ht="12.75">
      <c r="B998" s="125"/>
      <c r="C998" s="126"/>
      <c r="D998" s="126"/>
      <c r="E998" s="126"/>
      <c r="F998" s="126"/>
      <c r="G998" s="126"/>
      <c r="H998" s="126"/>
      <c r="I998" s="126"/>
      <c r="J998" s="126"/>
      <c r="K998" s="127"/>
      <c r="L998" s="128"/>
      <c r="M998" s="129"/>
      <c r="N998" s="95"/>
      <c r="O998" s="95"/>
      <c r="P998" s="130"/>
    </row>
    <row r="999" spans="2:16" s="89" customFormat="1" ht="12.75">
      <c r="B999" s="125"/>
      <c r="C999" s="126"/>
      <c r="D999" s="126"/>
      <c r="E999" s="126"/>
      <c r="F999" s="126"/>
      <c r="G999" s="126"/>
      <c r="H999" s="126"/>
      <c r="I999" s="126"/>
      <c r="J999" s="126"/>
      <c r="K999" s="127"/>
      <c r="L999" s="128"/>
      <c r="M999" s="129"/>
      <c r="N999" s="95"/>
      <c r="O999" s="95"/>
      <c r="P999" s="130"/>
    </row>
    <row r="1000" spans="2:16" s="89" customFormat="1" ht="12.75">
      <c r="B1000" s="125"/>
      <c r="C1000" s="126"/>
      <c r="D1000" s="126"/>
      <c r="E1000" s="126"/>
      <c r="F1000" s="126"/>
      <c r="G1000" s="126"/>
      <c r="H1000" s="126"/>
      <c r="I1000" s="126"/>
      <c r="J1000" s="126"/>
      <c r="K1000" s="127"/>
      <c r="L1000" s="128"/>
      <c r="M1000" s="129"/>
      <c r="N1000" s="95"/>
      <c r="O1000" s="95"/>
      <c r="P1000" s="130"/>
    </row>
    <row r="1001" spans="2:16" s="89" customFormat="1" ht="12.75">
      <c r="B1001" s="125"/>
      <c r="C1001" s="126"/>
      <c r="D1001" s="126"/>
      <c r="E1001" s="126"/>
      <c r="F1001" s="126"/>
      <c r="G1001" s="126"/>
      <c r="H1001" s="126"/>
      <c r="I1001" s="126"/>
      <c r="J1001" s="126"/>
      <c r="K1001" s="127"/>
      <c r="L1001" s="128"/>
      <c r="M1001" s="129"/>
      <c r="N1001" s="95"/>
      <c r="O1001" s="95"/>
      <c r="P1001" s="130"/>
    </row>
    <row r="1002" spans="2:16" s="89" customFormat="1" ht="12.75">
      <c r="B1002" s="125"/>
      <c r="C1002" s="126"/>
      <c r="D1002" s="126"/>
      <c r="E1002" s="126"/>
      <c r="F1002" s="126"/>
      <c r="G1002" s="126"/>
      <c r="H1002" s="126"/>
      <c r="I1002" s="126"/>
      <c r="J1002" s="126"/>
      <c r="K1002" s="127"/>
      <c r="L1002" s="128"/>
      <c r="M1002" s="129"/>
      <c r="N1002" s="95"/>
      <c r="O1002" s="95"/>
      <c r="P1002" s="130"/>
    </row>
    <row r="1003" spans="2:16" s="89" customFormat="1" ht="12.75">
      <c r="B1003" s="125"/>
      <c r="C1003" s="126"/>
      <c r="D1003" s="126"/>
      <c r="E1003" s="126"/>
      <c r="F1003" s="126"/>
      <c r="G1003" s="126"/>
      <c r="H1003" s="126"/>
      <c r="I1003" s="126"/>
      <c r="J1003" s="126"/>
      <c r="K1003" s="127"/>
      <c r="L1003" s="128"/>
      <c r="M1003" s="129"/>
      <c r="N1003" s="95"/>
      <c r="O1003" s="95"/>
      <c r="P1003" s="130"/>
    </row>
    <row r="1004" spans="2:16" s="89" customFormat="1" ht="12.75">
      <c r="B1004" s="125"/>
      <c r="C1004" s="126"/>
      <c r="D1004" s="126"/>
      <c r="E1004" s="126"/>
      <c r="F1004" s="126"/>
      <c r="G1004" s="126"/>
      <c r="H1004" s="126"/>
      <c r="I1004" s="126"/>
      <c r="J1004" s="126"/>
      <c r="K1004" s="127"/>
      <c r="L1004" s="128"/>
      <c r="M1004" s="129"/>
      <c r="N1004" s="95"/>
      <c r="O1004" s="95"/>
      <c r="P1004" s="130"/>
    </row>
    <row r="1005" spans="2:16" s="89" customFormat="1" ht="12.75">
      <c r="B1005" s="125"/>
      <c r="C1005" s="126"/>
      <c r="D1005" s="126"/>
      <c r="E1005" s="126"/>
      <c r="F1005" s="126"/>
      <c r="G1005" s="126"/>
      <c r="H1005" s="126"/>
      <c r="I1005" s="126"/>
      <c r="J1005" s="126"/>
      <c r="K1005" s="127"/>
      <c r="L1005" s="128"/>
      <c r="M1005" s="129"/>
      <c r="N1005" s="95"/>
      <c r="O1005" s="95"/>
      <c r="P1005" s="130"/>
    </row>
    <row r="1006" spans="2:16" s="89" customFormat="1" ht="12.75">
      <c r="B1006" s="125"/>
      <c r="C1006" s="126"/>
      <c r="D1006" s="126"/>
      <c r="E1006" s="126"/>
      <c r="F1006" s="126"/>
      <c r="G1006" s="126"/>
      <c r="H1006" s="126"/>
      <c r="I1006" s="126"/>
      <c r="J1006" s="126"/>
      <c r="K1006" s="127"/>
      <c r="L1006" s="128"/>
      <c r="M1006" s="129"/>
      <c r="N1006" s="95"/>
      <c r="O1006" s="95"/>
      <c r="P1006" s="130"/>
    </row>
    <row r="1007" spans="2:16" s="89" customFormat="1" ht="12.75">
      <c r="B1007" s="125"/>
      <c r="C1007" s="126"/>
      <c r="D1007" s="126"/>
      <c r="E1007" s="126"/>
      <c r="F1007" s="126"/>
      <c r="G1007" s="126"/>
      <c r="H1007" s="126"/>
      <c r="I1007" s="126"/>
      <c r="J1007" s="126"/>
      <c r="K1007" s="127"/>
      <c r="L1007" s="128"/>
      <c r="M1007" s="129"/>
      <c r="N1007" s="95"/>
      <c r="O1007" s="95"/>
      <c r="P1007" s="130"/>
    </row>
    <row r="1008" spans="2:16" s="89" customFormat="1" ht="12.75">
      <c r="B1008" s="125"/>
      <c r="C1008" s="126"/>
      <c r="D1008" s="126"/>
      <c r="E1008" s="126"/>
      <c r="F1008" s="126"/>
      <c r="G1008" s="126"/>
      <c r="H1008" s="126"/>
      <c r="I1008" s="126"/>
      <c r="J1008" s="126"/>
      <c r="K1008" s="127"/>
      <c r="L1008" s="128"/>
      <c r="M1008" s="129"/>
      <c r="N1008" s="95"/>
      <c r="O1008" s="95"/>
      <c r="P1008" s="130"/>
    </row>
    <row r="1009" spans="2:16" s="89" customFormat="1" ht="12.75">
      <c r="B1009" s="125"/>
      <c r="C1009" s="126"/>
      <c r="D1009" s="126"/>
      <c r="E1009" s="126"/>
      <c r="F1009" s="126"/>
      <c r="G1009" s="126"/>
      <c r="H1009" s="126"/>
      <c r="I1009" s="126"/>
      <c r="J1009" s="126"/>
      <c r="K1009" s="127"/>
      <c r="L1009" s="128"/>
      <c r="M1009" s="129"/>
      <c r="N1009" s="95"/>
      <c r="O1009" s="95"/>
      <c r="P1009" s="130"/>
    </row>
    <row r="1010" spans="2:16" s="89" customFormat="1" ht="12.75">
      <c r="B1010" s="125"/>
      <c r="C1010" s="126"/>
      <c r="D1010" s="126"/>
      <c r="E1010" s="126"/>
      <c r="F1010" s="126"/>
      <c r="G1010" s="126"/>
      <c r="H1010" s="126"/>
      <c r="I1010" s="126"/>
      <c r="J1010" s="126"/>
      <c r="K1010" s="127"/>
      <c r="L1010" s="128"/>
      <c r="M1010" s="129"/>
      <c r="N1010" s="95"/>
      <c r="O1010" s="95"/>
      <c r="P1010" s="130"/>
    </row>
    <row r="1011" spans="2:16" s="89" customFormat="1" ht="12.75">
      <c r="B1011" s="125"/>
      <c r="C1011" s="126"/>
      <c r="D1011" s="126"/>
      <c r="E1011" s="126"/>
      <c r="F1011" s="126"/>
      <c r="G1011" s="126"/>
      <c r="H1011" s="126"/>
      <c r="I1011" s="126"/>
      <c r="J1011" s="126"/>
      <c r="K1011" s="127"/>
      <c r="L1011" s="128"/>
      <c r="M1011" s="129"/>
      <c r="N1011" s="95"/>
      <c r="O1011" s="95"/>
      <c r="P1011" s="130"/>
    </row>
    <row r="1012" spans="2:16" s="89" customFormat="1" ht="12.75">
      <c r="B1012" s="125"/>
      <c r="C1012" s="126"/>
      <c r="D1012" s="126"/>
      <c r="E1012" s="126"/>
      <c r="F1012" s="126"/>
      <c r="G1012" s="126"/>
      <c r="H1012" s="126"/>
      <c r="I1012" s="126"/>
      <c r="J1012" s="126"/>
      <c r="K1012" s="127"/>
      <c r="L1012" s="128"/>
      <c r="M1012" s="129"/>
      <c r="N1012" s="95"/>
      <c r="O1012" s="95"/>
      <c r="P1012" s="130"/>
    </row>
    <row r="1013" spans="2:16" s="89" customFormat="1" ht="12.75">
      <c r="B1013" s="125"/>
      <c r="C1013" s="126"/>
      <c r="D1013" s="126"/>
      <c r="E1013" s="126"/>
      <c r="F1013" s="126"/>
      <c r="G1013" s="126"/>
      <c r="H1013" s="126"/>
      <c r="I1013" s="126"/>
      <c r="J1013" s="126"/>
      <c r="K1013" s="127"/>
      <c r="L1013" s="128"/>
      <c r="M1013" s="129"/>
      <c r="N1013" s="95"/>
      <c r="O1013" s="95"/>
      <c r="P1013" s="130"/>
    </row>
    <row r="1014" spans="2:16" s="89" customFormat="1" ht="12.75">
      <c r="B1014" s="125"/>
      <c r="C1014" s="126"/>
      <c r="D1014" s="126"/>
      <c r="E1014" s="126"/>
      <c r="F1014" s="126"/>
      <c r="G1014" s="126"/>
      <c r="H1014" s="126"/>
      <c r="I1014" s="126"/>
      <c r="J1014" s="126"/>
      <c r="K1014" s="127"/>
      <c r="L1014" s="128"/>
      <c r="M1014" s="129"/>
      <c r="N1014" s="95"/>
      <c r="O1014" s="95"/>
      <c r="P1014" s="130"/>
    </row>
    <row r="1015" spans="2:16" s="89" customFormat="1" ht="12.75">
      <c r="B1015" s="125"/>
      <c r="C1015" s="126"/>
      <c r="D1015" s="126"/>
      <c r="E1015" s="126"/>
      <c r="F1015" s="126"/>
      <c r="G1015" s="126"/>
      <c r="H1015" s="126"/>
      <c r="I1015" s="126"/>
      <c r="J1015" s="126"/>
      <c r="K1015" s="127"/>
      <c r="L1015" s="128"/>
      <c r="M1015" s="129"/>
      <c r="N1015" s="95"/>
      <c r="O1015" s="95"/>
      <c r="P1015" s="130"/>
    </row>
    <row r="1016" spans="2:16" s="89" customFormat="1" ht="12.75">
      <c r="B1016" s="125"/>
      <c r="C1016" s="126"/>
      <c r="D1016" s="126"/>
      <c r="E1016" s="126"/>
      <c r="F1016" s="126"/>
      <c r="G1016" s="126"/>
      <c r="H1016" s="126"/>
      <c r="I1016" s="126"/>
      <c r="J1016" s="126"/>
      <c r="K1016" s="127"/>
      <c r="L1016" s="128"/>
      <c r="M1016" s="129"/>
      <c r="N1016" s="95"/>
      <c r="O1016" s="95"/>
      <c r="P1016" s="130"/>
    </row>
    <row r="1017" spans="2:16" s="89" customFormat="1" ht="12.75">
      <c r="B1017" s="125"/>
      <c r="C1017" s="126"/>
      <c r="D1017" s="126"/>
      <c r="E1017" s="126"/>
      <c r="F1017" s="126"/>
      <c r="G1017" s="126"/>
      <c r="H1017" s="126"/>
      <c r="I1017" s="126"/>
      <c r="J1017" s="126"/>
      <c r="K1017" s="127"/>
      <c r="L1017" s="128"/>
      <c r="M1017" s="129"/>
      <c r="N1017" s="95"/>
      <c r="O1017" s="95"/>
      <c r="P1017" s="130"/>
    </row>
    <row r="1018" spans="2:16" s="89" customFormat="1" ht="12.75">
      <c r="B1018" s="125"/>
      <c r="C1018" s="126"/>
      <c r="D1018" s="126"/>
      <c r="E1018" s="126"/>
      <c r="F1018" s="126"/>
      <c r="G1018" s="126"/>
      <c r="H1018" s="126"/>
      <c r="I1018" s="126"/>
      <c r="J1018" s="126"/>
      <c r="K1018" s="127"/>
      <c r="L1018" s="128"/>
      <c r="M1018" s="129"/>
      <c r="N1018" s="95"/>
      <c r="O1018" s="95"/>
      <c r="P1018" s="130"/>
    </row>
    <row r="1019" spans="2:16" s="89" customFormat="1" ht="12.75">
      <c r="B1019" s="125"/>
      <c r="C1019" s="126"/>
      <c r="D1019" s="126"/>
      <c r="E1019" s="126"/>
      <c r="F1019" s="126"/>
      <c r="G1019" s="126"/>
      <c r="H1019" s="126"/>
      <c r="I1019" s="126"/>
      <c r="J1019" s="126"/>
      <c r="K1019" s="127"/>
      <c r="L1019" s="128"/>
      <c r="M1019" s="129"/>
      <c r="N1019" s="95"/>
      <c r="O1019" s="95"/>
      <c r="P1019" s="130"/>
    </row>
    <row r="1020" spans="2:16" s="89" customFormat="1" ht="12.75">
      <c r="B1020" s="125"/>
      <c r="C1020" s="126"/>
      <c r="D1020" s="126"/>
      <c r="E1020" s="126"/>
      <c r="F1020" s="126"/>
      <c r="G1020" s="126"/>
      <c r="H1020" s="126"/>
      <c r="I1020" s="126"/>
      <c r="J1020" s="126"/>
      <c r="K1020" s="127"/>
      <c r="L1020" s="128"/>
      <c r="M1020" s="129"/>
      <c r="N1020" s="95"/>
      <c r="O1020" s="95"/>
      <c r="P1020" s="130"/>
    </row>
    <row r="1021" spans="2:16" s="89" customFormat="1" ht="12.75">
      <c r="B1021" s="125"/>
      <c r="C1021" s="126"/>
      <c r="D1021" s="126"/>
      <c r="E1021" s="126"/>
      <c r="F1021" s="126"/>
      <c r="G1021" s="126"/>
      <c r="H1021" s="126"/>
      <c r="I1021" s="126"/>
      <c r="J1021" s="126"/>
      <c r="K1021" s="127"/>
      <c r="L1021" s="128"/>
      <c r="M1021" s="129"/>
      <c r="N1021" s="95"/>
      <c r="O1021" s="95"/>
      <c r="P1021" s="130"/>
    </row>
    <row r="1022" spans="2:16" s="89" customFormat="1" ht="12.75">
      <c r="B1022" s="125"/>
      <c r="C1022" s="126"/>
      <c r="D1022" s="126"/>
      <c r="E1022" s="126"/>
      <c r="F1022" s="126"/>
      <c r="G1022" s="126"/>
      <c r="H1022" s="126"/>
      <c r="I1022" s="126"/>
      <c r="J1022" s="126"/>
      <c r="K1022" s="127"/>
      <c r="L1022" s="128"/>
      <c r="M1022" s="129"/>
      <c r="N1022" s="95"/>
      <c r="O1022" s="95"/>
      <c r="P1022" s="130"/>
    </row>
    <row r="1023" spans="2:16" s="89" customFormat="1" ht="12.75">
      <c r="B1023" s="125"/>
      <c r="C1023" s="126"/>
      <c r="D1023" s="126"/>
      <c r="E1023" s="126"/>
      <c r="F1023" s="126"/>
      <c r="G1023" s="126"/>
      <c r="H1023" s="126"/>
      <c r="I1023" s="126"/>
      <c r="J1023" s="126"/>
      <c r="K1023" s="127"/>
      <c r="L1023" s="128"/>
      <c r="M1023" s="129"/>
      <c r="N1023" s="95"/>
      <c r="O1023" s="95"/>
      <c r="P1023" s="130"/>
    </row>
    <row r="1024" spans="2:16" s="89" customFormat="1" ht="12.75">
      <c r="B1024" s="125"/>
      <c r="C1024" s="126"/>
      <c r="D1024" s="126"/>
      <c r="E1024" s="126"/>
      <c r="F1024" s="126"/>
      <c r="G1024" s="126"/>
      <c r="H1024" s="126"/>
      <c r="I1024" s="126"/>
      <c r="J1024" s="126"/>
      <c r="K1024" s="127"/>
      <c r="L1024" s="128"/>
      <c r="M1024" s="129"/>
      <c r="N1024" s="95"/>
      <c r="O1024" s="95"/>
      <c r="P1024" s="130"/>
    </row>
    <row r="1025" spans="2:16" s="89" customFormat="1" ht="12.75">
      <c r="B1025" s="125"/>
      <c r="C1025" s="126"/>
      <c r="D1025" s="126"/>
      <c r="E1025" s="126"/>
      <c r="F1025" s="126"/>
      <c r="G1025" s="126"/>
      <c r="H1025" s="126"/>
      <c r="I1025" s="126"/>
      <c r="J1025" s="126"/>
      <c r="K1025" s="127"/>
      <c r="L1025" s="128"/>
      <c r="M1025" s="129"/>
      <c r="N1025" s="95"/>
      <c r="O1025" s="95"/>
      <c r="P1025" s="130"/>
    </row>
    <row r="1026" spans="2:16" s="89" customFormat="1" ht="12.75">
      <c r="B1026" s="125"/>
      <c r="C1026" s="126"/>
      <c r="D1026" s="126"/>
      <c r="E1026" s="126"/>
      <c r="F1026" s="126"/>
      <c r="G1026" s="126"/>
      <c r="H1026" s="126"/>
      <c r="I1026" s="126"/>
      <c r="J1026" s="126"/>
      <c r="K1026" s="127"/>
      <c r="L1026" s="128"/>
      <c r="M1026" s="129"/>
      <c r="N1026" s="95"/>
      <c r="O1026" s="95"/>
      <c r="P1026" s="130"/>
    </row>
    <row r="1027" spans="2:16" s="89" customFormat="1" ht="12.75">
      <c r="B1027" s="125"/>
      <c r="C1027" s="126"/>
      <c r="D1027" s="126"/>
      <c r="E1027" s="126"/>
      <c r="F1027" s="126"/>
      <c r="G1027" s="126"/>
      <c r="H1027" s="126"/>
      <c r="I1027" s="126"/>
      <c r="J1027" s="126"/>
      <c r="K1027" s="127"/>
      <c r="L1027" s="128"/>
      <c r="M1027" s="129"/>
      <c r="N1027" s="95"/>
      <c r="O1027" s="95"/>
      <c r="P1027" s="130"/>
    </row>
    <row r="1028" spans="2:16" s="89" customFormat="1" ht="12.75">
      <c r="B1028" s="125"/>
      <c r="C1028" s="126"/>
      <c r="D1028" s="126"/>
      <c r="E1028" s="126"/>
      <c r="F1028" s="126"/>
      <c r="G1028" s="126"/>
      <c r="H1028" s="126"/>
      <c r="I1028" s="126"/>
      <c r="J1028" s="126"/>
      <c r="K1028" s="127"/>
      <c r="L1028" s="128"/>
      <c r="M1028" s="129"/>
      <c r="N1028" s="95"/>
      <c r="O1028" s="95"/>
      <c r="P1028" s="130"/>
    </row>
    <row r="1029" spans="2:16" s="89" customFormat="1" ht="12.75">
      <c r="B1029" s="125"/>
      <c r="C1029" s="126"/>
      <c r="D1029" s="126"/>
      <c r="E1029" s="126"/>
      <c r="F1029" s="126"/>
      <c r="G1029" s="126"/>
      <c r="H1029" s="126"/>
      <c r="I1029" s="126"/>
      <c r="J1029" s="126"/>
      <c r="K1029" s="127"/>
      <c r="L1029" s="128"/>
      <c r="M1029" s="129"/>
      <c r="N1029" s="95"/>
      <c r="O1029" s="95"/>
      <c r="P1029" s="130"/>
    </row>
    <row r="1030" spans="2:16" s="89" customFormat="1" ht="12.75">
      <c r="B1030" s="125"/>
      <c r="C1030" s="126"/>
      <c r="D1030" s="126"/>
      <c r="E1030" s="126"/>
      <c r="F1030" s="126"/>
      <c r="G1030" s="126"/>
      <c r="H1030" s="126"/>
      <c r="I1030" s="126"/>
      <c r="J1030" s="126"/>
      <c r="K1030" s="127"/>
      <c r="L1030" s="128"/>
      <c r="M1030" s="129"/>
      <c r="N1030" s="95"/>
      <c r="O1030" s="95"/>
      <c r="P1030" s="130"/>
    </row>
    <row r="1031" spans="2:16" s="89" customFormat="1" ht="12.75">
      <c r="B1031" s="125"/>
      <c r="C1031" s="126"/>
      <c r="D1031" s="126"/>
      <c r="E1031" s="126"/>
      <c r="F1031" s="126"/>
      <c r="G1031" s="126"/>
      <c r="H1031" s="126"/>
      <c r="I1031" s="126"/>
      <c r="J1031" s="126"/>
      <c r="K1031" s="127"/>
      <c r="L1031" s="128"/>
      <c r="M1031" s="129"/>
      <c r="N1031" s="95"/>
      <c r="O1031" s="95"/>
      <c r="P1031" s="130"/>
    </row>
    <row r="1032" spans="2:16" s="89" customFormat="1" ht="12.75">
      <c r="B1032" s="125"/>
      <c r="C1032" s="126"/>
      <c r="D1032" s="126"/>
      <c r="E1032" s="126"/>
      <c r="F1032" s="126"/>
      <c r="G1032" s="126"/>
      <c r="H1032" s="126"/>
      <c r="I1032" s="126"/>
      <c r="J1032" s="126"/>
      <c r="K1032" s="127"/>
      <c r="L1032" s="128"/>
      <c r="M1032" s="129"/>
      <c r="N1032" s="95"/>
      <c r="O1032" s="95"/>
      <c r="P1032" s="130"/>
    </row>
    <row r="1033" spans="2:16" s="89" customFormat="1" ht="12.75">
      <c r="B1033" s="125"/>
      <c r="C1033" s="126"/>
      <c r="D1033" s="126"/>
      <c r="E1033" s="126"/>
      <c r="F1033" s="126"/>
      <c r="G1033" s="126"/>
      <c r="H1033" s="126"/>
      <c r="I1033" s="126"/>
      <c r="J1033" s="126"/>
      <c r="K1033" s="127"/>
      <c r="L1033" s="128"/>
      <c r="M1033" s="129"/>
      <c r="N1033" s="95"/>
      <c r="O1033" s="95"/>
      <c r="P1033" s="130"/>
    </row>
    <row r="1034" spans="2:16" s="89" customFormat="1" ht="12.75">
      <c r="B1034" s="125"/>
      <c r="C1034" s="126"/>
      <c r="D1034" s="126"/>
      <c r="E1034" s="126"/>
      <c r="F1034" s="126"/>
      <c r="G1034" s="126"/>
      <c r="H1034" s="126"/>
      <c r="I1034" s="126"/>
      <c r="J1034" s="126"/>
      <c r="K1034" s="127"/>
      <c r="L1034" s="128"/>
      <c r="M1034" s="129"/>
      <c r="N1034" s="95"/>
      <c r="O1034" s="95"/>
      <c r="P1034" s="130"/>
    </row>
    <row r="1035" spans="2:16" s="89" customFormat="1" ht="12.75">
      <c r="B1035" s="125"/>
      <c r="C1035" s="126"/>
      <c r="D1035" s="126"/>
      <c r="E1035" s="126"/>
      <c r="F1035" s="126"/>
      <c r="G1035" s="126"/>
      <c r="H1035" s="126"/>
      <c r="I1035" s="126"/>
      <c r="J1035" s="126"/>
      <c r="K1035" s="127"/>
      <c r="L1035" s="128"/>
      <c r="M1035" s="129"/>
      <c r="N1035" s="95"/>
      <c r="O1035" s="95"/>
      <c r="P1035" s="130"/>
    </row>
    <row r="1036" spans="2:16" s="89" customFormat="1" ht="12.75">
      <c r="B1036" s="125"/>
      <c r="C1036" s="126"/>
      <c r="D1036" s="126"/>
      <c r="E1036" s="126"/>
      <c r="F1036" s="126"/>
      <c r="G1036" s="126"/>
      <c r="H1036" s="126"/>
      <c r="I1036" s="126"/>
      <c r="J1036" s="126"/>
      <c r="K1036" s="127"/>
      <c r="L1036" s="128"/>
      <c r="M1036" s="129"/>
      <c r="N1036" s="95"/>
      <c r="O1036" s="95"/>
      <c r="P1036" s="130"/>
    </row>
    <row r="1037" spans="2:16" s="89" customFormat="1" ht="12.75">
      <c r="B1037" s="125"/>
      <c r="C1037" s="126"/>
      <c r="D1037" s="126"/>
      <c r="E1037" s="126"/>
      <c r="F1037" s="126"/>
      <c r="G1037" s="126"/>
      <c r="H1037" s="126"/>
      <c r="I1037" s="126"/>
      <c r="J1037" s="126"/>
      <c r="K1037" s="127"/>
      <c r="L1037" s="128"/>
      <c r="M1037" s="129"/>
      <c r="N1037" s="95"/>
      <c r="O1037" s="95"/>
      <c r="P1037" s="130"/>
    </row>
    <row r="1038" spans="2:16" s="89" customFormat="1" ht="12.75">
      <c r="B1038" s="125"/>
      <c r="C1038" s="126"/>
      <c r="D1038" s="126"/>
      <c r="E1038" s="126"/>
      <c r="F1038" s="126"/>
      <c r="G1038" s="126"/>
      <c r="H1038" s="126"/>
      <c r="I1038" s="126"/>
      <c r="J1038" s="126"/>
      <c r="K1038" s="127"/>
      <c r="L1038" s="128"/>
      <c r="M1038" s="129"/>
      <c r="N1038" s="95"/>
      <c r="O1038" s="95"/>
      <c r="P1038" s="130"/>
    </row>
    <row r="1039" spans="2:16" s="89" customFormat="1" ht="12.75">
      <c r="B1039" s="125"/>
      <c r="C1039" s="126"/>
      <c r="D1039" s="126"/>
      <c r="E1039" s="126"/>
      <c r="F1039" s="126"/>
      <c r="G1039" s="126"/>
      <c r="H1039" s="126"/>
      <c r="I1039" s="126"/>
      <c r="J1039" s="126"/>
      <c r="K1039" s="127"/>
      <c r="L1039" s="128"/>
      <c r="M1039" s="129"/>
      <c r="N1039" s="95"/>
      <c r="O1039" s="95"/>
      <c r="P1039" s="130"/>
    </row>
    <row r="1040" spans="2:16" s="89" customFormat="1" ht="12.75">
      <c r="B1040" s="125"/>
      <c r="C1040" s="126"/>
      <c r="D1040" s="126"/>
      <c r="E1040" s="126"/>
      <c r="F1040" s="126"/>
      <c r="G1040" s="126"/>
      <c r="H1040" s="126"/>
      <c r="I1040" s="126"/>
      <c r="J1040" s="126"/>
      <c r="K1040" s="127"/>
      <c r="L1040" s="128"/>
      <c r="M1040" s="129"/>
      <c r="N1040" s="95"/>
      <c r="O1040" s="95"/>
      <c r="P1040" s="130"/>
    </row>
    <row r="1041" spans="2:16" s="89" customFormat="1" ht="12.75">
      <c r="B1041" s="125"/>
      <c r="C1041" s="126"/>
      <c r="D1041" s="126"/>
      <c r="E1041" s="126"/>
      <c r="F1041" s="126"/>
      <c r="G1041" s="126"/>
      <c r="H1041" s="126"/>
      <c r="I1041" s="126"/>
      <c r="J1041" s="126"/>
      <c r="K1041" s="127"/>
      <c r="L1041" s="128"/>
      <c r="M1041" s="129"/>
      <c r="N1041" s="95"/>
      <c r="O1041" s="95"/>
      <c r="P1041" s="130"/>
    </row>
    <row r="1042" spans="2:16" s="89" customFormat="1" ht="12.75">
      <c r="B1042" s="125"/>
      <c r="C1042" s="126"/>
      <c r="D1042" s="126"/>
      <c r="E1042" s="126"/>
      <c r="F1042" s="126"/>
      <c r="G1042" s="126"/>
      <c r="H1042" s="126"/>
      <c r="I1042" s="126"/>
      <c r="J1042" s="126"/>
      <c r="K1042" s="127"/>
      <c r="L1042" s="128"/>
      <c r="M1042" s="129"/>
      <c r="N1042" s="95"/>
      <c r="O1042" s="95"/>
      <c r="P1042" s="130"/>
    </row>
    <row r="1043" spans="2:16" s="89" customFormat="1" ht="12.75">
      <c r="B1043" s="125"/>
      <c r="C1043" s="126"/>
      <c r="D1043" s="126"/>
      <c r="E1043" s="126"/>
      <c r="F1043" s="126"/>
      <c r="G1043" s="126"/>
      <c r="H1043" s="126"/>
      <c r="I1043" s="126"/>
      <c r="J1043" s="126"/>
      <c r="K1043" s="127"/>
      <c r="L1043" s="128"/>
      <c r="M1043" s="129"/>
      <c r="N1043" s="95"/>
      <c r="O1043" s="95"/>
      <c r="P1043" s="130"/>
    </row>
    <row r="1044" spans="2:16" s="89" customFormat="1" ht="12.75">
      <c r="B1044" s="125"/>
      <c r="C1044" s="126"/>
      <c r="D1044" s="126"/>
      <c r="E1044" s="126"/>
      <c r="F1044" s="126"/>
      <c r="G1044" s="126"/>
      <c r="H1044" s="126"/>
      <c r="I1044" s="126"/>
      <c r="J1044" s="126"/>
      <c r="K1044" s="127"/>
      <c r="L1044" s="128"/>
      <c r="M1044" s="129"/>
      <c r="N1044" s="95"/>
      <c r="O1044" s="95"/>
      <c r="P1044" s="130"/>
    </row>
    <row r="1045" spans="2:16" s="89" customFormat="1" ht="12.75">
      <c r="B1045" s="125"/>
      <c r="C1045" s="126"/>
      <c r="D1045" s="126"/>
      <c r="E1045" s="126"/>
      <c r="F1045" s="126"/>
      <c r="G1045" s="126"/>
      <c r="H1045" s="126"/>
      <c r="I1045" s="126"/>
      <c r="J1045" s="126"/>
      <c r="K1045" s="127"/>
      <c r="L1045" s="128"/>
      <c r="M1045" s="129"/>
      <c r="N1045" s="95"/>
      <c r="O1045" s="95"/>
      <c r="P1045" s="130"/>
    </row>
    <row r="1046" spans="2:16" s="89" customFormat="1" ht="12.75">
      <c r="B1046" s="125"/>
      <c r="C1046" s="126"/>
      <c r="D1046" s="126"/>
      <c r="E1046" s="126"/>
      <c r="F1046" s="126"/>
      <c r="G1046" s="126"/>
      <c r="H1046" s="126"/>
      <c r="I1046" s="126"/>
      <c r="J1046" s="126"/>
      <c r="K1046" s="127"/>
      <c r="L1046" s="128"/>
      <c r="M1046" s="129"/>
      <c r="N1046" s="95"/>
      <c r="O1046" s="95"/>
      <c r="P1046" s="130"/>
    </row>
    <row r="1047" spans="2:16" s="89" customFormat="1" ht="12.75">
      <c r="B1047" s="125"/>
      <c r="C1047" s="126"/>
      <c r="D1047" s="126"/>
      <c r="E1047" s="126"/>
      <c r="F1047" s="126"/>
      <c r="G1047" s="126"/>
      <c r="H1047" s="126"/>
      <c r="I1047" s="126"/>
      <c r="J1047" s="126"/>
      <c r="K1047" s="127"/>
      <c r="L1047" s="128"/>
      <c r="M1047" s="129"/>
      <c r="N1047" s="95"/>
      <c r="O1047" s="95"/>
      <c r="P1047" s="130"/>
    </row>
    <row r="1048" spans="2:16" s="89" customFormat="1" ht="12.75">
      <c r="B1048" s="125"/>
      <c r="C1048" s="126"/>
      <c r="D1048" s="126"/>
      <c r="E1048" s="126"/>
      <c r="F1048" s="126"/>
      <c r="G1048" s="126"/>
      <c r="H1048" s="126"/>
      <c r="I1048" s="126"/>
      <c r="J1048" s="126"/>
      <c r="K1048" s="127"/>
      <c r="L1048" s="128"/>
      <c r="M1048" s="129"/>
      <c r="N1048" s="95"/>
      <c r="O1048" s="95"/>
      <c r="P1048" s="130"/>
    </row>
    <row r="1049" spans="2:16" s="89" customFormat="1" ht="12.75">
      <c r="B1049" s="125"/>
      <c r="C1049" s="126"/>
      <c r="D1049" s="126"/>
      <c r="E1049" s="126"/>
      <c r="F1049" s="126"/>
      <c r="G1049" s="126"/>
      <c r="H1049" s="126"/>
      <c r="I1049" s="126"/>
      <c r="J1049" s="126"/>
      <c r="K1049" s="127"/>
      <c r="L1049" s="128"/>
      <c r="M1049" s="129"/>
      <c r="N1049" s="95"/>
      <c r="O1049" s="95"/>
      <c r="P1049" s="130"/>
    </row>
    <row r="1050" spans="2:16" s="89" customFormat="1" ht="12.75">
      <c r="B1050" s="125"/>
      <c r="C1050" s="126"/>
      <c r="D1050" s="126"/>
      <c r="E1050" s="126"/>
      <c r="F1050" s="126"/>
      <c r="G1050" s="126"/>
      <c r="H1050" s="126"/>
      <c r="I1050" s="126"/>
      <c r="J1050" s="126"/>
      <c r="K1050" s="127"/>
      <c r="L1050" s="128"/>
      <c r="M1050" s="129"/>
      <c r="N1050" s="95"/>
      <c r="O1050" s="95"/>
      <c r="P1050" s="130"/>
    </row>
    <row r="1051" spans="2:16" s="89" customFormat="1" ht="12.75">
      <c r="B1051" s="125"/>
      <c r="C1051" s="126"/>
      <c r="D1051" s="126"/>
      <c r="E1051" s="126"/>
      <c r="F1051" s="126"/>
      <c r="G1051" s="126"/>
      <c r="H1051" s="126"/>
      <c r="I1051" s="126"/>
      <c r="J1051" s="126"/>
      <c r="K1051" s="127"/>
      <c r="L1051" s="128"/>
      <c r="M1051" s="129"/>
      <c r="N1051" s="95"/>
      <c r="O1051" s="95"/>
      <c r="P1051" s="130"/>
    </row>
    <row r="1052" spans="2:16" s="89" customFormat="1" ht="12.75">
      <c r="B1052" s="125"/>
      <c r="C1052" s="126"/>
      <c r="D1052" s="126"/>
      <c r="E1052" s="126"/>
      <c r="F1052" s="126"/>
      <c r="G1052" s="126"/>
      <c r="H1052" s="126"/>
      <c r="I1052" s="126"/>
      <c r="J1052" s="126"/>
      <c r="K1052" s="127"/>
      <c r="L1052" s="128"/>
      <c r="M1052" s="129"/>
      <c r="N1052" s="95"/>
      <c r="O1052" s="95"/>
      <c r="P1052" s="130"/>
    </row>
    <row r="1053" spans="2:16" s="89" customFormat="1" ht="12.75">
      <c r="B1053" s="125"/>
      <c r="C1053" s="126"/>
      <c r="D1053" s="126"/>
      <c r="E1053" s="126"/>
      <c r="F1053" s="126"/>
      <c r="G1053" s="126"/>
      <c r="H1053" s="126"/>
      <c r="I1053" s="126"/>
      <c r="J1053" s="126"/>
      <c r="K1053" s="127"/>
      <c r="L1053" s="128"/>
      <c r="M1053" s="129"/>
      <c r="N1053" s="95"/>
      <c r="O1053" s="95"/>
      <c r="P1053" s="130"/>
    </row>
    <row r="1054" spans="2:16" s="89" customFormat="1" ht="12.75">
      <c r="B1054" s="125"/>
      <c r="C1054" s="126"/>
      <c r="D1054" s="126"/>
      <c r="E1054" s="126"/>
      <c r="F1054" s="126"/>
      <c r="G1054" s="126"/>
      <c r="H1054" s="126"/>
      <c r="I1054" s="126"/>
      <c r="J1054" s="126"/>
      <c r="K1054" s="127"/>
      <c r="L1054" s="128"/>
      <c r="M1054" s="129"/>
      <c r="N1054" s="95"/>
      <c r="O1054" s="95"/>
      <c r="P1054" s="130"/>
    </row>
    <row r="1055" spans="2:16" s="89" customFormat="1" ht="12.75">
      <c r="B1055" s="125"/>
      <c r="C1055" s="126"/>
      <c r="D1055" s="126"/>
      <c r="E1055" s="126"/>
      <c r="F1055" s="126"/>
      <c r="G1055" s="126"/>
      <c r="H1055" s="126"/>
      <c r="I1055" s="126"/>
      <c r="J1055" s="126"/>
      <c r="K1055" s="127"/>
      <c r="L1055" s="128"/>
      <c r="M1055" s="129"/>
      <c r="N1055" s="95"/>
      <c r="O1055" s="95"/>
      <c r="P1055" s="130"/>
    </row>
    <row r="1056" spans="2:16" s="89" customFormat="1" ht="12.75">
      <c r="B1056" s="125"/>
      <c r="C1056" s="126"/>
      <c r="D1056" s="126"/>
      <c r="E1056" s="126"/>
      <c r="F1056" s="126"/>
      <c r="G1056" s="126"/>
      <c r="H1056" s="126"/>
      <c r="I1056" s="126"/>
      <c r="J1056" s="126"/>
      <c r="K1056" s="127"/>
      <c r="L1056" s="128"/>
      <c r="M1056" s="129"/>
      <c r="N1056" s="95"/>
      <c r="O1056" s="95"/>
      <c r="P1056" s="130"/>
    </row>
    <row r="1057" spans="2:16" s="89" customFormat="1" ht="12.75">
      <c r="B1057" s="125"/>
      <c r="C1057" s="126"/>
      <c r="D1057" s="126"/>
      <c r="E1057" s="126"/>
      <c r="F1057" s="126"/>
      <c r="G1057" s="126"/>
      <c r="H1057" s="126"/>
      <c r="I1057" s="126"/>
      <c r="J1057" s="126"/>
      <c r="K1057" s="127"/>
      <c r="L1057" s="128"/>
      <c r="M1057" s="129"/>
      <c r="N1057" s="95"/>
      <c r="O1057" s="95"/>
      <c r="P1057" s="130"/>
    </row>
    <row r="1058" spans="2:16" s="89" customFormat="1" ht="12.75">
      <c r="B1058" s="125"/>
      <c r="C1058" s="126"/>
      <c r="D1058" s="126"/>
      <c r="E1058" s="126"/>
      <c r="F1058" s="126"/>
      <c r="G1058" s="126"/>
      <c r="H1058" s="126"/>
      <c r="I1058" s="126"/>
      <c r="J1058" s="126"/>
      <c r="K1058" s="127"/>
      <c r="L1058" s="128"/>
      <c r="M1058" s="129"/>
      <c r="N1058" s="95"/>
      <c r="O1058" s="95"/>
      <c r="P1058" s="130"/>
    </row>
    <row r="1059" spans="2:16" s="89" customFormat="1" ht="12.75">
      <c r="B1059" s="125"/>
      <c r="C1059" s="126"/>
      <c r="D1059" s="126"/>
      <c r="E1059" s="126"/>
      <c r="F1059" s="126"/>
      <c r="G1059" s="126"/>
      <c r="H1059" s="126"/>
      <c r="I1059" s="126"/>
      <c r="J1059" s="126"/>
      <c r="K1059" s="127"/>
      <c r="L1059" s="128"/>
      <c r="M1059" s="129"/>
      <c r="N1059" s="95"/>
      <c r="O1059" s="95"/>
      <c r="P1059" s="130"/>
    </row>
    <row r="1060" spans="2:16" s="89" customFormat="1" ht="12.75">
      <c r="B1060" s="125"/>
      <c r="C1060" s="126"/>
      <c r="D1060" s="126"/>
      <c r="E1060" s="126"/>
      <c r="F1060" s="126"/>
      <c r="G1060" s="126"/>
      <c r="H1060" s="126"/>
      <c r="I1060" s="126"/>
      <c r="J1060" s="126"/>
      <c r="K1060" s="127"/>
      <c r="L1060" s="128"/>
      <c r="M1060" s="129"/>
      <c r="N1060" s="95"/>
      <c r="O1060" s="95"/>
      <c r="P1060" s="130"/>
    </row>
    <row r="1061" spans="2:16" s="89" customFormat="1" ht="12.75">
      <c r="B1061" s="125"/>
      <c r="C1061" s="126"/>
      <c r="D1061" s="126"/>
      <c r="E1061" s="126"/>
      <c r="F1061" s="126"/>
      <c r="G1061" s="126"/>
      <c r="H1061" s="126"/>
      <c r="I1061" s="126"/>
      <c r="J1061" s="126"/>
      <c r="K1061" s="127"/>
      <c r="L1061" s="128"/>
      <c r="M1061" s="129"/>
      <c r="N1061" s="95"/>
      <c r="O1061" s="95"/>
      <c r="P1061" s="130"/>
    </row>
    <row r="1062" spans="2:16" s="89" customFormat="1" ht="12.75">
      <c r="B1062" s="125"/>
      <c r="C1062" s="126"/>
      <c r="D1062" s="126"/>
      <c r="E1062" s="126"/>
      <c r="F1062" s="126"/>
      <c r="G1062" s="126"/>
      <c r="H1062" s="126"/>
      <c r="I1062" s="126"/>
      <c r="J1062" s="126"/>
      <c r="K1062" s="127"/>
      <c r="L1062" s="128"/>
      <c r="M1062" s="129"/>
      <c r="N1062" s="95"/>
      <c r="O1062" s="95"/>
      <c r="P1062" s="130"/>
    </row>
    <row r="1063" spans="2:16" s="89" customFormat="1" ht="12.75">
      <c r="B1063" s="125"/>
      <c r="C1063" s="126"/>
      <c r="D1063" s="126"/>
      <c r="E1063" s="126"/>
      <c r="F1063" s="126"/>
      <c r="G1063" s="126"/>
      <c r="H1063" s="126"/>
      <c r="I1063" s="126"/>
      <c r="J1063" s="126"/>
      <c r="K1063" s="127"/>
      <c r="L1063" s="128"/>
      <c r="M1063" s="129"/>
      <c r="N1063" s="95"/>
      <c r="O1063" s="95"/>
      <c r="P1063" s="130"/>
    </row>
    <row r="1064" spans="2:16" s="89" customFormat="1" ht="12.75">
      <c r="B1064" s="125"/>
      <c r="C1064" s="126"/>
      <c r="D1064" s="126"/>
      <c r="E1064" s="126"/>
      <c r="F1064" s="126"/>
      <c r="G1064" s="126"/>
      <c r="H1064" s="126"/>
      <c r="I1064" s="126"/>
      <c r="J1064" s="126"/>
      <c r="K1064" s="127"/>
      <c r="L1064" s="128"/>
      <c r="M1064" s="129"/>
      <c r="N1064" s="95"/>
      <c r="O1064" s="95"/>
      <c r="P1064" s="130"/>
    </row>
    <row r="1065" spans="2:16" s="89" customFormat="1" ht="12.75">
      <c r="B1065" s="125"/>
      <c r="C1065" s="126"/>
      <c r="D1065" s="126"/>
      <c r="E1065" s="126"/>
      <c r="F1065" s="126"/>
      <c r="G1065" s="126"/>
      <c r="H1065" s="126"/>
      <c r="I1065" s="126"/>
      <c r="J1065" s="126"/>
      <c r="K1065" s="127"/>
      <c r="L1065" s="128"/>
      <c r="M1065" s="129"/>
      <c r="N1065" s="95"/>
      <c r="O1065" s="95"/>
      <c r="P1065" s="130"/>
    </row>
    <row r="1066" spans="2:16" s="89" customFormat="1" ht="12.75">
      <c r="B1066" s="125"/>
      <c r="C1066" s="126"/>
      <c r="D1066" s="126"/>
      <c r="E1066" s="126"/>
      <c r="F1066" s="126"/>
      <c r="G1066" s="126"/>
      <c r="H1066" s="126"/>
      <c r="I1066" s="126"/>
      <c r="J1066" s="126"/>
      <c r="K1066" s="127"/>
      <c r="L1066" s="128"/>
      <c r="M1066" s="129"/>
      <c r="N1066" s="95"/>
      <c r="O1066" s="95"/>
      <c r="P1066" s="130"/>
    </row>
    <row r="1067" spans="2:16" s="89" customFormat="1" ht="12.75">
      <c r="B1067" s="125"/>
      <c r="C1067" s="126"/>
      <c r="D1067" s="126"/>
      <c r="E1067" s="126"/>
      <c r="F1067" s="126"/>
      <c r="G1067" s="126"/>
      <c r="H1067" s="126"/>
      <c r="I1067" s="126"/>
      <c r="J1067" s="126"/>
      <c r="K1067" s="127"/>
      <c r="L1067" s="128"/>
      <c r="M1067" s="129"/>
      <c r="N1067" s="95"/>
      <c r="O1067" s="95"/>
      <c r="P1067" s="130"/>
    </row>
    <row r="1068" spans="2:16" s="89" customFormat="1" ht="12.75">
      <c r="B1068" s="125"/>
      <c r="C1068" s="126"/>
      <c r="D1068" s="126"/>
      <c r="E1068" s="126"/>
      <c r="F1068" s="126"/>
      <c r="G1068" s="126"/>
      <c r="H1068" s="126"/>
      <c r="I1068" s="126"/>
      <c r="J1068" s="126"/>
      <c r="K1068" s="127"/>
      <c r="L1068" s="128"/>
      <c r="M1068" s="129"/>
      <c r="N1068" s="95"/>
      <c r="O1068" s="95"/>
      <c r="P1068" s="130"/>
    </row>
    <row r="1069" spans="2:16" s="89" customFormat="1" ht="12.75">
      <c r="B1069" s="125"/>
      <c r="C1069" s="126"/>
      <c r="D1069" s="126"/>
      <c r="E1069" s="126"/>
      <c r="F1069" s="126"/>
      <c r="G1069" s="126"/>
      <c r="H1069" s="126"/>
      <c r="I1069" s="126"/>
      <c r="J1069" s="126"/>
      <c r="K1069" s="127"/>
      <c r="L1069" s="128"/>
      <c r="M1069" s="129"/>
      <c r="N1069" s="95"/>
      <c r="O1069" s="95"/>
      <c r="P1069" s="130"/>
    </row>
    <row r="1070" spans="2:16" s="89" customFormat="1" ht="12.75">
      <c r="B1070" s="125"/>
      <c r="C1070" s="126"/>
      <c r="D1070" s="126"/>
      <c r="E1070" s="126"/>
      <c r="F1070" s="126"/>
      <c r="G1070" s="126"/>
      <c r="H1070" s="126"/>
      <c r="I1070" s="126"/>
      <c r="J1070" s="126"/>
      <c r="K1070" s="127"/>
      <c r="L1070" s="128"/>
      <c r="M1070" s="129"/>
      <c r="N1070" s="95"/>
      <c r="O1070" s="95"/>
      <c r="P1070" s="130"/>
    </row>
    <row r="1071" spans="2:16" s="89" customFormat="1" ht="12.75">
      <c r="B1071" s="125"/>
      <c r="C1071" s="126"/>
      <c r="D1071" s="126"/>
      <c r="E1071" s="126"/>
      <c r="F1071" s="126"/>
      <c r="G1071" s="126"/>
      <c r="H1071" s="126"/>
      <c r="I1071" s="126"/>
      <c r="J1071" s="126"/>
      <c r="K1071" s="127"/>
      <c r="L1071" s="128"/>
      <c r="M1071" s="129"/>
      <c r="N1071" s="95"/>
      <c r="O1071" s="95"/>
      <c r="P1071" s="130"/>
    </row>
    <row r="1072" spans="2:16" s="89" customFormat="1" ht="12.75">
      <c r="B1072" s="125"/>
      <c r="C1072" s="126"/>
      <c r="D1072" s="126"/>
      <c r="E1072" s="126"/>
      <c r="F1072" s="126"/>
      <c r="G1072" s="126"/>
      <c r="H1072" s="126"/>
      <c r="I1072" s="126"/>
      <c r="J1072" s="126"/>
      <c r="K1072" s="127"/>
      <c r="L1072" s="128"/>
      <c r="M1072" s="129"/>
      <c r="N1072" s="95"/>
      <c r="O1072" s="95"/>
      <c r="P1072" s="130"/>
    </row>
    <row r="1073" spans="2:16" s="89" customFormat="1" ht="12.75">
      <c r="B1073" s="125"/>
      <c r="C1073" s="126"/>
      <c r="D1073" s="126"/>
      <c r="E1073" s="126"/>
      <c r="F1073" s="126"/>
      <c r="G1073" s="126"/>
      <c r="H1073" s="126"/>
      <c r="I1073" s="126"/>
      <c r="J1073" s="126"/>
      <c r="K1073" s="127"/>
      <c r="L1073" s="128"/>
      <c r="M1073" s="129"/>
      <c r="N1073" s="95"/>
      <c r="O1073" s="95"/>
      <c r="P1073" s="130"/>
    </row>
    <row r="1074" spans="2:16" s="89" customFormat="1" ht="12.75">
      <c r="B1074" s="125"/>
      <c r="C1074" s="126"/>
      <c r="D1074" s="126"/>
      <c r="E1074" s="126"/>
      <c r="F1074" s="126"/>
      <c r="G1074" s="126"/>
      <c r="H1074" s="126"/>
      <c r="I1074" s="126"/>
      <c r="J1074" s="126"/>
      <c r="K1074" s="127"/>
      <c r="L1074" s="128"/>
      <c r="M1074" s="129"/>
      <c r="N1074" s="95"/>
      <c r="O1074" s="95"/>
      <c r="P1074" s="130"/>
    </row>
    <row r="1075" spans="2:16" s="89" customFormat="1" ht="12.75">
      <c r="B1075" s="125"/>
      <c r="C1075" s="126"/>
      <c r="D1075" s="126"/>
      <c r="E1075" s="126"/>
      <c r="F1075" s="126"/>
      <c r="G1075" s="126"/>
      <c r="H1075" s="126"/>
      <c r="I1075" s="126"/>
      <c r="J1075" s="126"/>
      <c r="K1075" s="127"/>
      <c r="L1075" s="128"/>
      <c r="M1075" s="129"/>
      <c r="N1075" s="95"/>
      <c r="O1075" s="95"/>
      <c r="P1075" s="130"/>
    </row>
    <row r="1076" spans="2:16" s="89" customFormat="1" ht="12.75">
      <c r="B1076" s="125"/>
      <c r="C1076" s="126"/>
      <c r="D1076" s="126"/>
      <c r="E1076" s="126"/>
      <c r="F1076" s="126"/>
      <c r="G1076" s="126"/>
      <c r="H1076" s="126"/>
      <c r="I1076" s="126"/>
      <c r="J1076" s="126"/>
      <c r="K1076" s="127"/>
      <c r="L1076" s="128"/>
      <c r="M1076" s="129"/>
      <c r="N1076" s="95"/>
      <c r="O1076" s="95"/>
      <c r="P1076" s="130"/>
    </row>
    <row r="1077" spans="2:16" s="89" customFormat="1" ht="12.75">
      <c r="B1077" s="125"/>
      <c r="C1077" s="126"/>
      <c r="D1077" s="126"/>
      <c r="E1077" s="126"/>
      <c r="F1077" s="126"/>
      <c r="G1077" s="126"/>
      <c r="H1077" s="126"/>
      <c r="I1077" s="126"/>
      <c r="J1077" s="126"/>
      <c r="K1077" s="127"/>
      <c r="L1077" s="128"/>
      <c r="M1077" s="129"/>
      <c r="N1077" s="95"/>
      <c r="O1077" s="95"/>
      <c r="P1077" s="130"/>
    </row>
    <row r="1078" spans="2:16" s="89" customFormat="1" ht="12.75">
      <c r="B1078" s="125"/>
      <c r="C1078" s="126"/>
      <c r="D1078" s="126"/>
      <c r="E1078" s="126"/>
      <c r="F1078" s="126"/>
      <c r="G1078" s="126"/>
      <c r="H1078" s="126"/>
      <c r="I1078" s="126"/>
      <c r="J1078" s="126"/>
      <c r="K1078" s="127"/>
      <c r="L1078" s="128"/>
      <c r="M1078" s="129"/>
      <c r="N1078" s="95"/>
      <c r="O1078" s="95"/>
      <c r="P1078" s="130"/>
    </row>
    <row r="1079" spans="2:16" s="89" customFormat="1" ht="12.75">
      <c r="B1079" s="125"/>
      <c r="C1079" s="126"/>
      <c r="D1079" s="126"/>
      <c r="E1079" s="126"/>
      <c r="F1079" s="126"/>
      <c r="G1079" s="126"/>
      <c r="H1079" s="126"/>
      <c r="I1079" s="126"/>
      <c r="J1079" s="126"/>
      <c r="K1079" s="127"/>
      <c r="L1079" s="128"/>
      <c r="M1079" s="129"/>
      <c r="N1079" s="95"/>
      <c r="O1079" s="95"/>
      <c r="P1079" s="130"/>
    </row>
    <row r="1080" spans="2:16" s="89" customFormat="1" ht="12.75">
      <c r="B1080" s="125"/>
      <c r="C1080" s="126"/>
      <c r="D1080" s="126"/>
      <c r="E1080" s="126"/>
      <c r="F1080" s="126"/>
      <c r="G1080" s="126"/>
      <c r="H1080" s="126"/>
      <c r="I1080" s="126"/>
      <c r="J1080" s="126"/>
      <c r="K1080" s="127"/>
      <c r="L1080" s="128"/>
      <c r="M1080" s="129"/>
      <c r="N1080" s="95"/>
      <c r="O1080" s="95"/>
      <c r="P1080" s="130"/>
    </row>
    <row r="1081" spans="2:16" s="89" customFormat="1" ht="12.75">
      <c r="B1081" s="125"/>
      <c r="C1081" s="126"/>
      <c r="D1081" s="126"/>
      <c r="E1081" s="126"/>
      <c r="F1081" s="126"/>
      <c r="G1081" s="126"/>
      <c r="H1081" s="126"/>
      <c r="I1081" s="126"/>
      <c r="J1081" s="126"/>
      <c r="K1081" s="127"/>
      <c r="L1081" s="128"/>
      <c r="M1081" s="129"/>
      <c r="N1081" s="95"/>
      <c r="O1081" s="95"/>
      <c r="P1081" s="130"/>
    </row>
    <row r="1082" spans="2:16" s="89" customFormat="1" ht="12.75">
      <c r="B1082" s="125"/>
      <c r="C1082" s="126"/>
      <c r="D1082" s="126"/>
      <c r="E1082" s="126"/>
      <c r="F1082" s="126"/>
      <c r="G1082" s="126"/>
      <c r="H1082" s="126"/>
      <c r="I1082" s="126"/>
      <c r="J1082" s="126"/>
      <c r="K1082" s="127"/>
      <c r="L1082" s="128"/>
      <c r="M1082" s="129"/>
      <c r="N1082" s="95"/>
      <c r="O1082" s="95"/>
      <c r="P1082" s="130"/>
    </row>
    <row r="1083" spans="2:16" s="89" customFormat="1" ht="12.75">
      <c r="B1083" s="125"/>
      <c r="C1083" s="126"/>
      <c r="D1083" s="126"/>
      <c r="E1083" s="126"/>
      <c r="F1083" s="126"/>
      <c r="G1083" s="126"/>
      <c r="H1083" s="126"/>
      <c r="I1083" s="126"/>
      <c r="J1083" s="126"/>
      <c r="K1083" s="127"/>
      <c r="L1083" s="128"/>
      <c r="M1083" s="129"/>
      <c r="N1083" s="95"/>
      <c r="O1083" s="95"/>
      <c r="P1083" s="130"/>
    </row>
    <row r="1084" spans="2:16" s="89" customFormat="1" ht="12.75">
      <c r="B1084" s="125"/>
      <c r="C1084" s="126"/>
      <c r="D1084" s="126"/>
      <c r="E1084" s="126"/>
      <c r="F1084" s="126"/>
      <c r="G1084" s="126"/>
      <c r="H1084" s="126"/>
      <c r="I1084" s="126"/>
      <c r="J1084" s="126"/>
      <c r="K1084" s="127"/>
      <c r="L1084" s="128"/>
      <c r="M1084" s="129"/>
      <c r="N1084" s="95"/>
      <c r="O1084" s="95"/>
      <c r="P1084" s="130"/>
    </row>
    <row r="1085" spans="2:16" s="89" customFormat="1" ht="12.75">
      <c r="B1085" s="125"/>
      <c r="C1085" s="126"/>
      <c r="D1085" s="126"/>
      <c r="E1085" s="126"/>
      <c r="F1085" s="126"/>
      <c r="G1085" s="126"/>
      <c r="H1085" s="126"/>
      <c r="I1085" s="126"/>
      <c r="J1085" s="126"/>
      <c r="K1085" s="127"/>
      <c r="L1085" s="128"/>
      <c r="M1085" s="129"/>
      <c r="N1085" s="95"/>
      <c r="O1085" s="95"/>
      <c r="P1085" s="130"/>
    </row>
    <row r="1086" spans="2:16" s="89" customFormat="1" ht="12.75">
      <c r="B1086" s="125"/>
      <c r="C1086" s="126"/>
      <c r="D1086" s="126"/>
      <c r="E1086" s="126"/>
      <c r="F1086" s="126"/>
      <c r="G1086" s="126"/>
      <c r="H1086" s="126"/>
      <c r="I1086" s="126"/>
      <c r="J1086" s="126"/>
      <c r="K1086" s="127"/>
      <c r="L1086" s="128"/>
      <c r="M1086" s="129"/>
      <c r="N1086" s="95"/>
      <c r="O1086" s="95"/>
      <c r="P1086" s="130"/>
    </row>
    <row r="1087" spans="2:16" s="89" customFormat="1" ht="12.75">
      <c r="B1087" s="125"/>
      <c r="C1087" s="126"/>
      <c r="D1087" s="126"/>
      <c r="E1087" s="126"/>
      <c r="F1087" s="126"/>
      <c r="G1087" s="126"/>
      <c r="H1087" s="126"/>
      <c r="I1087" s="126"/>
      <c r="J1087" s="126"/>
      <c r="K1087" s="127"/>
      <c r="L1087" s="128"/>
      <c r="M1087" s="129"/>
      <c r="N1087" s="95"/>
      <c r="O1087" s="95"/>
      <c r="P1087" s="130"/>
    </row>
    <row r="1088" spans="2:16" s="89" customFormat="1" ht="12.75">
      <c r="B1088" s="125"/>
      <c r="C1088" s="126"/>
      <c r="D1088" s="126"/>
      <c r="E1088" s="126"/>
      <c r="F1088" s="126"/>
      <c r="G1088" s="126"/>
      <c r="H1088" s="126"/>
      <c r="I1088" s="126"/>
      <c r="J1088" s="126"/>
      <c r="K1088" s="127"/>
      <c r="L1088" s="128"/>
      <c r="M1088" s="129"/>
      <c r="N1088" s="95"/>
      <c r="O1088" s="95"/>
      <c r="P1088" s="130"/>
    </row>
    <row r="1089" spans="2:16" s="89" customFormat="1" ht="12.75">
      <c r="B1089" s="125"/>
      <c r="C1089" s="126"/>
      <c r="D1089" s="126"/>
      <c r="E1089" s="126"/>
      <c r="F1089" s="126"/>
      <c r="G1089" s="126"/>
      <c r="H1089" s="126"/>
      <c r="I1089" s="126"/>
      <c r="J1089" s="126"/>
      <c r="K1089" s="127"/>
      <c r="L1089" s="128"/>
      <c r="M1089" s="129"/>
      <c r="N1089" s="95"/>
      <c r="O1089" s="95"/>
      <c r="P1089" s="130"/>
    </row>
    <row r="1090" spans="2:16" s="89" customFormat="1" ht="12.75">
      <c r="B1090" s="125"/>
      <c r="C1090" s="126"/>
      <c r="D1090" s="126"/>
      <c r="E1090" s="126"/>
      <c r="F1090" s="126"/>
      <c r="G1090" s="126"/>
      <c r="H1090" s="126"/>
      <c r="I1090" s="126"/>
      <c r="J1090" s="126"/>
      <c r="K1090" s="127"/>
      <c r="L1090" s="128"/>
      <c r="M1090" s="129"/>
      <c r="N1090" s="95"/>
      <c r="O1090" s="95"/>
      <c r="P1090" s="130"/>
    </row>
    <row r="1091" spans="2:16" s="89" customFormat="1" ht="12.75">
      <c r="B1091" s="125"/>
      <c r="C1091" s="126"/>
      <c r="D1091" s="126"/>
      <c r="E1091" s="126"/>
      <c r="F1091" s="126"/>
      <c r="G1091" s="126"/>
      <c r="H1091" s="126"/>
      <c r="I1091" s="126"/>
      <c r="J1091" s="126"/>
      <c r="K1091" s="127"/>
      <c r="L1091" s="128"/>
      <c r="M1091" s="129"/>
      <c r="N1091" s="95"/>
      <c r="O1091" s="95"/>
      <c r="P1091" s="130"/>
    </row>
    <row r="1092" spans="2:16" s="89" customFormat="1" ht="12.75">
      <c r="B1092" s="125"/>
      <c r="C1092" s="126"/>
      <c r="D1092" s="126"/>
      <c r="E1092" s="126"/>
      <c r="F1092" s="126"/>
      <c r="G1092" s="126"/>
      <c r="H1092" s="126"/>
      <c r="I1092" s="126"/>
      <c r="J1092" s="126"/>
      <c r="K1092" s="127"/>
      <c r="L1092" s="128"/>
      <c r="M1092" s="129"/>
      <c r="N1092" s="95"/>
      <c r="O1092" s="95"/>
      <c r="P1092" s="130"/>
    </row>
    <row r="1093" spans="2:16" s="89" customFormat="1" ht="12.75">
      <c r="B1093" s="125"/>
      <c r="C1093" s="126"/>
      <c r="D1093" s="126"/>
      <c r="E1093" s="126"/>
      <c r="F1093" s="126"/>
      <c r="G1093" s="126"/>
      <c r="H1093" s="126"/>
      <c r="I1093" s="126"/>
      <c r="J1093" s="126"/>
      <c r="K1093" s="127"/>
      <c r="L1093" s="128"/>
      <c r="M1093" s="129"/>
      <c r="N1093" s="95"/>
      <c r="O1093" s="95"/>
      <c r="P1093" s="130"/>
    </row>
    <row r="1094" spans="2:16" s="89" customFormat="1" ht="12.75">
      <c r="B1094" s="125"/>
      <c r="C1094" s="126"/>
      <c r="D1094" s="126"/>
      <c r="E1094" s="126"/>
      <c r="F1094" s="126"/>
      <c r="G1094" s="126"/>
      <c r="H1094" s="126"/>
      <c r="I1094" s="126"/>
      <c r="J1094" s="126"/>
      <c r="K1094" s="127"/>
      <c r="L1094" s="128"/>
      <c r="M1094" s="129"/>
      <c r="N1094" s="95"/>
      <c r="O1094" s="95"/>
      <c r="P1094" s="130"/>
    </row>
    <row r="1095" spans="2:16" s="89" customFormat="1" ht="12.75">
      <c r="B1095" s="125"/>
      <c r="C1095" s="126"/>
      <c r="D1095" s="126"/>
      <c r="E1095" s="126"/>
      <c r="F1095" s="126"/>
      <c r="G1095" s="126"/>
      <c r="H1095" s="126"/>
      <c r="I1095" s="126"/>
      <c r="J1095" s="126"/>
      <c r="K1095" s="127"/>
      <c r="L1095" s="128"/>
      <c r="M1095" s="129"/>
      <c r="N1095" s="95"/>
      <c r="O1095" s="95"/>
      <c r="P1095" s="130"/>
    </row>
    <row r="1096" spans="2:16" s="89" customFormat="1" ht="12.75">
      <c r="B1096" s="125"/>
      <c r="C1096" s="126"/>
      <c r="D1096" s="126"/>
      <c r="E1096" s="126"/>
      <c r="F1096" s="126"/>
      <c r="G1096" s="126"/>
      <c r="H1096" s="126"/>
      <c r="I1096" s="126"/>
      <c r="J1096" s="126"/>
      <c r="K1096" s="127"/>
      <c r="L1096" s="128"/>
      <c r="M1096" s="129"/>
      <c r="N1096" s="95"/>
      <c r="O1096" s="95"/>
      <c r="P1096" s="130"/>
    </row>
    <row r="1097" spans="2:16" s="89" customFormat="1" ht="12.75">
      <c r="B1097" s="125"/>
      <c r="C1097" s="126"/>
      <c r="D1097" s="126"/>
      <c r="E1097" s="126"/>
      <c r="F1097" s="126"/>
      <c r="G1097" s="126"/>
      <c r="H1097" s="126"/>
      <c r="I1097" s="126"/>
      <c r="J1097" s="126"/>
      <c r="K1097" s="127"/>
      <c r="L1097" s="128"/>
      <c r="M1097" s="129"/>
      <c r="N1097" s="95"/>
      <c r="O1097" s="95"/>
      <c r="P1097" s="130"/>
    </row>
    <row r="1098" spans="2:16" s="89" customFormat="1" ht="12.75">
      <c r="B1098" s="125"/>
      <c r="C1098" s="126"/>
      <c r="D1098" s="126"/>
      <c r="E1098" s="126"/>
      <c r="F1098" s="126"/>
      <c r="G1098" s="126"/>
      <c r="H1098" s="126"/>
      <c r="I1098" s="126"/>
      <c r="J1098" s="126"/>
      <c r="K1098" s="127"/>
      <c r="L1098" s="128"/>
      <c r="M1098" s="129"/>
      <c r="N1098" s="95"/>
      <c r="O1098" s="95"/>
      <c r="P1098" s="130"/>
    </row>
    <row r="1099" spans="2:16" s="89" customFormat="1" ht="12.75">
      <c r="B1099" s="125"/>
      <c r="C1099" s="126"/>
      <c r="D1099" s="126"/>
      <c r="E1099" s="126"/>
      <c r="F1099" s="126"/>
      <c r="G1099" s="126"/>
      <c r="H1099" s="126"/>
      <c r="I1099" s="126"/>
      <c r="J1099" s="126"/>
      <c r="K1099" s="127"/>
      <c r="L1099" s="128"/>
      <c r="M1099" s="129"/>
      <c r="N1099" s="95"/>
      <c r="O1099" s="95"/>
      <c r="P1099" s="130"/>
    </row>
    <row r="1100" spans="2:16" s="89" customFormat="1" ht="12.75">
      <c r="B1100" s="125"/>
      <c r="C1100" s="126"/>
      <c r="D1100" s="126"/>
      <c r="E1100" s="126"/>
      <c r="F1100" s="126"/>
      <c r="G1100" s="126"/>
      <c r="H1100" s="126"/>
      <c r="I1100" s="126"/>
      <c r="J1100" s="126"/>
      <c r="K1100" s="127"/>
      <c r="L1100" s="128"/>
      <c r="M1100" s="129"/>
      <c r="N1100" s="95"/>
      <c r="O1100" s="95"/>
      <c r="P1100" s="130"/>
    </row>
    <row r="1101" spans="2:16" s="89" customFormat="1" ht="12.75">
      <c r="B1101" s="125"/>
      <c r="C1101" s="126"/>
      <c r="D1101" s="126"/>
      <c r="E1101" s="126"/>
      <c r="F1101" s="126"/>
      <c r="G1101" s="126"/>
      <c r="H1101" s="126"/>
      <c r="I1101" s="126"/>
      <c r="J1101" s="126"/>
      <c r="K1101" s="127"/>
      <c r="L1101" s="128"/>
      <c r="M1101" s="129"/>
      <c r="N1101" s="95"/>
      <c r="O1101" s="95"/>
      <c r="P1101" s="130"/>
    </row>
    <row r="1102" spans="2:16" s="89" customFormat="1" ht="12.75">
      <c r="B1102" s="125"/>
      <c r="C1102" s="126"/>
      <c r="D1102" s="126"/>
      <c r="E1102" s="126"/>
      <c r="F1102" s="126"/>
      <c r="G1102" s="126"/>
      <c r="H1102" s="126"/>
      <c r="I1102" s="126"/>
      <c r="J1102" s="126"/>
      <c r="K1102" s="127"/>
      <c r="L1102" s="128"/>
      <c r="M1102" s="129"/>
      <c r="N1102" s="95"/>
      <c r="O1102" s="95"/>
      <c r="P1102" s="130"/>
    </row>
    <row r="1103" spans="2:16" s="89" customFormat="1" ht="12.75">
      <c r="B1103" s="125"/>
      <c r="C1103" s="126"/>
      <c r="D1103" s="126"/>
      <c r="E1103" s="126"/>
      <c r="F1103" s="126"/>
      <c r="G1103" s="126"/>
      <c r="H1103" s="126"/>
      <c r="I1103" s="126"/>
      <c r="J1103" s="126"/>
      <c r="K1103" s="127"/>
      <c r="L1103" s="128"/>
      <c r="M1103" s="129"/>
      <c r="N1103" s="95"/>
      <c r="O1103" s="95"/>
      <c r="P1103" s="130"/>
    </row>
    <row r="1104" spans="2:16" s="89" customFormat="1" ht="12.75">
      <c r="B1104" s="125"/>
      <c r="C1104" s="126"/>
      <c r="D1104" s="126"/>
      <c r="E1104" s="126"/>
      <c r="F1104" s="126"/>
      <c r="G1104" s="126"/>
      <c r="H1104" s="126"/>
      <c r="I1104" s="126"/>
      <c r="J1104" s="126"/>
      <c r="K1104" s="127"/>
      <c r="L1104" s="128"/>
      <c r="M1104" s="129"/>
      <c r="N1104" s="95"/>
      <c r="O1104" s="95"/>
      <c r="P1104" s="130"/>
    </row>
    <row r="1105" spans="2:16" s="89" customFormat="1" ht="12.75">
      <c r="B1105" s="125"/>
      <c r="C1105" s="126"/>
      <c r="D1105" s="126"/>
      <c r="E1105" s="126"/>
      <c r="F1105" s="126"/>
      <c r="G1105" s="126"/>
      <c r="H1105" s="126"/>
      <c r="I1105" s="126"/>
      <c r="J1105" s="126"/>
      <c r="K1105" s="127"/>
      <c r="L1105" s="128"/>
      <c r="M1105" s="129"/>
      <c r="N1105" s="95"/>
      <c r="O1105" s="95"/>
      <c r="P1105" s="130"/>
    </row>
    <row r="1106" spans="2:16" s="89" customFormat="1" ht="12.75">
      <c r="B1106" s="125"/>
      <c r="C1106" s="126"/>
      <c r="D1106" s="126"/>
      <c r="E1106" s="126"/>
      <c r="F1106" s="126"/>
      <c r="G1106" s="126"/>
      <c r="H1106" s="126"/>
      <c r="I1106" s="126"/>
      <c r="J1106" s="126"/>
      <c r="K1106" s="127"/>
      <c r="L1106" s="128"/>
      <c r="M1106" s="129"/>
      <c r="N1106" s="95"/>
      <c r="O1106" s="95"/>
      <c r="P1106" s="130"/>
    </row>
    <row r="1107" spans="2:16" s="89" customFormat="1" ht="12.75">
      <c r="B1107" s="125"/>
      <c r="C1107" s="126"/>
      <c r="D1107" s="126"/>
      <c r="E1107" s="126"/>
      <c r="F1107" s="126"/>
      <c r="G1107" s="126"/>
      <c r="H1107" s="126"/>
      <c r="I1107" s="126"/>
      <c r="J1107" s="126"/>
      <c r="K1107" s="127"/>
      <c r="L1107" s="128"/>
      <c r="M1107" s="129"/>
      <c r="N1107" s="95"/>
      <c r="O1107" s="95"/>
      <c r="P1107" s="130"/>
    </row>
    <row r="1108" spans="2:16" s="89" customFormat="1" ht="12.75">
      <c r="B1108" s="125"/>
      <c r="C1108" s="126"/>
      <c r="D1108" s="126"/>
      <c r="E1108" s="126"/>
      <c r="F1108" s="126"/>
      <c r="G1108" s="126"/>
      <c r="H1108" s="126"/>
      <c r="I1108" s="126"/>
      <c r="J1108" s="126"/>
      <c r="K1108" s="127"/>
      <c r="L1108" s="128"/>
      <c r="M1108" s="129"/>
      <c r="N1108" s="95"/>
      <c r="O1108" s="95"/>
      <c r="P1108" s="130"/>
    </row>
    <row r="1109" spans="2:16" s="89" customFormat="1" ht="12.75">
      <c r="B1109" s="125"/>
      <c r="C1109" s="126"/>
      <c r="D1109" s="126"/>
      <c r="E1109" s="126"/>
      <c r="F1109" s="126"/>
      <c r="G1109" s="126"/>
      <c r="H1109" s="126"/>
      <c r="I1109" s="126"/>
      <c r="J1109" s="126"/>
      <c r="K1109" s="127"/>
      <c r="L1109" s="128"/>
      <c r="M1109" s="129"/>
      <c r="N1109" s="95"/>
      <c r="O1109" s="95"/>
      <c r="P1109" s="130"/>
    </row>
    <row r="1110" spans="2:16" s="89" customFormat="1" ht="12.75">
      <c r="B1110" s="125"/>
      <c r="C1110" s="126"/>
      <c r="D1110" s="126"/>
      <c r="E1110" s="126"/>
      <c r="F1110" s="126"/>
      <c r="G1110" s="126"/>
      <c r="H1110" s="126"/>
      <c r="I1110" s="126"/>
      <c r="J1110" s="126"/>
      <c r="K1110" s="127"/>
      <c r="L1110" s="128"/>
      <c r="M1110" s="129"/>
      <c r="N1110" s="95"/>
      <c r="O1110" s="95"/>
      <c r="P1110" s="130"/>
    </row>
    <row r="1111" spans="2:16" s="89" customFormat="1" ht="12.75">
      <c r="B1111" s="125"/>
      <c r="C1111" s="126"/>
      <c r="D1111" s="126"/>
      <c r="E1111" s="126"/>
      <c r="F1111" s="126"/>
      <c r="G1111" s="126"/>
      <c r="H1111" s="126"/>
      <c r="I1111" s="126"/>
      <c r="J1111" s="126"/>
      <c r="K1111" s="127"/>
      <c r="L1111" s="128"/>
      <c r="M1111" s="129"/>
      <c r="N1111" s="95"/>
      <c r="O1111" s="95"/>
      <c r="P1111" s="130"/>
    </row>
    <row r="1112" spans="2:16" s="89" customFormat="1" ht="12.75">
      <c r="B1112" s="125"/>
      <c r="C1112" s="126"/>
      <c r="D1112" s="126"/>
      <c r="E1112" s="126"/>
      <c r="F1112" s="126"/>
      <c r="G1112" s="126"/>
      <c r="H1112" s="126"/>
      <c r="I1112" s="126"/>
      <c r="J1112" s="126"/>
      <c r="K1112" s="127"/>
      <c r="L1112" s="128"/>
      <c r="M1112" s="129"/>
      <c r="N1112" s="95"/>
      <c r="O1112" s="95"/>
      <c r="P1112" s="130"/>
    </row>
    <row r="1113" spans="2:16" s="89" customFormat="1" ht="12.75">
      <c r="B1113" s="125"/>
      <c r="C1113" s="126"/>
      <c r="D1113" s="126"/>
      <c r="E1113" s="126"/>
      <c r="F1113" s="126"/>
      <c r="G1113" s="126"/>
      <c r="H1113" s="126"/>
      <c r="I1113" s="126"/>
      <c r="J1113" s="126"/>
      <c r="K1113" s="127"/>
      <c r="L1113" s="128"/>
      <c r="M1113" s="129"/>
      <c r="N1113" s="95"/>
      <c r="O1113" s="95"/>
      <c r="P1113" s="130"/>
    </row>
    <row r="1114" spans="2:16" s="89" customFormat="1" ht="12.75">
      <c r="B1114" s="125"/>
      <c r="C1114" s="126"/>
      <c r="D1114" s="126"/>
      <c r="E1114" s="126"/>
      <c r="F1114" s="126"/>
      <c r="G1114" s="126"/>
      <c r="H1114" s="126"/>
      <c r="I1114" s="126"/>
      <c r="J1114" s="126"/>
      <c r="K1114" s="127"/>
      <c r="L1114" s="128"/>
      <c r="M1114" s="129"/>
      <c r="N1114" s="95"/>
      <c r="O1114" s="95"/>
      <c r="P1114" s="130"/>
    </row>
    <row r="1115" spans="2:16" s="89" customFormat="1" ht="12.75">
      <c r="B1115" s="125"/>
      <c r="C1115" s="126"/>
      <c r="D1115" s="126"/>
      <c r="E1115" s="126"/>
      <c r="F1115" s="126"/>
      <c r="G1115" s="126"/>
      <c r="H1115" s="126"/>
      <c r="I1115" s="126"/>
      <c r="J1115" s="126"/>
      <c r="K1115" s="127"/>
      <c r="L1115" s="128"/>
      <c r="M1115" s="129"/>
      <c r="N1115" s="95"/>
      <c r="O1115" s="95"/>
      <c r="P1115" s="130"/>
    </row>
    <row r="1116" spans="2:16" s="89" customFormat="1" ht="12.75">
      <c r="B1116" s="125"/>
      <c r="C1116" s="126"/>
      <c r="D1116" s="126"/>
      <c r="E1116" s="126"/>
      <c r="F1116" s="126"/>
      <c r="G1116" s="126"/>
      <c r="H1116" s="126"/>
      <c r="I1116" s="126"/>
      <c r="J1116" s="126"/>
      <c r="K1116" s="127"/>
      <c r="L1116" s="128"/>
      <c r="M1116" s="129"/>
      <c r="N1116" s="95"/>
      <c r="O1116" s="95"/>
      <c r="P1116" s="130"/>
    </row>
    <row r="1117" spans="2:16" s="89" customFormat="1" ht="12.75">
      <c r="B1117" s="125"/>
      <c r="C1117" s="126"/>
      <c r="D1117" s="126"/>
      <c r="E1117" s="126"/>
      <c r="F1117" s="126"/>
      <c r="G1117" s="126"/>
      <c r="H1117" s="126"/>
      <c r="I1117" s="126"/>
      <c r="J1117" s="126"/>
      <c r="K1117" s="127"/>
      <c r="L1117" s="128"/>
      <c r="M1117" s="129"/>
      <c r="N1117" s="95"/>
      <c r="O1117" s="95"/>
      <c r="P1117" s="130"/>
    </row>
    <row r="1118" spans="2:16" s="89" customFormat="1" ht="12.75">
      <c r="B1118" s="125"/>
      <c r="C1118" s="126"/>
      <c r="D1118" s="126"/>
      <c r="E1118" s="126"/>
      <c r="F1118" s="126"/>
      <c r="G1118" s="126"/>
      <c r="H1118" s="126"/>
      <c r="I1118" s="126"/>
      <c r="J1118" s="126"/>
      <c r="K1118" s="127"/>
      <c r="L1118" s="128"/>
      <c r="M1118" s="129"/>
      <c r="N1118" s="95"/>
      <c r="O1118" s="95"/>
      <c r="P1118" s="130"/>
    </row>
    <row r="1119" spans="2:16" s="89" customFormat="1" ht="12.75">
      <c r="B1119" s="125"/>
      <c r="C1119" s="126"/>
      <c r="D1119" s="126"/>
      <c r="E1119" s="126"/>
      <c r="F1119" s="126"/>
      <c r="G1119" s="126"/>
      <c r="H1119" s="126"/>
      <c r="I1119" s="126"/>
      <c r="J1119" s="126"/>
      <c r="K1119" s="127"/>
      <c r="L1119" s="128"/>
      <c r="M1119" s="129"/>
      <c r="N1119" s="95"/>
      <c r="O1119" s="95"/>
      <c r="P1119" s="130"/>
    </row>
    <row r="1120" spans="2:16" s="89" customFormat="1" ht="12.75">
      <c r="B1120" s="125"/>
      <c r="C1120" s="126"/>
      <c r="D1120" s="126"/>
      <c r="E1120" s="126"/>
      <c r="F1120" s="126"/>
      <c r="G1120" s="126"/>
      <c r="H1120" s="126"/>
      <c r="I1120" s="126"/>
      <c r="J1120" s="126"/>
      <c r="K1120" s="127"/>
      <c r="L1120" s="128"/>
      <c r="M1120" s="129"/>
      <c r="N1120" s="95"/>
      <c r="O1120" s="95"/>
      <c r="P1120" s="130"/>
    </row>
    <row r="1121" spans="2:16" s="89" customFormat="1" ht="12.75">
      <c r="B1121" s="125"/>
      <c r="C1121" s="126"/>
      <c r="D1121" s="126"/>
      <c r="E1121" s="126"/>
      <c r="F1121" s="126"/>
      <c r="G1121" s="126"/>
      <c r="H1121" s="126"/>
      <c r="I1121" s="126"/>
      <c r="J1121" s="126"/>
      <c r="K1121" s="127"/>
      <c r="L1121" s="128"/>
      <c r="M1121" s="129"/>
      <c r="N1121" s="95"/>
      <c r="O1121" s="95"/>
      <c r="P1121" s="130"/>
    </row>
    <row r="1122" spans="2:16" s="89" customFormat="1" ht="12.75">
      <c r="B1122" s="125"/>
      <c r="C1122" s="126"/>
      <c r="D1122" s="126"/>
      <c r="E1122" s="126"/>
      <c r="F1122" s="126"/>
      <c r="G1122" s="126"/>
      <c r="H1122" s="126"/>
      <c r="I1122" s="126"/>
      <c r="J1122" s="126"/>
      <c r="K1122" s="127"/>
      <c r="L1122" s="128"/>
      <c r="M1122" s="129"/>
      <c r="N1122" s="95"/>
      <c r="O1122" s="95"/>
      <c r="P1122" s="130"/>
    </row>
    <row r="1123" spans="2:16" s="89" customFormat="1" ht="12.75">
      <c r="B1123" s="125"/>
      <c r="C1123" s="126"/>
      <c r="D1123" s="126"/>
      <c r="E1123" s="126"/>
      <c r="F1123" s="126"/>
      <c r="G1123" s="126"/>
      <c r="H1123" s="126"/>
      <c r="I1123" s="126"/>
      <c r="J1123" s="126"/>
      <c r="K1123" s="127"/>
      <c r="L1123" s="128"/>
      <c r="M1123" s="129"/>
      <c r="N1123" s="95"/>
      <c r="O1123" s="95"/>
      <c r="P1123" s="130"/>
    </row>
    <row r="1124" spans="2:16" s="89" customFormat="1" ht="12.75">
      <c r="B1124" s="125"/>
      <c r="C1124" s="126"/>
      <c r="D1124" s="126"/>
      <c r="E1124" s="126"/>
      <c r="F1124" s="126"/>
      <c r="G1124" s="126"/>
      <c r="H1124" s="126"/>
      <c r="I1124" s="126"/>
      <c r="J1124" s="126"/>
      <c r="K1124" s="127"/>
      <c r="L1124" s="128"/>
      <c r="M1124" s="129"/>
      <c r="N1124" s="95"/>
      <c r="O1124" s="95"/>
      <c r="P1124" s="130"/>
    </row>
    <row r="1125" spans="2:16" s="89" customFormat="1" ht="12.75">
      <c r="B1125" s="125"/>
      <c r="C1125" s="126"/>
      <c r="D1125" s="126"/>
      <c r="E1125" s="126"/>
      <c r="F1125" s="126"/>
      <c r="G1125" s="126"/>
      <c r="H1125" s="126"/>
      <c r="I1125" s="126"/>
      <c r="J1125" s="126"/>
      <c r="K1125" s="127"/>
      <c r="L1125" s="128"/>
      <c r="M1125" s="129"/>
      <c r="N1125" s="95"/>
      <c r="O1125" s="95"/>
      <c r="P1125" s="130"/>
    </row>
    <row r="1126" spans="2:16" s="89" customFormat="1" ht="12.75">
      <c r="B1126" s="125"/>
      <c r="C1126" s="126"/>
      <c r="D1126" s="126"/>
      <c r="E1126" s="126"/>
      <c r="F1126" s="126"/>
      <c r="G1126" s="126"/>
      <c r="H1126" s="126"/>
      <c r="I1126" s="126"/>
      <c r="J1126" s="126"/>
      <c r="K1126" s="127"/>
      <c r="L1126" s="128"/>
      <c r="M1126" s="129"/>
      <c r="N1126" s="95"/>
      <c r="O1126" s="95"/>
      <c r="P1126" s="130"/>
    </row>
    <row r="1127" spans="2:16" s="89" customFormat="1" ht="12.75">
      <c r="B1127" s="125"/>
      <c r="C1127" s="126"/>
      <c r="D1127" s="126"/>
      <c r="E1127" s="126"/>
      <c r="F1127" s="126"/>
      <c r="G1127" s="126"/>
      <c r="H1127" s="126"/>
      <c r="I1127" s="126"/>
      <c r="J1127" s="126"/>
      <c r="K1127" s="127"/>
      <c r="L1127" s="128"/>
      <c r="M1127" s="129"/>
      <c r="N1127" s="95"/>
      <c r="O1127" s="95"/>
      <c r="P1127" s="130"/>
    </row>
    <row r="1128" spans="2:16" s="89" customFormat="1" ht="12.75">
      <c r="B1128" s="125"/>
      <c r="C1128" s="126"/>
      <c r="D1128" s="126"/>
      <c r="E1128" s="126"/>
      <c r="F1128" s="126"/>
      <c r="G1128" s="126"/>
      <c r="H1128" s="126"/>
      <c r="I1128" s="126"/>
      <c r="J1128" s="126"/>
      <c r="K1128" s="127"/>
      <c r="L1128" s="128"/>
      <c r="M1128" s="129"/>
      <c r="N1128" s="95"/>
      <c r="O1128" s="95"/>
      <c r="P1128" s="130"/>
    </row>
    <row r="1129" spans="2:16" s="89" customFormat="1" ht="12.75">
      <c r="B1129" s="125"/>
      <c r="C1129" s="126"/>
      <c r="D1129" s="126"/>
      <c r="E1129" s="126"/>
      <c r="F1129" s="126"/>
      <c r="G1129" s="126"/>
      <c r="H1129" s="126"/>
      <c r="I1129" s="126"/>
      <c r="J1129" s="126"/>
      <c r="K1129" s="127"/>
      <c r="L1129" s="128"/>
      <c r="M1129" s="129"/>
      <c r="N1129" s="95"/>
      <c r="O1129" s="95"/>
      <c r="P1129" s="130"/>
    </row>
    <row r="1130" spans="2:16" s="89" customFormat="1" ht="12.75">
      <c r="B1130" s="125"/>
      <c r="C1130" s="126"/>
      <c r="D1130" s="126"/>
      <c r="E1130" s="126"/>
      <c r="F1130" s="126"/>
      <c r="G1130" s="126"/>
      <c r="H1130" s="126"/>
      <c r="I1130" s="126"/>
      <c r="J1130" s="126"/>
      <c r="K1130" s="127"/>
      <c r="L1130" s="128"/>
      <c r="M1130" s="129"/>
      <c r="N1130" s="95"/>
      <c r="O1130" s="95"/>
      <c r="P1130" s="130"/>
    </row>
    <row r="1131" spans="2:16" s="89" customFormat="1" ht="12.75">
      <c r="B1131" s="125"/>
      <c r="C1131" s="126"/>
      <c r="D1131" s="126"/>
      <c r="E1131" s="126"/>
      <c r="F1131" s="126"/>
      <c r="G1131" s="126"/>
      <c r="H1131" s="126"/>
      <c r="I1131" s="126"/>
      <c r="J1131" s="126"/>
      <c r="K1131" s="127"/>
      <c r="L1131" s="128"/>
      <c r="M1131" s="129"/>
      <c r="N1131" s="95"/>
      <c r="O1131" s="95"/>
      <c r="P1131" s="130"/>
    </row>
    <row r="1132" spans="2:16" s="89" customFormat="1" ht="12.75">
      <c r="B1132" s="125"/>
      <c r="C1132" s="126"/>
      <c r="D1132" s="126"/>
      <c r="E1132" s="126"/>
      <c r="F1132" s="126"/>
      <c r="G1132" s="126"/>
      <c r="H1132" s="126"/>
      <c r="I1132" s="126"/>
      <c r="J1132" s="126"/>
      <c r="K1132" s="127"/>
      <c r="L1132" s="128"/>
      <c r="M1132" s="129"/>
      <c r="N1132" s="95"/>
      <c r="O1132" s="95"/>
      <c r="P1132" s="130"/>
    </row>
    <row r="1133" spans="2:16" s="89" customFormat="1" ht="12.75">
      <c r="B1133" s="125"/>
      <c r="C1133" s="126"/>
      <c r="D1133" s="126"/>
      <c r="E1133" s="126"/>
      <c r="F1133" s="126"/>
      <c r="G1133" s="126"/>
      <c r="H1133" s="126"/>
      <c r="I1133" s="126"/>
      <c r="J1133" s="126"/>
      <c r="K1133" s="127"/>
      <c r="L1133" s="128"/>
      <c r="M1133" s="129"/>
      <c r="N1133" s="95"/>
      <c r="O1133" s="95"/>
      <c r="P1133" s="130"/>
    </row>
    <row r="1134" spans="2:16" s="89" customFormat="1" ht="12.75">
      <c r="B1134" s="125"/>
      <c r="C1134" s="126"/>
      <c r="D1134" s="126"/>
      <c r="E1134" s="126"/>
      <c r="F1134" s="126"/>
      <c r="G1134" s="126"/>
      <c r="H1134" s="126"/>
      <c r="I1134" s="126"/>
      <c r="J1134" s="126"/>
      <c r="K1134" s="127"/>
      <c r="L1134" s="128"/>
      <c r="M1134" s="129"/>
      <c r="N1134" s="95"/>
      <c r="O1134" s="95"/>
      <c r="P1134" s="130"/>
    </row>
    <row r="1135" spans="2:16" s="89" customFormat="1" ht="12.75">
      <c r="B1135" s="125"/>
      <c r="C1135" s="126"/>
      <c r="D1135" s="126"/>
      <c r="E1135" s="126"/>
      <c r="F1135" s="126"/>
      <c r="G1135" s="126"/>
      <c r="H1135" s="126"/>
      <c r="I1135" s="126"/>
      <c r="J1135" s="126"/>
      <c r="K1135" s="127"/>
      <c r="L1135" s="128"/>
      <c r="M1135" s="129"/>
      <c r="N1135" s="95"/>
      <c r="O1135" s="95"/>
      <c r="P1135" s="130"/>
    </row>
    <row r="1136" spans="2:16" s="89" customFormat="1" ht="12.75">
      <c r="B1136" s="125"/>
      <c r="C1136" s="126"/>
      <c r="D1136" s="126"/>
      <c r="E1136" s="126"/>
      <c r="F1136" s="126"/>
      <c r="G1136" s="126"/>
      <c r="H1136" s="126"/>
      <c r="I1136" s="126"/>
      <c r="J1136" s="126"/>
      <c r="K1136" s="127"/>
      <c r="L1136" s="128"/>
      <c r="M1136" s="129"/>
      <c r="N1136" s="95"/>
      <c r="O1136" s="95"/>
      <c r="P1136" s="130"/>
    </row>
    <row r="1137" spans="2:16" s="89" customFormat="1" ht="12.75">
      <c r="B1137" s="125"/>
      <c r="C1137" s="126"/>
      <c r="D1137" s="126"/>
      <c r="E1137" s="126"/>
      <c r="F1137" s="126"/>
      <c r="G1137" s="126"/>
      <c r="H1137" s="126"/>
      <c r="I1137" s="126"/>
      <c r="J1137" s="126"/>
      <c r="K1137" s="127"/>
      <c r="L1137" s="128"/>
      <c r="M1137" s="129"/>
      <c r="N1137" s="95"/>
      <c r="O1137" s="95"/>
      <c r="P1137" s="130"/>
    </row>
    <row r="1138" spans="2:16" s="89" customFormat="1" ht="12.75">
      <c r="B1138" s="125"/>
      <c r="C1138" s="126"/>
      <c r="D1138" s="126"/>
      <c r="E1138" s="126"/>
      <c r="F1138" s="126"/>
      <c r="G1138" s="126"/>
      <c r="H1138" s="126"/>
      <c r="I1138" s="126"/>
      <c r="J1138" s="126"/>
      <c r="K1138" s="127"/>
      <c r="L1138" s="128"/>
      <c r="M1138" s="129"/>
      <c r="N1138" s="95"/>
      <c r="O1138" s="95"/>
      <c r="P1138" s="130"/>
    </row>
    <row r="1139" spans="2:16" s="89" customFormat="1" ht="12.75">
      <c r="B1139" s="125"/>
      <c r="C1139" s="126"/>
      <c r="D1139" s="126"/>
      <c r="E1139" s="126"/>
      <c r="F1139" s="126"/>
      <c r="G1139" s="126"/>
      <c r="H1139" s="126"/>
      <c r="I1139" s="126"/>
      <c r="J1139" s="126"/>
      <c r="K1139" s="127"/>
      <c r="L1139" s="128"/>
      <c r="M1139" s="129"/>
      <c r="N1139" s="95"/>
      <c r="O1139" s="95"/>
      <c r="P1139" s="130"/>
    </row>
    <row r="1140" spans="2:16" s="89" customFormat="1" ht="12.75">
      <c r="B1140" s="125"/>
      <c r="C1140" s="126"/>
      <c r="D1140" s="126"/>
      <c r="E1140" s="126"/>
      <c r="F1140" s="126"/>
      <c r="G1140" s="126"/>
      <c r="H1140" s="126"/>
      <c r="I1140" s="126"/>
      <c r="J1140" s="126"/>
      <c r="K1140" s="127"/>
      <c r="L1140" s="128"/>
      <c r="M1140" s="129"/>
      <c r="N1140" s="95"/>
      <c r="O1140" s="95"/>
      <c r="P1140" s="130"/>
    </row>
    <row r="1141" spans="2:16" s="89" customFormat="1" ht="12.75">
      <c r="B1141" s="125"/>
      <c r="C1141" s="126"/>
      <c r="D1141" s="126"/>
      <c r="E1141" s="126"/>
      <c r="F1141" s="126"/>
      <c r="G1141" s="126"/>
      <c r="H1141" s="126"/>
      <c r="I1141" s="126"/>
      <c r="J1141" s="126"/>
      <c r="K1141" s="127"/>
      <c r="L1141" s="128"/>
      <c r="M1141" s="129"/>
      <c r="N1141" s="95"/>
      <c r="O1141" s="95"/>
      <c r="P1141" s="130"/>
    </row>
    <row r="1142" spans="2:16" s="89" customFormat="1" ht="12.75">
      <c r="B1142" s="125"/>
      <c r="C1142" s="126"/>
      <c r="D1142" s="126"/>
      <c r="E1142" s="126"/>
      <c r="F1142" s="126"/>
      <c r="G1142" s="126"/>
      <c r="H1142" s="126"/>
      <c r="I1142" s="126"/>
      <c r="J1142" s="126"/>
      <c r="K1142" s="127"/>
      <c r="L1142" s="128"/>
      <c r="M1142" s="129"/>
      <c r="N1142" s="95"/>
      <c r="O1142" s="95"/>
      <c r="P1142" s="130"/>
    </row>
    <row r="1143" spans="2:16" s="89" customFormat="1" ht="12.75">
      <c r="B1143" s="125"/>
      <c r="C1143" s="126"/>
      <c r="D1143" s="126"/>
      <c r="E1143" s="126"/>
      <c r="F1143" s="126"/>
      <c r="G1143" s="126"/>
      <c r="H1143" s="126"/>
      <c r="I1143" s="126"/>
      <c r="J1143" s="126"/>
      <c r="K1143" s="127"/>
      <c r="L1143" s="128"/>
      <c r="M1143" s="129"/>
      <c r="N1143" s="95"/>
      <c r="O1143" s="95"/>
      <c r="P1143" s="130"/>
    </row>
    <row r="1144" spans="2:16" s="89" customFormat="1" ht="12.75">
      <c r="B1144" s="125"/>
      <c r="C1144" s="126"/>
      <c r="D1144" s="126"/>
      <c r="E1144" s="126"/>
      <c r="F1144" s="126"/>
      <c r="G1144" s="126"/>
      <c r="H1144" s="126"/>
      <c r="I1144" s="126"/>
      <c r="J1144" s="126"/>
      <c r="K1144" s="127"/>
      <c r="L1144" s="128"/>
      <c r="M1144" s="129"/>
      <c r="N1144" s="95"/>
      <c r="O1144" s="95"/>
      <c r="P1144" s="130"/>
    </row>
    <row r="1145" spans="2:16" s="89" customFormat="1" ht="12.75">
      <c r="B1145" s="125"/>
      <c r="C1145" s="126"/>
      <c r="D1145" s="126"/>
      <c r="E1145" s="126"/>
      <c r="F1145" s="126"/>
      <c r="G1145" s="126"/>
      <c r="H1145" s="126"/>
      <c r="I1145" s="126"/>
      <c r="J1145" s="126"/>
      <c r="K1145" s="127"/>
      <c r="L1145" s="128"/>
      <c r="M1145" s="129"/>
      <c r="N1145" s="95"/>
      <c r="O1145" s="95"/>
      <c r="P1145" s="130"/>
    </row>
    <row r="1146" spans="2:16" s="89" customFormat="1" ht="12.75">
      <c r="B1146" s="125"/>
      <c r="C1146" s="126"/>
      <c r="D1146" s="126"/>
      <c r="E1146" s="126"/>
      <c r="F1146" s="126"/>
      <c r="G1146" s="126"/>
      <c r="H1146" s="126"/>
      <c r="I1146" s="126"/>
      <c r="J1146" s="126"/>
      <c r="K1146" s="127"/>
      <c r="L1146" s="128"/>
      <c r="M1146" s="129"/>
      <c r="N1146" s="95"/>
      <c r="O1146" s="95"/>
      <c r="P1146" s="130"/>
    </row>
    <row r="1147" spans="2:16" s="89" customFormat="1" ht="12.75">
      <c r="B1147" s="125"/>
      <c r="C1147" s="126"/>
      <c r="D1147" s="126"/>
      <c r="E1147" s="126"/>
      <c r="F1147" s="126"/>
      <c r="G1147" s="126"/>
      <c r="H1147" s="126"/>
      <c r="I1147" s="126"/>
      <c r="J1147" s="126"/>
      <c r="K1147" s="127"/>
      <c r="L1147" s="128"/>
      <c r="M1147" s="129"/>
      <c r="N1147" s="95"/>
      <c r="O1147" s="95"/>
      <c r="P1147" s="130"/>
    </row>
    <row r="1148" spans="2:16" s="89" customFormat="1" ht="12.75">
      <c r="B1148" s="125"/>
      <c r="C1148" s="126"/>
      <c r="D1148" s="126"/>
      <c r="E1148" s="126"/>
      <c r="F1148" s="126"/>
      <c r="G1148" s="126"/>
      <c r="H1148" s="126"/>
      <c r="I1148" s="126"/>
      <c r="J1148" s="126"/>
      <c r="K1148" s="127"/>
      <c r="L1148" s="128"/>
      <c r="M1148" s="129"/>
      <c r="N1148" s="95"/>
      <c r="O1148" s="95"/>
      <c r="P1148" s="130"/>
    </row>
    <row r="1149" spans="2:16" s="89" customFormat="1" ht="12.75">
      <c r="B1149" s="125"/>
      <c r="C1149" s="126"/>
      <c r="D1149" s="126"/>
      <c r="E1149" s="126"/>
      <c r="F1149" s="126"/>
      <c r="G1149" s="126"/>
      <c r="H1149" s="126"/>
      <c r="I1149" s="126"/>
      <c r="J1149" s="126"/>
      <c r="K1149" s="127"/>
      <c r="L1149" s="128"/>
      <c r="M1149" s="129"/>
      <c r="N1149" s="95"/>
      <c r="O1149" s="95"/>
      <c r="P1149" s="130"/>
    </row>
    <row r="1150" spans="2:16" s="89" customFormat="1" ht="12.75">
      <c r="B1150" s="125"/>
      <c r="C1150" s="126"/>
      <c r="D1150" s="126"/>
      <c r="E1150" s="126"/>
      <c r="F1150" s="126"/>
      <c r="G1150" s="126"/>
      <c r="H1150" s="126"/>
      <c r="I1150" s="126"/>
      <c r="J1150" s="126"/>
      <c r="K1150" s="127"/>
      <c r="L1150" s="128"/>
      <c r="M1150" s="129"/>
      <c r="N1150" s="95"/>
      <c r="O1150" s="95"/>
      <c r="P1150" s="130"/>
    </row>
    <row r="1151" spans="2:16" s="89" customFormat="1" ht="12.75">
      <c r="B1151" s="125"/>
      <c r="C1151" s="126"/>
      <c r="D1151" s="126"/>
      <c r="E1151" s="126"/>
      <c r="F1151" s="126"/>
      <c r="G1151" s="126"/>
      <c r="H1151" s="126"/>
      <c r="I1151" s="126"/>
      <c r="J1151" s="126"/>
      <c r="K1151" s="127"/>
      <c r="L1151" s="128"/>
      <c r="M1151" s="129"/>
      <c r="N1151" s="95"/>
      <c r="O1151" s="95"/>
      <c r="P1151" s="130"/>
    </row>
    <row r="1152" spans="2:16" s="89" customFormat="1" ht="12.75">
      <c r="B1152" s="125"/>
      <c r="C1152" s="126"/>
      <c r="D1152" s="126"/>
      <c r="E1152" s="126"/>
      <c r="F1152" s="126"/>
      <c r="G1152" s="126"/>
      <c r="H1152" s="126"/>
      <c r="I1152" s="126"/>
      <c r="J1152" s="126"/>
      <c r="K1152" s="127"/>
      <c r="L1152" s="128"/>
      <c r="M1152" s="129"/>
      <c r="N1152" s="95"/>
      <c r="O1152" s="95"/>
      <c r="P1152" s="130"/>
    </row>
    <row r="1153" spans="2:16" s="89" customFormat="1" ht="12.75">
      <c r="B1153" s="125"/>
      <c r="C1153" s="126"/>
      <c r="D1153" s="126"/>
      <c r="E1153" s="126"/>
      <c r="F1153" s="126"/>
      <c r="G1153" s="126"/>
      <c r="H1153" s="126"/>
      <c r="I1153" s="126"/>
      <c r="J1153" s="126"/>
      <c r="K1153" s="127"/>
      <c r="L1153" s="128"/>
      <c r="M1153" s="129"/>
      <c r="N1153" s="95"/>
      <c r="O1153" s="95"/>
      <c r="P1153" s="130"/>
    </row>
    <row r="1154" spans="2:16" s="89" customFormat="1" ht="12.75">
      <c r="B1154" s="125"/>
      <c r="C1154" s="126"/>
      <c r="D1154" s="126"/>
      <c r="E1154" s="126"/>
      <c r="F1154" s="126"/>
      <c r="G1154" s="126"/>
      <c r="H1154" s="126"/>
      <c r="I1154" s="126"/>
      <c r="J1154" s="126"/>
      <c r="K1154" s="127"/>
      <c r="L1154" s="128"/>
      <c r="M1154" s="129"/>
      <c r="N1154" s="95"/>
      <c r="O1154" s="95"/>
      <c r="P1154" s="130"/>
    </row>
    <row r="1155" spans="2:16" s="89" customFormat="1" ht="12.75">
      <c r="B1155" s="125"/>
      <c r="C1155" s="126"/>
      <c r="D1155" s="126"/>
      <c r="E1155" s="126"/>
      <c r="F1155" s="126"/>
      <c r="G1155" s="126"/>
      <c r="H1155" s="126"/>
      <c r="I1155" s="126"/>
      <c r="J1155" s="126"/>
      <c r="K1155" s="127"/>
      <c r="L1155" s="128"/>
      <c r="M1155" s="129"/>
      <c r="N1155" s="95"/>
      <c r="O1155" s="95"/>
      <c r="P1155" s="130"/>
    </row>
    <row r="1156" spans="2:16" s="89" customFormat="1" ht="12.75">
      <c r="B1156" s="125"/>
      <c r="C1156" s="126"/>
      <c r="D1156" s="126"/>
      <c r="E1156" s="126"/>
      <c r="F1156" s="126"/>
      <c r="G1156" s="126"/>
      <c r="H1156" s="126"/>
      <c r="I1156" s="126"/>
      <c r="J1156" s="126"/>
      <c r="K1156" s="127"/>
      <c r="L1156" s="128"/>
      <c r="M1156" s="129"/>
      <c r="N1156" s="95"/>
      <c r="O1156" s="95"/>
      <c r="P1156" s="130"/>
    </row>
    <row r="1157" spans="2:16" s="89" customFormat="1" ht="12.75">
      <c r="B1157" s="125"/>
      <c r="C1157" s="126"/>
      <c r="D1157" s="126"/>
      <c r="E1157" s="126"/>
      <c r="F1157" s="126"/>
      <c r="G1157" s="126"/>
      <c r="H1157" s="126"/>
      <c r="I1157" s="126"/>
      <c r="J1157" s="126"/>
      <c r="K1157" s="127"/>
      <c r="L1157" s="128"/>
      <c r="M1157" s="129"/>
      <c r="N1157" s="95"/>
      <c r="O1157" s="95"/>
      <c r="P1157" s="130"/>
    </row>
    <row r="1158" spans="2:16" s="89" customFormat="1" ht="12.75">
      <c r="B1158" s="125"/>
      <c r="C1158" s="126"/>
      <c r="D1158" s="126"/>
      <c r="E1158" s="126"/>
      <c r="F1158" s="126"/>
      <c r="G1158" s="126"/>
      <c r="H1158" s="126"/>
      <c r="I1158" s="126"/>
      <c r="J1158" s="126"/>
      <c r="K1158" s="127"/>
      <c r="L1158" s="128"/>
      <c r="M1158" s="129"/>
      <c r="N1158" s="95"/>
      <c r="O1158" s="95"/>
      <c r="P1158" s="130"/>
    </row>
    <row r="1159" spans="2:16" s="89" customFormat="1" ht="12.75">
      <c r="B1159" s="125"/>
      <c r="C1159" s="126"/>
      <c r="D1159" s="126"/>
      <c r="E1159" s="126"/>
      <c r="F1159" s="126"/>
      <c r="G1159" s="126"/>
      <c r="H1159" s="126"/>
      <c r="I1159" s="126"/>
      <c r="J1159" s="126"/>
      <c r="K1159" s="127"/>
      <c r="L1159" s="128"/>
      <c r="M1159" s="129"/>
      <c r="N1159" s="95"/>
      <c r="O1159" s="95"/>
      <c r="P1159" s="130"/>
    </row>
    <row r="1160" spans="2:16" s="89" customFormat="1" ht="12.75">
      <c r="B1160" s="125"/>
      <c r="C1160" s="126"/>
      <c r="D1160" s="126"/>
      <c r="E1160" s="126"/>
      <c r="F1160" s="126"/>
      <c r="G1160" s="126"/>
      <c r="H1160" s="126"/>
      <c r="I1160" s="126"/>
      <c r="J1160" s="126"/>
      <c r="K1160" s="127"/>
      <c r="L1160" s="128"/>
      <c r="M1160" s="129"/>
      <c r="N1160" s="95"/>
      <c r="O1160" s="95"/>
      <c r="P1160" s="130"/>
    </row>
    <row r="1161" spans="2:16" s="89" customFormat="1" ht="12.75">
      <c r="B1161" s="125"/>
      <c r="C1161" s="126"/>
      <c r="D1161" s="126"/>
      <c r="E1161" s="126"/>
      <c r="F1161" s="126"/>
      <c r="G1161" s="126"/>
      <c r="H1161" s="126"/>
      <c r="I1161" s="126"/>
      <c r="J1161" s="126"/>
      <c r="K1161" s="127"/>
      <c r="L1161" s="128"/>
      <c r="M1161" s="129"/>
      <c r="N1161" s="95"/>
      <c r="O1161" s="95"/>
      <c r="P1161" s="130"/>
    </row>
    <row r="1162" spans="2:16" s="89" customFormat="1" ht="12.75">
      <c r="B1162" s="125"/>
      <c r="C1162" s="126"/>
      <c r="D1162" s="126"/>
      <c r="E1162" s="126"/>
      <c r="F1162" s="126"/>
      <c r="G1162" s="126"/>
      <c r="H1162" s="126"/>
      <c r="I1162" s="126"/>
      <c r="J1162" s="126"/>
      <c r="K1162" s="127"/>
      <c r="L1162" s="128"/>
      <c r="M1162" s="129"/>
      <c r="N1162" s="95"/>
      <c r="O1162" s="95"/>
      <c r="P1162" s="130"/>
    </row>
    <row r="1163" spans="2:16" s="89" customFormat="1" ht="12.75">
      <c r="B1163" s="125"/>
      <c r="C1163" s="126"/>
      <c r="D1163" s="126"/>
      <c r="E1163" s="126"/>
      <c r="F1163" s="126"/>
      <c r="G1163" s="126"/>
      <c r="H1163" s="126"/>
      <c r="I1163" s="126"/>
      <c r="J1163" s="126"/>
      <c r="K1163" s="127"/>
      <c r="L1163" s="128"/>
      <c r="M1163" s="129"/>
      <c r="N1163" s="95"/>
      <c r="O1163" s="95"/>
      <c r="P1163" s="130"/>
    </row>
    <row r="1164" spans="2:16" s="89" customFormat="1" ht="12.75">
      <c r="B1164" s="125"/>
      <c r="C1164" s="126"/>
      <c r="D1164" s="126"/>
      <c r="E1164" s="126"/>
      <c r="F1164" s="126"/>
      <c r="G1164" s="126"/>
      <c r="H1164" s="126"/>
      <c r="I1164" s="126"/>
      <c r="J1164" s="126"/>
      <c r="K1164" s="127"/>
      <c r="L1164" s="128"/>
      <c r="M1164" s="129"/>
      <c r="N1164" s="95"/>
      <c r="O1164" s="95"/>
      <c r="P1164" s="130"/>
    </row>
    <row r="1165" spans="2:16" s="89" customFormat="1" ht="12.75">
      <c r="B1165" s="125"/>
      <c r="C1165" s="126"/>
      <c r="D1165" s="126"/>
      <c r="E1165" s="126"/>
      <c r="F1165" s="126"/>
      <c r="G1165" s="126"/>
      <c r="H1165" s="126"/>
      <c r="I1165" s="126"/>
      <c r="J1165" s="126"/>
      <c r="K1165" s="127"/>
      <c r="L1165" s="128"/>
      <c r="M1165" s="129"/>
      <c r="N1165" s="95"/>
      <c r="O1165" s="95"/>
      <c r="P1165" s="130"/>
    </row>
    <row r="1166" spans="2:16" s="89" customFormat="1" ht="12.75">
      <c r="B1166" s="125"/>
      <c r="C1166" s="126"/>
      <c r="D1166" s="126"/>
      <c r="E1166" s="126"/>
      <c r="F1166" s="126"/>
      <c r="G1166" s="126"/>
      <c r="H1166" s="126"/>
      <c r="I1166" s="126"/>
      <c r="J1166" s="126"/>
      <c r="K1166" s="127"/>
      <c r="L1166" s="128"/>
      <c r="M1166" s="129"/>
      <c r="N1166" s="95"/>
      <c r="O1166" s="95"/>
      <c r="P1166" s="130"/>
    </row>
    <row r="1167" spans="2:16" s="89" customFormat="1" ht="12.75">
      <c r="B1167" s="125"/>
      <c r="C1167" s="126"/>
      <c r="D1167" s="126"/>
      <c r="E1167" s="126"/>
      <c r="F1167" s="126"/>
      <c r="G1167" s="126"/>
      <c r="H1167" s="126"/>
      <c r="I1167" s="126"/>
      <c r="J1167" s="126"/>
      <c r="K1167" s="127"/>
      <c r="L1167" s="128"/>
      <c r="M1167" s="129"/>
      <c r="N1167" s="95"/>
      <c r="O1167" s="95"/>
      <c r="P1167" s="130"/>
    </row>
    <row r="1168" spans="2:16" s="89" customFormat="1" ht="12.75">
      <c r="B1168" s="125"/>
      <c r="C1168" s="126"/>
      <c r="D1168" s="126"/>
      <c r="E1168" s="126"/>
      <c r="F1168" s="126"/>
      <c r="G1168" s="126"/>
      <c r="H1168" s="126"/>
      <c r="I1168" s="126"/>
      <c r="J1168" s="126"/>
      <c r="K1168" s="127"/>
      <c r="L1168" s="128"/>
      <c r="M1168" s="129"/>
      <c r="N1168" s="95"/>
      <c r="O1168" s="95"/>
      <c r="P1168" s="130"/>
    </row>
    <row r="1169" spans="2:16" s="89" customFormat="1" ht="12.75">
      <c r="B1169" s="125"/>
      <c r="C1169" s="126"/>
      <c r="D1169" s="126"/>
      <c r="E1169" s="126"/>
      <c r="F1169" s="126"/>
      <c r="G1169" s="126"/>
      <c r="H1169" s="126"/>
      <c r="I1169" s="126"/>
      <c r="J1169" s="126"/>
      <c r="K1169" s="127"/>
      <c r="L1169" s="128"/>
      <c r="M1169" s="129"/>
      <c r="N1169" s="95"/>
      <c r="O1169" s="95"/>
      <c r="P1169" s="130"/>
    </row>
    <row r="1170" spans="2:16" s="89" customFormat="1" ht="12.75">
      <c r="B1170" s="125"/>
      <c r="C1170" s="126"/>
      <c r="D1170" s="126"/>
      <c r="E1170" s="126"/>
      <c r="F1170" s="126"/>
      <c r="G1170" s="126"/>
      <c r="H1170" s="126"/>
      <c r="I1170" s="126"/>
      <c r="J1170" s="126"/>
      <c r="K1170" s="127"/>
      <c r="L1170" s="128"/>
      <c r="M1170" s="129"/>
      <c r="N1170" s="95"/>
      <c r="O1170" s="95"/>
      <c r="P1170" s="130"/>
    </row>
    <row r="1171" spans="2:16" s="89" customFormat="1" ht="12.75">
      <c r="B1171" s="125"/>
      <c r="C1171" s="126"/>
      <c r="D1171" s="126"/>
      <c r="E1171" s="126"/>
      <c r="F1171" s="126"/>
      <c r="G1171" s="126"/>
      <c r="H1171" s="126"/>
      <c r="I1171" s="126"/>
      <c r="J1171" s="126"/>
      <c r="K1171" s="127"/>
      <c r="L1171" s="128"/>
      <c r="M1171" s="129"/>
      <c r="N1171" s="95"/>
      <c r="O1171" s="95"/>
      <c r="P1171" s="130"/>
    </row>
    <row r="1172" spans="2:16" s="89" customFormat="1" ht="12.75">
      <c r="B1172" s="125"/>
      <c r="C1172" s="126"/>
      <c r="D1172" s="126"/>
      <c r="E1172" s="126"/>
      <c r="F1172" s="126"/>
      <c r="G1172" s="126"/>
      <c r="H1172" s="126"/>
      <c r="I1172" s="126"/>
      <c r="J1172" s="126"/>
      <c r="K1172" s="127"/>
      <c r="L1172" s="128"/>
      <c r="M1172" s="129"/>
      <c r="N1172" s="95"/>
      <c r="O1172" s="95"/>
      <c r="P1172" s="130"/>
    </row>
    <row r="1173" spans="2:16" s="89" customFormat="1" ht="12.75">
      <c r="B1173" s="125"/>
      <c r="C1173" s="126"/>
      <c r="D1173" s="126"/>
      <c r="E1173" s="126"/>
      <c r="F1173" s="126"/>
      <c r="G1173" s="126"/>
      <c r="H1173" s="126"/>
      <c r="I1173" s="126"/>
      <c r="J1173" s="126"/>
      <c r="K1173" s="127"/>
      <c r="L1173" s="128"/>
      <c r="M1173" s="129"/>
      <c r="N1173" s="95"/>
      <c r="O1173" s="95"/>
      <c r="P1173" s="130"/>
    </row>
    <row r="1174" spans="2:16" s="89" customFormat="1" ht="12.75">
      <c r="B1174" s="125"/>
      <c r="C1174" s="126"/>
      <c r="D1174" s="126"/>
      <c r="E1174" s="126"/>
      <c r="F1174" s="126"/>
      <c r="G1174" s="126"/>
      <c r="H1174" s="126"/>
      <c r="I1174" s="126"/>
      <c r="J1174" s="126"/>
      <c r="K1174" s="127"/>
      <c r="L1174" s="128"/>
      <c r="M1174" s="129"/>
      <c r="N1174" s="95"/>
      <c r="O1174" s="95"/>
      <c r="P1174" s="130"/>
    </row>
    <row r="1175" spans="2:16" s="89" customFormat="1" ht="12.75">
      <c r="B1175" s="125"/>
      <c r="C1175" s="126"/>
      <c r="D1175" s="126"/>
      <c r="E1175" s="126"/>
      <c r="F1175" s="126"/>
      <c r="G1175" s="126"/>
      <c r="H1175" s="126"/>
      <c r="I1175" s="126"/>
      <c r="J1175" s="126"/>
      <c r="K1175" s="127"/>
      <c r="L1175" s="128"/>
      <c r="M1175" s="129"/>
      <c r="N1175" s="95"/>
      <c r="O1175" s="95"/>
      <c r="P1175" s="130"/>
    </row>
    <row r="1176" spans="2:16" s="89" customFormat="1" ht="12.75">
      <c r="B1176" s="125"/>
      <c r="C1176" s="126"/>
      <c r="D1176" s="126"/>
      <c r="E1176" s="126"/>
      <c r="F1176" s="126"/>
      <c r="G1176" s="126"/>
      <c r="H1176" s="126"/>
      <c r="I1176" s="126"/>
      <c r="J1176" s="126"/>
      <c r="K1176" s="127"/>
      <c r="L1176" s="128"/>
      <c r="M1176" s="129"/>
      <c r="N1176" s="95"/>
      <c r="O1176" s="95"/>
      <c r="P1176" s="130"/>
    </row>
    <row r="1177" spans="2:16" s="89" customFormat="1" ht="12.75">
      <c r="B1177" s="125"/>
      <c r="C1177" s="126"/>
      <c r="D1177" s="126"/>
      <c r="E1177" s="126"/>
      <c r="F1177" s="126"/>
      <c r="G1177" s="126"/>
      <c r="H1177" s="126"/>
      <c r="I1177" s="126"/>
      <c r="J1177" s="126"/>
      <c r="K1177" s="127"/>
      <c r="L1177" s="128"/>
      <c r="M1177" s="129"/>
      <c r="N1177" s="95"/>
      <c r="O1177" s="95"/>
      <c r="P1177" s="130"/>
    </row>
    <row r="1178" spans="2:16" s="89" customFormat="1" ht="12.75">
      <c r="B1178" s="125"/>
      <c r="C1178" s="126"/>
      <c r="D1178" s="126"/>
      <c r="E1178" s="126"/>
      <c r="F1178" s="126"/>
      <c r="G1178" s="126"/>
      <c r="H1178" s="126"/>
      <c r="I1178" s="126"/>
      <c r="J1178" s="126"/>
      <c r="K1178" s="127"/>
      <c r="L1178" s="128"/>
      <c r="M1178" s="129"/>
      <c r="N1178" s="95"/>
      <c r="O1178" s="95"/>
      <c r="P1178" s="130"/>
    </row>
    <row r="1179" spans="2:16" s="89" customFormat="1" ht="12.75">
      <c r="B1179" s="125"/>
      <c r="C1179" s="126"/>
      <c r="D1179" s="126"/>
      <c r="E1179" s="126"/>
      <c r="F1179" s="126"/>
      <c r="G1179" s="126"/>
      <c r="H1179" s="126"/>
      <c r="I1179" s="126"/>
      <c r="J1179" s="126"/>
      <c r="K1179" s="127"/>
      <c r="L1179" s="128"/>
      <c r="M1179" s="129"/>
      <c r="N1179" s="95"/>
      <c r="O1179" s="95"/>
      <c r="P1179" s="130"/>
    </row>
    <row r="1180" spans="2:16" s="89" customFormat="1" ht="12.75">
      <c r="B1180" s="125"/>
      <c r="C1180" s="126"/>
      <c r="D1180" s="126"/>
      <c r="E1180" s="126"/>
      <c r="F1180" s="126"/>
      <c r="G1180" s="126"/>
      <c r="H1180" s="126"/>
      <c r="I1180" s="126"/>
      <c r="J1180" s="126"/>
      <c r="K1180" s="127"/>
      <c r="L1180" s="128"/>
      <c r="M1180" s="129"/>
      <c r="N1180" s="95"/>
      <c r="O1180" s="95"/>
      <c r="P1180" s="130"/>
    </row>
    <row r="1181" spans="2:16" s="89" customFormat="1" ht="12.75">
      <c r="B1181" s="125"/>
      <c r="C1181" s="126"/>
      <c r="D1181" s="126"/>
      <c r="E1181" s="126"/>
      <c r="F1181" s="126"/>
      <c r="G1181" s="126"/>
      <c r="H1181" s="126"/>
      <c r="I1181" s="126"/>
      <c r="J1181" s="126"/>
      <c r="K1181" s="127"/>
      <c r="L1181" s="128"/>
      <c r="M1181" s="129"/>
      <c r="N1181" s="95"/>
      <c r="O1181" s="95"/>
      <c r="P1181" s="130"/>
    </row>
    <row r="1182" spans="2:16" s="89" customFormat="1" ht="12.75">
      <c r="B1182" s="125"/>
      <c r="C1182" s="126"/>
      <c r="D1182" s="126"/>
      <c r="E1182" s="126"/>
      <c r="F1182" s="126"/>
      <c r="G1182" s="126"/>
      <c r="H1182" s="126"/>
      <c r="I1182" s="126"/>
      <c r="J1182" s="126"/>
      <c r="K1182" s="127"/>
      <c r="L1182" s="128"/>
      <c r="M1182" s="129"/>
      <c r="N1182" s="95"/>
      <c r="O1182" s="95"/>
      <c r="P1182" s="130"/>
    </row>
    <row r="1183" spans="2:16" s="89" customFormat="1" ht="12.75">
      <c r="B1183" s="125"/>
      <c r="C1183" s="126"/>
      <c r="D1183" s="126"/>
      <c r="E1183" s="126"/>
      <c r="F1183" s="126"/>
      <c r="G1183" s="126"/>
      <c r="H1183" s="126"/>
      <c r="I1183" s="126"/>
      <c r="J1183" s="126"/>
      <c r="K1183" s="127"/>
      <c r="L1183" s="128"/>
      <c r="M1183" s="129"/>
      <c r="N1183" s="95"/>
      <c r="O1183" s="95"/>
      <c r="P1183" s="130"/>
    </row>
    <row r="1184" spans="2:16" s="89" customFormat="1" ht="12.75">
      <c r="B1184" s="125"/>
      <c r="C1184" s="126"/>
      <c r="D1184" s="126"/>
      <c r="E1184" s="126"/>
      <c r="F1184" s="126"/>
      <c r="G1184" s="126"/>
      <c r="H1184" s="126"/>
      <c r="I1184" s="126"/>
      <c r="J1184" s="126"/>
      <c r="K1184" s="127"/>
      <c r="L1184" s="128"/>
      <c r="M1184" s="129"/>
      <c r="N1184" s="95"/>
      <c r="O1184" s="95"/>
      <c r="P1184" s="130"/>
    </row>
    <row r="1185" spans="2:16" s="89" customFormat="1" ht="12.75">
      <c r="B1185" s="125"/>
      <c r="C1185" s="126"/>
      <c r="D1185" s="126"/>
      <c r="E1185" s="126"/>
      <c r="F1185" s="126"/>
      <c r="G1185" s="126"/>
      <c r="H1185" s="126"/>
      <c r="I1185" s="126"/>
      <c r="J1185" s="126"/>
      <c r="K1185" s="127"/>
      <c r="L1185" s="128"/>
      <c r="M1185" s="129"/>
      <c r="N1185" s="95"/>
      <c r="O1185" s="95"/>
      <c r="P1185" s="130"/>
    </row>
    <row r="1186" spans="2:16" s="89" customFormat="1" ht="12.75">
      <c r="B1186" s="125"/>
      <c r="C1186" s="126"/>
      <c r="D1186" s="126"/>
      <c r="E1186" s="126"/>
      <c r="F1186" s="126"/>
      <c r="G1186" s="126"/>
      <c r="H1186" s="126"/>
      <c r="I1186" s="126"/>
      <c r="J1186" s="126"/>
      <c r="K1186" s="127"/>
      <c r="L1186" s="128"/>
      <c r="M1186" s="129"/>
      <c r="N1186" s="95"/>
      <c r="O1186" s="95"/>
      <c r="P1186" s="130"/>
    </row>
    <row r="1187" spans="2:16" s="89" customFormat="1" ht="12.75">
      <c r="B1187" s="125"/>
      <c r="C1187" s="126"/>
      <c r="D1187" s="126"/>
      <c r="E1187" s="126"/>
      <c r="F1187" s="126"/>
      <c r="G1187" s="126"/>
      <c r="H1187" s="126"/>
      <c r="I1187" s="126"/>
      <c r="J1187" s="126"/>
      <c r="K1187" s="127"/>
      <c r="L1187" s="128"/>
      <c r="M1187" s="129"/>
      <c r="N1187" s="95"/>
      <c r="O1187" s="95"/>
      <c r="P1187" s="130"/>
    </row>
    <row r="1188" spans="2:16" s="89" customFormat="1" ht="12.75">
      <c r="B1188" s="125"/>
      <c r="C1188" s="126"/>
      <c r="D1188" s="126"/>
      <c r="E1188" s="126"/>
      <c r="F1188" s="126"/>
      <c r="G1188" s="126"/>
      <c r="H1188" s="126"/>
      <c r="I1188" s="126"/>
      <c r="J1188" s="126"/>
      <c r="K1188" s="127"/>
      <c r="L1188" s="128"/>
      <c r="M1188" s="129"/>
      <c r="N1188" s="95"/>
      <c r="O1188" s="95"/>
      <c r="P1188" s="130"/>
    </row>
    <row r="1189" spans="2:16" s="89" customFormat="1" ht="12.75">
      <c r="B1189" s="125"/>
      <c r="C1189" s="126"/>
      <c r="D1189" s="126"/>
      <c r="E1189" s="126"/>
      <c r="F1189" s="126"/>
      <c r="G1189" s="126"/>
      <c r="H1189" s="126"/>
      <c r="I1189" s="126"/>
      <c r="J1189" s="126"/>
      <c r="K1189" s="127"/>
      <c r="L1189" s="128"/>
      <c r="M1189" s="129"/>
      <c r="N1189" s="95"/>
      <c r="O1189" s="95"/>
      <c r="P1189" s="130"/>
    </row>
    <row r="1190" spans="2:16" s="89" customFormat="1" ht="12.75">
      <c r="B1190" s="125"/>
      <c r="C1190" s="126"/>
      <c r="D1190" s="126"/>
      <c r="E1190" s="126"/>
      <c r="F1190" s="126"/>
      <c r="G1190" s="126"/>
      <c r="H1190" s="126"/>
      <c r="I1190" s="126"/>
      <c r="J1190" s="126"/>
      <c r="K1190" s="127"/>
      <c r="L1190" s="128"/>
      <c r="M1190" s="129"/>
      <c r="N1190" s="95"/>
      <c r="O1190" s="95"/>
      <c r="P1190" s="130"/>
    </row>
    <row r="1191" spans="2:16" s="89" customFormat="1" ht="12.75">
      <c r="B1191" s="125"/>
      <c r="C1191" s="126"/>
      <c r="D1191" s="126"/>
      <c r="E1191" s="126"/>
      <c r="F1191" s="126"/>
      <c r="G1191" s="126"/>
      <c r="H1191" s="126"/>
      <c r="I1191" s="126"/>
      <c r="J1191" s="126"/>
      <c r="K1191" s="127"/>
      <c r="L1191" s="128"/>
      <c r="M1191" s="129"/>
      <c r="N1191" s="95"/>
      <c r="O1191" s="95"/>
      <c r="P1191" s="130"/>
    </row>
    <row r="1192" spans="2:16" s="89" customFormat="1" ht="12.75">
      <c r="B1192" s="125"/>
      <c r="C1192" s="126"/>
      <c r="D1192" s="126"/>
      <c r="E1192" s="126"/>
      <c r="F1192" s="126"/>
      <c r="G1192" s="126"/>
      <c r="H1192" s="126"/>
      <c r="I1192" s="126"/>
      <c r="J1192" s="126"/>
      <c r="K1192" s="127"/>
      <c r="L1192" s="128"/>
      <c r="M1192" s="129"/>
      <c r="N1192" s="95"/>
      <c r="O1192" s="95"/>
      <c r="P1192" s="130"/>
    </row>
    <row r="1193" spans="2:16" s="89" customFormat="1" ht="12.75">
      <c r="B1193" s="125"/>
      <c r="C1193" s="126"/>
      <c r="D1193" s="126"/>
      <c r="E1193" s="126"/>
      <c r="F1193" s="126"/>
      <c r="G1193" s="126"/>
      <c r="H1193" s="126"/>
      <c r="I1193" s="126"/>
      <c r="J1193" s="126"/>
      <c r="K1193" s="127"/>
      <c r="L1193" s="128"/>
      <c r="M1193" s="129"/>
      <c r="N1193" s="95"/>
      <c r="O1193" s="95"/>
      <c r="P1193" s="130"/>
    </row>
    <row r="1194" spans="2:16" s="89" customFormat="1" ht="12.75">
      <c r="B1194" s="125"/>
      <c r="C1194" s="126"/>
      <c r="D1194" s="126"/>
      <c r="E1194" s="126"/>
      <c r="F1194" s="126"/>
      <c r="G1194" s="126"/>
      <c r="H1194" s="126"/>
      <c r="I1194" s="126"/>
      <c r="J1194" s="126"/>
      <c r="K1194" s="127"/>
      <c r="L1194" s="128"/>
      <c r="M1194" s="129"/>
      <c r="N1194" s="95"/>
      <c r="O1194" s="95"/>
      <c r="P1194" s="130"/>
    </row>
    <row r="1195" spans="2:16" s="89" customFormat="1" ht="12.75">
      <c r="B1195" s="125"/>
      <c r="C1195" s="126"/>
      <c r="D1195" s="126"/>
      <c r="E1195" s="126"/>
      <c r="F1195" s="126"/>
      <c r="G1195" s="126"/>
      <c r="H1195" s="126"/>
      <c r="I1195" s="126"/>
      <c r="J1195" s="126"/>
      <c r="K1195" s="127"/>
      <c r="L1195" s="128"/>
      <c r="M1195" s="129"/>
      <c r="N1195" s="95"/>
      <c r="O1195" s="95"/>
      <c r="P1195" s="130"/>
    </row>
    <row r="1196" spans="2:16" s="89" customFormat="1" ht="12.75">
      <c r="B1196" s="125"/>
      <c r="C1196" s="126"/>
      <c r="D1196" s="126"/>
      <c r="E1196" s="126"/>
      <c r="F1196" s="126"/>
      <c r="G1196" s="126"/>
      <c r="H1196" s="126"/>
      <c r="I1196" s="126"/>
      <c r="J1196" s="126"/>
      <c r="K1196" s="127"/>
      <c r="L1196" s="128"/>
      <c r="M1196" s="129"/>
      <c r="N1196" s="95"/>
      <c r="O1196" s="95"/>
      <c r="P1196" s="130"/>
    </row>
    <row r="1197" spans="2:16" s="89" customFormat="1" ht="12.75">
      <c r="B1197" s="125"/>
      <c r="C1197" s="126"/>
      <c r="D1197" s="126"/>
      <c r="E1197" s="126"/>
      <c r="F1197" s="126"/>
      <c r="G1197" s="126"/>
      <c r="H1197" s="126"/>
      <c r="I1197" s="126"/>
      <c r="J1197" s="126"/>
      <c r="K1197" s="127"/>
      <c r="L1197" s="128"/>
      <c r="M1197" s="129"/>
      <c r="N1197" s="95"/>
      <c r="O1197" s="95"/>
      <c r="P1197" s="130"/>
    </row>
    <row r="1198" spans="2:16" s="89" customFormat="1" ht="12.75">
      <c r="B1198" s="125"/>
      <c r="C1198" s="126"/>
      <c r="D1198" s="126"/>
      <c r="E1198" s="126"/>
      <c r="F1198" s="126"/>
      <c r="G1198" s="126"/>
      <c r="H1198" s="126"/>
      <c r="I1198" s="126"/>
      <c r="J1198" s="126"/>
      <c r="K1198" s="127"/>
      <c r="L1198" s="128"/>
      <c r="M1198" s="129"/>
      <c r="N1198" s="95"/>
      <c r="O1198" s="95"/>
      <c r="P1198" s="130"/>
    </row>
    <row r="1199" spans="2:16" s="89" customFormat="1" ht="12.75">
      <c r="B1199" s="125"/>
      <c r="C1199" s="126"/>
      <c r="D1199" s="126"/>
      <c r="E1199" s="126"/>
      <c r="F1199" s="126"/>
      <c r="G1199" s="126"/>
      <c r="H1199" s="126"/>
      <c r="I1199" s="126"/>
      <c r="J1199" s="126"/>
      <c r="K1199" s="127"/>
      <c r="L1199" s="128"/>
      <c r="M1199" s="129"/>
      <c r="N1199" s="95"/>
      <c r="O1199" s="95"/>
      <c r="P1199" s="130"/>
    </row>
    <row r="1200" spans="2:16" s="89" customFormat="1" ht="12.75">
      <c r="B1200" s="125"/>
      <c r="C1200" s="126"/>
      <c r="D1200" s="126"/>
      <c r="E1200" s="126"/>
      <c r="F1200" s="126"/>
      <c r="G1200" s="126"/>
      <c r="H1200" s="126"/>
      <c r="I1200" s="126"/>
      <c r="J1200" s="126"/>
      <c r="K1200" s="127"/>
      <c r="L1200" s="128"/>
      <c r="M1200" s="129"/>
      <c r="N1200" s="95"/>
      <c r="O1200" s="95"/>
      <c r="P1200" s="130"/>
    </row>
    <row r="1201" spans="2:16" s="89" customFormat="1" ht="12.75">
      <c r="B1201" s="125"/>
      <c r="C1201" s="126"/>
      <c r="D1201" s="126"/>
      <c r="E1201" s="126"/>
      <c r="F1201" s="126"/>
      <c r="G1201" s="126"/>
      <c r="H1201" s="126"/>
      <c r="I1201" s="126"/>
      <c r="J1201" s="126"/>
      <c r="K1201" s="127"/>
      <c r="L1201" s="128"/>
      <c r="M1201" s="129"/>
      <c r="N1201" s="95"/>
      <c r="O1201" s="95"/>
      <c r="P1201" s="130"/>
    </row>
    <row r="1202" spans="2:16" s="89" customFormat="1" ht="12.75">
      <c r="B1202" s="125"/>
      <c r="C1202" s="126"/>
      <c r="D1202" s="126"/>
      <c r="E1202" s="126"/>
      <c r="F1202" s="126"/>
      <c r="G1202" s="126"/>
      <c r="H1202" s="126"/>
      <c r="I1202" s="126"/>
      <c r="J1202" s="126"/>
      <c r="K1202" s="127"/>
      <c r="L1202" s="128"/>
      <c r="M1202" s="129"/>
      <c r="N1202" s="95"/>
      <c r="O1202" s="95"/>
      <c r="P1202" s="130"/>
    </row>
    <row r="1203" spans="2:16" s="89" customFormat="1" ht="12.75">
      <c r="B1203" s="125"/>
      <c r="C1203" s="126"/>
      <c r="D1203" s="126"/>
      <c r="E1203" s="126"/>
      <c r="F1203" s="126"/>
      <c r="G1203" s="126"/>
      <c r="H1203" s="126"/>
      <c r="I1203" s="126"/>
      <c r="J1203" s="126"/>
      <c r="K1203" s="127"/>
      <c r="L1203" s="128"/>
      <c r="M1203" s="129"/>
      <c r="N1203" s="95"/>
      <c r="O1203" s="95"/>
      <c r="P1203" s="130"/>
    </row>
    <row r="1204" spans="2:16" s="89" customFormat="1" ht="12.75">
      <c r="B1204" s="125"/>
      <c r="C1204" s="126"/>
      <c r="D1204" s="126"/>
      <c r="E1204" s="126"/>
      <c r="F1204" s="126"/>
      <c r="G1204" s="126"/>
      <c r="H1204" s="126"/>
      <c r="I1204" s="126"/>
      <c r="J1204" s="126"/>
      <c r="K1204" s="127"/>
      <c r="L1204" s="128"/>
      <c r="M1204" s="129"/>
      <c r="N1204" s="95"/>
      <c r="O1204" s="95"/>
      <c r="P1204" s="130"/>
    </row>
    <row r="1205" spans="2:16" s="89" customFormat="1" ht="12.75">
      <c r="B1205" s="125"/>
      <c r="C1205" s="126"/>
      <c r="D1205" s="126"/>
      <c r="E1205" s="126"/>
      <c r="F1205" s="126"/>
      <c r="G1205" s="126"/>
      <c r="H1205" s="126"/>
      <c r="I1205" s="126"/>
      <c r="J1205" s="126"/>
      <c r="K1205" s="127"/>
      <c r="L1205" s="128"/>
      <c r="M1205" s="129"/>
      <c r="N1205" s="95"/>
      <c r="O1205" s="95"/>
      <c r="P1205" s="130"/>
    </row>
    <row r="1206" spans="2:16" s="89" customFormat="1" ht="12.75">
      <c r="B1206" s="125"/>
      <c r="C1206" s="126"/>
      <c r="D1206" s="126"/>
      <c r="E1206" s="126"/>
      <c r="F1206" s="126"/>
      <c r="G1206" s="126"/>
      <c r="H1206" s="126"/>
      <c r="I1206" s="126"/>
      <c r="J1206" s="126"/>
      <c r="K1206" s="127"/>
      <c r="L1206" s="128"/>
      <c r="M1206" s="129"/>
      <c r="N1206" s="95"/>
      <c r="O1206" s="95"/>
      <c r="P1206" s="130"/>
    </row>
    <row r="1207" spans="2:16" s="89" customFormat="1" ht="12.75">
      <c r="B1207" s="125"/>
      <c r="C1207" s="126"/>
      <c r="D1207" s="126"/>
      <c r="E1207" s="126"/>
      <c r="F1207" s="126"/>
      <c r="G1207" s="126"/>
      <c r="H1207" s="126"/>
      <c r="I1207" s="126"/>
      <c r="J1207" s="126"/>
      <c r="K1207" s="127"/>
      <c r="L1207" s="128"/>
      <c r="M1207" s="129"/>
      <c r="N1207" s="95"/>
      <c r="O1207" s="95"/>
      <c r="P1207" s="130"/>
    </row>
    <row r="1208" spans="2:16" s="89" customFormat="1" ht="12.75">
      <c r="B1208" s="125"/>
      <c r="C1208" s="126"/>
      <c r="D1208" s="126"/>
      <c r="E1208" s="126"/>
      <c r="F1208" s="126"/>
      <c r="G1208" s="126"/>
      <c r="H1208" s="126"/>
      <c r="I1208" s="126"/>
      <c r="J1208" s="126"/>
      <c r="K1208" s="127"/>
      <c r="L1208" s="128"/>
      <c r="M1208" s="129"/>
      <c r="N1208" s="95"/>
      <c r="O1208" s="95"/>
      <c r="P1208" s="130"/>
    </row>
    <row r="1209" spans="2:16" s="89" customFormat="1" ht="12.75">
      <c r="B1209" s="125"/>
      <c r="C1209" s="126"/>
      <c r="D1209" s="126"/>
      <c r="E1209" s="126"/>
      <c r="F1209" s="126"/>
      <c r="G1209" s="126"/>
      <c r="H1209" s="126"/>
      <c r="I1209" s="126"/>
      <c r="J1209" s="126"/>
      <c r="K1209" s="127"/>
      <c r="L1209" s="128"/>
      <c r="M1209" s="129"/>
      <c r="N1209" s="95"/>
      <c r="O1209" s="95"/>
      <c r="P1209" s="130"/>
    </row>
    <row r="1210" spans="2:16" s="89" customFormat="1" ht="12.75">
      <c r="B1210" s="125"/>
      <c r="C1210" s="126"/>
      <c r="D1210" s="126"/>
      <c r="E1210" s="126"/>
      <c r="F1210" s="126"/>
      <c r="G1210" s="126"/>
      <c r="H1210" s="126"/>
      <c r="I1210" s="126"/>
      <c r="J1210" s="126"/>
      <c r="K1210" s="127"/>
      <c r="L1210" s="128"/>
      <c r="M1210" s="129"/>
      <c r="N1210" s="95"/>
      <c r="O1210" s="95"/>
      <c r="P1210" s="130"/>
    </row>
    <row r="1211" spans="2:16" s="89" customFormat="1" ht="12.75">
      <c r="B1211" s="125"/>
      <c r="C1211" s="126"/>
      <c r="D1211" s="126"/>
      <c r="E1211" s="126"/>
      <c r="F1211" s="126"/>
      <c r="G1211" s="126"/>
      <c r="H1211" s="126"/>
      <c r="I1211" s="126"/>
      <c r="J1211" s="126"/>
      <c r="K1211" s="127"/>
      <c r="L1211" s="128"/>
      <c r="M1211" s="129"/>
      <c r="N1211" s="95"/>
      <c r="O1211" s="95"/>
      <c r="P1211" s="130"/>
    </row>
    <row r="1212" spans="2:16" s="89" customFormat="1" ht="12.75">
      <c r="B1212" s="125"/>
      <c r="C1212" s="126"/>
      <c r="D1212" s="126"/>
      <c r="E1212" s="126"/>
      <c r="F1212" s="126"/>
      <c r="G1212" s="126"/>
      <c r="H1212" s="126"/>
      <c r="I1212" s="126"/>
      <c r="J1212" s="126"/>
      <c r="K1212" s="127"/>
      <c r="L1212" s="128"/>
      <c r="M1212" s="129"/>
      <c r="N1212" s="95"/>
      <c r="O1212" s="95"/>
      <c r="P1212" s="130"/>
    </row>
    <row r="1213" spans="2:16" s="89" customFormat="1" ht="12.75">
      <c r="B1213" s="125"/>
      <c r="C1213" s="126"/>
      <c r="D1213" s="126"/>
      <c r="E1213" s="126"/>
      <c r="F1213" s="126"/>
      <c r="G1213" s="126"/>
      <c r="H1213" s="126"/>
      <c r="I1213" s="126"/>
      <c r="J1213" s="126"/>
      <c r="K1213" s="127"/>
      <c r="L1213" s="128"/>
      <c r="M1213" s="129"/>
      <c r="N1213" s="95"/>
      <c r="O1213" s="95"/>
      <c r="P1213" s="130"/>
    </row>
    <row r="1214" spans="2:16" s="89" customFormat="1" ht="12.75">
      <c r="B1214" s="125"/>
      <c r="C1214" s="126"/>
      <c r="D1214" s="126"/>
      <c r="E1214" s="126"/>
      <c r="F1214" s="126"/>
      <c r="G1214" s="126"/>
      <c r="H1214" s="126"/>
      <c r="I1214" s="126"/>
      <c r="J1214" s="126"/>
      <c r="K1214" s="127"/>
      <c r="L1214" s="128"/>
      <c r="M1214" s="129"/>
      <c r="N1214" s="95"/>
      <c r="O1214" s="95"/>
      <c r="P1214" s="130"/>
    </row>
    <row r="1215" spans="2:16" s="89" customFormat="1" ht="12.75">
      <c r="B1215" s="125"/>
      <c r="C1215" s="126"/>
      <c r="D1215" s="126"/>
      <c r="E1215" s="126"/>
      <c r="F1215" s="126"/>
      <c r="G1215" s="126"/>
      <c r="H1215" s="126"/>
      <c r="I1215" s="126"/>
      <c r="J1215" s="126"/>
      <c r="K1215" s="127"/>
      <c r="L1215" s="128"/>
      <c r="M1215" s="129"/>
      <c r="N1215" s="95"/>
      <c r="O1215" s="95"/>
      <c r="P1215" s="130"/>
    </row>
    <row r="1216" spans="2:16" s="89" customFormat="1" ht="12.75">
      <c r="B1216" s="125"/>
      <c r="C1216" s="126"/>
      <c r="D1216" s="126"/>
      <c r="E1216" s="126"/>
      <c r="F1216" s="126"/>
      <c r="G1216" s="126"/>
      <c r="H1216" s="126"/>
      <c r="I1216" s="126"/>
      <c r="J1216" s="126"/>
      <c r="K1216" s="127"/>
      <c r="L1216" s="128"/>
      <c r="M1216" s="129"/>
      <c r="N1216" s="95"/>
      <c r="O1216" s="95"/>
      <c r="P1216" s="130"/>
    </row>
    <row r="1217" spans="2:16" s="89" customFormat="1" ht="12.75">
      <c r="B1217" s="125"/>
      <c r="C1217" s="126"/>
      <c r="D1217" s="126"/>
      <c r="E1217" s="126"/>
      <c r="F1217" s="126"/>
      <c r="G1217" s="126"/>
      <c r="H1217" s="126"/>
      <c r="I1217" s="126"/>
      <c r="J1217" s="126"/>
      <c r="K1217" s="127"/>
      <c r="L1217" s="128"/>
      <c r="M1217" s="129"/>
      <c r="N1217" s="95"/>
      <c r="O1217" s="95"/>
      <c r="P1217" s="130"/>
    </row>
    <row r="1218" spans="2:16" s="89" customFormat="1" ht="12.75">
      <c r="B1218" s="125"/>
      <c r="C1218" s="126"/>
      <c r="D1218" s="126"/>
      <c r="E1218" s="126"/>
      <c r="F1218" s="126"/>
      <c r="G1218" s="126"/>
      <c r="H1218" s="126"/>
      <c r="I1218" s="126"/>
      <c r="J1218" s="126"/>
      <c r="K1218" s="127"/>
      <c r="L1218" s="128"/>
      <c r="M1218" s="129"/>
      <c r="N1218" s="95"/>
      <c r="O1218" s="95"/>
      <c r="P1218" s="130"/>
    </row>
    <row r="1219" spans="2:16" s="89" customFormat="1" ht="12.75">
      <c r="B1219" s="125"/>
      <c r="C1219" s="126"/>
      <c r="D1219" s="126"/>
      <c r="E1219" s="126"/>
      <c r="F1219" s="126"/>
      <c r="G1219" s="126"/>
      <c r="H1219" s="126"/>
      <c r="I1219" s="126"/>
      <c r="J1219" s="126"/>
      <c r="K1219" s="127"/>
      <c r="L1219" s="128"/>
      <c r="M1219" s="129"/>
      <c r="N1219" s="95"/>
      <c r="O1219" s="95"/>
      <c r="P1219" s="130"/>
    </row>
    <row r="1220" spans="2:16" s="89" customFormat="1" ht="12.75">
      <c r="B1220" s="125"/>
      <c r="C1220" s="126"/>
      <c r="D1220" s="126"/>
      <c r="E1220" s="126"/>
      <c r="F1220" s="126"/>
      <c r="G1220" s="126"/>
      <c r="H1220" s="126"/>
      <c r="I1220" s="126"/>
      <c r="J1220" s="126"/>
      <c r="K1220" s="127"/>
      <c r="L1220" s="128"/>
      <c r="M1220" s="129"/>
      <c r="N1220" s="95"/>
      <c r="O1220" s="95"/>
      <c r="P1220" s="130"/>
    </row>
    <row r="1221" spans="2:16" s="89" customFormat="1" ht="12.75">
      <c r="B1221" s="125"/>
      <c r="C1221" s="126"/>
      <c r="D1221" s="126"/>
      <c r="E1221" s="126"/>
      <c r="F1221" s="126"/>
      <c r="G1221" s="126"/>
      <c r="H1221" s="126"/>
      <c r="I1221" s="126"/>
      <c r="J1221" s="126"/>
      <c r="K1221" s="127"/>
      <c r="L1221" s="128"/>
      <c r="M1221" s="129"/>
      <c r="N1221" s="95"/>
      <c r="O1221" s="95"/>
      <c r="P1221" s="130"/>
    </row>
    <row r="1222" spans="2:16" s="89" customFormat="1" ht="12.75">
      <c r="B1222" s="125"/>
      <c r="C1222" s="126"/>
      <c r="D1222" s="126"/>
      <c r="E1222" s="126"/>
      <c r="F1222" s="126"/>
      <c r="G1222" s="126"/>
      <c r="H1222" s="126"/>
      <c r="I1222" s="126"/>
      <c r="J1222" s="126"/>
      <c r="K1222" s="127"/>
      <c r="L1222" s="128"/>
      <c r="M1222" s="129"/>
      <c r="N1222" s="95"/>
      <c r="O1222" s="95"/>
      <c r="P1222" s="130"/>
    </row>
    <row r="1223" spans="2:16" s="89" customFormat="1" ht="12.75">
      <c r="B1223" s="125"/>
      <c r="C1223" s="126"/>
      <c r="D1223" s="126"/>
      <c r="E1223" s="126"/>
      <c r="F1223" s="126"/>
      <c r="G1223" s="126"/>
      <c r="H1223" s="126"/>
      <c r="I1223" s="126"/>
      <c r="J1223" s="126"/>
      <c r="K1223" s="127"/>
      <c r="L1223" s="128"/>
      <c r="M1223" s="129"/>
      <c r="N1223" s="95"/>
      <c r="O1223" s="95"/>
      <c r="P1223" s="130"/>
    </row>
    <row r="1224" spans="2:16" s="89" customFormat="1" ht="12.75">
      <c r="B1224" s="125"/>
      <c r="C1224" s="126"/>
      <c r="D1224" s="126"/>
      <c r="E1224" s="126"/>
      <c r="F1224" s="126"/>
      <c r="G1224" s="126"/>
      <c r="H1224" s="126"/>
      <c r="I1224" s="126"/>
      <c r="J1224" s="126"/>
      <c r="K1224" s="127"/>
      <c r="L1224" s="128"/>
      <c r="M1224" s="129"/>
      <c r="N1224" s="95"/>
      <c r="O1224" s="95"/>
      <c r="P1224" s="130"/>
    </row>
    <row r="1225" spans="2:16" s="89" customFormat="1" ht="12.75">
      <c r="B1225" s="125"/>
      <c r="C1225" s="126"/>
      <c r="D1225" s="126"/>
      <c r="E1225" s="126"/>
      <c r="F1225" s="126"/>
      <c r="G1225" s="126"/>
      <c r="H1225" s="126"/>
      <c r="I1225" s="126"/>
      <c r="J1225" s="126"/>
      <c r="K1225" s="127"/>
      <c r="L1225" s="128"/>
      <c r="M1225" s="129"/>
      <c r="N1225" s="95"/>
      <c r="O1225" s="95"/>
      <c r="P1225" s="130"/>
    </row>
    <row r="1226" spans="2:16" s="89" customFormat="1" ht="12.75">
      <c r="B1226" s="125"/>
      <c r="C1226" s="126"/>
      <c r="D1226" s="126"/>
      <c r="E1226" s="126"/>
      <c r="F1226" s="126"/>
      <c r="G1226" s="126"/>
      <c r="H1226" s="126"/>
      <c r="I1226" s="126"/>
      <c r="J1226" s="126"/>
      <c r="K1226" s="127"/>
      <c r="L1226" s="128"/>
      <c r="M1226" s="129"/>
      <c r="N1226" s="95"/>
      <c r="O1226" s="95"/>
      <c r="P1226" s="130"/>
    </row>
    <row r="1227" spans="2:16" s="89" customFormat="1" ht="12.75">
      <c r="B1227" s="125"/>
      <c r="C1227" s="126"/>
      <c r="D1227" s="126"/>
      <c r="E1227" s="126"/>
      <c r="F1227" s="126"/>
      <c r="G1227" s="126"/>
      <c r="H1227" s="126"/>
      <c r="I1227" s="126"/>
      <c r="J1227" s="126"/>
      <c r="K1227" s="127"/>
      <c r="L1227" s="128"/>
      <c r="M1227" s="129"/>
      <c r="N1227" s="95"/>
      <c r="O1227" s="95"/>
      <c r="P1227" s="130"/>
    </row>
    <row r="1228" spans="2:16" s="89" customFormat="1" ht="12.75">
      <c r="B1228" s="125"/>
      <c r="C1228" s="126"/>
      <c r="D1228" s="126"/>
      <c r="E1228" s="126"/>
      <c r="F1228" s="126"/>
      <c r="G1228" s="126"/>
      <c r="H1228" s="126"/>
      <c r="I1228" s="126"/>
      <c r="J1228" s="126"/>
      <c r="K1228" s="127"/>
      <c r="L1228" s="128"/>
      <c r="M1228" s="129"/>
      <c r="N1228" s="95"/>
      <c r="O1228" s="95"/>
      <c r="P1228" s="130"/>
    </row>
    <row r="1229" spans="2:16" s="89" customFormat="1" ht="12.75">
      <c r="B1229" s="125"/>
      <c r="C1229" s="126"/>
      <c r="D1229" s="126"/>
      <c r="E1229" s="126"/>
      <c r="F1229" s="126"/>
      <c r="G1229" s="126"/>
      <c r="H1229" s="126"/>
      <c r="I1229" s="126"/>
      <c r="J1229" s="126"/>
      <c r="K1229" s="127"/>
      <c r="L1229" s="128"/>
      <c r="M1229" s="129"/>
      <c r="N1229" s="95"/>
      <c r="O1229" s="95"/>
      <c r="P1229" s="130"/>
    </row>
    <row r="1230" spans="2:16" s="89" customFormat="1" ht="12.75">
      <c r="B1230" s="125"/>
      <c r="C1230" s="126"/>
      <c r="D1230" s="126"/>
      <c r="E1230" s="126"/>
      <c r="F1230" s="126"/>
      <c r="G1230" s="126"/>
      <c r="H1230" s="126"/>
      <c r="I1230" s="126"/>
      <c r="J1230" s="126"/>
      <c r="K1230" s="127"/>
      <c r="L1230" s="128"/>
      <c r="M1230" s="129"/>
      <c r="N1230" s="95"/>
      <c r="O1230" s="95"/>
      <c r="P1230" s="130"/>
    </row>
    <row r="1231" spans="2:16" s="89" customFormat="1" ht="12.75">
      <c r="B1231" s="125"/>
      <c r="C1231" s="126"/>
      <c r="D1231" s="126"/>
      <c r="E1231" s="126"/>
      <c r="F1231" s="126"/>
      <c r="G1231" s="126"/>
      <c r="H1231" s="126"/>
      <c r="I1231" s="126"/>
      <c r="J1231" s="126"/>
      <c r="K1231" s="127"/>
      <c r="L1231" s="128"/>
      <c r="M1231" s="129"/>
      <c r="N1231" s="95"/>
      <c r="O1231" s="95"/>
      <c r="P1231" s="130"/>
    </row>
    <row r="1232" spans="2:16" s="89" customFormat="1" ht="12.75">
      <c r="B1232" s="125"/>
      <c r="C1232" s="126"/>
      <c r="D1232" s="126"/>
      <c r="E1232" s="126"/>
      <c r="F1232" s="126"/>
      <c r="G1232" s="126"/>
      <c r="H1232" s="126"/>
      <c r="I1232" s="126"/>
      <c r="J1232" s="126"/>
      <c r="K1232" s="127"/>
      <c r="L1232" s="128"/>
      <c r="M1232" s="129"/>
      <c r="N1232" s="95"/>
      <c r="O1232" s="95"/>
      <c r="P1232" s="130"/>
    </row>
    <row r="1233" spans="2:16" s="89" customFormat="1" ht="12.75">
      <c r="B1233" s="125"/>
      <c r="C1233" s="126"/>
      <c r="D1233" s="126"/>
      <c r="E1233" s="126"/>
      <c r="F1233" s="126"/>
      <c r="G1233" s="126"/>
      <c r="H1233" s="126"/>
      <c r="I1233" s="126"/>
      <c r="J1233" s="126"/>
      <c r="K1233" s="127"/>
      <c r="L1233" s="128"/>
      <c r="M1233" s="129"/>
      <c r="N1233" s="95"/>
      <c r="O1233" s="95"/>
      <c r="P1233" s="130"/>
    </row>
    <row r="1234" spans="2:16" s="89" customFormat="1" ht="12.75">
      <c r="B1234" s="125"/>
      <c r="C1234" s="126"/>
      <c r="D1234" s="126"/>
      <c r="E1234" s="126"/>
      <c r="F1234" s="126"/>
      <c r="G1234" s="126"/>
      <c r="H1234" s="126"/>
      <c r="I1234" s="126"/>
      <c r="J1234" s="126"/>
      <c r="K1234" s="127"/>
      <c r="L1234" s="128"/>
      <c r="M1234" s="129"/>
      <c r="N1234" s="95"/>
      <c r="O1234" s="95"/>
      <c r="P1234" s="130"/>
    </row>
    <row r="1235" spans="2:16" s="89" customFormat="1" ht="12.75">
      <c r="B1235" s="125"/>
      <c r="C1235" s="126"/>
      <c r="D1235" s="126"/>
      <c r="E1235" s="126"/>
      <c r="F1235" s="126"/>
      <c r="G1235" s="126"/>
      <c r="H1235" s="126"/>
      <c r="I1235" s="126"/>
      <c r="J1235" s="126"/>
      <c r="K1235" s="127"/>
      <c r="L1235" s="128"/>
      <c r="M1235" s="129"/>
      <c r="N1235" s="95"/>
      <c r="O1235" s="95"/>
      <c r="P1235" s="130"/>
    </row>
    <row r="1236" spans="2:16" s="89" customFormat="1" ht="12.75">
      <c r="B1236" s="125"/>
      <c r="C1236" s="126"/>
      <c r="D1236" s="126"/>
      <c r="E1236" s="126"/>
      <c r="F1236" s="126"/>
      <c r="G1236" s="126"/>
      <c r="H1236" s="126"/>
      <c r="I1236" s="126"/>
      <c r="J1236" s="126"/>
      <c r="K1236" s="127"/>
      <c r="L1236" s="128"/>
      <c r="M1236" s="129"/>
      <c r="N1236" s="95"/>
      <c r="O1236" s="95"/>
      <c r="P1236" s="130"/>
    </row>
    <row r="1237" spans="2:16" s="89" customFormat="1" ht="12.75">
      <c r="B1237" s="125"/>
      <c r="C1237" s="126"/>
      <c r="D1237" s="126"/>
      <c r="E1237" s="126"/>
      <c r="F1237" s="126"/>
      <c r="G1237" s="126"/>
      <c r="H1237" s="126"/>
      <c r="I1237" s="126"/>
      <c r="J1237" s="126"/>
      <c r="K1237" s="127"/>
      <c r="L1237" s="128"/>
      <c r="M1237" s="129"/>
      <c r="N1237" s="95"/>
      <c r="O1237" s="95"/>
      <c r="P1237" s="130"/>
    </row>
    <row r="1238" spans="2:16" s="89" customFormat="1" ht="12.75">
      <c r="B1238" s="125"/>
      <c r="C1238" s="126"/>
      <c r="D1238" s="126"/>
      <c r="E1238" s="126"/>
      <c r="F1238" s="126"/>
      <c r="G1238" s="126"/>
      <c r="H1238" s="126"/>
      <c r="I1238" s="126"/>
      <c r="J1238" s="126"/>
      <c r="K1238" s="127"/>
      <c r="L1238" s="128"/>
      <c r="M1238" s="129"/>
      <c r="N1238" s="95"/>
      <c r="O1238" s="95"/>
      <c r="P1238" s="130"/>
    </row>
    <row r="1239" spans="2:16" s="89" customFormat="1" ht="12.75">
      <c r="B1239" s="125"/>
      <c r="C1239" s="126"/>
      <c r="D1239" s="126"/>
      <c r="E1239" s="126"/>
      <c r="F1239" s="126"/>
      <c r="G1239" s="126"/>
      <c r="H1239" s="126"/>
      <c r="I1239" s="126"/>
      <c r="J1239" s="126"/>
      <c r="K1239" s="127"/>
      <c r="L1239" s="128"/>
      <c r="M1239" s="129"/>
      <c r="N1239" s="95"/>
      <c r="O1239" s="95"/>
      <c r="P1239" s="130"/>
    </row>
    <row r="1240" spans="2:16" s="89" customFormat="1" ht="12.75">
      <c r="B1240" s="125"/>
      <c r="C1240" s="126"/>
      <c r="D1240" s="126"/>
      <c r="E1240" s="126"/>
      <c r="F1240" s="126"/>
      <c r="G1240" s="126"/>
      <c r="H1240" s="126"/>
      <c r="I1240" s="126"/>
      <c r="J1240" s="126"/>
      <c r="K1240" s="127"/>
      <c r="L1240" s="128"/>
      <c r="M1240" s="129"/>
      <c r="N1240" s="95"/>
      <c r="O1240" s="95"/>
      <c r="P1240" s="130"/>
    </row>
    <row r="1241" spans="2:16" s="89" customFormat="1" ht="12.75">
      <c r="B1241" s="125"/>
      <c r="C1241" s="126"/>
      <c r="D1241" s="126"/>
      <c r="E1241" s="126"/>
      <c r="F1241" s="126"/>
      <c r="G1241" s="126"/>
      <c r="H1241" s="126"/>
      <c r="I1241" s="126"/>
      <c r="J1241" s="126"/>
      <c r="K1241" s="127"/>
      <c r="L1241" s="128"/>
      <c r="M1241" s="129"/>
      <c r="N1241" s="95"/>
      <c r="O1241" s="95"/>
      <c r="P1241" s="130"/>
    </row>
    <row r="1242" spans="2:16" s="89" customFormat="1" ht="12.75">
      <c r="B1242" s="125"/>
      <c r="C1242" s="126"/>
      <c r="D1242" s="126"/>
      <c r="E1242" s="126"/>
      <c r="F1242" s="126"/>
      <c r="G1242" s="126"/>
      <c r="H1242" s="126"/>
      <c r="I1242" s="126"/>
      <c r="J1242" s="126"/>
      <c r="K1242" s="127"/>
      <c r="L1242" s="128"/>
      <c r="M1242" s="129"/>
      <c r="N1242" s="95"/>
      <c r="O1242" s="95"/>
      <c r="P1242" s="130"/>
    </row>
    <row r="1243" spans="2:16" s="89" customFormat="1" ht="12.75">
      <c r="B1243" s="125"/>
      <c r="C1243" s="126"/>
      <c r="D1243" s="126"/>
      <c r="E1243" s="126"/>
      <c r="F1243" s="126"/>
      <c r="G1243" s="126"/>
      <c r="H1243" s="126"/>
      <c r="I1243" s="126"/>
      <c r="J1243" s="126"/>
      <c r="K1243" s="127"/>
      <c r="L1243" s="128"/>
      <c r="M1243" s="129"/>
      <c r="N1243" s="95"/>
      <c r="O1243" s="95"/>
      <c r="P1243" s="130"/>
    </row>
    <row r="1244" spans="2:16" s="89" customFormat="1" ht="12.75">
      <c r="B1244" s="125"/>
      <c r="C1244" s="126"/>
      <c r="D1244" s="126"/>
      <c r="E1244" s="126"/>
      <c r="F1244" s="126"/>
      <c r="G1244" s="126"/>
      <c r="H1244" s="126"/>
      <c r="I1244" s="126"/>
      <c r="J1244" s="126"/>
      <c r="K1244" s="127"/>
      <c r="L1244" s="128"/>
      <c r="M1244" s="129"/>
      <c r="N1244" s="95"/>
      <c r="O1244" s="95"/>
      <c r="P1244" s="130"/>
    </row>
    <row r="1245" spans="2:16" s="89" customFormat="1" ht="12.75">
      <c r="B1245" s="125"/>
      <c r="C1245" s="126"/>
      <c r="D1245" s="126"/>
      <c r="E1245" s="126"/>
      <c r="F1245" s="126"/>
      <c r="G1245" s="126"/>
      <c r="H1245" s="126"/>
      <c r="I1245" s="126"/>
      <c r="J1245" s="126"/>
      <c r="K1245" s="127"/>
      <c r="L1245" s="128"/>
      <c r="M1245" s="129"/>
      <c r="N1245" s="95"/>
      <c r="O1245" s="95"/>
      <c r="P1245" s="130"/>
    </row>
    <row r="1246" spans="2:16" s="89" customFormat="1" ht="12.75">
      <c r="B1246" s="125"/>
      <c r="C1246" s="126"/>
      <c r="D1246" s="126"/>
      <c r="E1246" s="126"/>
      <c r="F1246" s="126"/>
      <c r="G1246" s="126"/>
      <c r="H1246" s="126"/>
      <c r="I1246" s="126"/>
      <c r="J1246" s="126"/>
      <c r="K1246" s="127"/>
      <c r="L1246" s="128"/>
      <c r="M1246" s="129"/>
      <c r="N1246" s="95"/>
      <c r="O1246" s="95"/>
      <c r="P1246" s="130"/>
    </row>
    <row r="1247" spans="2:16" s="89" customFormat="1" ht="12.75">
      <c r="B1247" s="125"/>
      <c r="C1247" s="126"/>
      <c r="D1247" s="126"/>
      <c r="E1247" s="126"/>
      <c r="F1247" s="126"/>
      <c r="G1247" s="126"/>
      <c r="H1247" s="126"/>
      <c r="I1247" s="126"/>
      <c r="J1247" s="126"/>
      <c r="K1247" s="127"/>
      <c r="L1247" s="128"/>
      <c r="M1247" s="129"/>
      <c r="N1247" s="95"/>
      <c r="O1247" s="95"/>
      <c r="P1247" s="130"/>
    </row>
    <row r="1248" spans="2:16" s="89" customFormat="1" ht="12.75">
      <c r="B1248" s="125"/>
      <c r="C1248" s="126"/>
      <c r="D1248" s="126"/>
      <c r="E1248" s="126"/>
      <c r="F1248" s="126"/>
      <c r="G1248" s="126"/>
      <c r="H1248" s="126"/>
      <c r="I1248" s="126"/>
      <c r="J1248" s="126"/>
      <c r="K1248" s="127"/>
      <c r="L1248" s="128"/>
      <c r="M1248" s="129"/>
      <c r="N1248" s="95"/>
      <c r="O1248" s="95"/>
      <c r="P1248" s="130"/>
    </row>
    <row r="1249" spans="2:16" s="89" customFormat="1" ht="12.75">
      <c r="B1249" s="125"/>
      <c r="C1249" s="126"/>
      <c r="D1249" s="126"/>
      <c r="E1249" s="126"/>
      <c r="F1249" s="126"/>
      <c r="G1249" s="126"/>
      <c r="H1249" s="126"/>
      <c r="I1249" s="126"/>
      <c r="J1249" s="126"/>
      <c r="K1249" s="127"/>
      <c r="L1249" s="128"/>
      <c r="M1249" s="129"/>
      <c r="N1249" s="95"/>
      <c r="O1249" s="95"/>
      <c r="P1249" s="130"/>
    </row>
    <row r="1250" spans="2:16" s="89" customFormat="1" ht="12.75">
      <c r="B1250" s="125"/>
      <c r="C1250" s="126"/>
      <c r="D1250" s="126"/>
      <c r="E1250" s="126"/>
      <c r="F1250" s="126"/>
      <c r="G1250" s="126"/>
      <c r="H1250" s="126"/>
      <c r="I1250" s="126"/>
      <c r="J1250" s="126"/>
      <c r="K1250" s="127"/>
      <c r="L1250" s="128"/>
      <c r="M1250" s="129"/>
      <c r="N1250" s="95"/>
      <c r="O1250" s="95"/>
      <c r="P1250" s="130"/>
    </row>
    <row r="1251" spans="2:16" s="89" customFormat="1" ht="12.75">
      <c r="B1251" s="125"/>
      <c r="C1251" s="126"/>
      <c r="D1251" s="126"/>
      <c r="E1251" s="126"/>
      <c r="F1251" s="126"/>
      <c r="G1251" s="126"/>
      <c r="H1251" s="126"/>
      <c r="I1251" s="126"/>
      <c r="J1251" s="126"/>
      <c r="K1251" s="127"/>
      <c r="L1251" s="128"/>
      <c r="M1251" s="129"/>
      <c r="N1251" s="95"/>
      <c r="O1251" s="95"/>
      <c r="P1251" s="130"/>
    </row>
    <row r="1252" spans="2:16" s="89" customFormat="1" ht="12.75">
      <c r="B1252" s="125"/>
      <c r="C1252" s="126"/>
      <c r="D1252" s="126"/>
      <c r="E1252" s="126"/>
      <c r="F1252" s="126"/>
      <c r="G1252" s="126"/>
      <c r="H1252" s="126"/>
      <c r="I1252" s="126"/>
      <c r="J1252" s="126"/>
      <c r="K1252" s="127"/>
      <c r="L1252" s="128"/>
      <c r="M1252" s="129"/>
      <c r="N1252" s="95"/>
      <c r="O1252" s="95"/>
      <c r="P1252" s="130"/>
    </row>
    <row r="1253" spans="2:16" s="89" customFormat="1" ht="12.75">
      <c r="B1253" s="125"/>
      <c r="C1253" s="126"/>
      <c r="D1253" s="126"/>
      <c r="E1253" s="126"/>
      <c r="F1253" s="126"/>
      <c r="G1253" s="126"/>
      <c r="H1253" s="126"/>
      <c r="I1253" s="126"/>
      <c r="J1253" s="126"/>
      <c r="K1253" s="127"/>
      <c r="L1253" s="128"/>
      <c r="M1253" s="129"/>
      <c r="N1253" s="95"/>
      <c r="O1253" s="95"/>
      <c r="P1253" s="130"/>
    </row>
    <row r="1254" spans="2:16" s="89" customFormat="1" ht="12.75">
      <c r="B1254" s="125"/>
      <c r="C1254" s="126"/>
      <c r="D1254" s="126"/>
      <c r="E1254" s="126"/>
      <c r="F1254" s="126"/>
      <c r="G1254" s="126"/>
      <c r="H1254" s="126"/>
      <c r="I1254" s="126"/>
      <c r="J1254" s="126"/>
      <c r="K1254" s="127"/>
      <c r="L1254" s="128"/>
      <c r="M1254" s="129"/>
      <c r="N1254" s="95"/>
      <c r="O1254" s="95"/>
      <c r="P1254" s="130"/>
    </row>
    <row r="1255" spans="2:16" s="89" customFormat="1" ht="12.75">
      <c r="B1255" s="125"/>
      <c r="C1255" s="126"/>
      <c r="D1255" s="126"/>
      <c r="E1255" s="126"/>
      <c r="F1255" s="126"/>
      <c r="G1255" s="126"/>
      <c r="H1255" s="126"/>
      <c r="I1255" s="126"/>
      <c r="J1255" s="126"/>
      <c r="K1255" s="127"/>
      <c r="L1255" s="128"/>
      <c r="M1255" s="129"/>
      <c r="N1255" s="95"/>
      <c r="O1255" s="95"/>
      <c r="P1255" s="130"/>
    </row>
    <row r="1256" spans="2:16" s="89" customFormat="1" ht="12.75">
      <c r="B1256" s="125"/>
      <c r="C1256" s="126"/>
      <c r="D1256" s="126"/>
      <c r="E1256" s="126"/>
      <c r="F1256" s="126"/>
      <c r="G1256" s="126"/>
      <c r="H1256" s="126"/>
      <c r="I1256" s="126"/>
      <c r="J1256" s="126"/>
      <c r="K1256" s="127"/>
      <c r="L1256" s="128"/>
      <c r="M1256" s="129"/>
      <c r="N1256" s="95"/>
      <c r="O1256" s="95"/>
      <c r="P1256" s="130"/>
    </row>
    <row r="1257" spans="2:16" s="89" customFormat="1" ht="12.75">
      <c r="B1257" s="125"/>
      <c r="C1257" s="126"/>
      <c r="D1257" s="126"/>
      <c r="E1257" s="126"/>
      <c r="F1257" s="126"/>
      <c r="G1257" s="126"/>
      <c r="H1257" s="126"/>
      <c r="I1257" s="126"/>
      <c r="J1257" s="126"/>
      <c r="K1257" s="127"/>
      <c r="L1257" s="128"/>
      <c r="M1257" s="129"/>
      <c r="N1257" s="95"/>
      <c r="O1257" s="95"/>
      <c r="P1257" s="130"/>
    </row>
    <row r="1258" spans="2:16" s="89" customFormat="1" ht="12.75">
      <c r="B1258" s="125"/>
      <c r="C1258" s="126"/>
      <c r="D1258" s="126"/>
      <c r="E1258" s="126"/>
      <c r="F1258" s="126"/>
      <c r="G1258" s="126"/>
      <c r="H1258" s="126"/>
      <c r="I1258" s="126"/>
      <c r="J1258" s="126"/>
      <c r="K1258" s="127"/>
      <c r="L1258" s="128"/>
      <c r="M1258" s="129"/>
      <c r="N1258" s="95"/>
      <c r="O1258" s="95"/>
      <c r="P1258" s="130"/>
    </row>
    <row r="1259" spans="2:16" s="89" customFormat="1" ht="12.75">
      <c r="B1259" s="125"/>
      <c r="C1259" s="126"/>
      <c r="D1259" s="126"/>
      <c r="E1259" s="126"/>
      <c r="F1259" s="126"/>
      <c r="G1259" s="126"/>
      <c r="H1259" s="126"/>
      <c r="I1259" s="126"/>
      <c r="J1259" s="126"/>
      <c r="K1259" s="127"/>
      <c r="L1259" s="128"/>
      <c r="M1259" s="129"/>
      <c r="N1259" s="95"/>
      <c r="O1259" s="95"/>
      <c r="P1259" s="130"/>
    </row>
    <row r="1260" spans="2:16" s="89" customFormat="1" ht="12.75">
      <c r="B1260" s="125"/>
      <c r="C1260" s="126"/>
      <c r="D1260" s="126"/>
      <c r="E1260" s="126"/>
      <c r="F1260" s="126"/>
      <c r="G1260" s="126"/>
      <c r="H1260" s="126"/>
      <c r="I1260" s="126"/>
      <c r="J1260" s="126"/>
      <c r="K1260" s="127"/>
      <c r="L1260" s="128"/>
      <c r="M1260" s="129"/>
      <c r="N1260" s="95"/>
      <c r="O1260" s="95"/>
      <c r="P1260" s="130"/>
    </row>
    <row r="1261" spans="2:16" s="89" customFormat="1" ht="12.75">
      <c r="B1261" s="125"/>
      <c r="C1261" s="126"/>
      <c r="D1261" s="126"/>
      <c r="E1261" s="126"/>
      <c r="F1261" s="126"/>
      <c r="G1261" s="126"/>
      <c r="H1261" s="126"/>
      <c r="I1261" s="126"/>
      <c r="J1261" s="126"/>
      <c r="K1261" s="127"/>
      <c r="L1261" s="128"/>
      <c r="M1261" s="129"/>
      <c r="N1261" s="95"/>
      <c r="O1261" s="95"/>
      <c r="P1261" s="130"/>
    </row>
    <row r="1262" spans="2:16" s="89" customFormat="1" ht="12.75">
      <c r="B1262" s="125"/>
      <c r="C1262" s="126"/>
      <c r="D1262" s="126"/>
      <c r="E1262" s="126"/>
      <c r="F1262" s="126"/>
      <c r="G1262" s="126"/>
      <c r="H1262" s="126"/>
      <c r="I1262" s="126"/>
      <c r="J1262" s="126"/>
      <c r="K1262" s="127"/>
      <c r="L1262" s="128"/>
      <c r="M1262" s="129"/>
      <c r="N1262" s="95"/>
      <c r="O1262" s="95"/>
      <c r="P1262" s="130"/>
    </row>
    <row r="1263" spans="2:16" s="89" customFormat="1" ht="12.75">
      <c r="B1263" s="125"/>
      <c r="C1263" s="126"/>
      <c r="D1263" s="126"/>
      <c r="E1263" s="126"/>
      <c r="F1263" s="126"/>
      <c r="G1263" s="126"/>
      <c r="H1263" s="126"/>
      <c r="I1263" s="126"/>
      <c r="J1263" s="126"/>
      <c r="K1263" s="127"/>
      <c r="L1263" s="128"/>
      <c r="M1263" s="129"/>
      <c r="N1263" s="95"/>
      <c r="O1263" s="95"/>
      <c r="P1263" s="130"/>
    </row>
    <row r="1264" spans="2:16" s="89" customFormat="1" ht="12.75">
      <c r="B1264" s="125"/>
      <c r="C1264" s="126"/>
      <c r="D1264" s="126"/>
      <c r="E1264" s="126"/>
      <c r="F1264" s="126"/>
      <c r="G1264" s="126"/>
      <c r="H1264" s="126"/>
      <c r="I1264" s="126"/>
      <c r="J1264" s="126"/>
      <c r="K1264" s="127"/>
      <c r="L1264" s="128"/>
      <c r="M1264" s="129"/>
      <c r="N1264" s="95"/>
      <c r="O1264" s="95"/>
      <c r="P1264" s="130"/>
    </row>
    <row r="1265" spans="2:16" s="89" customFormat="1" ht="12.75">
      <c r="B1265" s="125"/>
      <c r="C1265" s="126"/>
      <c r="D1265" s="126"/>
      <c r="E1265" s="126"/>
      <c r="F1265" s="126"/>
      <c r="G1265" s="126"/>
      <c r="H1265" s="126"/>
      <c r="I1265" s="126"/>
      <c r="J1265" s="126"/>
      <c r="K1265" s="127"/>
      <c r="L1265" s="128"/>
      <c r="M1265" s="129"/>
      <c r="N1265" s="95"/>
      <c r="O1265" s="95"/>
      <c r="P1265" s="130"/>
    </row>
    <row r="1266" spans="2:16" s="89" customFormat="1" ht="12.75">
      <c r="B1266" s="125"/>
      <c r="C1266" s="126"/>
      <c r="D1266" s="126"/>
      <c r="E1266" s="126"/>
      <c r="F1266" s="126"/>
      <c r="G1266" s="126"/>
      <c r="H1266" s="126"/>
      <c r="I1266" s="126"/>
      <c r="J1266" s="126"/>
      <c r="K1266" s="127"/>
      <c r="L1266" s="128"/>
      <c r="M1266" s="129"/>
      <c r="N1266" s="95"/>
      <c r="O1266" s="95"/>
      <c r="P1266" s="130"/>
    </row>
    <row r="1267" spans="2:16" s="89" customFormat="1" ht="12.75">
      <c r="B1267" s="125"/>
      <c r="C1267" s="126"/>
      <c r="D1267" s="126"/>
      <c r="E1267" s="126"/>
      <c r="F1267" s="126"/>
      <c r="G1267" s="126"/>
      <c r="H1267" s="126"/>
      <c r="I1267" s="126"/>
      <c r="J1267" s="126"/>
      <c r="K1267" s="127"/>
      <c r="L1267" s="128"/>
      <c r="M1267" s="129"/>
      <c r="N1267" s="95"/>
      <c r="O1267" s="95"/>
      <c r="P1267" s="130"/>
    </row>
    <row r="1268" spans="2:16" s="89" customFormat="1" ht="12.75">
      <c r="B1268" s="125"/>
      <c r="C1268" s="126"/>
      <c r="D1268" s="126"/>
      <c r="E1268" s="126"/>
      <c r="F1268" s="126"/>
      <c r="G1268" s="126"/>
      <c r="H1268" s="126"/>
      <c r="I1268" s="126"/>
      <c r="J1268" s="126"/>
      <c r="K1268" s="127"/>
      <c r="L1268" s="128"/>
      <c r="M1268" s="129"/>
      <c r="N1268" s="95"/>
      <c r="O1268" s="95"/>
      <c r="P1268" s="130"/>
    </row>
    <row r="1269" spans="2:16" s="89" customFormat="1" ht="12.75">
      <c r="B1269" s="125"/>
      <c r="C1269" s="126"/>
      <c r="D1269" s="126"/>
      <c r="E1269" s="126"/>
      <c r="F1269" s="126"/>
      <c r="G1269" s="126"/>
      <c r="H1269" s="126"/>
      <c r="I1269" s="126"/>
      <c r="J1269" s="126"/>
      <c r="K1269" s="127"/>
      <c r="L1269" s="128"/>
      <c r="M1269" s="129"/>
      <c r="N1269" s="95"/>
      <c r="O1269" s="95"/>
      <c r="P1269" s="130"/>
    </row>
    <row r="1270" spans="2:16" s="89" customFormat="1" ht="12.75">
      <c r="B1270" s="125"/>
      <c r="C1270" s="126"/>
      <c r="D1270" s="126"/>
      <c r="E1270" s="126"/>
      <c r="F1270" s="126"/>
      <c r="G1270" s="126"/>
      <c r="H1270" s="126"/>
      <c r="I1270" s="126"/>
      <c r="J1270" s="126"/>
      <c r="K1270" s="127"/>
      <c r="L1270" s="128"/>
      <c r="M1270" s="129"/>
      <c r="N1270" s="95"/>
      <c r="O1270" s="95"/>
      <c r="P1270" s="130"/>
    </row>
    <row r="1271" spans="2:16" s="89" customFormat="1" ht="12.75">
      <c r="B1271" s="125"/>
      <c r="C1271" s="126"/>
      <c r="D1271" s="126"/>
      <c r="E1271" s="126"/>
      <c r="F1271" s="126"/>
      <c r="G1271" s="126"/>
      <c r="H1271" s="126"/>
      <c r="I1271" s="126"/>
      <c r="J1271" s="126"/>
      <c r="K1271" s="127"/>
      <c r="L1271" s="128"/>
      <c r="M1271" s="129"/>
      <c r="N1271" s="95"/>
      <c r="O1271" s="95"/>
      <c r="P1271" s="130"/>
    </row>
    <row r="1272" spans="2:16" s="89" customFormat="1" ht="12.75">
      <c r="B1272" s="125"/>
      <c r="C1272" s="126"/>
      <c r="D1272" s="126"/>
      <c r="E1272" s="126"/>
      <c r="F1272" s="126"/>
      <c r="G1272" s="126"/>
      <c r="H1272" s="126"/>
      <c r="I1272" s="126"/>
      <c r="J1272" s="126"/>
      <c r="K1272" s="127"/>
      <c r="L1272" s="128"/>
      <c r="M1272" s="129"/>
      <c r="N1272" s="95"/>
      <c r="O1272" s="95"/>
      <c r="P1272" s="130"/>
    </row>
    <row r="1273" spans="2:16" s="89" customFormat="1" ht="12.75">
      <c r="B1273" s="125"/>
      <c r="C1273" s="126"/>
      <c r="D1273" s="126"/>
      <c r="E1273" s="126"/>
      <c r="F1273" s="126"/>
      <c r="G1273" s="126"/>
      <c r="H1273" s="126"/>
      <c r="I1273" s="126"/>
      <c r="J1273" s="126"/>
      <c r="K1273" s="127"/>
      <c r="L1273" s="128"/>
      <c r="M1273" s="129"/>
      <c r="N1273" s="95"/>
      <c r="O1273" s="95"/>
      <c r="P1273" s="130"/>
    </row>
    <row r="1274" spans="2:16" s="89" customFormat="1" ht="12.75">
      <c r="B1274" s="125"/>
      <c r="C1274" s="126"/>
      <c r="D1274" s="126"/>
      <c r="E1274" s="126"/>
      <c r="F1274" s="126"/>
      <c r="G1274" s="126"/>
      <c r="H1274" s="126"/>
      <c r="I1274" s="126"/>
      <c r="J1274" s="126"/>
      <c r="K1274" s="127"/>
      <c r="L1274" s="128"/>
      <c r="M1274" s="129"/>
      <c r="N1274" s="95"/>
      <c r="O1274" s="95"/>
      <c r="P1274" s="130"/>
    </row>
    <row r="1275" spans="2:16" s="89" customFormat="1" ht="12.75">
      <c r="B1275" s="125"/>
      <c r="C1275" s="126"/>
      <c r="D1275" s="126"/>
      <c r="E1275" s="126"/>
      <c r="F1275" s="126"/>
      <c r="G1275" s="126"/>
      <c r="H1275" s="126"/>
      <c r="I1275" s="126"/>
      <c r="J1275" s="126"/>
      <c r="K1275" s="127"/>
      <c r="L1275" s="128"/>
      <c r="M1275" s="129"/>
      <c r="N1275" s="95"/>
      <c r="O1275" s="95"/>
      <c r="P1275" s="130"/>
    </row>
    <row r="1276" spans="2:16" s="89" customFormat="1" ht="12.75">
      <c r="B1276" s="125"/>
      <c r="C1276" s="126"/>
      <c r="D1276" s="126"/>
      <c r="E1276" s="126"/>
      <c r="F1276" s="126"/>
      <c r="G1276" s="126"/>
      <c r="H1276" s="126"/>
      <c r="I1276" s="126"/>
      <c r="J1276" s="126"/>
      <c r="K1276" s="127"/>
      <c r="L1276" s="128"/>
      <c r="M1276" s="129"/>
      <c r="N1276" s="95"/>
      <c r="O1276" s="95"/>
      <c r="P1276" s="130"/>
    </row>
    <row r="1277" spans="2:16" s="89" customFormat="1" ht="12.75">
      <c r="B1277" s="125"/>
      <c r="C1277" s="126"/>
      <c r="D1277" s="126"/>
      <c r="E1277" s="126"/>
      <c r="F1277" s="126"/>
      <c r="G1277" s="126"/>
      <c r="H1277" s="126"/>
      <c r="I1277" s="126"/>
      <c r="J1277" s="126"/>
      <c r="K1277" s="127"/>
      <c r="L1277" s="128"/>
      <c r="M1277" s="129"/>
      <c r="N1277" s="95"/>
      <c r="O1277" s="95"/>
      <c r="P1277" s="130"/>
    </row>
    <row r="1278" spans="2:16" s="89" customFormat="1" ht="12.75">
      <c r="B1278" s="125"/>
      <c r="C1278" s="126"/>
      <c r="D1278" s="126"/>
      <c r="E1278" s="126"/>
      <c r="F1278" s="126"/>
      <c r="G1278" s="126"/>
      <c r="H1278" s="126"/>
      <c r="I1278" s="126"/>
      <c r="J1278" s="126"/>
      <c r="K1278" s="127"/>
      <c r="L1278" s="128"/>
      <c r="M1278" s="129"/>
      <c r="N1278" s="95"/>
      <c r="O1278" s="95"/>
      <c r="P1278" s="130"/>
    </row>
    <row r="1279" spans="2:16" s="89" customFormat="1" ht="12.75">
      <c r="B1279" s="125"/>
      <c r="C1279" s="126"/>
      <c r="D1279" s="126"/>
      <c r="E1279" s="126"/>
      <c r="F1279" s="126"/>
      <c r="G1279" s="126"/>
      <c r="H1279" s="126"/>
      <c r="I1279" s="126"/>
      <c r="J1279" s="126"/>
      <c r="K1279" s="127"/>
      <c r="L1279" s="128"/>
      <c r="M1279" s="129"/>
      <c r="N1279" s="95"/>
      <c r="O1279" s="95"/>
      <c r="P1279" s="130"/>
    </row>
    <row r="1280" spans="2:16" s="89" customFormat="1" ht="12.75">
      <c r="B1280" s="125"/>
      <c r="C1280" s="126"/>
      <c r="D1280" s="126"/>
      <c r="E1280" s="126"/>
      <c r="F1280" s="126"/>
      <c r="G1280" s="126"/>
      <c r="H1280" s="126"/>
      <c r="I1280" s="126"/>
      <c r="J1280" s="126"/>
      <c r="K1280" s="127"/>
      <c r="L1280" s="128"/>
      <c r="M1280" s="129"/>
      <c r="N1280" s="95"/>
      <c r="O1280" s="95"/>
      <c r="P1280" s="130"/>
    </row>
    <row r="1281" spans="2:16" s="89" customFormat="1" ht="12.75">
      <c r="B1281" s="125"/>
      <c r="C1281" s="126"/>
      <c r="D1281" s="126"/>
      <c r="E1281" s="126"/>
      <c r="F1281" s="126"/>
      <c r="G1281" s="126"/>
      <c r="H1281" s="126"/>
      <c r="I1281" s="126"/>
      <c r="J1281" s="126"/>
      <c r="K1281" s="127"/>
      <c r="L1281" s="128"/>
      <c r="M1281" s="129"/>
      <c r="N1281" s="95"/>
      <c r="O1281" s="95"/>
      <c r="P1281" s="130"/>
    </row>
    <row r="1282" spans="2:16" s="89" customFormat="1" ht="12.75">
      <c r="B1282" s="125"/>
      <c r="C1282" s="126"/>
      <c r="D1282" s="126"/>
      <c r="E1282" s="126"/>
      <c r="F1282" s="126"/>
      <c r="G1282" s="126"/>
      <c r="H1282" s="126"/>
      <c r="I1282" s="126"/>
      <c r="J1282" s="126"/>
      <c r="K1282" s="127"/>
      <c r="L1282" s="128"/>
      <c r="M1282" s="129"/>
      <c r="N1282" s="95"/>
      <c r="O1282" s="95"/>
      <c r="P1282" s="130"/>
    </row>
    <row r="1283" spans="2:16" s="89" customFormat="1" ht="12.75">
      <c r="B1283" s="125"/>
      <c r="C1283" s="126"/>
      <c r="D1283" s="126"/>
      <c r="E1283" s="126"/>
      <c r="F1283" s="126"/>
      <c r="G1283" s="126"/>
      <c r="H1283" s="126"/>
      <c r="I1283" s="126"/>
      <c r="J1283" s="126"/>
      <c r="K1283" s="127"/>
      <c r="L1283" s="128"/>
      <c r="M1283" s="129"/>
      <c r="N1283" s="95"/>
      <c r="O1283" s="95"/>
      <c r="P1283" s="130"/>
    </row>
    <row r="1284" spans="2:16" s="89" customFormat="1" ht="12.75">
      <c r="B1284" s="125"/>
      <c r="C1284" s="126"/>
      <c r="D1284" s="126"/>
      <c r="E1284" s="126"/>
      <c r="F1284" s="126"/>
      <c r="G1284" s="126"/>
      <c r="H1284" s="126"/>
      <c r="I1284" s="126"/>
      <c r="J1284" s="126"/>
      <c r="K1284" s="127"/>
      <c r="L1284" s="128"/>
      <c r="M1284" s="129"/>
      <c r="N1284" s="95"/>
      <c r="O1284" s="95"/>
      <c r="P1284" s="130"/>
    </row>
    <row r="1285" spans="2:16" s="89" customFormat="1" ht="12.75">
      <c r="B1285" s="125"/>
      <c r="C1285" s="126"/>
      <c r="D1285" s="126"/>
      <c r="E1285" s="126"/>
      <c r="F1285" s="126"/>
      <c r="G1285" s="126"/>
      <c r="H1285" s="126"/>
      <c r="I1285" s="126"/>
      <c r="J1285" s="126"/>
      <c r="K1285" s="127"/>
      <c r="L1285" s="128"/>
      <c r="M1285" s="129"/>
      <c r="N1285" s="95"/>
      <c r="O1285" s="95"/>
      <c r="P1285" s="130"/>
    </row>
    <row r="1286" spans="2:16" s="89" customFormat="1" ht="12.75">
      <c r="B1286" s="125"/>
      <c r="C1286" s="126"/>
      <c r="D1286" s="126"/>
      <c r="E1286" s="126"/>
      <c r="F1286" s="126"/>
      <c r="G1286" s="126"/>
      <c r="H1286" s="126"/>
      <c r="I1286" s="126"/>
      <c r="J1286" s="126"/>
      <c r="K1286" s="127"/>
      <c r="L1286" s="128"/>
      <c r="M1286" s="129"/>
      <c r="N1286" s="95"/>
      <c r="O1286" s="95"/>
      <c r="P1286" s="130"/>
    </row>
    <row r="1287" spans="2:16" s="89" customFormat="1" ht="12.75">
      <c r="B1287" s="125"/>
      <c r="C1287" s="126"/>
      <c r="D1287" s="126"/>
      <c r="E1287" s="126"/>
      <c r="F1287" s="126"/>
      <c r="G1287" s="126"/>
      <c r="H1287" s="126"/>
      <c r="I1287" s="126"/>
      <c r="J1287" s="126"/>
      <c r="K1287" s="127"/>
      <c r="L1287" s="128"/>
      <c r="M1287" s="129"/>
      <c r="N1287" s="95"/>
      <c r="O1287" s="95"/>
      <c r="P1287" s="130"/>
    </row>
    <row r="1288" spans="2:16" s="89" customFormat="1" ht="12.75">
      <c r="B1288" s="125"/>
      <c r="C1288" s="126"/>
      <c r="D1288" s="126"/>
      <c r="E1288" s="126"/>
      <c r="F1288" s="126"/>
      <c r="G1288" s="126"/>
      <c r="H1288" s="126"/>
      <c r="I1288" s="126"/>
      <c r="J1288" s="126"/>
      <c r="K1288" s="127"/>
      <c r="L1288" s="128"/>
      <c r="M1288" s="129"/>
      <c r="N1288" s="95"/>
      <c r="O1288" s="95"/>
      <c r="P1288" s="130"/>
    </row>
    <row r="1289" spans="2:16" s="89" customFormat="1" ht="12.75">
      <c r="B1289" s="125"/>
      <c r="C1289" s="126"/>
      <c r="D1289" s="126"/>
      <c r="E1289" s="126"/>
      <c r="F1289" s="126"/>
      <c r="G1289" s="126"/>
      <c r="H1289" s="126"/>
      <c r="I1289" s="126"/>
      <c r="J1289" s="126"/>
      <c r="K1289" s="127"/>
      <c r="L1289" s="128"/>
      <c r="M1289" s="129"/>
      <c r="N1289" s="95"/>
      <c r="O1289" s="95"/>
      <c r="P1289" s="130"/>
    </row>
    <row r="1290" spans="2:16" s="89" customFormat="1" ht="12.75">
      <c r="B1290" s="125"/>
      <c r="C1290" s="126"/>
      <c r="D1290" s="126"/>
      <c r="E1290" s="126"/>
      <c r="F1290" s="126"/>
      <c r="G1290" s="126"/>
      <c r="H1290" s="126"/>
      <c r="I1290" s="126"/>
      <c r="J1290" s="126"/>
      <c r="K1290" s="127"/>
      <c r="L1290" s="128"/>
      <c r="M1290" s="129"/>
      <c r="N1290" s="95"/>
      <c r="O1290" s="95"/>
      <c r="P1290" s="130"/>
    </row>
    <row r="1291" spans="2:16" s="89" customFormat="1" ht="12.75">
      <c r="B1291" s="125"/>
      <c r="C1291" s="126"/>
      <c r="D1291" s="126"/>
      <c r="E1291" s="126"/>
      <c r="F1291" s="126"/>
      <c r="G1291" s="126"/>
      <c r="H1291" s="126"/>
      <c r="I1291" s="126"/>
      <c r="J1291" s="126"/>
      <c r="K1291" s="127"/>
      <c r="L1291" s="128"/>
      <c r="M1291" s="129"/>
      <c r="N1291" s="95"/>
      <c r="O1291" s="95"/>
      <c r="P1291" s="130"/>
    </row>
    <row r="1292" spans="2:16" s="89" customFormat="1" ht="12.75">
      <c r="B1292" s="125"/>
      <c r="C1292" s="126"/>
      <c r="D1292" s="126"/>
      <c r="E1292" s="126"/>
      <c r="F1292" s="126"/>
      <c r="G1292" s="126"/>
      <c r="H1292" s="126"/>
      <c r="I1292" s="126"/>
      <c r="J1292" s="126"/>
      <c r="K1292" s="127"/>
      <c r="L1292" s="128"/>
      <c r="M1292" s="129"/>
      <c r="N1292" s="95"/>
      <c r="O1292" s="95"/>
      <c r="P1292" s="130"/>
    </row>
    <row r="1293" spans="2:16" s="89" customFormat="1" ht="12.75">
      <c r="B1293" s="125"/>
      <c r="C1293" s="126"/>
      <c r="D1293" s="126"/>
      <c r="E1293" s="126"/>
      <c r="F1293" s="126"/>
      <c r="G1293" s="126"/>
      <c r="H1293" s="126"/>
      <c r="I1293" s="126"/>
      <c r="J1293" s="126"/>
      <c r="K1293" s="127"/>
      <c r="L1293" s="128"/>
      <c r="M1293" s="129"/>
      <c r="N1293" s="95"/>
      <c r="O1293" s="95"/>
      <c r="P1293" s="130"/>
    </row>
    <row r="1294" spans="2:16" s="89" customFormat="1" ht="12.75">
      <c r="B1294" s="125"/>
      <c r="C1294" s="126"/>
      <c r="D1294" s="126"/>
      <c r="E1294" s="126"/>
      <c r="F1294" s="126"/>
      <c r="G1294" s="126"/>
      <c r="H1294" s="126"/>
      <c r="I1294" s="126"/>
      <c r="J1294" s="126"/>
      <c r="K1294" s="127"/>
      <c r="L1294" s="128"/>
      <c r="M1294" s="129"/>
      <c r="N1294" s="95"/>
      <c r="O1294" s="95"/>
      <c r="P1294" s="130"/>
    </row>
    <row r="1295" spans="2:16" s="89" customFormat="1" ht="12.75">
      <c r="B1295" s="125"/>
      <c r="C1295" s="126"/>
      <c r="D1295" s="126"/>
      <c r="E1295" s="126"/>
      <c r="F1295" s="126"/>
      <c r="G1295" s="126"/>
      <c r="H1295" s="126"/>
      <c r="I1295" s="126"/>
      <c r="J1295" s="126"/>
      <c r="K1295" s="127"/>
      <c r="L1295" s="128"/>
      <c r="M1295" s="129"/>
      <c r="N1295" s="95"/>
      <c r="O1295" s="95"/>
      <c r="P1295" s="130"/>
    </row>
    <row r="1296" spans="2:16" s="89" customFormat="1" ht="12.75">
      <c r="B1296" s="125"/>
      <c r="C1296" s="126"/>
      <c r="D1296" s="126"/>
      <c r="E1296" s="126"/>
      <c r="F1296" s="126"/>
      <c r="G1296" s="126"/>
      <c r="H1296" s="126"/>
      <c r="I1296" s="126"/>
      <c r="J1296" s="126"/>
      <c r="K1296" s="127"/>
      <c r="L1296" s="128"/>
      <c r="M1296" s="129"/>
      <c r="N1296" s="95"/>
      <c r="O1296" s="95"/>
      <c r="P1296" s="130"/>
    </row>
    <row r="1297" spans="2:16" s="89" customFormat="1" ht="12.75">
      <c r="B1297" s="125"/>
      <c r="C1297" s="126"/>
      <c r="D1297" s="126"/>
      <c r="E1297" s="126"/>
      <c r="F1297" s="126"/>
      <c r="G1297" s="126"/>
      <c r="H1297" s="126"/>
      <c r="I1297" s="126"/>
      <c r="J1297" s="126"/>
      <c r="K1297" s="127"/>
      <c r="L1297" s="128"/>
      <c r="M1297" s="129"/>
      <c r="N1297" s="95"/>
      <c r="O1297" s="95"/>
      <c r="P1297" s="130"/>
    </row>
    <row r="1298" spans="2:16" s="89" customFormat="1" ht="12.75">
      <c r="B1298" s="125"/>
      <c r="C1298" s="126"/>
      <c r="D1298" s="126"/>
      <c r="E1298" s="126"/>
      <c r="F1298" s="126"/>
      <c r="G1298" s="126"/>
      <c r="H1298" s="126"/>
      <c r="I1298" s="126"/>
      <c r="J1298" s="126"/>
      <c r="K1298" s="127"/>
      <c r="L1298" s="128"/>
      <c r="M1298" s="129"/>
      <c r="N1298" s="95"/>
      <c r="O1298" s="95"/>
      <c r="P1298" s="130"/>
    </row>
    <row r="1299" spans="2:16" s="89" customFormat="1" ht="12.75">
      <c r="B1299" s="125"/>
      <c r="C1299" s="126"/>
      <c r="D1299" s="126"/>
      <c r="E1299" s="126"/>
      <c r="F1299" s="126"/>
      <c r="G1299" s="126"/>
      <c r="H1299" s="126"/>
      <c r="I1299" s="126"/>
      <c r="J1299" s="126"/>
      <c r="K1299" s="127"/>
      <c r="L1299" s="128"/>
      <c r="M1299" s="129"/>
      <c r="N1299" s="95"/>
      <c r="O1299" s="95"/>
      <c r="P1299" s="130"/>
    </row>
    <row r="1300" spans="2:16" s="89" customFormat="1" ht="12.75">
      <c r="B1300" s="125"/>
      <c r="C1300" s="126"/>
      <c r="D1300" s="126"/>
      <c r="E1300" s="126"/>
      <c r="F1300" s="126"/>
      <c r="G1300" s="126"/>
      <c r="H1300" s="126"/>
      <c r="I1300" s="126"/>
      <c r="J1300" s="126"/>
      <c r="K1300" s="127"/>
      <c r="L1300" s="128"/>
      <c r="M1300" s="129"/>
      <c r="N1300" s="95"/>
      <c r="O1300" s="95"/>
      <c r="P1300" s="130"/>
    </row>
    <row r="1301" spans="2:16" s="89" customFormat="1" ht="12.75">
      <c r="B1301" s="125"/>
      <c r="C1301" s="126"/>
      <c r="D1301" s="126"/>
      <c r="E1301" s="126"/>
      <c r="F1301" s="126"/>
      <c r="G1301" s="126"/>
      <c r="H1301" s="126"/>
      <c r="I1301" s="126"/>
      <c r="J1301" s="126"/>
      <c r="K1301" s="127"/>
      <c r="L1301" s="128"/>
      <c r="M1301" s="129"/>
      <c r="N1301" s="95"/>
      <c r="O1301" s="95"/>
      <c r="P1301" s="130"/>
    </row>
    <row r="1302" spans="2:16" s="89" customFormat="1" ht="12.75">
      <c r="B1302" s="125"/>
      <c r="C1302" s="126"/>
      <c r="D1302" s="126"/>
      <c r="E1302" s="126"/>
      <c r="F1302" s="126"/>
      <c r="G1302" s="126"/>
      <c r="H1302" s="126"/>
      <c r="I1302" s="126"/>
      <c r="J1302" s="126"/>
      <c r="K1302" s="127"/>
      <c r="L1302" s="128"/>
      <c r="M1302" s="129"/>
      <c r="N1302" s="95"/>
      <c r="O1302" s="95"/>
      <c r="P1302" s="130"/>
    </row>
    <row r="1303" spans="2:16" s="89" customFormat="1" ht="12.75">
      <c r="B1303" s="125"/>
      <c r="C1303" s="126"/>
      <c r="D1303" s="126"/>
      <c r="E1303" s="126"/>
      <c r="F1303" s="126"/>
      <c r="G1303" s="126"/>
      <c r="H1303" s="126"/>
      <c r="I1303" s="126"/>
      <c r="J1303" s="126"/>
      <c r="K1303" s="127"/>
      <c r="L1303" s="128"/>
      <c r="M1303" s="129"/>
      <c r="N1303" s="95"/>
      <c r="O1303" s="95"/>
      <c r="P1303" s="130"/>
    </row>
    <row r="1304" spans="2:16" s="89" customFormat="1" ht="12.75">
      <c r="B1304" s="125"/>
      <c r="C1304" s="126"/>
      <c r="D1304" s="126"/>
      <c r="E1304" s="126"/>
      <c r="F1304" s="126"/>
      <c r="G1304" s="126"/>
      <c r="H1304" s="126"/>
      <c r="I1304" s="126"/>
      <c r="J1304" s="126"/>
      <c r="K1304" s="127"/>
      <c r="L1304" s="128"/>
      <c r="M1304" s="129"/>
      <c r="N1304" s="95"/>
      <c r="O1304" s="95"/>
      <c r="P1304" s="130"/>
    </row>
    <row r="1305" spans="2:16" s="89" customFormat="1" ht="12.75">
      <c r="B1305" s="125"/>
      <c r="C1305" s="126"/>
      <c r="D1305" s="126"/>
      <c r="E1305" s="126"/>
      <c r="F1305" s="126"/>
      <c r="G1305" s="126"/>
      <c r="H1305" s="126"/>
      <c r="I1305" s="126"/>
      <c r="J1305" s="126"/>
      <c r="K1305" s="127"/>
      <c r="L1305" s="128"/>
      <c r="M1305" s="129"/>
      <c r="N1305" s="95"/>
      <c r="O1305" s="95"/>
      <c r="P1305" s="130"/>
    </row>
    <row r="1306" spans="2:16" s="89" customFormat="1" ht="12.75">
      <c r="B1306" s="125"/>
      <c r="C1306" s="126"/>
      <c r="D1306" s="126"/>
      <c r="E1306" s="126"/>
      <c r="F1306" s="126"/>
      <c r="G1306" s="126"/>
      <c r="H1306" s="126"/>
      <c r="I1306" s="126"/>
      <c r="J1306" s="126"/>
      <c r="K1306" s="127"/>
      <c r="L1306" s="128"/>
      <c r="M1306" s="129"/>
      <c r="N1306" s="95"/>
      <c r="O1306" s="95"/>
      <c r="P1306" s="130"/>
    </row>
    <row r="1307" spans="2:16" s="89" customFormat="1" ht="12.75">
      <c r="B1307" s="125"/>
      <c r="C1307" s="126"/>
      <c r="D1307" s="126"/>
      <c r="E1307" s="126"/>
      <c r="F1307" s="126"/>
      <c r="G1307" s="126"/>
      <c r="H1307" s="126"/>
      <c r="I1307" s="126"/>
      <c r="J1307" s="126"/>
      <c r="K1307" s="127"/>
      <c r="L1307" s="128"/>
      <c r="M1307" s="129"/>
      <c r="N1307" s="95"/>
      <c r="O1307" s="95"/>
      <c r="P1307" s="130"/>
    </row>
    <row r="1308" spans="2:16" s="89" customFormat="1" ht="12.75">
      <c r="B1308" s="125"/>
      <c r="C1308" s="126"/>
      <c r="D1308" s="126"/>
      <c r="E1308" s="126"/>
      <c r="F1308" s="126"/>
      <c r="G1308" s="126"/>
      <c r="H1308" s="126"/>
      <c r="I1308" s="126"/>
      <c r="J1308" s="126"/>
      <c r="K1308" s="127"/>
      <c r="L1308" s="128"/>
      <c r="M1308" s="129"/>
      <c r="N1308" s="95"/>
      <c r="O1308" s="95"/>
      <c r="P1308" s="130"/>
    </row>
    <row r="1309" spans="2:16" s="89" customFormat="1" ht="12.75">
      <c r="B1309" s="125"/>
      <c r="C1309" s="126"/>
      <c r="D1309" s="126"/>
      <c r="E1309" s="126"/>
      <c r="F1309" s="126"/>
      <c r="G1309" s="126"/>
      <c r="H1309" s="126"/>
      <c r="I1309" s="126"/>
      <c r="J1309" s="126"/>
      <c r="K1309" s="127"/>
      <c r="L1309" s="128"/>
      <c r="M1309" s="129"/>
      <c r="N1309" s="95"/>
      <c r="O1309" s="95"/>
      <c r="P1309" s="130"/>
    </row>
    <row r="1310" spans="2:16" s="89" customFormat="1" ht="12.75">
      <c r="B1310" s="125"/>
      <c r="C1310" s="126"/>
      <c r="D1310" s="126"/>
      <c r="E1310" s="126"/>
      <c r="F1310" s="126"/>
      <c r="G1310" s="126"/>
      <c r="H1310" s="126"/>
      <c r="I1310" s="126"/>
      <c r="J1310" s="126"/>
      <c r="K1310" s="127"/>
      <c r="L1310" s="128"/>
      <c r="M1310" s="129"/>
      <c r="N1310" s="95"/>
      <c r="O1310" s="95"/>
      <c r="P1310" s="130"/>
    </row>
    <row r="1311" spans="2:16" s="89" customFormat="1" ht="12.75">
      <c r="B1311" s="125"/>
      <c r="C1311" s="126"/>
      <c r="D1311" s="126"/>
      <c r="E1311" s="126"/>
      <c r="F1311" s="126"/>
      <c r="G1311" s="126"/>
      <c r="H1311" s="126"/>
      <c r="I1311" s="126"/>
      <c r="J1311" s="126"/>
      <c r="K1311" s="127"/>
      <c r="L1311" s="128"/>
      <c r="M1311" s="129"/>
      <c r="N1311" s="95"/>
      <c r="O1311" s="95"/>
      <c r="P1311" s="130"/>
    </row>
    <row r="1312" spans="2:16" s="89" customFormat="1" ht="12.75">
      <c r="B1312" s="125"/>
      <c r="C1312" s="126"/>
      <c r="D1312" s="126"/>
      <c r="E1312" s="126"/>
      <c r="F1312" s="126"/>
      <c r="G1312" s="126"/>
      <c r="H1312" s="126"/>
      <c r="I1312" s="126"/>
      <c r="J1312" s="126"/>
      <c r="K1312" s="127"/>
      <c r="L1312" s="128"/>
      <c r="M1312" s="129"/>
      <c r="N1312" s="95"/>
      <c r="O1312" s="95"/>
      <c r="P1312" s="130"/>
    </row>
    <row r="1313" spans="2:16" s="89" customFormat="1" ht="12.75">
      <c r="B1313" s="125"/>
      <c r="C1313" s="126"/>
      <c r="D1313" s="126"/>
      <c r="E1313" s="126"/>
      <c r="F1313" s="126"/>
      <c r="G1313" s="126"/>
      <c r="H1313" s="126"/>
      <c r="I1313" s="126"/>
      <c r="J1313" s="126"/>
      <c r="K1313" s="127"/>
      <c r="L1313" s="128"/>
      <c r="M1313" s="129"/>
      <c r="N1313" s="95"/>
      <c r="O1313" s="95"/>
      <c r="P1313" s="130"/>
    </row>
    <row r="1314" spans="2:16" s="89" customFormat="1" ht="12.75">
      <c r="B1314" s="125"/>
      <c r="C1314" s="126"/>
      <c r="D1314" s="126"/>
      <c r="E1314" s="126"/>
      <c r="F1314" s="126"/>
      <c r="G1314" s="126"/>
      <c r="H1314" s="126"/>
      <c r="I1314" s="126"/>
      <c r="J1314" s="126"/>
      <c r="K1314" s="127"/>
      <c r="L1314" s="128"/>
      <c r="M1314" s="129"/>
      <c r="N1314" s="95"/>
      <c r="O1314" s="95"/>
      <c r="P1314" s="130"/>
    </row>
    <row r="1315" spans="2:16" s="89" customFormat="1" ht="12.75">
      <c r="B1315" s="125"/>
      <c r="C1315" s="126"/>
      <c r="D1315" s="126"/>
      <c r="E1315" s="126"/>
      <c r="F1315" s="126"/>
      <c r="G1315" s="126"/>
      <c r="H1315" s="126"/>
      <c r="I1315" s="126"/>
      <c r="J1315" s="126"/>
      <c r="K1315" s="127"/>
      <c r="L1315" s="128"/>
      <c r="M1315" s="129"/>
      <c r="N1315" s="95"/>
      <c r="O1315" s="95"/>
      <c r="P1315" s="130"/>
    </row>
    <row r="1316" spans="2:16" s="89" customFormat="1" ht="12.75">
      <c r="B1316" s="125"/>
      <c r="C1316" s="126"/>
      <c r="D1316" s="126"/>
      <c r="E1316" s="126"/>
      <c r="F1316" s="126"/>
      <c r="G1316" s="126"/>
      <c r="H1316" s="126"/>
      <c r="I1316" s="126"/>
      <c r="J1316" s="126"/>
      <c r="K1316" s="127"/>
      <c r="L1316" s="128"/>
      <c r="M1316" s="129"/>
      <c r="N1316" s="95"/>
      <c r="O1316" s="95"/>
      <c r="P1316" s="130"/>
    </row>
    <row r="1317" spans="2:16" s="89" customFormat="1" ht="12.75">
      <c r="B1317" s="125"/>
      <c r="C1317" s="126"/>
      <c r="D1317" s="126"/>
      <c r="E1317" s="126"/>
      <c r="F1317" s="126"/>
      <c r="G1317" s="126"/>
      <c r="H1317" s="126"/>
      <c r="I1317" s="126"/>
      <c r="J1317" s="126"/>
      <c r="K1317" s="127"/>
      <c r="L1317" s="128"/>
      <c r="M1317" s="129"/>
      <c r="N1317" s="95"/>
      <c r="O1317" s="95"/>
      <c r="P1317" s="130"/>
    </row>
    <row r="1318" spans="2:16" s="89" customFormat="1" ht="12.75">
      <c r="B1318" s="125"/>
      <c r="C1318" s="126"/>
      <c r="D1318" s="126"/>
      <c r="E1318" s="126"/>
      <c r="F1318" s="126"/>
      <c r="G1318" s="126"/>
      <c r="H1318" s="126"/>
      <c r="I1318" s="126"/>
      <c r="J1318" s="126"/>
      <c r="K1318" s="127"/>
      <c r="L1318" s="128"/>
      <c r="M1318" s="129"/>
      <c r="N1318" s="95"/>
      <c r="O1318" s="95"/>
      <c r="P1318" s="130"/>
    </row>
    <row r="1319" spans="2:16" s="89" customFormat="1" ht="12.75">
      <c r="B1319" s="125"/>
      <c r="C1319" s="126"/>
      <c r="D1319" s="126"/>
      <c r="E1319" s="126"/>
      <c r="F1319" s="126"/>
      <c r="G1319" s="126"/>
      <c r="H1319" s="126"/>
      <c r="I1319" s="126"/>
      <c r="J1319" s="126"/>
      <c r="K1319" s="127"/>
      <c r="L1319" s="128"/>
      <c r="M1319" s="129"/>
      <c r="N1319" s="95"/>
      <c r="O1319" s="95"/>
      <c r="P1319" s="130"/>
    </row>
    <row r="1320" spans="2:16" s="89" customFormat="1" ht="12.75">
      <c r="B1320" s="125"/>
      <c r="C1320" s="126"/>
      <c r="D1320" s="126"/>
      <c r="E1320" s="126"/>
      <c r="F1320" s="126"/>
      <c r="G1320" s="126"/>
      <c r="H1320" s="126"/>
      <c r="I1320" s="126"/>
      <c r="J1320" s="126"/>
      <c r="K1320" s="127"/>
      <c r="L1320" s="128"/>
      <c r="M1320" s="129"/>
      <c r="N1320" s="95"/>
      <c r="O1320" s="95"/>
      <c r="P1320" s="130"/>
    </row>
    <row r="1321" spans="2:16" s="89" customFormat="1" ht="12.75">
      <c r="B1321" s="125"/>
      <c r="C1321" s="126"/>
      <c r="D1321" s="126"/>
      <c r="E1321" s="126"/>
      <c r="F1321" s="126"/>
      <c r="G1321" s="126"/>
      <c r="H1321" s="126"/>
      <c r="I1321" s="126"/>
      <c r="J1321" s="126"/>
      <c r="K1321" s="127"/>
      <c r="L1321" s="128"/>
      <c r="M1321" s="129"/>
      <c r="N1321" s="95"/>
      <c r="O1321" s="95"/>
      <c r="P1321" s="130"/>
    </row>
    <row r="1322" spans="2:16" s="89" customFormat="1" ht="12.75">
      <c r="B1322" s="125"/>
      <c r="C1322" s="126"/>
      <c r="D1322" s="126"/>
      <c r="E1322" s="126"/>
      <c r="F1322" s="126"/>
      <c r="G1322" s="126"/>
      <c r="H1322" s="126"/>
      <c r="I1322" s="126"/>
      <c r="J1322" s="126"/>
      <c r="K1322" s="127"/>
      <c r="L1322" s="128"/>
      <c r="M1322" s="129"/>
      <c r="N1322" s="95"/>
      <c r="O1322" s="95"/>
      <c r="P1322" s="130"/>
    </row>
    <row r="1323" spans="2:16" s="89" customFormat="1" ht="12.75">
      <c r="B1323" s="125"/>
      <c r="C1323" s="126"/>
      <c r="D1323" s="126"/>
      <c r="E1323" s="126"/>
      <c r="F1323" s="126"/>
      <c r="G1323" s="126"/>
      <c r="H1323" s="126"/>
      <c r="I1323" s="126"/>
      <c r="J1323" s="126"/>
      <c r="K1323" s="127"/>
      <c r="L1323" s="128"/>
      <c r="M1323" s="129"/>
      <c r="N1323" s="95"/>
      <c r="O1323" s="95"/>
      <c r="P1323" s="130"/>
    </row>
    <row r="1324" spans="2:16" s="89" customFormat="1" ht="12.75">
      <c r="B1324" s="125"/>
      <c r="C1324" s="126"/>
      <c r="D1324" s="126"/>
      <c r="E1324" s="126"/>
      <c r="F1324" s="126"/>
      <c r="G1324" s="126"/>
      <c r="H1324" s="126"/>
      <c r="I1324" s="126"/>
      <c r="J1324" s="126"/>
      <c r="K1324" s="127"/>
      <c r="L1324" s="128"/>
      <c r="M1324" s="129"/>
      <c r="N1324" s="95"/>
      <c r="O1324" s="95"/>
      <c r="P1324" s="130"/>
    </row>
    <row r="1325" spans="2:16" s="89" customFormat="1" ht="12.75">
      <c r="B1325" s="125"/>
      <c r="C1325" s="126"/>
      <c r="D1325" s="126"/>
      <c r="E1325" s="126"/>
      <c r="F1325" s="126"/>
      <c r="G1325" s="126"/>
      <c r="H1325" s="126"/>
      <c r="I1325" s="126"/>
      <c r="J1325" s="126"/>
      <c r="K1325" s="127"/>
      <c r="L1325" s="128"/>
      <c r="M1325" s="129"/>
      <c r="N1325" s="95"/>
      <c r="O1325" s="95"/>
      <c r="P1325" s="130"/>
    </row>
    <row r="1326" spans="2:16" s="89" customFormat="1" ht="12.75">
      <c r="B1326" s="125"/>
      <c r="C1326" s="126"/>
      <c r="D1326" s="126"/>
      <c r="E1326" s="126"/>
      <c r="F1326" s="126"/>
      <c r="G1326" s="126"/>
      <c r="H1326" s="126"/>
      <c r="I1326" s="126"/>
      <c r="J1326" s="126"/>
      <c r="K1326" s="127"/>
      <c r="L1326" s="128"/>
      <c r="M1326" s="129"/>
      <c r="N1326" s="95"/>
      <c r="O1326" s="95"/>
      <c r="P1326" s="130"/>
    </row>
    <row r="1327" spans="2:16" s="89" customFormat="1" ht="12.75">
      <c r="B1327" s="125"/>
      <c r="C1327" s="126"/>
      <c r="D1327" s="126"/>
      <c r="E1327" s="126"/>
      <c r="F1327" s="126"/>
      <c r="G1327" s="126"/>
      <c r="H1327" s="126"/>
      <c r="I1327" s="126"/>
      <c r="J1327" s="126"/>
      <c r="K1327" s="127"/>
      <c r="L1327" s="128"/>
      <c r="M1327" s="129"/>
      <c r="N1327" s="95"/>
      <c r="O1327" s="95"/>
      <c r="P1327" s="130"/>
    </row>
    <row r="1328" spans="2:16" s="89" customFormat="1" ht="12.75">
      <c r="B1328" s="125"/>
      <c r="C1328" s="126"/>
      <c r="D1328" s="126"/>
      <c r="E1328" s="126"/>
      <c r="F1328" s="126"/>
      <c r="G1328" s="126"/>
      <c r="H1328" s="126"/>
      <c r="I1328" s="126"/>
      <c r="J1328" s="126"/>
      <c r="K1328" s="127"/>
      <c r="L1328" s="128"/>
      <c r="M1328" s="129"/>
      <c r="N1328" s="95"/>
      <c r="O1328" s="95"/>
      <c r="P1328" s="130"/>
    </row>
  </sheetData>
  <autoFilter ref="A14:R224"/>
  <mergeCells count="33">
    <mergeCell ref="N10:P10"/>
    <mergeCell ref="C2:P2"/>
    <mergeCell ref="B3:B4"/>
    <mergeCell ref="C3:P3"/>
    <mergeCell ref="C4:P4"/>
    <mergeCell ref="C5:P5"/>
    <mergeCell ref="A6:P6"/>
    <mergeCell ref="A7:L7"/>
    <mergeCell ref="A8:L8"/>
    <mergeCell ref="A9:L9"/>
    <mergeCell ref="A10:B10"/>
    <mergeCell ref="C10:L10"/>
    <mergeCell ref="P11:P13"/>
    <mergeCell ref="A11:A13"/>
    <mergeCell ref="B11:B13"/>
    <mergeCell ref="C11:C13"/>
    <mergeCell ref="D11:D13"/>
    <mergeCell ref="E11:H11"/>
    <mergeCell ref="I11:I13"/>
    <mergeCell ref="E13:F13"/>
    <mergeCell ref="G13:H13"/>
    <mergeCell ref="J11:J13"/>
    <mergeCell ref="K11:K13"/>
    <mergeCell ref="L11:L13"/>
    <mergeCell ref="M11:M13"/>
    <mergeCell ref="O11:O13"/>
    <mergeCell ref="L242:O242"/>
    <mergeCell ref="A226:M226"/>
    <mergeCell ref="A227:M227"/>
    <mergeCell ref="A228:M228"/>
    <mergeCell ref="N231:O231"/>
    <mergeCell ref="L240:O240"/>
    <mergeCell ref="L241:O24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DHKK</vt:lpstr>
      <vt:lpstr>BG Đơn Cánh ĐC FSLF 24V</vt:lpstr>
      <vt:lpstr>BG Đa Cánh BFN 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Xuân Cường</dc:creator>
  <cp:lastModifiedBy>TL02</cp:lastModifiedBy>
  <dcterms:created xsi:type="dcterms:W3CDTF">2026-10-05T03:52:54Z</dcterms:created>
  <dcterms:modified xsi:type="dcterms:W3CDTF">2026-10-07T10:03:26Z</dcterms:modified>
</cp:coreProperties>
</file>